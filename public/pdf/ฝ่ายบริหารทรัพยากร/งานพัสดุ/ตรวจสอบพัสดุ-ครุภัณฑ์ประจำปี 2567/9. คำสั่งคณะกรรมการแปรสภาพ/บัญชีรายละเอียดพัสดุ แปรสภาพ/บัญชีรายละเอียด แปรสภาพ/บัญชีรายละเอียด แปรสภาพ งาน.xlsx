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7\9. คำสั่งคณะกรรมการแปรสภาพ\บัญชีรายละเอียดพัสดุ แปรสภาพ\บัญชีรายละเอียด แปรสภาพ\"/>
    </mc:Choice>
  </mc:AlternateContent>
  <xr:revisionPtr revIDLastSave="0" documentId="13_ncr:1_{F4342CB0-F314-4222-B965-52FD91ED939A}" xr6:coauthVersionLast="46" xr6:coauthVersionMax="47" xr10:uidLastSave="{00000000-0000-0000-0000-000000000000}"/>
  <bookViews>
    <workbookView xWindow="-120" yWindow="-120" windowWidth="20730" windowHeight="11310" firstSheet="3" activeTab="7" xr2:uid="{CF0E813D-18DF-4A2E-9ED1-C0D71ADF5846}"/>
  </bookViews>
  <sheets>
    <sheet name="งานการเงิน" sheetId="1" r:id="rId1"/>
    <sheet name="บริหารงานทั่วไป" sheetId="6" r:id="rId2"/>
    <sheet name="งานพัสดุ" sheetId="7" r:id="rId3"/>
    <sheet name="งานบัญชี" sheetId="8" r:id="rId4"/>
    <sheet name="งานบุคลากร" sheetId="9" r:id="rId5"/>
    <sheet name="งานประชาสัมพันธ์" sheetId="10" r:id="rId6"/>
    <sheet name="งานอาคาร" sheetId="11" r:id="rId7"/>
    <sheet name="งานทะเบียน" sheetId="12" r:id="rId8"/>
    <sheet name="งานส่งเสริมผลิตผลการค้า" sheetId="17" r:id="rId9"/>
    <sheet name="งานความร่วมมือ" sheetId="18" r:id="rId10"/>
    <sheet name="งานประกันคุณภาพ" sheetId="19" r:id="rId11"/>
    <sheet name="งานกิจกรรม" sheetId="21" r:id="rId12"/>
    <sheet name="งานปกครอง" sheetId="22" r:id="rId13"/>
    <sheet name="งานแนะแนว" sheetId="23" r:id="rId14"/>
    <sheet name="งานครูที่ปรึกษา" sheetId="25" r:id="rId15"/>
    <sheet name="งานโครงการพิเศษ" sheetId="26" r:id="rId16"/>
    <sheet name="งานวัดผล" sheetId="27" r:id="rId17"/>
    <sheet name="งานพัฒนาหลักสูตร" sheetId="28" r:id="rId18"/>
    <sheet name="งานวิทยบริการ" sheetId="30" r:id="rId19"/>
    <sheet name="Sheet1" sheetId="32" r:id="rId2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0" l="1"/>
  <c r="E8" i="30"/>
  <c r="E9" i="30"/>
  <c r="E10" i="30"/>
  <c r="E6" i="30"/>
  <c r="E8" i="28"/>
  <c r="E7" i="28"/>
  <c r="E6" i="28"/>
  <c r="E9" i="27" l="1"/>
  <c r="E7" i="27"/>
  <c r="E8" i="27"/>
  <c r="E6" i="27"/>
  <c r="E6" i="26"/>
  <c r="E7" i="25"/>
  <c r="E6" i="25"/>
  <c r="E6" i="23"/>
  <c r="E6" i="22"/>
  <c r="E7" i="21"/>
  <c r="E6" i="21"/>
  <c r="E7" i="19" l="1"/>
  <c r="E8" i="19"/>
  <c r="E9" i="19"/>
  <c r="E6" i="19"/>
  <c r="E6" i="18"/>
  <c r="E7" i="17" l="1"/>
  <c r="E6" i="17"/>
  <c r="E7" i="12"/>
  <c r="E8" i="12"/>
  <c r="E9" i="12"/>
  <c r="E10" i="12"/>
  <c r="E11" i="12"/>
  <c r="E12" i="12"/>
  <c r="E13" i="12"/>
  <c r="E6" i="12"/>
  <c r="E12" i="11"/>
  <c r="E7" i="11"/>
  <c r="E8" i="11"/>
  <c r="E9" i="11"/>
  <c r="E10" i="11"/>
  <c r="E11" i="11"/>
  <c r="E6" i="11"/>
  <c r="E6" i="10"/>
  <c r="E7" i="9" l="1"/>
  <c r="E8" i="9"/>
  <c r="E9" i="9"/>
  <c r="E10" i="9"/>
  <c r="E11" i="9"/>
  <c r="E12" i="9"/>
  <c r="E13" i="9"/>
  <c r="E14" i="9"/>
  <c r="E6" i="9"/>
  <c r="E7" i="8"/>
  <c r="E8" i="8"/>
  <c r="E9" i="8"/>
  <c r="E6" i="8"/>
  <c r="E7" i="7"/>
  <c r="E6" i="7"/>
  <c r="E7" i="6"/>
  <c r="E8" i="6"/>
  <c r="E9" i="6"/>
  <c r="E10" i="6"/>
  <c r="E11" i="6"/>
  <c r="E12" i="6"/>
  <c r="E6" i="6"/>
  <c r="E10" i="1" l="1"/>
  <c r="E7" i="1"/>
  <c r="E8" i="1"/>
  <c r="E9" i="1"/>
  <c r="E6" i="1"/>
  <c r="E11" i="30" l="1"/>
  <c r="E7" i="26" l="1"/>
  <c r="E8" i="25"/>
  <c r="E7" i="23"/>
  <c r="E7" i="22"/>
  <c r="E8" i="21"/>
  <c r="E10" i="19" l="1"/>
  <c r="E7" i="18"/>
  <c r="E8" i="17" l="1"/>
  <c r="E11" i="1" l="1"/>
  <c r="E14" i="12" l="1"/>
  <c r="E7" i="10"/>
  <c r="E15" i="9"/>
  <c r="E10" i="8"/>
  <c r="E8" i="7"/>
  <c r="E13" i="6"/>
</calcChain>
</file>

<file path=xl/sharedStrings.xml><?xml version="1.0" encoding="utf-8"?>
<sst xmlns="http://schemas.openxmlformats.org/spreadsheetml/2006/main" count="457" uniqueCount="162">
  <si>
    <t>ลำดับ
ที่</t>
  </si>
  <si>
    <t>จำนวน</t>
  </si>
  <si>
    <t>หมายเหตุ</t>
  </si>
  <si>
    <t xml:space="preserve">  วิทยาลัยเทคนิคกันทรลักษ์</t>
  </si>
  <si>
    <t>รายการ</t>
  </si>
  <si>
    <t>พัสดุที่ขอจำหน่าย</t>
  </si>
  <si>
    <t>ราคาต่อหน่วย</t>
  </si>
  <si>
    <t>ราคาซื้อ/ได้มา</t>
  </si>
  <si>
    <t>รวมเป็นเงินทั้งสิ้น</t>
  </si>
  <si>
    <t xml:space="preserve">    </t>
  </si>
  <si>
    <t xml:space="preserve">  </t>
  </si>
  <si>
    <t xml:space="preserve">      </t>
  </si>
  <si>
    <t xml:space="preserve">          </t>
  </si>
  <si>
    <t xml:space="preserve">     ลงชื่อ...........................................ประธานกรรมการ</t>
  </si>
  <si>
    <t>FLASH DRIVE 512 MB</t>
  </si>
  <si>
    <t>งานการเงิน</t>
  </si>
  <si>
    <t>งานบริหารงานทั่วไป</t>
  </si>
  <si>
    <t>งานพัสดุ</t>
  </si>
  <si>
    <t>งานบัญชี</t>
  </si>
  <si>
    <t>งานบุคลากร</t>
  </si>
  <si>
    <t>เก้าอี้สำนักงาน (ขาเหล็ก)</t>
  </si>
  <si>
    <t>เครื่องสำรองไฟ</t>
  </si>
  <si>
    <t>งานประชาสัมพันธ์</t>
  </si>
  <si>
    <t>งานอาคารสถานที่</t>
  </si>
  <si>
    <t>งานทะเบียน</t>
  </si>
  <si>
    <t>ตู้เหล็ก 2 บานเปิด</t>
  </si>
  <si>
    <t>เก้าอี้ (ขาเหล็ก) 5 แฉก</t>
  </si>
  <si>
    <t xml:space="preserve">งานส่งเสริมผลิตผลการค้าและประกอบธุรกิจ  </t>
  </si>
  <si>
    <t>เก้าอี้(ขาเหล็ก) 5 แฉก</t>
  </si>
  <si>
    <t>คอมพิวเตอร์โน๊ตบุ๊ค</t>
  </si>
  <si>
    <t xml:space="preserve">งานความร่วมมือ </t>
  </si>
  <si>
    <t>โต๊ะวางเครื่องคอม+เก้าอี้</t>
  </si>
  <si>
    <t>งานประกันคุณภาพและมาตรฐานการศึกษา</t>
  </si>
  <si>
    <t>เครื่องคอมพิวเตอร์ ALL IN ONE</t>
  </si>
  <si>
    <t>งานกิจกรรมนักเรียน นักศึกษา</t>
  </si>
  <si>
    <t>งานปกครอง</t>
  </si>
  <si>
    <t>เครื่องปริ้นเตอร์ HP 1020</t>
  </si>
  <si>
    <t>งานแนะแนวอาชีพและจัดหางาน</t>
  </si>
  <si>
    <t>ตู้เหล็ก 4 ลิ้นชัก KINGKONG</t>
  </si>
  <si>
    <t>งานครูที่ปรึกษา</t>
  </si>
  <si>
    <t>งานโครงการพิเศษและบริการชุมชุน</t>
  </si>
  <si>
    <t>งานวัดผลและประเมินผล</t>
  </si>
  <si>
    <t>งานพัฒนาหลักสูตรการเรียนการสอน</t>
  </si>
  <si>
    <t>งานวิทยบริการและห้องสมุด</t>
  </si>
  <si>
    <t>บัญชีรายละเอียดพัสดุที่ขอจำหน่ายโดยวิธีแปรสภาพ ประจำปี 2567</t>
  </si>
  <si>
    <t>เครื่องพิมพ์ดีดไทยธรรมดา แคร่ 15"</t>
  </si>
  <si>
    <t>เครื่องปริ้นเตอร์ brother DCP-L3551CDW</t>
  </si>
  <si>
    <t>เครื่องพิมพ์เลเซอร์</t>
  </si>
  <si>
    <t xml:space="preserve">                                                                           ลงชื่อ............................................กรรมการ</t>
  </si>
  <si>
    <t xml:space="preserve">                                                   (นายอุทัย  จรรยากรณ์)</t>
  </si>
  <si>
    <t xml:space="preserve">                                         (นางสาวชรินทร์นา โปริสา)</t>
  </si>
  <si>
    <t>ตู้เหล็ก 2 ประตู บานเปิด</t>
  </si>
  <si>
    <t>KYOCERA FS -6025</t>
  </si>
  <si>
    <t>เครื่องคอมพิวเตอร์ตั้งโต๊ะ All-in-one</t>
  </si>
  <si>
    <t xml:space="preserve">เครื่อง FAX </t>
  </si>
  <si>
    <t xml:space="preserve">                                                                          ลงชื่อ............................................กรรมการ</t>
  </si>
  <si>
    <t>เก้าอี้สำนักงาน CA 333A TAIYO</t>
  </si>
  <si>
    <t xml:space="preserve">                            (นางสาวภวิกา  โพธิ์ขาว)</t>
  </si>
  <si>
    <t xml:space="preserve">                                                   (นายทรงพร พรหมโสภา)</t>
  </si>
  <si>
    <t xml:space="preserve">                                            (นายณรงค์  นิตนอก)</t>
  </si>
  <si>
    <t>ตู้บานเลื่อนกระจก 4 ฟุต</t>
  </si>
  <si>
    <t>เครื่องปริ้นเตอร์ HP 1006</t>
  </si>
  <si>
    <t>เครื่องปริ้นเตอร์ HP Lasejet P 1102</t>
  </si>
  <si>
    <t xml:space="preserve">                                                   (นางสาวสุลัดดา ยอดกุล)</t>
  </si>
  <si>
    <t xml:space="preserve">                                        (นางสาวอรวรรณ  ศรีบัวเทพ)</t>
  </si>
  <si>
    <t xml:space="preserve">                                                                                    ลงชื่อ...........................................ประธานกรรมการ</t>
  </si>
  <si>
    <t xml:space="preserve">                                                                     (นางสาวภวิกา  โพธิ์ขาว)</t>
  </si>
  <si>
    <t xml:space="preserve">                                                                                  ลงชื่อ...........................................ประธานกรรมการ</t>
  </si>
  <si>
    <t xml:space="preserve">                                                (นางศริญญา  ผาแก้ว)</t>
  </si>
  <si>
    <t xml:space="preserve">                          (นางสาวภวิกา  โพธิ์ขาว)</t>
  </si>
  <si>
    <t xml:space="preserve">                                      (นางสาวสุขุมาภรณ์  สิทธิธรรม)</t>
  </si>
  <si>
    <t>โต๊ะวางเครื่องคอมพิวเตอร์</t>
  </si>
  <si>
    <t>FLASH DRIVE 1 GB</t>
  </si>
  <si>
    <t>เครื่องคอมพิวเตอร์พร้อมจอ 20 Hp</t>
  </si>
  <si>
    <t>เครื่องปริ้นเตอร์ inkjet all in one epson2106</t>
  </si>
  <si>
    <t>โต๊ะคอมพิวเตอร์ 120*60*75</t>
  </si>
  <si>
    <t>คอมพิวเตอร์ all in one lenovo</t>
  </si>
  <si>
    <t xml:space="preserve">                                                   (นางภัชรานันท์  จันทชิด)</t>
  </si>
  <si>
    <t xml:space="preserve">                                          (นางสาวเมธิญา วรรณจู)</t>
  </si>
  <si>
    <t>เลนส์ 24-105 mm f/41 is ef usm af</t>
  </si>
  <si>
    <t xml:space="preserve">                                          (นายธนพัฒน์ พลเหลา)</t>
  </si>
  <si>
    <t xml:space="preserve">                                             (นางสาวณัตติยา  หล่อวินิจนันท์)</t>
  </si>
  <si>
    <t xml:space="preserve">                       (นางสาวภวิกา  โพธิ์ขาว)</t>
  </si>
  <si>
    <t>เครื่องยนต์สูบเฉียง 85.5 HONDA</t>
  </si>
  <si>
    <t>พัดลมโคจร</t>
  </si>
  <si>
    <t>เก้าอี้สนาม</t>
  </si>
  <si>
    <t>โต๊ะน้ำชาหน้ากระจกกลม+เก้าอี้หวายเทียม</t>
  </si>
  <si>
    <t>โต๊ะกลางหน้าหิน</t>
  </si>
  <si>
    <t>โต๊ะน้ำชา 2 ที่นั่ง (แบบเหลี่ยม)</t>
  </si>
  <si>
    <t xml:space="preserve">                                 (นางสาวภวิกา  โพธิ์ขาว)</t>
  </si>
  <si>
    <t xml:space="preserve">                                                      (นายสุขสันต์  สิทธิมวล)</t>
  </si>
  <si>
    <t xml:space="preserve">                                               (นายบุญจันทร์  โตมร)</t>
  </si>
  <si>
    <t>กล้องดิจิตอล CANNON POWER SHOT A 590 IS</t>
  </si>
  <si>
    <t>เครื่องคอมพิวเตอร์ SVOA</t>
  </si>
  <si>
    <t>ตู้เหล็ก 15 ลิ้นชัก</t>
  </si>
  <si>
    <t>เครื่องปริ้นเตอร์ CANON LBp 3050</t>
  </si>
  <si>
    <t xml:space="preserve">เครื่องคอมพิวเตอร์ พร้อมโต๊ะเก้าอี้ </t>
  </si>
  <si>
    <t>เครื่องปริ้นเตอร์ Brother MFC-L2715</t>
  </si>
  <si>
    <t xml:space="preserve">                                                      (นางสาวมัลลิกา  ศรีสุนนท์)</t>
  </si>
  <si>
    <t xml:space="preserve">                                               (นางสาวณัฐรัตน์  จรรยากรณ์)</t>
  </si>
  <si>
    <t xml:space="preserve">                                   (นางสาวภวิกา  โพธิ์ขาว)</t>
  </si>
  <si>
    <t xml:space="preserve">                                                                                 ลงชื่อ...........................................ประธานกรรมการ</t>
  </si>
  <si>
    <t>โต๊ะทำงานเหล็ก 4 ฟุต</t>
  </si>
  <si>
    <t xml:space="preserve">                                                     (นางคนองรักษ์  ป้อมหิน)</t>
  </si>
  <si>
    <t xml:space="preserve">                                (นายสมศักดิ์  จันทานิตย์)</t>
  </si>
  <si>
    <t xml:space="preserve">                                                                        ลงชื่อ...........................................ประธานกรรมการ</t>
  </si>
  <si>
    <t xml:space="preserve">                                                    (นายสมศักดิ์  จันทานิตย์)</t>
  </si>
  <si>
    <t>เครื่องฉาย Projrctor Acer P1276</t>
  </si>
  <si>
    <t>จอ Projrctor มอเตอร์ไฟฟ้า ขนาด 120</t>
  </si>
  <si>
    <t>เครื่องพิมพ์แบบหมึกพ่น (ink tank)</t>
  </si>
  <si>
    <t xml:space="preserve">                                                                    ลงชื่อ...........................................ประธานกรรมการ</t>
  </si>
  <si>
    <t xml:space="preserve">                                                             ลงชื่อ............................................กรรมการ</t>
  </si>
  <si>
    <t xml:space="preserve">                                                            ลงชื่อ............................................กรรมการ</t>
  </si>
  <si>
    <t xml:space="preserve">                           (นายสมศักดิ์  จันทานิตย์)</t>
  </si>
  <si>
    <t xml:space="preserve">                                              (นางสาวณัฐสินี ชวดพงษ์)</t>
  </si>
  <si>
    <t xml:space="preserve">                                        (นางวิไลพร  อรรคชัย)</t>
  </si>
  <si>
    <t>ชุดจานดาวเทียม ideasat</t>
  </si>
  <si>
    <t>ไมค์ลอย</t>
  </si>
  <si>
    <t xml:space="preserve">                           (นางสาววิภาวรรณ  สีแดด)</t>
  </si>
  <si>
    <t xml:space="preserve">                                              (นายบุญแต่ง  ป้อมหิน)</t>
  </si>
  <si>
    <t xml:space="preserve">                                        (นายณฐกร  สุขพิสิษฐ)</t>
  </si>
  <si>
    <t>โต๊ะวางเครื่องคอมพิวเตอร์+เก้าอี้</t>
  </si>
  <si>
    <t xml:space="preserve">                                              (นายสมาน  คำขาว)</t>
  </si>
  <si>
    <t xml:space="preserve">                                        (นายธีรนัย วระพุฒ)</t>
  </si>
  <si>
    <t>ตู้ 2 บานเลื่อนกระจก</t>
  </si>
  <si>
    <t xml:space="preserve">                                               (นางสาวทราทิตย์  ชิดชม)</t>
  </si>
  <si>
    <t xml:space="preserve">                                                                           ลงชื่อ...........................................กรรมการ</t>
  </si>
  <si>
    <t xml:space="preserve">                                            (นางสาวศิริพร  พื้นสวรรค์)</t>
  </si>
  <si>
    <t xml:space="preserve">                                  (นางสาววิภาวรรณ  สีแดด)</t>
  </si>
  <si>
    <t>เครื่องปริ้นเตอร์ BROTHER DCP-T310</t>
  </si>
  <si>
    <t>เครื่องคอมพิวเตอร์ ALL IN ONE LENOVO 19 นิ้ว</t>
  </si>
  <si>
    <t xml:space="preserve">                                                  (นางสาวล้ำค่า จินาวัลย์)</t>
  </si>
  <si>
    <t xml:space="preserve">                                               (นางสาวขวัญสุดา สุวรรณ)</t>
  </si>
  <si>
    <t xml:space="preserve">                                                        (นายธีรนัย วระพุฒ)</t>
  </si>
  <si>
    <t xml:space="preserve">                             (นางสาววิภาวรรณ  สีแดด)</t>
  </si>
  <si>
    <t xml:space="preserve">                                                                ลงชื่อ............................................กรรมการ</t>
  </si>
  <si>
    <t xml:space="preserve">                                           (นายประดิษฐ ใจทรง)</t>
  </si>
  <si>
    <t xml:space="preserve">                                                                ลงชื่อ...........................................กรรมการ</t>
  </si>
  <si>
    <t xml:space="preserve">                                                                     ลงชื่อ...........................................ประธานกรรมการ</t>
  </si>
  <si>
    <t>โต๊ะวางเครื่องคอมพิวเตอร์พร้อมเก้าอี้</t>
  </si>
  <si>
    <t xml:space="preserve">                                                                               ลงชื่อ...........................................ประธานกรรมการ</t>
  </si>
  <si>
    <t xml:space="preserve">                                    (นายอาทร  ศรีมะณี)</t>
  </si>
  <si>
    <t xml:space="preserve">                                                                       ลงชื่อ............................................กรรมการ</t>
  </si>
  <si>
    <t xml:space="preserve">                                                                      ลงชื่อ...........................................กรรมการ</t>
  </si>
  <si>
    <t xml:space="preserve">                                          (นางสาวจุฑามาศ ไชยคุณ)</t>
  </si>
  <si>
    <t xml:space="preserve">                                               (นางกิ่งดาว  บุญประสิทธิ์)</t>
  </si>
  <si>
    <t xml:space="preserve">                             (นายอาทร  ศรีมะณี)</t>
  </si>
  <si>
    <t xml:space="preserve">                                           (นายไกรศร  ผิวผัน)</t>
  </si>
  <si>
    <t>เก้าอี้สำนักงาน S-35 หนัง</t>
  </si>
  <si>
    <t xml:space="preserve">                                                           (นางสาวยุพาวดี พรหมน้อย)</t>
  </si>
  <si>
    <t>ตู้เก็บจุลสาร 4 ชั้น</t>
  </si>
  <si>
    <t>ชั้นวางหนังสือ 2 ด้าน 2 ช่วง</t>
  </si>
  <si>
    <t>ชั้นวางหนังสือ 1 ด้าน 2 ช่วง</t>
  </si>
  <si>
    <t>ชั้นวางหนังสือ 2 ด้าน 2 ช่วง 8 ระดับชั้น</t>
  </si>
  <si>
    <t>ชั้นวางหนังสือขนาดใหญ่</t>
  </si>
  <si>
    <t xml:space="preserve">                                           (นายชาตรี  ศรีสะอาด)</t>
  </si>
  <si>
    <t xml:space="preserve">                              (นายอาทร  ศรีมะณี)</t>
  </si>
  <si>
    <t xml:space="preserve">                                              (นางสาวธนพร บัวสด)</t>
  </si>
  <si>
    <t xml:space="preserve">                                                         ลงชื่อ............................................กรรมการ</t>
  </si>
  <si>
    <t xml:space="preserve">                                                    (นายคัคเนศวร์  โกมลศรี)</t>
  </si>
  <si>
    <t xml:space="preserve">                                                   (นางสาวธนพร บัวสด)</t>
  </si>
  <si>
    <t xml:space="preserve">                                                           (นางสาววิไลลักษณ์  เคนคำบ้ง)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</si>
</sst>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7" formatCode="_-* #,##0.000_-;\-* #,##0.000_-;_-* &quot;-&quot;??_-;_-@_-"/>
  </numFmts>
  <fonts count="1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</font>
    <font>
      <sz val="14"/>
      <name val="Cordia New"/>
      <family val="2"/>
    </font>
    <font>
      <b/>
      <sz val="16"/>
      <name val="TH SarabunPSK"/>
      <family val="2"/>
    </font>
    <font>
      <b/>
      <sz val="14"/>
      <color theme="1"/>
      <name val="TH SarabunPSK"/>
      <family val="2"/>
    </font>
    <font>
      <b/>
      <sz val="14"/>
      <name val="TH SarabunPSK"/>
      <family val="2"/>
    </font>
    <font>
      <b/>
      <sz val="16"/>
      <color rgb="FFFF0000"/>
      <name val="TH SarabunPSK"/>
      <family val="2"/>
    </font>
    <font>
      <sz val="10"/>
      <name val="Arial"/>
      <family val="2"/>
    </font>
    <font>
      <sz val="16"/>
      <color theme="1"/>
      <name val="TH SarabunIT๙"/>
      <family val="2"/>
    </font>
    <font>
      <b/>
      <sz val="16"/>
      <color theme="1"/>
      <name val="TH SarabunPSK"/>
      <family val="2"/>
      <charset val="222"/>
    </font>
    <font>
      <b/>
      <sz val="16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b/>
      <sz val="14"/>
      <name val="TH SarabunPSK"/>
      <family val="2"/>
      <charset val="222"/>
    </font>
    <font>
      <b/>
      <sz val="16"/>
      <color rgb="FFFF0000"/>
      <name val="TH SarabunPSK"/>
      <family val="2"/>
      <charset val="222"/>
    </font>
    <font>
      <sz val="14"/>
      <name val="TH SarabunPSK"/>
      <family val="2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8" fillId="0" borderId="0"/>
    <xf numFmtId="0" fontId="3" fillId="0" borderId="0"/>
  </cellStyleXfs>
  <cellXfs count="113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3" fontId="4" fillId="0" borderId="1" xfId="5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3" fontId="7" fillId="0" borderId="1" xfId="5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43" fontId="4" fillId="0" borderId="2" xfId="5" applyFont="1" applyBorder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1" xfId="3" applyFont="1" applyBorder="1" applyAlignment="1">
      <alignment horizontal="right"/>
    </xf>
    <xf numFmtId="43" fontId="5" fillId="0" borderId="1" xfId="1" applyFont="1" applyBorder="1"/>
    <xf numFmtId="0" fontId="5" fillId="0" borderId="1" xfId="4" applyFont="1" applyBorder="1" applyAlignment="1">
      <alignment horizontal="center"/>
    </xf>
    <xf numFmtId="43" fontId="5" fillId="0" borderId="0" xfId="1" applyFont="1" applyBorder="1"/>
    <xf numFmtId="0" fontId="9" fillId="0" borderId="0" xfId="0" applyFont="1" applyAlignment="1">
      <alignment vertical="center"/>
    </xf>
    <xf numFmtId="0" fontId="9" fillId="0" borderId="0" xfId="0" applyFont="1"/>
    <xf numFmtId="0" fontId="6" fillId="2" borderId="0" xfId="0" applyFont="1" applyFill="1" applyAlignment="1">
      <alignment horizontal="center" vertical="center"/>
    </xf>
    <xf numFmtId="0" fontId="5" fillId="0" borderId="0" xfId="3" applyFont="1" applyAlignment="1">
      <alignment horizontal="right"/>
    </xf>
    <xf numFmtId="0" fontId="5" fillId="0" borderId="0" xfId="4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43" fontId="11" fillId="0" borderId="2" xfId="5" applyFont="1" applyBorder="1" applyAlignment="1">
      <alignment horizontal="center"/>
    </xf>
    <xf numFmtId="43" fontId="11" fillId="0" borderId="1" xfId="5" applyFont="1" applyBorder="1" applyAlignment="1">
      <alignment horizontal="center"/>
    </xf>
    <xf numFmtId="43" fontId="12" fillId="0" borderId="1" xfId="1" applyFont="1" applyBorder="1"/>
    <xf numFmtId="0" fontId="14" fillId="0" borderId="1" xfId="0" applyFont="1" applyBorder="1" applyAlignment="1">
      <alignment horizontal="center"/>
    </xf>
    <xf numFmtId="0" fontId="12" fillId="0" borderId="1" xfId="4" applyFont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12" fillId="0" borderId="1" xfId="3" applyFont="1" applyBorder="1" applyAlignment="1">
      <alignment horizontal="right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3" fontId="5" fillId="0" borderId="8" xfId="1" applyFont="1" applyBorder="1" applyAlignment="1">
      <alignment horizontal="center" vertical="center" wrapText="1"/>
    </xf>
    <xf numFmtId="0" fontId="9" fillId="0" borderId="0" xfId="0" applyFont="1" applyAlignment="1">
      <alignment horizontal="right" wrapText="1"/>
    </xf>
    <xf numFmtId="43" fontId="15" fillId="0" borderId="2" xfId="1" applyFont="1" applyBorder="1"/>
    <xf numFmtId="0" fontId="16" fillId="0" borderId="0" xfId="0" applyFont="1"/>
    <xf numFmtId="0" fontId="15" fillId="0" borderId="1" xfId="3" applyFont="1" applyBorder="1"/>
    <xf numFmtId="0" fontId="15" fillId="0" borderId="1" xfId="3" applyFont="1" applyBorder="1" applyAlignment="1">
      <alignment horizontal="center"/>
    </xf>
    <xf numFmtId="43" fontId="15" fillId="0" borderId="1" xfId="1" applyFont="1" applyBorder="1"/>
    <xf numFmtId="0" fontId="15" fillId="2" borderId="2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3" applyFont="1" applyBorder="1" applyAlignment="1">
      <alignment horizontal="left" vertical="center"/>
    </xf>
    <xf numFmtId="0" fontId="15" fillId="0" borderId="1" xfId="9" applyFont="1" applyBorder="1" applyAlignment="1">
      <alignment horizontal="center"/>
    </xf>
    <xf numFmtId="43" fontId="15" fillId="0" borderId="3" xfId="1" applyFont="1" applyBorder="1" applyAlignment="1">
      <alignment horizontal="center"/>
    </xf>
    <xf numFmtId="43" fontId="15" fillId="0" borderId="3" xfId="3" applyNumberFormat="1" applyFont="1" applyBorder="1"/>
    <xf numFmtId="43" fontId="15" fillId="0" borderId="1" xfId="3" applyNumberFormat="1" applyFont="1" applyBorder="1"/>
    <xf numFmtId="49" fontId="15" fillId="0" borderId="1" xfId="0" applyNumberFormat="1" applyFont="1" applyBorder="1" applyAlignment="1">
      <alignment horizontal="left"/>
    </xf>
    <xf numFmtId="43" fontId="15" fillId="0" borderId="1" xfId="1" applyFont="1" applyFill="1" applyBorder="1" applyAlignment="1">
      <alignment horizontal="center"/>
    </xf>
    <xf numFmtId="43" fontId="15" fillId="0" borderId="1" xfId="1" applyFont="1" applyFill="1" applyBorder="1"/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top"/>
    </xf>
    <xf numFmtId="43" fontId="17" fillId="0" borderId="2" xfId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left" vertical="center" wrapText="1"/>
    </xf>
    <xf numFmtId="2" fontId="17" fillId="0" borderId="2" xfId="0" applyNumberFormat="1" applyFont="1" applyBorder="1" applyAlignment="1">
      <alignment horizontal="right" vertical="center" wrapText="1"/>
    </xf>
    <xf numFmtId="187" fontId="15" fillId="0" borderId="1" xfId="1" applyNumberFormat="1" applyFont="1" applyBorder="1"/>
    <xf numFmtId="0" fontId="15" fillId="0" borderId="1" xfId="4" applyFont="1" applyBorder="1" applyAlignment="1">
      <alignment horizontal="center"/>
    </xf>
    <xf numFmtId="0" fontId="15" fillId="0" borderId="8" xfId="3" applyFont="1" applyBorder="1" applyAlignment="1">
      <alignment horizontal="left" vertical="center"/>
    </xf>
    <xf numFmtId="43" fontId="15" fillId="0" borderId="2" xfId="1" applyFont="1" applyFill="1" applyBorder="1" applyAlignment="1">
      <alignment horizontal="center"/>
    </xf>
    <xf numFmtId="0" fontId="15" fillId="0" borderId="1" xfId="3" applyFont="1" applyBorder="1" applyAlignment="1">
      <alignment horizontal="left"/>
    </xf>
    <xf numFmtId="49" fontId="15" fillId="0" borderId="1" xfId="3" applyNumberFormat="1" applyFont="1" applyBorder="1"/>
    <xf numFmtId="4" fontId="15" fillId="0" borderId="1" xfId="1" applyNumberFormat="1" applyFont="1" applyBorder="1"/>
    <xf numFmtId="0" fontId="18" fillId="0" borderId="1" xfId="3" applyFont="1" applyBorder="1"/>
    <xf numFmtId="0" fontId="18" fillId="0" borderId="1" xfId="3" applyFont="1" applyBorder="1" applyAlignment="1">
      <alignment horizontal="center"/>
    </xf>
    <xf numFmtId="43" fontId="18" fillId="0" borderId="1" xfId="1" applyFont="1" applyBorder="1"/>
    <xf numFmtId="43" fontId="18" fillId="0" borderId="1" xfId="1" applyFont="1" applyFill="1" applyBorder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43" fontId="17" fillId="0" borderId="8" xfId="0" applyNumberFormat="1" applyFont="1" applyBorder="1" applyAlignment="1">
      <alignment horizontal="center" vertical="center" wrapText="1"/>
    </xf>
    <xf numFmtId="43" fontId="17" fillId="0" borderId="8" xfId="1" applyFont="1" applyBorder="1" applyAlignment="1">
      <alignment horizontal="center" vertical="center" wrapText="1"/>
    </xf>
    <xf numFmtId="0" fontId="6" fillId="0" borderId="1" xfId="3" applyFont="1" applyBorder="1" applyAlignment="1">
      <alignment vertical="center"/>
    </xf>
    <xf numFmtId="0" fontId="6" fillId="0" borderId="1" xfId="4" applyFont="1" applyBorder="1" applyAlignment="1">
      <alignment horizontal="center" vertical="center"/>
    </xf>
    <xf numFmtId="43" fontId="6" fillId="0" borderId="1" xfId="1" applyFont="1" applyBorder="1" applyAlignment="1">
      <alignment vertical="center"/>
    </xf>
    <xf numFmtId="0" fontId="6" fillId="0" borderId="1" xfId="3" applyFont="1" applyBorder="1"/>
    <xf numFmtId="0" fontId="5" fillId="0" borderId="0" xfId="0" applyFont="1" applyAlignment="1">
      <alignment horizontal="center"/>
    </xf>
    <xf numFmtId="43" fontId="6" fillId="0" borderId="1" xfId="1" applyFont="1" applyFill="1" applyBorder="1"/>
    <xf numFmtId="0" fontId="6" fillId="0" borderId="1" xfId="3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2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left" wrapText="1" indent="17"/>
    </xf>
    <xf numFmtId="0" fontId="9" fillId="0" borderId="0" xfId="0" applyFont="1" applyAlignment="1">
      <alignment horizontal="left" indent="14"/>
    </xf>
    <xf numFmtId="0" fontId="9" fillId="0" borderId="0" xfId="0" applyFont="1" applyAlignment="1">
      <alignment horizontal="left" wrapText="1" indent="22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indent="39"/>
    </xf>
    <xf numFmtId="0" fontId="9" fillId="0" borderId="0" xfId="0" applyFont="1" applyAlignment="1">
      <alignment horizontal="left" wrapText="1" indent="37"/>
    </xf>
    <xf numFmtId="0" fontId="10" fillId="0" borderId="0" xfId="0" applyFont="1" applyAlignment="1">
      <alignment horizontal="center"/>
    </xf>
    <xf numFmtId="0" fontId="11" fillId="0" borderId="0" xfId="2" applyFont="1" applyAlignment="1">
      <alignment horizontal="center" vertical="center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4" xfId="0" applyFont="1" applyBorder="1" applyAlignment="1" applyProtection="1">
      <alignment horizontal="center"/>
      <protection locked="0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wrapText="1" indent="18"/>
    </xf>
    <xf numFmtId="0" fontId="9" fillId="0" borderId="0" xfId="0" applyFont="1" applyAlignment="1">
      <alignment horizontal="left" indent="17"/>
    </xf>
    <xf numFmtId="0" fontId="9" fillId="0" borderId="0" xfId="0" applyFont="1" applyAlignment="1">
      <alignment horizontal="left" indent="16"/>
    </xf>
  </cellXfs>
  <cellStyles count="10">
    <cellStyle name="Normal_ครุภัณฑ์ปี  2553" xfId="8" xr:uid="{AE646D44-086A-4056-B886-9CA6ADA7DB6B}"/>
    <cellStyle name="เครื่องหมายจุลภาค 9" xfId="5" xr:uid="{1D0711E8-16EE-4D82-809D-2FDF3B5CCD83}"/>
    <cellStyle name="จุลภาค" xfId="1" builtinId="3"/>
    <cellStyle name="ปกติ" xfId="0" builtinId="0"/>
    <cellStyle name="ปกติ 12" xfId="6" xr:uid="{5CB0AC1D-B084-42C6-A7E4-5321F2431771}"/>
    <cellStyle name="ปกติ 19" xfId="7" xr:uid="{4ED7F993-934E-4C72-B42E-8D2FE7D4001F}"/>
    <cellStyle name="ปกติ 21" xfId="4" xr:uid="{A0100C82-7B1C-4F86-91A6-76B37B5C5ECE}"/>
    <cellStyle name="ปกติ 22" xfId="9" xr:uid="{1A794706-7294-499C-8673-C958E73CB925}"/>
    <cellStyle name="ปกติ 3" xfId="2" xr:uid="{F7BBC10F-9414-411B-A731-ABE5E828FE8A}"/>
    <cellStyle name="ปกติ_รายการครุภัณฑ์ ปี 52 ที่แก้ไขเรียงลำดับใหม่ 23 ก.พ.53" xfId="3" xr:uid="{79606422-4B80-4AA1-83AD-343F71C750E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86CC5428-8112-44BF-965F-122BE13CD372}"/>
            </a:ext>
          </a:extLst>
        </xdr:cNvPr>
        <xdr:cNvSpPr txBox="1"/>
      </xdr:nvSpPr>
      <xdr:spPr>
        <a:xfrm>
          <a:off x="6867525" y="266700"/>
          <a:ext cx="1476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EF768819-14D1-4C8B-B079-709BC90F568B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8FA5ADC7-8FF6-48A2-8F1C-C4F1A1F575FA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6EDE043F-B1EE-4525-830B-E2CB98A3A6DC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FE309857-37D4-40AE-88EA-D3EFEDD3D421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54CE0EE-3865-4034-8680-CCC6951F1E6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A20AC5CE-44FA-4BB6-8003-7419FE2BE924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510A881-33F3-4EBA-B12F-2D7E6F68B98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5343A9EB-B0E0-4AF2-B264-7B7EAC7CD614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27338A26-CC04-4C79-B3E5-D4E06420D128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F1548A7A-73BC-4BE9-9EB8-0A9F8859C0E4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C243956-1CDB-4EB4-A249-EFA61F6A31EF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65F65A77-0890-4A55-80E4-20972B8237AB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EB60DE2B-2531-43A6-B5E1-94A01B57D0CC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FECDD1E1-B8D8-4047-8588-D40368DF2D91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45981769-4FC7-41EC-AD8C-910CEAEED7D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DDF9195E-5416-45B4-8F09-F979B7E24D2D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39CA3A00-2BCA-4493-A817-912264B793A3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438150</xdr:colOff>
      <xdr:row>0</xdr:row>
      <xdr:rowOff>266700</xdr:rowOff>
    </xdr:from>
    <xdr:to>
      <xdr:col>9</xdr:col>
      <xdr:colOff>85725</xdr:colOff>
      <xdr:row>1</xdr:row>
      <xdr:rowOff>285750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70E55A09-8D29-488A-93A3-E4C02A6BC7DE}"/>
            </a:ext>
          </a:extLst>
        </xdr:cNvPr>
        <xdr:cNvSpPr txBox="1"/>
      </xdr:nvSpPr>
      <xdr:spPr>
        <a:xfrm>
          <a:off x="6419850" y="266700"/>
          <a:ext cx="147637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8A62-0AC2-4DA2-AFF6-377053F7E547}">
  <dimension ref="A1:M21"/>
  <sheetViews>
    <sheetView topLeftCell="A7" workbookViewId="0">
      <selection activeCell="H16" sqref="H16"/>
    </sheetView>
  </sheetViews>
  <sheetFormatPr defaultRowHeight="14.25" x14ac:dyDescent="0.2"/>
  <cols>
    <col min="1" max="1" width="5" customWidth="1"/>
    <col min="2" max="2" width="40.375" customWidth="1"/>
    <col min="3" max="3" width="6.125" customWidth="1"/>
    <col min="4" max="5" width="11.125" customWidth="1"/>
    <col min="6" max="6" width="8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15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4" customHeight="1" x14ac:dyDescent="0.55000000000000004">
      <c r="A6" s="43">
        <v>1</v>
      </c>
      <c r="B6" s="40" t="s">
        <v>45</v>
      </c>
      <c r="C6" s="41">
        <v>1</v>
      </c>
      <c r="D6" s="42">
        <v>8000</v>
      </c>
      <c r="E6" s="38">
        <f>SUM(D6*C6)</f>
        <v>8000</v>
      </c>
      <c r="F6" s="10"/>
    </row>
    <row r="7" spans="1:13" ht="24" customHeight="1" x14ac:dyDescent="0.55000000000000004">
      <c r="A7" s="44">
        <v>2</v>
      </c>
      <c r="B7" s="40" t="s">
        <v>31</v>
      </c>
      <c r="C7" s="41">
        <v>1</v>
      </c>
      <c r="D7" s="42">
        <v>1700</v>
      </c>
      <c r="E7" s="38">
        <f t="shared" ref="E7:E9" si="0">SUM(D7*C7)</f>
        <v>1700</v>
      </c>
      <c r="F7" s="4"/>
    </row>
    <row r="8" spans="1:13" ht="24" customHeight="1" x14ac:dyDescent="0.55000000000000004">
      <c r="A8" s="43">
        <v>3</v>
      </c>
      <c r="B8" s="40" t="s">
        <v>20</v>
      </c>
      <c r="C8" s="41">
        <v>3</v>
      </c>
      <c r="D8" s="42">
        <v>1150</v>
      </c>
      <c r="E8" s="38">
        <f t="shared" si="0"/>
        <v>3450</v>
      </c>
      <c r="F8" s="4"/>
    </row>
    <row r="9" spans="1:13" ht="24" customHeight="1" x14ac:dyDescent="0.55000000000000004">
      <c r="A9" s="44">
        <v>4</v>
      </c>
      <c r="B9" s="40" t="s">
        <v>46</v>
      </c>
      <c r="C9" s="41">
        <v>1</v>
      </c>
      <c r="D9" s="42">
        <v>14500</v>
      </c>
      <c r="E9" s="38">
        <f t="shared" si="0"/>
        <v>14500</v>
      </c>
      <c r="F9" s="4"/>
    </row>
    <row r="10" spans="1:13" ht="24" customHeight="1" x14ac:dyDescent="0.55000000000000004">
      <c r="A10" s="43">
        <v>5</v>
      </c>
      <c r="B10" s="40" t="s">
        <v>47</v>
      </c>
      <c r="C10" s="41">
        <v>1</v>
      </c>
      <c r="D10" s="42">
        <v>8900</v>
      </c>
      <c r="E10" s="38">
        <f>SUM(D10*C10)</f>
        <v>8900</v>
      </c>
      <c r="F10" s="6"/>
    </row>
    <row r="11" spans="1:13" ht="21.75" customHeight="1" x14ac:dyDescent="0.55000000000000004">
      <c r="A11" s="3"/>
      <c r="B11" s="12" t="s">
        <v>8</v>
      </c>
      <c r="C11" s="14"/>
      <c r="D11" s="13"/>
      <c r="E11" s="13">
        <f>SUM(E6:E10)</f>
        <v>36550</v>
      </c>
      <c r="F11" s="7"/>
    </row>
    <row r="12" spans="1:13" ht="19.5" customHeight="1" x14ac:dyDescent="0.55000000000000004">
      <c r="A12" s="18"/>
      <c r="B12" s="19"/>
      <c r="C12" s="20"/>
      <c r="D12" s="15"/>
      <c r="E12" s="15"/>
      <c r="F12" s="21"/>
    </row>
    <row r="13" spans="1:13" ht="21.75" customHeight="1" x14ac:dyDescent="0.3">
      <c r="A13" s="90" t="s">
        <v>65</v>
      </c>
      <c r="B13" s="90"/>
      <c r="C13" s="90"/>
      <c r="D13" s="90"/>
      <c r="E13" s="90"/>
      <c r="F13" s="90"/>
    </row>
    <row r="14" spans="1:13" ht="21.75" customHeight="1" x14ac:dyDescent="0.3">
      <c r="A14" s="91" t="s">
        <v>66</v>
      </c>
      <c r="B14" s="91"/>
      <c r="C14" s="91"/>
      <c r="D14" s="91"/>
      <c r="E14" s="91"/>
      <c r="F14" s="91"/>
    </row>
    <row r="15" spans="1:13" ht="21.75" customHeight="1" x14ac:dyDescent="0.3">
      <c r="A15" s="37"/>
      <c r="B15" s="37"/>
      <c r="C15" s="37"/>
      <c r="D15" s="37"/>
      <c r="E15" s="37"/>
      <c r="F15" s="37"/>
      <c r="J15" s="16" t="s">
        <v>11</v>
      </c>
      <c r="M15" s="16" t="s">
        <v>9</v>
      </c>
    </row>
    <row r="16" spans="1:13" ht="21.75" customHeight="1" x14ac:dyDescent="0.3">
      <c r="A16" s="90" t="s">
        <v>48</v>
      </c>
      <c r="B16" s="90"/>
      <c r="C16" s="90"/>
      <c r="D16" s="90"/>
      <c r="E16" s="90"/>
      <c r="F16" s="90"/>
    </row>
    <row r="17" spans="1:13" ht="21.75" customHeight="1" x14ac:dyDescent="0.3">
      <c r="A17" s="93" t="s">
        <v>49</v>
      </c>
      <c r="B17" s="93"/>
      <c r="C17" s="93"/>
      <c r="D17" s="93"/>
      <c r="E17" s="93"/>
      <c r="F17" s="93"/>
    </row>
    <row r="18" spans="1:13" ht="21.75" customHeight="1" x14ac:dyDescent="0.3">
      <c r="A18" s="37"/>
      <c r="B18" s="37"/>
      <c r="C18" s="37"/>
      <c r="D18" s="37"/>
      <c r="E18" s="37"/>
      <c r="F18" s="37"/>
      <c r="J18" s="16"/>
      <c r="M18" s="16" t="s">
        <v>10</v>
      </c>
    </row>
    <row r="19" spans="1:13" ht="21.75" customHeight="1" x14ac:dyDescent="0.3">
      <c r="A19" s="90" t="s">
        <v>48</v>
      </c>
      <c r="B19" s="90"/>
      <c r="C19" s="90"/>
      <c r="D19" s="90"/>
      <c r="E19" s="90"/>
      <c r="F19" s="90"/>
      <c r="J19" s="16"/>
      <c r="M19" s="16"/>
    </row>
    <row r="20" spans="1:13" ht="21.75" customHeight="1" x14ac:dyDescent="0.3">
      <c r="A20" s="92" t="s">
        <v>50</v>
      </c>
      <c r="B20" s="92"/>
      <c r="C20" s="92"/>
      <c r="D20" s="92"/>
      <c r="E20" s="92"/>
      <c r="F20" s="92"/>
      <c r="G20" s="16"/>
      <c r="H20" s="16"/>
    </row>
    <row r="21" spans="1:13" ht="21.75" customHeight="1" x14ac:dyDescent="0.3">
      <c r="A21" s="22"/>
      <c r="B21" s="22"/>
      <c r="C21" s="22"/>
      <c r="D21" s="22"/>
      <c r="E21" s="22"/>
      <c r="F21" s="22"/>
      <c r="J21" s="17" t="s">
        <v>12</v>
      </c>
    </row>
  </sheetData>
  <mergeCells count="13">
    <mergeCell ref="A13:F13"/>
    <mergeCell ref="A14:F14"/>
    <mergeCell ref="A16:F16"/>
    <mergeCell ref="A19:F19"/>
    <mergeCell ref="A20:F20"/>
    <mergeCell ref="A17:F17"/>
    <mergeCell ref="A1:F1"/>
    <mergeCell ref="A2:F2"/>
    <mergeCell ref="A3:F3"/>
    <mergeCell ref="B4:B5"/>
    <mergeCell ref="C4:E4"/>
    <mergeCell ref="F4:F5"/>
    <mergeCell ref="A4:A5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3F010-36D1-464C-91E9-A641DEE9A8E0}">
  <dimension ref="A1:M23"/>
  <sheetViews>
    <sheetView topLeftCell="A10" workbookViewId="0">
      <selection activeCell="A19" sqref="A19:F19"/>
    </sheetView>
  </sheetViews>
  <sheetFormatPr defaultRowHeight="14.25" x14ac:dyDescent="0.2"/>
  <cols>
    <col min="1" max="1" width="5" customWidth="1"/>
    <col min="2" max="2" width="41.625" customWidth="1"/>
    <col min="3" max="3" width="6.125" customWidth="1"/>
    <col min="4" max="5" width="11.25" customWidth="1"/>
    <col min="6" max="6" width="7.875" customWidth="1"/>
  </cols>
  <sheetData>
    <row r="1" spans="1:6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6" ht="25.5" customHeight="1" x14ac:dyDescent="0.2">
      <c r="A2" s="80" t="s">
        <v>44</v>
      </c>
      <c r="B2" s="80"/>
      <c r="C2" s="80"/>
      <c r="D2" s="80"/>
      <c r="E2" s="80"/>
      <c r="F2" s="80"/>
    </row>
    <row r="3" spans="1:6" ht="25.5" customHeight="1" x14ac:dyDescent="0.2">
      <c r="A3" s="80" t="s">
        <v>16</v>
      </c>
      <c r="B3" s="80"/>
      <c r="C3" s="80"/>
      <c r="D3" s="80"/>
      <c r="E3" s="80"/>
      <c r="F3" s="80"/>
    </row>
    <row r="4" spans="1:6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6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6" s="39" customFormat="1" ht="21.75" customHeight="1" x14ac:dyDescent="0.55000000000000004">
      <c r="A6" s="9">
        <v>1</v>
      </c>
      <c r="B6" s="45" t="s">
        <v>38</v>
      </c>
      <c r="C6" s="46">
        <v>1</v>
      </c>
      <c r="D6" s="47">
        <v>2300</v>
      </c>
      <c r="E6" s="38">
        <f>SUM(D6*C6)</f>
        <v>2300</v>
      </c>
      <c r="F6" s="10"/>
    </row>
    <row r="7" spans="1:6" s="39" customFormat="1" ht="21.75" customHeight="1" x14ac:dyDescent="0.55000000000000004">
      <c r="A7" s="5">
        <v>2</v>
      </c>
      <c r="B7" s="40" t="s">
        <v>31</v>
      </c>
      <c r="C7" s="46">
        <v>1</v>
      </c>
      <c r="D7" s="48">
        <v>1700</v>
      </c>
      <c r="E7" s="38">
        <f t="shared" ref="E7:E12" si="0">SUM(D7*C7)</f>
        <v>1700</v>
      </c>
      <c r="F7" s="4"/>
    </row>
    <row r="8" spans="1:6" s="39" customFormat="1" ht="21.75" customHeight="1" x14ac:dyDescent="0.55000000000000004">
      <c r="A8" s="9">
        <v>3</v>
      </c>
      <c r="B8" s="40" t="s">
        <v>21</v>
      </c>
      <c r="C8" s="46">
        <v>1</v>
      </c>
      <c r="D8" s="48">
        <v>2590</v>
      </c>
      <c r="E8" s="38">
        <f t="shared" si="0"/>
        <v>2590</v>
      </c>
      <c r="F8" s="4"/>
    </row>
    <row r="9" spans="1:6" s="39" customFormat="1" ht="21.75" customHeight="1" x14ac:dyDescent="0.55000000000000004">
      <c r="A9" s="5">
        <v>4</v>
      </c>
      <c r="B9" s="40" t="s">
        <v>51</v>
      </c>
      <c r="C9" s="46">
        <v>1</v>
      </c>
      <c r="D9" s="48">
        <v>5400</v>
      </c>
      <c r="E9" s="38">
        <f t="shared" si="0"/>
        <v>5400</v>
      </c>
      <c r="F9" s="4"/>
    </row>
    <row r="10" spans="1:6" s="39" customFormat="1" ht="21.75" customHeight="1" x14ac:dyDescent="0.55000000000000004">
      <c r="A10" s="9">
        <v>5</v>
      </c>
      <c r="B10" s="40" t="s">
        <v>52</v>
      </c>
      <c r="C10" s="46">
        <v>3</v>
      </c>
      <c r="D10" s="48">
        <v>3900</v>
      </c>
      <c r="E10" s="38">
        <f t="shared" si="0"/>
        <v>11700</v>
      </c>
      <c r="F10" s="6"/>
    </row>
    <row r="11" spans="1:6" s="39" customFormat="1" ht="21.75" customHeight="1" x14ac:dyDescent="0.55000000000000004">
      <c r="A11" s="5">
        <v>6</v>
      </c>
      <c r="B11" s="40" t="s">
        <v>53</v>
      </c>
      <c r="C11" s="46">
        <v>2</v>
      </c>
      <c r="D11" s="48">
        <v>17900</v>
      </c>
      <c r="E11" s="38">
        <f t="shared" si="0"/>
        <v>35800</v>
      </c>
      <c r="F11" s="4"/>
    </row>
    <row r="12" spans="1:6" s="39" customFormat="1" ht="21.75" customHeight="1" x14ac:dyDescent="0.55000000000000004">
      <c r="A12" s="9">
        <v>7</v>
      </c>
      <c r="B12" s="40" t="s">
        <v>54</v>
      </c>
      <c r="C12" s="46">
        <v>1</v>
      </c>
      <c r="D12" s="49">
        <v>9900</v>
      </c>
      <c r="E12" s="38">
        <f t="shared" si="0"/>
        <v>9900</v>
      </c>
      <c r="F12" s="4"/>
    </row>
    <row r="13" spans="1:6" ht="21.75" customHeight="1" x14ac:dyDescent="0.55000000000000004">
      <c r="A13" s="3"/>
      <c r="B13" s="12" t="s">
        <v>8</v>
      </c>
      <c r="C13" s="14"/>
      <c r="D13" s="13"/>
      <c r="E13" s="13">
        <f>SUM(E6:E12)</f>
        <v>69390</v>
      </c>
      <c r="F13" s="7"/>
    </row>
    <row r="14" spans="1:6" ht="19.5" customHeight="1" x14ac:dyDescent="0.55000000000000004">
      <c r="A14" s="18"/>
      <c r="B14" s="19"/>
      <c r="C14" s="20"/>
      <c r="D14" s="15"/>
      <c r="E14" s="15"/>
      <c r="F14" s="21"/>
    </row>
    <row r="15" spans="1:6" ht="21.75" customHeight="1" x14ac:dyDescent="0.3">
      <c r="A15" s="90" t="s">
        <v>67</v>
      </c>
      <c r="B15" s="90"/>
      <c r="C15" s="90"/>
      <c r="D15" s="90"/>
      <c r="E15" s="90"/>
      <c r="F15" s="90"/>
    </row>
    <row r="16" spans="1:6" ht="21.75" customHeight="1" x14ac:dyDescent="0.3">
      <c r="A16" s="94" t="s">
        <v>69</v>
      </c>
      <c r="B16" s="94"/>
      <c r="C16" s="94"/>
      <c r="D16" s="94"/>
      <c r="E16" s="94"/>
      <c r="F16" s="94"/>
    </row>
    <row r="17" spans="1:13" ht="21.75" customHeight="1" x14ac:dyDescent="0.3">
      <c r="A17" s="37"/>
      <c r="B17" s="37"/>
      <c r="C17" s="37"/>
      <c r="D17" s="37"/>
      <c r="E17" s="37"/>
      <c r="F17" s="37"/>
      <c r="J17" s="16" t="s">
        <v>11</v>
      </c>
      <c r="M17" s="16" t="s">
        <v>9</v>
      </c>
    </row>
    <row r="18" spans="1:13" ht="21.75" customHeight="1" x14ac:dyDescent="0.3">
      <c r="A18" s="90" t="s">
        <v>55</v>
      </c>
      <c r="B18" s="90"/>
      <c r="C18" s="90"/>
      <c r="D18" s="90"/>
      <c r="E18" s="90"/>
      <c r="F18" s="90"/>
    </row>
    <row r="19" spans="1:13" ht="21.75" customHeight="1" x14ac:dyDescent="0.3">
      <c r="A19" s="93" t="s">
        <v>68</v>
      </c>
      <c r="B19" s="93"/>
      <c r="C19" s="93"/>
      <c r="D19" s="93"/>
      <c r="E19" s="93"/>
      <c r="F19" s="93"/>
    </row>
    <row r="20" spans="1:13" ht="21.75" customHeight="1" x14ac:dyDescent="0.3">
      <c r="A20" s="37"/>
      <c r="B20" s="37"/>
      <c r="C20" s="37"/>
      <c r="D20" s="37"/>
      <c r="E20" s="37"/>
      <c r="F20" s="37"/>
      <c r="J20" s="16"/>
      <c r="M20" s="16" t="s">
        <v>10</v>
      </c>
    </row>
    <row r="21" spans="1:13" ht="21.75" customHeight="1" x14ac:dyDescent="0.3">
      <c r="A21" s="90" t="s">
        <v>55</v>
      </c>
      <c r="B21" s="90"/>
      <c r="C21" s="90"/>
      <c r="D21" s="90"/>
      <c r="E21" s="90"/>
      <c r="F21" s="90"/>
      <c r="J21" s="16"/>
      <c r="M21" s="16"/>
    </row>
    <row r="22" spans="1:13" ht="21.75" customHeight="1" x14ac:dyDescent="0.3">
      <c r="A22" s="92" t="s">
        <v>70</v>
      </c>
      <c r="B22" s="92"/>
      <c r="C22" s="92"/>
      <c r="D22" s="92"/>
      <c r="E22" s="92"/>
      <c r="F22" s="92"/>
      <c r="G22" s="16"/>
      <c r="H22" s="16"/>
    </row>
    <row r="23" spans="1:13" ht="21.75" customHeight="1" x14ac:dyDescent="0.3">
      <c r="A23" s="22"/>
      <c r="B23" s="22"/>
      <c r="C23" s="22"/>
      <c r="D23" s="22"/>
      <c r="E23" s="22"/>
      <c r="F23" s="22"/>
      <c r="J23" s="17" t="s">
        <v>12</v>
      </c>
    </row>
  </sheetData>
  <mergeCells count="13">
    <mergeCell ref="A22:F22"/>
    <mergeCell ref="A15:F15"/>
    <mergeCell ref="A16:F16"/>
    <mergeCell ref="A18:F18"/>
    <mergeCell ref="A19:F19"/>
    <mergeCell ref="A21:F21"/>
    <mergeCell ref="A1:F1"/>
    <mergeCell ref="A2:F2"/>
    <mergeCell ref="A3:F3"/>
    <mergeCell ref="A4:A5"/>
    <mergeCell ref="B4:B5"/>
    <mergeCell ref="C4:E4"/>
    <mergeCell ref="F4:F5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5F6AE-3EB1-44E9-AB1C-E2A63F8DE191}">
  <dimension ref="A1:M20"/>
  <sheetViews>
    <sheetView topLeftCell="A7" workbookViewId="0">
      <selection activeCell="A16" sqref="A16:F16"/>
    </sheetView>
  </sheetViews>
  <sheetFormatPr defaultRowHeight="14.25" x14ac:dyDescent="0.2"/>
  <cols>
    <col min="1" max="1" width="5" customWidth="1"/>
    <col min="2" max="2" width="40.25" customWidth="1"/>
    <col min="3" max="3" width="6.125" customWidth="1"/>
    <col min="4" max="4" width="12.125" customWidth="1"/>
    <col min="5" max="5" width="13.125" customWidth="1"/>
    <col min="6" max="6" width="8.2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17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9">
        <v>1</v>
      </c>
      <c r="B6" s="50" t="s">
        <v>56</v>
      </c>
      <c r="C6" s="46">
        <v>1</v>
      </c>
      <c r="D6" s="51">
        <v>2765.75</v>
      </c>
      <c r="E6" s="38">
        <f>SUM(D6*C6)</f>
        <v>2765.75</v>
      </c>
      <c r="F6" s="10"/>
    </row>
    <row r="7" spans="1:13" ht="21.75" customHeight="1" x14ac:dyDescent="0.55000000000000004">
      <c r="A7" s="5">
        <v>2</v>
      </c>
      <c r="B7" s="40" t="s">
        <v>33</v>
      </c>
      <c r="C7" s="46">
        <v>1</v>
      </c>
      <c r="D7" s="52">
        <v>17900</v>
      </c>
      <c r="E7" s="38">
        <f>SUM(D7*C7)</f>
        <v>17900</v>
      </c>
      <c r="F7" s="4"/>
    </row>
    <row r="8" spans="1:13" ht="21.75" customHeight="1" x14ac:dyDescent="0.55000000000000004">
      <c r="A8" s="3"/>
      <c r="B8" s="12" t="s">
        <v>8</v>
      </c>
      <c r="C8" s="14"/>
      <c r="D8" s="13"/>
      <c r="E8" s="13">
        <f>SUM(E6:E7)</f>
        <v>20665.75</v>
      </c>
      <c r="F8" s="7"/>
    </row>
    <row r="9" spans="1:13" ht="21.75" customHeight="1" x14ac:dyDescent="0.55000000000000004">
      <c r="A9" s="18"/>
      <c r="B9" s="19"/>
      <c r="C9" s="20"/>
      <c r="D9" s="15"/>
      <c r="E9" s="15"/>
      <c r="F9" s="21"/>
    </row>
    <row r="10" spans="1:13" ht="21.75" customHeight="1" x14ac:dyDescent="0.3">
      <c r="A10" s="95" t="s">
        <v>13</v>
      </c>
      <c r="B10" s="95"/>
      <c r="C10" s="95"/>
      <c r="D10" s="95"/>
      <c r="E10" s="95"/>
      <c r="F10" s="95"/>
    </row>
    <row r="11" spans="1:13" ht="19.5" customHeight="1" x14ac:dyDescent="0.3">
      <c r="A11" s="94" t="s">
        <v>57</v>
      </c>
      <c r="B11" s="94"/>
      <c r="C11" s="94"/>
      <c r="D11" s="94"/>
      <c r="E11" s="94"/>
      <c r="F11" s="94"/>
    </row>
    <row r="12" spans="1:13" ht="21.75" customHeight="1" x14ac:dyDescent="0.3">
      <c r="A12" s="37"/>
      <c r="B12" s="37"/>
      <c r="C12" s="37"/>
      <c r="D12" s="37"/>
      <c r="E12" s="37"/>
      <c r="F12" s="37"/>
    </row>
    <row r="13" spans="1:13" ht="21.75" customHeight="1" x14ac:dyDescent="0.3">
      <c r="A13" s="90" t="s">
        <v>55</v>
      </c>
      <c r="B13" s="90"/>
      <c r="C13" s="90"/>
      <c r="D13" s="90"/>
      <c r="E13" s="90"/>
      <c r="F13" s="90"/>
    </row>
    <row r="14" spans="1:13" ht="21.75" customHeight="1" x14ac:dyDescent="0.3">
      <c r="A14" s="93" t="s">
        <v>58</v>
      </c>
      <c r="B14" s="93"/>
      <c r="C14" s="93"/>
      <c r="D14" s="93"/>
      <c r="E14" s="93"/>
      <c r="F14" s="93"/>
      <c r="J14" s="16" t="s">
        <v>11</v>
      </c>
      <c r="M14" s="16" t="s">
        <v>9</v>
      </c>
    </row>
    <row r="15" spans="1:13" ht="21.75" customHeight="1" x14ac:dyDescent="0.3">
      <c r="A15" s="37"/>
      <c r="B15" s="37"/>
      <c r="C15" s="37"/>
      <c r="D15" s="37"/>
      <c r="E15" s="37"/>
      <c r="F15" s="37"/>
    </row>
    <row r="16" spans="1:13" ht="21.75" customHeight="1" x14ac:dyDescent="0.3">
      <c r="A16" s="90" t="s">
        <v>55</v>
      </c>
      <c r="B16" s="90"/>
      <c r="C16" s="90"/>
      <c r="D16" s="90"/>
      <c r="E16" s="90"/>
      <c r="F16" s="90"/>
    </row>
    <row r="17" spans="1:13" ht="21.75" customHeight="1" x14ac:dyDescent="0.3">
      <c r="A17" s="92" t="s">
        <v>59</v>
      </c>
      <c r="B17" s="92"/>
      <c r="C17" s="92"/>
      <c r="D17" s="92"/>
      <c r="E17" s="92"/>
      <c r="F17" s="92"/>
      <c r="J17" s="16"/>
      <c r="M17" s="16" t="s">
        <v>10</v>
      </c>
    </row>
    <row r="18" spans="1:13" ht="21.75" customHeight="1" x14ac:dyDescent="0.2">
      <c r="A18" s="22"/>
      <c r="B18" s="22"/>
      <c r="C18" s="22"/>
      <c r="D18" s="22"/>
      <c r="E18" s="22"/>
      <c r="F18" s="22"/>
      <c r="J18" s="16"/>
      <c r="M18" s="16"/>
    </row>
    <row r="19" spans="1:13" ht="21.75" customHeight="1" x14ac:dyDescent="0.3">
      <c r="A19" s="92"/>
      <c r="B19" s="92"/>
      <c r="C19" s="92"/>
      <c r="D19" s="92"/>
      <c r="E19" s="92"/>
      <c r="F19" s="92"/>
      <c r="G19" s="16"/>
      <c r="H19" s="16"/>
    </row>
    <row r="20" spans="1:13" ht="21.75" customHeight="1" x14ac:dyDescent="0.3">
      <c r="A20" s="22"/>
      <c r="B20" s="22"/>
      <c r="C20" s="22"/>
      <c r="D20" s="22"/>
      <c r="E20" s="22"/>
      <c r="F20" s="22"/>
      <c r="J20" s="17" t="s">
        <v>12</v>
      </c>
    </row>
  </sheetData>
  <mergeCells count="14">
    <mergeCell ref="A10:F10"/>
    <mergeCell ref="A11:F11"/>
    <mergeCell ref="A14:F14"/>
    <mergeCell ref="A17:F17"/>
    <mergeCell ref="A19:F19"/>
    <mergeCell ref="A13:F13"/>
    <mergeCell ref="A16:F16"/>
    <mergeCell ref="A1:F1"/>
    <mergeCell ref="A2:F2"/>
    <mergeCell ref="A3:F3"/>
    <mergeCell ref="A4:A5"/>
    <mergeCell ref="B4:B5"/>
    <mergeCell ref="C4:E4"/>
    <mergeCell ref="F4:F5"/>
  </mergeCells>
  <pageMargins left="0.7" right="0.7" top="0.75" bottom="0.75" header="0.3" footer="0.3"/>
  <pageSetup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74CE-D5C0-484F-9687-8ACC7CC6577E}">
  <dimension ref="A1:M20"/>
  <sheetViews>
    <sheetView topLeftCell="A10" workbookViewId="0">
      <selection activeCell="A11" sqref="A11:F20"/>
    </sheetView>
  </sheetViews>
  <sheetFormatPr defaultRowHeight="14.25" x14ac:dyDescent="0.2"/>
  <cols>
    <col min="1" max="1" width="5" customWidth="1"/>
    <col min="2" max="2" width="42.375" customWidth="1"/>
    <col min="3" max="3" width="6.125" customWidth="1"/>
    <col min="4" max="5" width="11.625" customWidth="1"/>
    <col min="6" max="6" width="7.62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18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9">
        <v>1</v>
      </c>
      <c r="B6" s="53" t="s">
        <v>60</v>
      </c>
      <c r="C6" s="54">
        <v>1</v>
      </c>
      <c r="D6" s="55">
        <v>2800</v>
      </c>
      <c r="E6" s="38">
        <f>SUM(D6*C6)</f>
        <v>2800</v>
      </c>
      <c r="F6" s="10"/>
    </row>
    <row r="7" spans="1:13" ht="21.75" customHeight="1" x14ac:dyDescent="0.55000000000000004">
      <c r="A7" s="5">
        <v>2</v>
      </c>
      <c r="B7" s="56" t="s">
        <v>14</v>
      </c>
      <c r="C7" s="54">
        <v>1</v>
      </c>
      <c r="D7" s="57">
        <v>695.5</v>
      </c>
      <c r="E7" s="38">
        <f t="shared" ref="E7:E9" si="0">SUM(D7*C7)</f>
        <v>695.5</v>
      </c>
      <c r="F7" s="4"/>
    </row>
    <row r="8" spans="1:13" ht="21.75" customHeight="1" x14ac:dyDescent="0.55000000000000004">
      <c r="A8" s="9">
        <v>3</v>
      </c>
      <c r="B8" s="40" t="s">
        <v>61</v>
      </c>
      <c r="C8" s="41">
        <v>1</v>
      </c>
      <c r="D8" s="58">
        <v>4900</v>
      </c>
      <c r="E8" s="38">
        <f t="shared" si="0"/>
        <v>4900</v>
      </c>
      <c r="F8" s="4"/>
    </row>
    <row r="9" spans="1:13" ht="21.75" customHeight="1" x14ac:dyDescent="0.55000000000000004">
      <c r="A9" s="5">
        <v>4</v>
      </c>
      <c r="B9" s="40" t="s">
        <v>62</v>
      </c>
      <c r="C9" s="41">
        <v>1</v>
      </c>
      <c r="D9" s="42">
        <v>3950</v>
      </c>
      <c r="E9" s="38">
        <f t="shared" si="0"/>
        <v>3950</v>
      </c>
      <c r="F9" s="4"/>
    </row>
    <row r="10" spans="1:13" ht="21.75" customHeight="1" x14ac:dyDescent="0.55000000000000004">
      <c r="A10" s="3"/>
      <c r="B10" s="12" t="s">
        <v>8</v>
      </c>
      <c r="C10" s="14"/>
      <c r="D10" s="13"/>
      <c r="E10" s="13">
        <f>SUM(E6:E9)</f>
        <v>12345.5</v>
      </c>
      <c r="F10" s="7"/>
    </row>
    <row r="11" spans="1:13" ht="19.5" customHeight="1" x14ac:dyDescent="0.55000000000000004">
      <c r="A11" s="18"/>
      <c r="B11" s="19"/>
      <c r="C11" s="20"/>
      <c r="D11" s="15"/>
      <c r="E11" s="15"/>
      <c r="F11" s="21"/>
    </row>
    <row r="12" spans="1:13" ht="21.75" customHeight="1" x14ac:dyDescent="0.3">
      <c r="A12" s="95" t="s">
        <v>13</v>
      </c>
      <c r="B12" s="95"/>
      <c r="C12" s="95"/>
      <c r="D12" s="95"/>
      <c r="E12" s="95"/>
      <c r="F12" s="95"/>
    </row>
    <row r="13" spans="1:13" ht="21.75" customHeight="1" x14ac:dyDescent="0.3">
      <c r="A13" s="94" t="s">
        <v>57</v>
      </c>
      <c r="B13" s="94"/>
      <c r="C13" s="94"/>
      <c r="D13" s="94"/>
      <c r="E13" s="94"/>
      <c r="F13" s="94"/>
    </row>
    <row r="14" spans="1:13" ht="21.75" customHeight="1" x14ac:dyDescent="0.3">
      <c r="A14" s="37"/>
      <c r="B14" s="37"/>
      <c r="C14" s="37"/>
      <c r="D14" s="37"/>
      <c r="E14" s="37"/>
      <c r="F14" s="37"/>
      <c r="J14" s="16" t="s">
        <v>11</v>
      </c>
      <c r="M14" s="16" t="s">
        <v>9</v>
      </c>
    </row>
    <row r="15" spans="1:13" ht="21.75" customHeight="1" x14ac:dyDescent="0.3">
      <c r="A15" s="90" t="s">
        <v>55</v>
      </c>
      <c r="B15" s="90"/>
      <c r="C15" s="90"/>
      <c r="D15" s="90"/>
      <c r="E15" s="90"/>
      <c r="F15" s="90"/>
    </row>
    <row r="16" spans="1:13" ht="21.75" customHeight="1" x14ac:dyDescent="0.3">
      <c r="A16" s="93" t="s">
        <v>63</v>
      </c>
      <c r="B16" s="93"/>
      <c r="C16" s="93"/>
      <c r="D16" s="93"/>
      <c r="E16" s="93"/>
      <c r="F16" s="93"/>
    </row>
    <row r="17" spans="1:13" ht="21.75" customHeight="1" x14ac:dyDescent="0.3">
      <c r="A17" s="37"/>
      <c r="B17" s="37"/>
      <c r="C17" s="37"/>
      <c r="D17" s="37"/>
      <c r="E17" s="37"/>
      <c r="F17" s="37"/>
      <c r="J17" s="16"/>
      <c r="M17" s="16" t="s">
        <v>10</v>
      </c>
    </row>
    <row r="18" spans="1:13" ht="21.75" customHeight="1" x14ac:dyDescent="0.3">
      <c r="A18" s="90" t="s">
        <v>55</v>
      </c>
      <c r="B18" s="90"/>
      <c r="C18" s="90"/>
      <c r="D18" s="90"/>
      <c r="E18" s="90"/>
      <c r="F18" s="90"/>
      <c r="J18" s="16"/>
      <c r="M18" s="16"/>
    </row>
    <row r="19" spans="1:13" ht="21.75" customHeight="1" x14ac:dyDescent="0.3">
      <c r="A19" s="92" t="s">
        <v>64</v>
      </c>
      <c r="B19" s="92"/>
      <c r="C19" s="92"/>
      <c r="D19" s="92"/>
      <c r="E19" s="92"/>
      <c r="F19" s="92"/>
      <c r="G19" s="16"/>
      <c r="H19" s="16"/>
    </row>
    <row r="20" spans="1:13" ht="21.75" customHeight="1" x14ac:dyDescent="0.3">
      <c r="A20" s="22"/>
      <c r="B20" s="22"/>
      <c r="C20" s="22"/>
      <c r="D20" s="22"/>
      <c r="E20" s="22"/>
      <c r="F20" s="22"/>
      <c r="J20" s="17" t="s">
        <v>12</v>
      </c>
    </row>
  </sheetData>
  <mergeCells count="13">
    <mergeCell ref="A19:F19"/>
    <mergeCell ref="A1:F1"/>
    <mergeCell ref="A2:F2"/>
    <mergeCell ref="A3:F3"/>
    <mergeCell ref="A4:A5"/>
    <mergeCell ref="B4:B5"/>
    <mergeCell ref="C4:E4"/>
    <mergeCell ref="F4:F5"/>
    <mergeCell ref="A12:F12"/>
    <mergeCell ref="A13:F13"/>
    <mergeCell ref="A15:F15"/>
    <mergeCell ref="A16:F16"/>
    <mergeCell ref="A18:F18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93BF3-C30C-4769-90D8-7CA86533200E}">
  <dimension ref="A1:M26"/>
  <sheetViews>
    <sheetView topLeftCell="A13" workbookViewId="0">
      <selection activeCell="H22" sqref="H22"/>
    </sheetView>
  </sheetViews>
  <sheetFormatPr defaultRowHeight="14.25" x14ac:dyDescent="0.2"/>
  <cols>
    <col min="1" max="1" width="5" customWidth="1"/>
    <col min="2" max="2" width="39" customWidth="1"/>
    <col min="3" max="3" width="6.125" customWidth="1"/>
    <col min="4" max="4" width="12.125" customWidth="1"/>
    <col min="5" max="5" width="13.125" customWidth="1"/>
    <col min="6" max="6" width="7.875" customWidth="1"/>
  </cols>
  <sheetData>
    <row r="1" spans="1:6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6" ht="25.5" customHeight="1" x14ac:dyDescent="0.2">
      <c r="A2" s="80" t="s">
        <v>44</v>
      </c>
      <c r="B2" s="80"/>
      <c r="C2" s="80"/>
      <c r="D2" s="80"/>
      <c r="E2" s="80"/>
      <c r="F2" s="80"/>
    </row>
    <row r="3" spans="1:6" ht="25.5" customHeight="1" x14ac:dyDescent="0.2">
      <c r="A3" s="80" t="s">
        <v>19</v>
      </c>
      <c r="B3" s="80"/>
      <c r="C3" s="80"/>
      <c r="D3" s="80"/>
      <c r="E3" s="80"/>
      <c r="F3" s="80"/>
    </row>
    <row r="4" spans="1:6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6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6" ht="21.75" customHeight="1" x14ac:dyDescent="0.55000000000000004">
      <c r="A6" s="43">
        <v>1</v>
      </c>
      <c r="B6" s="40" t="s">
        <v>36</v>
      </c>
      <c r="C6" s="41">
        <v>1</v>
      </c>
      <c r="D6" s="42">
        <v>5296.5</v>
      </c>
      <c r="E6" s="38">
        <f>SUM(D6*C6)</f>
        <v>5296.5</v>
      </c>
      <c r="F6" s="10"/>
    </row>
    <row r="7" spans="1:6" ht="21.75" customHeight="1" x14ac:dyDescent="0.55000000000000004">
      <c r="A7" s="44">
        <v>2</v>
      </c>
      <c r="B7" s="40" t="s">
        <v>71</v>
      </c>
      <c r="C7" s="41">
        <v>1</v>
      </c>
      <c r="D7" s="42">
        <v>1800</v>
      </c>
      <c r="E7" s="38">
        <f t="shared" ref="E7:E14" si="0">SUM(D7*C7)</f>
        <v>1800</v>
      </c>
      <c r="F7" s="4"/>
    </row>
    <row r="8" spans="1:6" ht="21.75" customHeight="1" x14ac:dyDescent="0.55000000000000004">
      <c r="A8" s="43">
        <v>3</v>
      </c>
      <c r="B8" s="40" t="s">
        <v>72</v>
      </c>
      <c r="C8" s="41">
        <v>1</v>
      </c>
      <c r="D8" s="42">
        <v>600</v>
      </c>
      <c r="E8" s="38">
        <f t="shared" si="0"/>
        <v>600</v>
      </c>
      <c r="F8" s="4"/>
    </row>
    <row r="9" spans="1:6" ht="21.75" customHeight="1" x14ac:dyDescent="0.55000000000000004">
      <c r="A9" s="44">
        <v>4</v>
      </c>
      <c r="B9" s="40" t="s">
        <v>73</v>
      </c>
      <c r="C9" s="41">
        <v>1</v>
      </c>
      <c r="D9" s="42">
        <v>22649</v>
      </c>
      <c r="E9" s="38">
        <f t="shared" si="0"/>
        <v>22649</v>
      </c>
      <c r="F9" s="4"/>
    </row>
    <row r="10" spans="1:6" ht="21.75" customHeight="1" x14ac:dyDescent="0.55000000000000004">
      <c r="A10" s="43">
        <v>5</v>
      </c>
      <c r="B10" s="40" t="s">
        <v>74</v>
      </c>
      <c r="C10" s="41">
        <v>1</v>
      </c>
      <c r="D10" s="42">
        <v>7337</v>
      </c>
      <c r="E10" s="38">
        <f t="shared" si="0"/>
        <v>7337</v>
      </c>
      <c r="F10" s="4"/>
    </row>
    <row r="11" spans="1:6" ht="21.75" customHeight="1" x14ac:dyDescent="0.55000000000000004">
      <c r="A11" s="44">
        <v>6</v>
      </c>
      <c r="B11" s="40" t="s">
        <v>75</v>
      </c>
      <c r="C11" s="41">
        <v>2</v>
      </c>
      <c r="D11" s="42">
        <v>3300</v>
      </c>
      <c r="E11" s="38">
        <f t="shared" si="0"/>
        <v>6600</v>
      </c>
      <c r="F11" s="4"/>
    </row>
    <row r="12" spans="1:6" ht="21.75" customHeight="1" x14ac:dyDescent="0.55000000000000004">
      <c r="A12" s="43">
        <v>7</v>
      </c>
      <c r="B12" s="40" t="s">
        <v>29</v>
      </c>
      <c r="C12" s="41">
        <v>2</v>
      </c>
      <c r="D12" s="42">
        <v>25000</v>
      </c>
      <c r="E12" s="38">
        <f t="shared" si="0"/>
        <v>50000</v>
      </c>
      <c r="F12" s="6"/>
    </row>
    <row r="13" spans="1:6" ht="21.75" customHeight="1" x14ac:dyDescent="0.55000000000000004">
      <c r="A13" s="44">
        <v>8</v>
      </c>
      <c r="B13" s="40" t="s">
        <v>76</v>
      </c>
      <c r="C13" s="41">
        <v>1</v>
      </c>
      <c r="D13" s="42">
        <v>17000</v>
      </c>
      <c r="E13" s="38">
        <f t="shared" si="0"/>
        <v>17000</v>
      </c>
      <c r="F13" s="4"/>
    </row>
    <row r="14" spans="1:6" ht="21.75" customHeight="1" x14ac:dyDescent="0.55000000000000004">
      <c r="A14" s="43">
        <v>9</v>
      </c>
      <c r="B14" s="40" t="s">
        <v>47</v>
      </c>
      <c r="C14" s="41">
        <v>1</v>
      </c>
      <c r="D14" s="42">
        <v>2690</v>
      </c>
      <c r="E14" s="38">
        <f t="shared" si="0"/>
        <v>2690</v>
      </c>
      <c r="F14" s="8"/>
    </row>
    <row r="15" spans="1:6" ht="21.75" customHeight="1" x14ac:dyDescent="0.55000000000000004">
      <c r="A15" s="3"/>
      <c r="B15" s="12" t="s">
        <v>8</v>
      </c>
      <c r="C15" s="14"/>
      <c r="D15" s="13"/>
      <c r="E15" s="13">
        <f>SUM(E6:E14)</f>
        <v>113972.5</v>
      </c>
      <c r="F15" s="7"/>
    </row>
    <row r="16" spans="1:6" ht="21.75" customHeight="1" x14ac:dyDescent="0.55000000000000004">
      <c r="A16" s="18"/>
      <c r="B16" s="19"/>
      <c r="C16" s="20"/>
      <c r="D16" s="15"/>
      <c r="E16" s="15"/>
      <c r="F16" s="21"/>
    </row>
    <row r="17" spans="1:13" ht="19.5" customHeight="1" x14ac:dyDescent="0.3">
      <c r="A17" s="95" t="s">
        <v>13</v>
      </c>
      <c r="B17" s="95"/>
      <c r="C17" s="95"/>
      <c r="D17" s="95"/>
      <c r="E17" s="95"/>
      <c r="F17" s="95"/>
    </row>
    <row r="18" spans="1:13" ht="21.75" customHeight="1" x14ac:dyDescent="0.3">
      <c r="A18" s="94" t="s">
        <v>57</v>
      </c>
      <c r="B18" s="94"/>
      <c r="C18" s="94"/>
      <c r="D18" s="94"/>
      <c r="E18" s="94"/>
      <c r="F18" s="94"/>
    </row>
    <row r="19" spans="1:13" ht="21.75" customHeight="1" x14ac:dyDescent="0.3">
      <c r="A19" s="37"/>
      <c r="B19" s="37"/>
      <c r="C19" s="37"/>
      <c r="D19" s="37"/>
      <c r="E19" s="37"/>
      <c r="F19" s="37"/>
    </row>
    <row r="20" spans="1:13" ht="21.75" customHeight="1" x14ac:dyDescent="0.3">
      <c r="A20" s="90" t="s">
        <v>55</v>
      </c>
      <c r="B20" s="90"/>
      <c r="C20" s="90"/>
      <c r="D20" s="90"/>
      <c r="E20" s="90"/>
      <c r="F20" s="90"/>
      <c r="J20" s="16" t="s">
        <v>11</v>
      </c>
      <c r="M20" s="16" t="s">
        <v>9</v>
      </c>
    </row>
    <row r="21" spans="1:13" ht="21.75" customHeight="1" x14ac:dyDescent="0.3">
      <c r="A21" s="93" t="s">
        <v>77</v>
      </c>
      <c r="B21" s="93"/>
      <c r="C21" s="93"/>
      <c r="D21" s="93"/>
      <c r="E21" s="93"/>
      <c r="F21" s="93"/>
    </row>
    <row r="22" spans="1:13" ht="21.75" customHeight="1" x14ac:dyDescent="0.3">
      <c r="A22" s="37"/>
      <c r="B22" s="37"/>
      <c r="C22" s="37"/>
      <c r="D22" s="37"/>
      <c r="E22" s="37"/>
      <c r="F22" s="37"/>
    </row>
    <row r="23" spans="1:13" ht="21.75" customHeight="1" x14ac:dyDescent="0.3">
      <c r="A23" s="90" t="s">
        <v>55</v>
      </c>
      <c r="B23" s="90"/>
      <c r="C23" s="90"/>
      <c r="D23" s="90"/>
      <c r="E23" s="90"/>
      <c r="F23" s="90"/>
      <c r="J23" s="16"/>
      <c r="M23" s="16" t="s">
        <v>10</v>
      </c>
    </row>
    <row r="24" spans="1:13" ht="21.75" customHeight="1" x14ac:dyDescent="0.3">
      <c r="A24" s="92" t="s">
        <v>78</v>
      </c>
      <c r="B24" s="92"/>
      <c r="C24" s="92"/>
      <c r="D24" s="92"/>
      <c r="E24" s="92"/>
      <c r="F24" s="92"/>
      <c r="J24" s="16"/>
      <c r="M24" s="16"/>
    </row>
    <row r="25" spans="1:13" ht="21.75" customHeight="1" x14ac:dyDescent="0.2">
      <c r="A25" s="22"/>
      <c r="B25" s="22"/>
      <c r="C25" s="22"/>
      <c r="D25" s="22"/>
      <c r="E25" s="22"/>
      <c r="F25" s="22"/>
      <c r="G25" s="16"/>
      <c r="H25" s="16"/>
    </row>
    <row r="26" spans="1:13" ht="21.75" customHeight="1" x14ac:dyDescent="0.3">
      <c r="A26" s="22"/>
      <c r="B26" s="22"/>
      <c r="C26" s="22"/>
      <c r="D26" s="22"/>
      <c r="E26" s="22"/>
      <c r="F26" s="22"/>
      <c r="J26" s="17" t="s">
        <v>12</v>
      </c>
    </row>
  </sheetData>
  <mergeCells count="13">
    <mergeCell ref="A1:F1"/>
    <mergeCell ref="A2:F2"/>
    <mergeCell ref="A3:F3"/>
    <mergeCell ref="A4:A5"/>
    <mergeCell ref="B4:B5"/>
    <mergeCell ref="C4:E4"/>
    <mergeCell ref="F4:F5"/>
    <mergeCell ref="A18:F18"/>
    <mergeCell ref="A21:F21"/>
    <mergeCell ref="A24:F24"/>
    <mergeCell ref="A17:F17"/>
    <mergeCell ref="A20:F20"/>
    <mergeCell ref="A23:F23"/>
  </mergeCells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325C9-7014-4A35-AE03-3BEBC052F42D}">
  <dimension ref="A1:M17"/>
  <sheetViews>
    <sheetView topLeftCell="A3" workbookViewId="0">
      <selection activeCell="G14" sqref="G14"/>
    </sheetView>
  </sheetViews>
  <sheetFormatPr defaultRowHeight="14.25" x14ac:dyDescent="0.2"/>
  <cols>
    <col min="1" max="1" width="5" customWidth="1"/>
    <col min="2" max="2" width="40.5" customWidth="1"/>
    <col min="3" max="3" width="6.125" customWidth="1"/>
    <col min="4" max="5" width="11.5" customWidth="1"/>
    <col min="6" max="6" width="8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22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9">
        <v>1</v>
      </c>
      <c r="B6" s="40" t="s">
        <v>79</v>
      </c>
      <c r="C6" s="41">
        <v>1</v>
      </c>
      <c r="D6" s="51">
        <v>15700</v>
      </c>
      <c r="E6" s="38">
        <f>SUM(D6*C6)</f>
        <v>15700</v>
      </c>
      <c r="F6" s="10"/>
    </row>
    <row r="7" spans="1:13" ht="21.75" customHeight="1" x14ac:dyDescent="0.55000000000000004">
      <c r="A7" s="9"/>
      <c r="B7" s="12" t="s">
        <v>8</v>
      </c>
      <c r="C7" s="14"/>
      <c r="D7" s="13"/>
      <c r="E7" s="13">
        <f>SUM(E6:E6)</f>
        <v>15700</v>
      </c>
      <c r="F7" s="7"/>
    </row>
    <row r="8" spans="1:13" ht="19.5" customHeight="1" x14ac:dyDescent="0.55000000000000004">
      <c r="A8" s="18"/>
      <c r="B8" s="19"/>
      <c r="C8" s="20"/>
      <c r="D8" s="15"/>
      <c r="E8" s="15"/>
      <c r="F8" s="21"/>
    </row>
    <row r="9" spans="1:13" ht="21.75" customHeight="1" x14ac:dyDescent="0.3">
      <c r="A9" s="95" t="s">
        <v>13</v>
      </c>
      <c r="B9" s="95"/>
      <c r="C9" s="95"/>
      <c r="D9" s="95"/>
      <c r="E9" s="95"/>
      <c r="F9" s="95"/>
    </row>
    <row r="10" spans="1:13" ht="21.75" customHeight="1" x14ac:dyDescent="0.3">
      <c r="A10" s="94" t="s">
        <v>82</v>
      </c>
      <c r="B10" s="94"/>
      <c r="C10" s="94"/>
      <c r="D10" s="94"/>
      <c r="E10" s="94"/>
      <c r="F10" s="94"/>
    </row>
    <row r="11" spans="1:13" ht="21.75" customHeight="1" x14ac:dyDescent="0.3">
      <c r="A11" s="37"/>
      <c r="B11" s="37"/>
      <c r="C11" s="37"/>
      <c r="D11" s="37"/>
      <c r="E11" s="37"/>
      <c r="F11" s="37"/>
      <c r="J11" s="16" t="s">
        <v>11</v>
      </c>
      <c r="M11" s="16" t="s">
        <v>9</v>
      </c>
    </row>
    <row r="12" spans="1:13" ht="21.75" customHeight="1" x14ac:dyDescent="0.3">
      <c r="A12" s="90" t="s">
        <v>55</v>
      </c>
      <c r="B12" s="90"/>
      <c r="C12" s="90"/>
      <c r="D12" s="90"/>
      <c r="E12" s="90"/>
      <c r="F12" s="90"/>
    </row>
    <row r="13" spans="1:13" ht="21.75" customHeight="1" x14ac:dyDescent="0.3">
      <c r="A13" s="93" t="s">
        <v>81</v>
      </c>
      <c r="B13" s="93"/>
      <c r="C13" s="93"/>
      <c r="D13" s="93"/>
      <c r="E13" s="93"/>
      <c r="F13" s="93"/>
    </row>
    <row r="14" spans="1:13" ht="21.75" customHeight="1" x14ac:dyDescent="0.3">
      <c r="A14" s="37"/>
      <c r="B14" s="37"/>
      <c r="C14" s="37"/>
      <c r="D14" s="37"/>
      <c r="E14" s="37"/>
      <c r="F14" s="37"/>
      <c r="J14" s="16"/>
      <c r="M14" s="16" t="s">
        <v>10</v>
      </c>
    </row>
    <row r="15" spans="1:13" ht="21.75" customHeight="1" x14ac:dyDescent="0.3">
      <c r="A15" s="90" t="s">
        <v>55</v>
      </c>
      <c r="B15" s="90"/>
      <c r="C15" s="90"/>
      <c r="D15" s="90"/>
      <c r="E15" s="90"/>
      <c r="F15" s="90"/>
      <c r="J15" s="16"/>
      <c r="M15" s="16"/>
    </row>
    <row r="16" spans="1:13" ht="21.75" customHeight="1" x14ac:dyDescent="0.3">
      <c r="A16" s="92" t="s">
        <v>80</v>
      </c>
      <c r="B16" s="92"/>
      <c r="C16" s="92"/>
      <c r="D16" s="92"/>
      <c r="E16" s="92"/>
      <c r="F16" s="92"/>
      <c r="G16" s="16"/>
      <c r="H16" s="16"/>
    </row>
    <row r="17" spans="1:10" ht="21.75" customHeight="1" x14ac:dyDescent="0.3">
      <c r="A17" s="22"/>
      <c r="B17" s="22"/>
      <c r="C17" s="22"/>
      <c r="D17" s="22"/>
      <c r="E17" s="22"/>
      <c r="F17" s="22"/>
      <c r="J17" s="17" t="s">
        <v>12</v>
      </c>
    </row>
  </sheetData>
  <mergeCells count="13">
    <mergeCell ref="A16:F16"/>
    <mergeCell ref="A1:F1"/>
    <mergeCell ref="A2:F2"/>
    <mergeCell ref="A3:F3"/>
    <mergeCell ref="A4:A5"/>
    <mergeCell ref="B4:B5"/>
    <mergeCell ref="C4:E4"/>
    <mergeCell ref="F4:F5"/>
    <mergeCell ref="A9:F9"/>
    <mergeCell ref="A10:F10"/>
    <mergeCell ref="A12:F12"/>
    <mergeCell ref="A13:F13"/>
    <mergeCell ref="A15:F15"/>
  </mergeCells>
  <pageMargins left="0.7" right="0.7" top="0.75" bottom="0.75" header="0.3" footer="0.3"/>
  <pageSetup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49B0-F8AC-40A3-881B-1BA6FF5A746C}">
  <dimension ref="A1:F26"/>
  <sheetViews>
    <sheetView topLeftCell="A10" workbookViewId="0">
      <selection activeCell="A13" sqref="A13:F21"/>
    </sheetView>
  </sheetViews>
  <sheetFormatPr defaultRowHeight="14.25" x14ac:dyDescent="0.2"/>
  <cols>
    <col min="1" max="1" width="5" customWidth="1"/>
    <col min="2" max="2" width="40.625" customWidth="1"/>
    <col min="3" max="3" width="6.125" customWidth="1"/>
    <col min="4" max="5" width="11.5" customWidth="1"/>
    <col min="6" max="6" width="8.75" customWidth="1"/>
  </cols>
  <sheetData>
    <row r="1" spans="1:6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6" ht="25.5" customHeight="1" x14ac:dyDescent="0.2">
      <c r="A2" s="80" t="s">
        <v>44</v>
      </c>
      <c r="B2" s="80"/>
      <c r="C2" s="80"/>
      <c r="D2" s="80"/>
      <c r="E2" s="80"/>
      <c r="F2" s="80"/>
    </row>
    <row r="3" spans="1:6" ht="25.5" customHeight="1" x14ac:dyDescent="0.2">
      <c r="A3" s="80" t="s">
        <v>23</v>
      </c>
      <c r="B3" s="80"/>
      <c r="C3" s="80"/>
      <c r="D3" s="80"/>
      <c r="E3" s="80"/>
      <c r="F3" s="80"/>
    </row>
    <row r="4" spans="1:6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6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6" ht="21.75" customHeight="1" x14ac:dyDescent="0.55000000000000004">
      <c r="A6" s="43">
        <v>1</v>
      </c>
      <c r="B6" s="45" t="s">
        <v>83</v>
      </c>
      <c r="C6" s="59">
        <v>1</v>
      </c>
      <c r="D6" s="42">
        <v>6440</v>
      </c>
      <c r="E6" s="38">
        <f>SUM(D6*C6)</f>
        <v>6440</v>
      </c>
      <c r="F6" s="10"/>
    </row>
    <row r="7" spans="1:6" ht="21.75" customHeight="1" x14ac:dyDescent="0.55000000000000004">
      <c r="A7" s="44">
        <v>2</v>
      </c>
      <c r="B7" s="60" t="s">
        <v>84</v>
      </c>
      <c r="C7" s="59">
        <v>1</v>
      </c>
      <c r="D7" s="61">
        <v>9965</v>
      </c>
      <c r="E7" s="38">
        <f t="shared" ref="E7:E11" si="0">SUM(D7*C7)</f>
        <v>9965</v>
      </c>
      <c r="F7" s="4"/>
    </row>
    <row r="8" spans="1:6" ht="21.75" customHeight="1" x14ac:dyDescent="0.55000000000000004">
      <c r="A8" s="43">
        <v>3</v>
      </c>
      <c r="B8" s="40" t="s">
        <v>85</v>
      </c>
      <c r="C8" s="59">
        <v>5</v>
      </c>
      <c r="D8" s="51">
        <v>14654</v>
      </c>
      <c r="E8" s="38">
        <f t="shared" si="0"/>
        <v>73270</v>
      </c>
      <c r="F8" s="4"/>
    </row>
    <row r="9" spans="1:6" ht="21.75" customHeight="1" x14ac:dyDescent="0.55000000000000004">
      <c r="A9" s="44">
        <v>4</v>
      </c>
      <c r="B9" s="40" t="s">
        <v>86</v>
      </c>
      <c r="C9" s="59">
        <v>1</v>
      </c>
      <c r="D9" s="51">
        <v>1590</v>
      </c>
      <c r="E9" s="38">
        <f t="shared" si="0"/>
        <v>1590</v>
      </c>
      <c r="F9" s="4"/>
    </row>
    <row r="10" spans="1:6" ht="21.75" customHeight="1" x14ac:dyDescent="0.55000000000000004">
      <c r="A10" s="43">
        <v>5</v>
      </c>
      <c r="B10" s="62" t="s">
        <v>87</v>
      </c>
      <c r="C10" s="59">
        <v>3</v>
      </c>
      <c r="D10" s="51">
        <v>3450</v>
      </c>
      <c r="E10" s="38">
        <f t="shared" si="0"/>
        <v>10350</v>
      </c>
      <c r="F10" s="6"/>
    </row>
    <row r="11" spans="1:6" ht="21.75" customHeight="1" x14ac:dyDescent="0.55000000000000004">
      <c r="A11" s="44">
        <v>6</v>
      </c>
      <c r="B11" s="62" t="s">
        <v>88</v>
      </c>
      <c r="C11" s="59">
        <v>1</v>
      </c>
      <c r="D11" s="51">
        <v>3990</v>
      </c>
      <c r="E11" s="38">
        <f t="shared" si="0"/>
        <v>3990</v>
      </c>
      <c r="F11" s="4"/>
    </row>
    <row r="12" spans="1:6" ht="24" x14ac:dyDescent="0.55000000000000004">
      <c r="A12" s="5"/>
      <c r="B12" s="12" t="s">
        <v>8</v>
      </c>
      <c r="C12" s="14"/>
      <c r="D12" s="13"/>
      <c r="E12" s="13">
        <f>SUM(E6:E11)</f>
        <v>105605</v>
      </c>
      <c r="F12" s="7"/>
    </row>
    <row r="13" spans="1:6" ht="24" x14ac:dyDescent="0.55000000000000004">
      <c r="A13" s="18"/>
      <c r="B13" s="19"/>
      <c r="C13" s="20"/>
      <c r="D13" s="15"/>
      <c r="E13" s="15"/>
      <c r="F13" s="21"/>
    </row>
    <row r="14" spans="1:6" ht="20.25" x14ac:dyDescent="0.3">
      <c r="A14" s="95" t="s">
        <v>13</v>
      </c>
      <c r="B14" s="95"/>
      <c r="C14" s="95"/>
      <c r="D14" s="95"/>
      <c r="E14" s="95"/>
      <c r="F14" s="95"/>
    </row>
    <row r="15" spans="1:6" ht="20.25" customHeight="1" x14ac:dyDescent="0.3">
      <c r="A15" s="94" t="s">
        <v>89</v>
      </c>
      <c r="B15" s="94"/>
      <c r="C15" s="94"/>
      <c r="D15" s="94"/>
      <c r="E15" s="94"/>
      <c r="F15" s="94"/>
    </row>
    <row r="16" spans="1:6" ht="20.25" x14ac:dyDescent="0.3">
      <c r="A16" s="37"/>
      <c r="B16" s="37"/>
      <c r="C16" s="37"/>
      <c r="D16" s="37"/>
      <c r="E16" s="37"/>
      <c r="F16" s="37"/>
    </row>
    <row r="17" spans="1:6" ht="20.25" x14ac:dyDescent="0.3">
      <c r="A17" s="90" t="s">
        <v>55</v>
      </c>
      <c r="B17" s="90"/>
      <c r="C17" s="90"/>
      <c r="D17" s="90"/>
      <c r="E17" s="90"/>
      <c r="F17" s="90"/>
    </row>
    <row r="18" spans="1:6" ht="20.25" x14ac:dyDescent="0.3">
      <c r="A18" s="93" t="s">
        <v>90</v>
      </c>
      <c r="B18" s="93"/>
      <c r="C18" s="93"/>
      <c r="D18" s="93"/>
      <c r="E18" s="93"/>
      <c r="F18" s="93"/>
    </row>
    <row r="19" spans="1:6" ht="20.25" x14ac:dyDescent="0.3">
      <c r="A19" s="37"/>
      <c r="B19" s="37"/>
      <c r="C19" s="37"/>
      <c r="D19" s="37"/>
      <c r="E19" s="37"/>
      <c r="F19" s="37"/>
    </row>
    <row r="20" spans="1:6" ht="20.25" customHeight="1" x14ac:dyDescent="0.3">
      <c r="A20" s="90" t="s">
        <v>55</v>
      </c>
      <c r="B20" s="90"/>
      <c r="C20" s="90"/>
      <c r="D20" s="90"/>
      <c r="E20" s="90"/>
      <c r="F20" s="90"/>
    </row>
    <row r="21" spans="1:6" ht="20.25" customHeight="1" x14ac:dyDescent="0.3">
      <c r="A21" s="92" t="s">
        <v>91</v>
      </c>
      <c r="B21" s="92"/>
      <c r="C21" s="92"/>
      <c r="D21" s="92"/>
      <c r="E21" s="92"/>
      <c r="F21" s="92"/>
    </row>
    <row r="22" spans="1:6" ht="20.25" x14ac:dyDescent="0.3">
      <c r="A22" s="96"/>
      <c r="B22" s="96"/>
      <c r="C22" s="96"/>
      <c r="D22" s="96"/>
      <c r="E22" s="96"/>
      <c r="F22" s="96"/>
    </row>
    <row r="23" spans="1:6" ht="20.25" x14ac:dyDescent="0.3">
      <c r="A23" s="93"/>
      <c r="B23" s="93"/>
      <c r="C23" s="93"/>
      <c r="D23" s="93"/>
      <c r="E23" s="93"/>
      <c r="F23" s="93"/>
    </row>
    <row r="24" spans="1:6" ht="20.25" x14ac:dyDescent="0.3">
      <c r="A24" s="37"/>
      <c r="B24" s="37"/>
      <c r="C24" s="37"/>
      <c r="D24" s="37"/>
      <c r="E24" s="37"/>
      <c r="F24" s="37"/>
    </row>
    <row r="25" spans="1:6" ht="20.25" customHeight="1" x14ac:dyDescent="0.3">
      <c r="A25" s="97"/>
      <c r="B25" s="97"/>
      <c r="C25" s="97"/>
      <c r="D25" s="97"/>
      <c r="E25" s="97"/>
      <c r="F25" s="97"/>
    </row>
    <row r="26" spans="1:6" ht="20.25" customHeight="1" x14ac:dyDescent="0.3">
      <c r="A26" s="92"/>
      <c r="B26" s="92"/>
      <c r="C26" s="92"/>
      <c r="D26" s="92"/>
      <c r="E26" s="92"/>
      <c r="F26" s="92"/>
    </row>
  </sheetData>
  <mergeCells count="17">
    <mergeCell ref="A26:F26"/>
    <mergeCell ref="A20:F20"/>
    <mergeCell ref="A22:F22"/>
    <mergeCell ref="A23:F23"/>
    <mergeCell ref="A25:F25"/>
    <mergeCell ref="A17:F17"/>
    <mergeCell ref="A18:F18"/>
    <mergeCell ref="A21:F21"/>
    <mergeCell ref="A1:F1"/>
    <mergeCell ref="A2:F2"/>
    <mergeCell ref="A3:F3"/>
    <mergeCell ref="A4:A5"/>
    <mergeCell ref="B4:B5"/>
    <mergeCell ref="C4:E4"/>
    <mergeCell ref="F4:F5"/>
    <mergeCell ref="A14:F14"/>
    <mergeCell ref="A15:F15"/>
  </mergeCells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B7B46-0D14-4555-8F77-1F9313043631}">
  <dimension ref="A1:M24"/>
  <sheetViews>
    <sheetView tabSelected="1" workbookViewId="0">
      <selection activeCell="A23" sqref="A23:F23"/>
    </sheetView>
  </sheetViews>
  <sheetFormatPr defaultRowHeight="14.25" x14ac:dyDescent="0.2"/>
  <cols>
    <col min="1" max="1" width="5" customWidth="1"/>
    <col min="2" max="2" width="38.625" customWidth="1"/>
    <col min="3" max="3" width="6.125" customWidth="1"/>
    <col min="4" max="5" width="11.875" customWidth="1"/>
    <col min="6" max="6" width="11.5" customWidth="1"/>
  </cols>
  <sheetData>
    <row r="1" spans="1:6" ht="21.75" customHeight="1" x14ac:dyDescent="0.55000000000000004">
      <c r="A1" s="79" t="s">
        <v>3</v>
      </c>
      <c r="B1" s="79"/>
      <c r="C1" s="79"/>
      <c r="D1" s="79"/>
      <c r="E1" s="79"/>
      <c r="F1" s="79"/>
    </row>
    <row r="2" spans="1:6" ht="21.75" customHeight="1" x14ac:dyDescent="0.2">
      <c r="A2" s="80" t="s">
        <v>44</v>
      </c>
      <c r="B2" s="80"/>
      <c r="C2" s="80"/>
      <c r="D2" s="80"/>
      <c r="E2" s="80"/>
      <c r="F2" s="80"/>
    </row>
    <row r="3" spans="1:6" ht="21.75" customHeight="1" x14ac:dyDescent="0.2">
      <c r="A3" s="80" t="s">
        <v>24</v>
      </c>
      <c r="B3" s="80"/>
      <c r="C3" s="80"/>
      <c r="D3" s="80"/>
      <c r="E3" s="80"/>
      <c r="F3" s="80"/>
    </row>
    <row r="4" spans="1:6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6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6" ht="20.25" customHeight="1" x14ac:dyDescent="0.55000000000000004">
      <c r="A6" s="43">
        <v>1</v>
      </c>
      <c r="B6" s="40" t="s">
        <v>92</v>
      </c>
      <c r="C6" s="41">
        <v>1</v>
      </c>
      <c r="D6" s="42">
        <v>7400</v>
      </c>
      <c r="E6" s="38">
        <f>SUM(D6*C6)</f>
        <v>7400</v>
      </c>
      <c r="F6" s="10"/>
    </row>
    <row r="7" spans="1:6" ht="20.25" customHeight="1" x14ac:dyDescent="0.55000000000000004">
      <c r="A7" s="44">
        <v>2</v>
      </c>
      <c r="B7" s="40" t="s">
        <v>93</v>
      </c>
      <c r="C7" s="41">
        <v>1</v>
      </c>
      <c r="D7" s="42">
        <v>22000</v>
      </c>
      <c r="E7" s="38">
        <f t="shared" ref="E7:E13" si="0">SUM(D7*C7)</f>
        <v>22000</v>
      </c>
      <c r="F7" s="4"/>
    </row>
    <row r="8" spans="1:6" ht="20.25" customHeight="1" x14ac:dyDescent="0.55000000000000004">
      <c r="A8" s="43">
        <v>3</v>
      </c>
      <c r="B8" s="40" t="s">
        <v>93</v>
      </c>
      <c r="C8" s="41">
        <v>1</v>
      </c>
      <c r="D8" s="42">
        <v>26900</v>
      </c>
      <c r="E8" s="38">
        <f t="shared" si="0"/>
        <v>26900</v>
      </c>
      <c r="F8" s="4"/>
    </row>
    <row r="9" spans="1:6" ht="20.25" customHeight="1" x14ac:dyDescent="0.55000000000000004">
      <c r="A9" s="44">
        <v>4</v>
      </c>
      <c r="B9" s="40" t="s">
        <v>94</v>
      </c>
      <c r="C9" s="41">
        <v>1</v>
      </c>
      <c r="D9" s="42">
        <v>3000</v>
      </c>
      <c r="E9" s="38">
        <f t="shared" si="0"/>
        <v>3000</v>
      </c>
      <c r="F9" s="4"/>
    </row>
    <row r="10" spans="1:6" ht="20.25" customHeight="1" x14ac:dyDescent="0.55000000000000004">
      <c r="A10" s="43">
        <v>5</v>
      </c>
      <c r="B10" s="40" t="s">
        <v>95</v>
      </c>
      <c r="C10" s="41">
        <v>1</v>
      </c>
      <c r="D10" s="42">
        <v>5350</v>
      </c>
      <c r="E10" s="38">
        <f t="shared" si="0"/>
        <v>5350</v>
      </c>
      <c r="F10" s="6"/>
    </row>
    <row r="11" spans="1:6" ht="20.25" customHeight="1" x14ac:dyDescent="0.55000000000000004">
      <c r="A11" s="44">
        <v>6</v>
      </c>
      <c r="B11" s="40" t="s">
        <v>21</v>
      </c>
      <c r="C11" s="41">
        <v>1</v>
      </c>
      <c r="D11" s="42">
        <v>2590</v>
      </c>
      <c r="E11" s="38">
        <f t="shared" si="0"/>
        <v>2590</v>
      </c>
      <c r="F11" s="4"/>
    </row>
    <row r="12" spans="1:6" ht="20.25" customHeight="1" x14ac:dyDescent="0.55000000000000004">
      <c r="A12" s="43">
        <v>7</v>
      </c>
      <c r="B12" s="40" t="s">
        <v>96</v>
      </c>
      <c r="C12" s="41">
        <v>1</v>
      </c>
      <c r="D12" s="42">
        <v>17000</v>
      </c>
      <c r="E12" s="38">
        <f t="shared" si="0"/>
        <v>17000</v>
      </c>
      <c r="F12" s="4"/>
    </row>
    <row r="13" spans="1:6" ht="20.25" customHeight="1" x14ac:dyDescent="0.55000000000000004">
      <c r="A13" s="44">
        <v>8</v>
      </c>
      <c r="B13" s="40" t="s">
        <v>97</v>
      </c>
      <c r="C13" s="41">
        <v>1</v>
      </c>
      <c r="D13" s="42">
        <v>14900</v>
      </c>
      <c r="E13" s="38">
        <f t="shared" si="0"/>
        <v>14900</v>
      </c>
      <c r="F13" s="7"/>
    </row>
    <row r="14" spans="1:6" ht="20.25" customHeight="1" x14ac:dyDescent="0.55000000000000004">
      <c r="A14" s="3"/>
      <c r="B14" s="12" t="s">
        <v>8</v>
      </c>
      <c r="C14" s="14"/>
      <c r="D14" s="13"/>
      <c r="E14" s="13">
        <f>SUM(E6:E13)</f>
        <v>99140</v>
      </c>
      <c r="F14" s="7"/>
    </row>
    <row r="15" spans="1:6" ht="18" customHeight="1" x14ac:dyDescent="0.55000000000000004">
      <c r="A15" s="18"/>
      <c r="B15" s="19"/>
      <c r="C15" s="20"/>
      <c r="D15" s="15"/>
      <c r="E15" s="15"/>
      <c r="F15" s="21"/>
    </row>
    <row r="16" spans="1:6" ht="18" customHeight="1" x14ac:dyDescent="0.3">
      <c r="A16" s="90" t="s">
        <v>101</v>
      </c>
      <c r="B16" s="90"/>
      <c r="C16" s="90"/>
      <c r="D16" s="90"/>
      <c r="E16" s="90"/>
      <c r="F16" s="90"/>
    </row>
    <row r="17" spans="1:13" ht="18" customHeight="1" x14ac:dyDescent="0.3">
      <c r="A17" s="94" t="s">
        <v>100</v>
      </c>
      <c r="B17" s="94"/>
      <c r="C17" s="94"/>
      <c r="D17" s="94"/>
      <c r="E17" s="94"/>
      <c r="F17" s="94"/>
    </row>
    <row r="18" spans="1:13" ht="18" customHeight="1" x14ac:dyDescent="0.3">
      <c r="A18" s="37"/>
      <c r="B18" s="37"/>
      <c r="C18" s="37"/>
      <c r="D18" s="37"/>
      <c r="E18" s="37"/>
      <c r="F18" s="37"/>
      <c r="J18" s="16" t="s">
        <v>11</v>
      </c>
      <c r="M18" s="16" t="s">
        <v>9</v>
      </c>
    </row>
    <row r="19" spans="1:13" ht="18" customHeight="1" x14ac:dyDescent="0.3">
      <c r="A19" s="90" t="s">
        <v>55</v>
      </c>
      <c r="B19" s="90"/>
      <c r="C19" s="90"/>
      <c r="D19" s="90"/>
      <c r="E19" s="90"/>
      <c r="F19" s="90"/>
    </row>
    <row r="20" spans="1:13" ht="18" customHeight="1" x14ac:dyDescent="0.3">
      <c r="A20" s="93" t="s">
        <v>98</v>
      </c>
      <c r="B20" s="93"/>
      <c r="C20" s="93"/>
      <c r="D20" s="93"/>
      <c r="E20" s="93"/>
      <c r="F20" s="93"/>
    </row>
    <row r="21" spans="1:13" ht="18" customHeight="1" x14ac:dyDescent="0.3">
      <c r="A21" s="37"/>
      <c r="B21" s="37"/>
      <c r="C21" s="37"/>
      <c r="D21" s="37"/>
      <c r="E21" s="37"/>
      <c r="F21" s="37"/>
      <c r="J21" s="16"/>
      <c r="M21" s="16" t="s">
        <v>10</v>
      </c>
    </row>
    <row r="22" spans="1:13" ht="18" customHeight="1" x14ac:dyDescent="0.3">
      <c r="A22" s="90" t="s">
        <v>55</v>
      </c>
      <c r="B22" s="90"/>
      <c r="C22" s="90"/>
      <c r="D22" s="90"/>
      <c r="E22" s="90"/>
      <c r="F22" s="90"/>
      <c r="J22" s="16"/>
      <c r="M22" s="16"/>
    </row>
    <row r="23" spans="1:13" ht="18" customHeight="1" x14ac:dyDescent="0.3">
      <c r="A23" s="92" t="s">
        <v>99</v>
      </c>
      <c r="B23" s="92"/>
      <c r="C23" s="92"/>
      <c r="D23" s="92"/>
      <c r="E23" s="92"/>
      <c r="F23" s="92"/>
      <c r="G23" s="16"/>
      <c r="H23" s="16"/>
    </row>
    <row r="24" spans="1:13" ht="21.75" customHeight="1" x14ac:dyDescent="0.3">
      <c r="A24" s="22"/>
      <c r="B24" s="22"/>
      <c r="C24" s="22"/>
      <c r="D24" s="22"/>
      <c r="E24" s="22"/>
      <c r="F24" s="22"/>
      <c r="J24" s="17" t="s">
        <v>12</v>
      </c>
    </row>
  </sheetData>
  <mergeCells count="13">
    <mergeCell ref="A23:F23"/>
    <mergeCell ref="A1:F1"/>
    <mergeCell ref="A2:F2"/>
    <mergeCell ref="A3:F3"/>
    <mergeCell ref="A4:A5"/>
    <mergeCell ref="B4:B5"/>
    <mergeCell ref="C4:E4"/>
    <mergeCell ref="F4:F5"/>
    <mergeCell ref="A16:F16"/>
    <mergeCell ref="A17:F17"/>
    <mergeCell ref="A19:F19"/>
    <mergeCell ref="A20:F20"/>
    <mergeCell ref="A22:F22"/>
  </mergeCells>
  <pageMargins left="0.7" right="0.7" top="0.75" bottom="0.75" header="0.3" footer="0.3"/>
  <pageSetup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5A017-1D71-4A6F-A10A-CA30665FE656}">
  <dimension ref="A1:F18"/>
  <sheetViews>
    <sheetView workbookViewId="0">
      <selection activeCell="F22" sqref="F22"/>
    </sheetView>
  </sheetViews>
  <sheetFormatPr defaultRowHeight="14.25" x14ac:dyDescent="0.2"/>
  <cols>
    <col min="1" max="1" width="5" customWidth="1"/>
    <col min="2" max="2" width="37.25" customWidth="1"/>
    <col min="3" max="3" width="6.125" customWidth="1"/>
    <col min="4" max="5" width="11" customWidth="1"/>
    <col min="6" max="6" width="11.875" customWidth="1"/>
  </cols>
  <sheetData>
    <row r="1" spans="1:6" ht="25.5" customHeight="1" x14ac:dyDescent="0.55000000000000004">
      <c r="A1" s="98" t="s">
        <v>3</v>
      </c>
      <c r="B1" s="98"/>
      <c r="C1" s="98"/>
      <c r="D1" s="98"/>
      <c r="E1" s="98"/>
      <c r="F1" s="98"/>
    </row>
    <row r="2" spans="1:6" ht="25.5" customHeight="1" x14ac:dyDescent="0.2">
      <c r="A2" s="99" t="s">
        <v>44</v>
      </c>
      <c r="B2" s="99"/>
      <c r="C2" s="99"/>
      <c r="D2" s="99"/>
      <c r="E2" s="99"/>
      <c r="F2" s="99"/>
    </row>
    <row r="3" spans="1:6" ht="25.5" customHeight="1" x14ac:dyDescent="0.2">
      <c r="A3" s="99" t="s">
        <v>27</v>
      </c>
      <c r="B3" s="99"/>
      <c r="C3" s="99"/>
      <c r="D3" s="99"/>
      <c r="E3" s="99"/>
      <c r="F3" s="99"/>
    </row>
    <row r="4" spans="1:6" ht="21.75" customHeight="1" x14ac:dyDescent="0.55000000000000004">
      <c r="A4" s="100" t="s">
        <v>0</v>
      </c>
      <c r="B4" s="102" t="s">
        <v>4</v>
      </c>
      <c r="C4" s="104" t="s">
        <v>5</v>
      </c>
      <c r="D4" s="105"/>
      <c r="E4" s="106"/>
      <c r="F4" s="107" t="s">
        <v>2</v>
      </c>
    </row>
    <row r="5" spans="1:6" ht="21.75" customHeight="1" x14ac:dyDescent="0.2">
      <c r="A5" s="101"/>
      <c r="B5" s="103"/>
      <c r="C5" s="23" t="s">
        <v>1</v>
      </c>
      <c r="D5" s="24" t="s">
        <v>6</v>
      </c>
      <c r="E5" s="25" t="s">
        <v>7</v>
      </c>
      <c r="F5" s="108"/>
    </row>
    <row r="6" spans="1:6" ht="21.75" customHeight="1" x14ac:dyDescent="0.55000000000000004">
      <c r="A6" s="43">
        <v>1</v>
      </c>
      <c r="B6" s="40" t="s">
        <v>60</v>
      </c>
      <c r="C6" s="41">
        <v>1</v>
      </c>
      <c r="D6" s="42">
        <v>2490</v>
      </c>
      <c r="E6" s="38">
        <f>SUM(D6*C6)</f>
        <v>2490</v>
      </c>
      <c r="F6" s="26"/>
    </row>
    <row r="7" spans="1:6" ht="21.75" customHeight="1" x14ac:dyDescent="0.55000000000000004">
      <c r="A7" s="44">
        <v>2</v>
      </c>
      <c r="B7" s="40" t="s">
        <v>102</v>
      </c>
      <c r="C7" s="41">
        <v>1</v>
      </c>
      <c r="D7" s="42">
        <v>3750</v>
      </c>
      <c r="E7" s="38">
        <f>SUM(D7*C7)</f>
        <v>3750</v>
      </c>
      <c r="F7" s="27"/>
    </row>
    <row r="8" spans="1:6" ht="24" x14ac:dyDescent="0.55000000000000004">
      <c r="A8" s="31"/>
      <c r="B8" s="32" t="s">
        <v>8</v>
      </c>
      <c r="C8" s="30"/>
      <c r="D8" s="28"/>
      <c r="E8" s="28">
        <f>SUM(E6:E7)</f>
        <v>6240</v>
      </c>
      <c r="F8" s="29"/>
    </row>
    <row r="9" spans="1:6" ht="24" x14ac:dyDescent="0.55000000000000004">
      <c r="A9" s="18"/>
      <c r="B9" s="19"/>
      <c r="C9" s="20"/>
      <c r="D9" s="15"/>
      <c r="E9" s="15"/>
      <c r="F9" s="21"/>
    </row>
    <row r="10" spans="1:6" ht="20.25" x14ac:dyDescent="0.3">
      <c r="A10" s="90" t="s">
        <v>101</v>
      </c>
      <c r="B10" s="90"/>
      <c r="C10" s="90"/>
      <c r="D10" s="90"/>
      <c r="E10" s="90"/>
      <c r="F10" s="90"/>
    </row>
    <row r="11" spans="1:6" ht="20.25" customHeight="1" x14ac:dyDescent="0.3">
      <c r="A11" s="94" t="s">
        <v>104</v>
      </c>
      <c r="B11" s="94"/>
      <c r="C11" s="94"/>
      <c r="D11" s="94"/>
      <c r="E11" s="94"/>
      <c r="F11" s="94"/>
    </row>
    <row r="12" spans="1:6" ht="20.25" x14ac:dyDescent="0.3">
      <c r="A12" s="37"/>
      <c r="B12" s="37"/>
      <c r="C12" s="37"/>
      <c r="D12" s="37"/>
      <c r="E12" s="37"/>
      <c r="F12" s="37"/>
    </row>
    <row r="13" spans="1:6" ht="20.25" x14ac:dyDescent="0.3">
      <c r="A13" s="90" t="s">
        <v>55</v>
      </c>
      <c r="B13" s="90"/>
      <c r="C13" s="90"/>
      <c r="D13" s="90"/>
      <c r="E13" s="90"/>
      <c r="F13" s="90"/>
    </row>
    <row r="14" spans="1:6" ht="20.25" x14ac:dyDescent="0.3">
      <c r="A14" s="93" t="s">
        <v>103</v>
      </c>
      <c r="B14" s="93"/>
      <c r="C14" s="93"/>
      <c r="D14" s="93"/>
      <c r="E14" s="93"/>
      <c r="F14" s="93"/>
    </row>
    <row r="15" spans="1:6" ht="20.25" x14ac:dyDescent="0.3">
      <c r="A15" s="37"/>
      <c r="B15" s="37"/>
      <c r="C15" s="37"/>
      <c r="D15" s="37"/>
      <c r="E15" s="37"/>
      <c r="F15" s="37"/>
    </row>
    <row r="16" spans="1:6" ht="20.25" customHeight="1" x14ac:dyDescent="0.3">
      <c r="A16" s="90" t="s">
        <v>55</v>
      </c>
      <c r="B16" s="90"/>
      <c r="C16" s="90"/>
      <c r="D16" s="90"/>
      <c r="E16" s="90"/>
      <c r="F16" s="90"/>
    </row>
    <row r="17" spans="1:6" ht="20.25" customHeight="1" x14ac:dyDescent="0.3">
      <c r="A17" s="92" t="s">
        <v>157</v>
      </c>
      <c r="B17" s="92"/>
      <c r="C17" s="92"/>
      <c r="D17" s="92"/>
      <c r="E17" s="92"/>
      <c r="F17" s="92"/>
    </row>
    <row r="18" spans="1:6" ht="20.25" x14ac:dyDescent="0.2">
      <c r="A18" s="22"/>
      <c r="B18" s="22"/>
      <c r="C18" s="22"/>
      <c r="D18" s="22"/>
      <c r="E18" s="22"/>
      <c r="F18" s="22"/>
    </row>
  </sheetData>
  <mergeCells count="13">
    <mergeCell ref="A17:F17"/>
    <mergeCell ref="A1:F1"/>
    <mergeCell ref="A2:F2"/>
    <mergeCell ref="A3:F3"/>
    <mergeCell ref="A4:A5"/>
    <mergeCell ref="B4:B5"/>
    <mergeCell ref="C4:E4"/>
    <mergeCell ref="F4:F5"/>
    <mergeCell ref="A10:F10"/>
    <mergeCell ref="A11:F11"/>
    <mergeCell ref="A13:F13"/>
    <mergeCell ref="A14:F14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1159-D1E2-43B1-AACB-E9A496948DFF}">
  <dimension ref="A1:M17"/>
  <sheetViews>
    <sheetView topLeftCell="A10" workbookViewId="0">
      <selection activeCell="E23" sqref="E23"/>
    </sheetView>
  </sheetViews>
  <sheetFormatPr defaultRowHeight="14.25" x14ac:dyDescent="0.2"/>
  <cols>
    <col min="1" max="1" width="5" customWidth="1"/>
    <col min="2" max="2" width="31.375" customWidth="1"/>
    <col min="3" max="3" width="5.625" customWidth="1"/>
    <col min="4" max="5" width="11.125" customWidth="1"/>
    <col min="6" max="6" width="18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30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9">
        <v>1</v>
      </c>
      <c r="B6" s="40" t="s">
        <v>102</v>
      </c>
      <c r="C6" s="41">
        <v>1</v>
      </c>
      <c r="D6" s="42">
        <v>3750</v>
      </c>
      <c r="E6" s="38">
        <f>SUM(D6*C6)</f>
        <v>3750</v>
      </c>
      <c r="F6" s="10"/>
    </row>
    <row r="7" spans="1:13" ht="21.75" customHeight="1" x14ac:dyDescent="0.55000000000000004">
      <c r="A7" s="3"/>
      <c r="B7" s="12" t="s">
        <v>8</v>
      </c>
      <c r="C7" s="14"/>
      <c r="D7" s="13"/>
      <c r="E7" s="13">
        <f>SUM(E6:E6)</f>
        <v>3750</v>
      </c>
      <c r="F7" s="7"/>
    </row>
    <row r="8" spans="1:13" ht="19.5" customHeight="1" x14ac:dyDescent="0.55000000000000004">
      <c r="A8" s="18"/>
      <c r="B8" s="19"/>
      <c r="C8" s="20"/>
      <c r="D8" s="15"/>
      <c r="E8" s="15"/>
      <c r="F8" s="21"/>
    </row>
    <row r="9" spans="1:13" ht="21.75" customHeight="1" x14ac:dyDescent="0.3">
      <c r="A9" s="109" t="s">
        <v>105</v>
      </c>
      <c r="B9" s="109"/>
      <c r="C9" s="109"/>
      <c r="D9" s="109"/>
      <c r="E9" s="109"/>
      <c r="F9" s="109"/>
    </row>
    <row r="10" spans="1:13" ht="21.75" customHeight="1" x14ac:dyDescent="0.3">
      <c r="A10" s="91" t="s">
        <v>106</v>
      </c>
      <c r="B10" s="91"/>
      <c r="C10" s="91"/>
      <c r="D10" s="91"/>
      <c r="E10" s="91"/>
      <c r="F10" s="91"/>
    </row>
    <row r="11" spans="1:13" ht="21.75" customHeight="1" x14ac:dyDescent="0.3">
      <c r="A11" s="37"/>
      <c r="B11" s="37"/>
      <c r="C11" s="37"/>
      <c r="D11" s="37"/>
      <c r="E11" s="37"/>
      <c r="F11" s="37"/>
      <c r="J11" s="16" t="s">
        <v>11</v>
      </c>
      <c r="M11" s="16" t="s">
        <v>9</v>
      </c>
    </row>
    <row r="12" spans="1:13" ht="21.75" customHeight="1" x14ac:dyDescent="0.3">
      <c r="A12" s="90" t="s">
        <v>158</v>
      </c>
      <c r="B12" s="90"/>
      <c r="C12" s="90"/>
      <c r="D12" s="90"/>
      <c r="E12" s="90"/>
      <c r="F12" s="90"/>
    </row>
    <row r="13" spans="1:13" ht="21.75" customHeight="1" x14ac:dyDescent="0.3">
      <c r="A13" s="90" t="s">
        <v>159</v>
      </c>
      <c r="B13" s="90"/>
      <c r="C13" s="90"/>
      <c r="D13" s="90"/>
      <c r="E13" s="90"/>
      <c r="F13" s="90"/>
    </row>
    <row r="14" spans="1:13" ht="21.75" customHeight="1" x14ac:dyDescent="0.3">
      <c r="A14" s="37"/>
      <c r="B14" s="37"/>
      <c r="C14" s="37"/>
      <c r="D14" s="37"/>
      <c r="E14" s="37"/>
      <c r="F14" s="37"/>
      <c r="J14" s="16"/>
      <c r="M14" s="16" t="s">
        <v>10</v>
      </c>
    </row>
    <row r="15" spans="1:13" ht="21.75" customHeight="1" x14ac:dyDescent="0.3">
      <c r="A15" s="90" t="s">
        <v>158</v>
      </c>
      <c r="B15" s="90"/>
      <c r="C15" s="90"/>
      <c r="D15" s="90"/>
      <c r="E15" s="90"/>
      <c r="F15" s="90"/>
      <c r="J15" s="16"/>
      <c r="M15" s="16"/>
    </row>
    <row r="16" spans="1:13" ht="21.75" customHeight="1" x14ac:dyDescent="0.3">
      <c r="A16" s="91" t="s">
        <v>160</v>
      </c>
      <c r="B16" s="91"/>
      <c r="C16" s="91"/>
      <c r="D16" s="91"/>
      <c r="E16" s="91"/>
      <c r="F16" s="91"/>
      <c r="G16" s="16"/>
      <c r="H16" s="16"/>
    </row>
    <row r="17" spans="1:10" ht="21.75" customHeight="1" x14ac:dyDescent="0.3">
      <c r="A17" s="22"/>
      <c r="B17" s="22"/>
      <c r="C17" s="22"/>
      <c r="D17" s="22"/>
      <c r="E17" s="22"/>
      <c r="F17" s="22"/>
      <c r="J17" s="17" t="s">
        <v>12</v>
      </c>
    </row>
  </sheetData>
  <mergeCells count="13">
    <mergeCell ref="A16:F16"/>
    <mergeCell ref="A1:F1"/>
    <mergeCell ref="A2:F2"/>
    <mergeCell ref="A3:F3"/>
    <mergeCell ref="A4:A5"/>
    <mergeCell ref="B4:B5"/>
    <mergeCell ref="C4:E4"/>
    <mergeCell ref="F4:F5"/>
    <mergeCell ref="A9:F9"/>
    <mergeCell ref="A10:F10"/>
    <mergeCell ref="A12:F12"/>
    <mergeCell ref="A13:F13"/>
    <mergeCell ref="A15:F15"/>
  </mergeCells>
  <pageMargins left="0.7" right="0.7" top="0.75" bottom="0.75" header="0.3" footer="0.3"/>
  <pageSetup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40BD9-25A3-4169-B1AE-9FC3373B70FD}">
  <dimension ref="A1:M20"/>
  <sheetViews>
    <sheetView topLeftCell="A6" workbookViewId="0">
      <selection activeCell="A16" sqref="A16:F16"/>
    </sheetView>
  </sheetViews>
  <sheetFormatPr defaultRowHeight="14.25" x14ac:dyDescent="0.2"/>
  <cols>
    <col min="1" max="1" width="4.375" customWidth="1"/>
    <col min="2" max="2" width="35.625" customWidth="1"/>
    <col min="3" max="3" width="6.125" customWidth="1"/>
    <col min="4" max="4" width="11.375" customWidth="1"/>
    <col min="5" max="5" width="12.125" customWidth="1"/>
    <col min="6" max="6" width="13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32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43">
        <v>1</v>
      </c>
      <c r="B6" s="63" t="s">
        <v>28</v>
      </c>
      <c r="C6" s="41">
        <v>1</v>
      </c>
      <c r="D6" s="42">
        <v>1100</v>
      </c>
      <c r="E6" s="38">
        <f>SUM(D6*C6)</f>
        <v>1100</v>
      </c>
      <c r="F6" s="10"/>
    </row>
    <row r="7" spans="1:13" ht="21.75" customHeight="1" x14ac:dyDescent="0.55000000000000004">
      <c r="A7" s="43">
        <v>2</v>
      </c>
      <c r="B7" s="50" t="s">
        <v>107</v>
      </c>
      <c r="C7" s="41">
        <v>1</v>
      </c>
      <c r="D7" s="42">
        <v>23590</v>
      </c>
      <c r="E7" s="38">
        <f t="shared" ref="E7:E9" si="0">SUM(D7*C7)</f>
        <v>23590</v>
      </c>
      <c r="F7" s="10"/>
    </row>
    <row r="8" spans="1:13" ht="21.75" customHeight="1" x14ac:dyDescent="0.55000000000000004">
      <c r="A8" s="43">
        <v>3</v>
      </c>
      <c r="B8" s="50" t="s">
        <v>108</v>
      </c>
      <c r="C8" s="41">
        <v>1</v>
      </c>
      <c r="D8" s="42">
        <v>10910</v>
      </c>
      <c r="E8" s="38">
        <f t="shared" si="0"/>
        <v>10910</v>
      </c>
      <c r="F8" s="4"/>
    </row>
    <row r="9" spans="1:13" ht="21.75" customHeight="1" x14ac:dyDescent="0.55000000000000004">
      <c r="A9" s="43">
        <v>4</v>
      </c>
      <c r="B9" s="50" t="s">
        <v>109</v>
      </c>
      <c r="C9" s="41">
        <v>1</v>
      </c>
      <c r="D9" s="42">
        <v>5690</v>
      </c>
      <c r="E9" s="38">
        <f t="shared" si="0"/>
        <v>5690</v>
      </c>
      <c r="F9" s="4"/>
    </row>
    <row r="10" spans="1:13" ht="21.75" customHeight="1" x14ac:dyDescent="0.55000000000000004">
      <c r="A10" s="3"/>
      <c r="B10" s="12" t="s">
        <v>8</v>
      </c>
      <c r="C10" s="14"/>
      <c r="D10" s="13"/>
      <c r="E10" s="13">
        <f>SUM(E6:E9)</f>
        <v>41290</v>
      </c>
      <c r="F10" s="7"/>
    </row>
    <row r="11" spans="1:13" ht="19.5" customHeight="1" x14ac:dyDescent="0.55000000000000004">
      <c r="A11" s="18"/>
      <c r="B11" s="19"/>
      <c r="C11" s="20"/>
      <c r="D11" s="15"/>
      <c r="E11" s="15"/>
      <c r="F11" s="21"/>
    </row>
    <row r="12" spans="1:13" ht="21.75" customHeight="1" x14ac:dyDescent="0.3">
      <c r="A12" s="90" t="s">
        <v>110</v>
      </c>
      <c r="B12" s="90"/>
      <c r="C12" s="90"/>
      <c r="D12" s="90"/>
      <c r="E12" s="90"/>
      <c r="F12" s="90"/>
    </row>
    <row r="13" spans="1:13" ht="21.75" customHeight="1" x14ac:dyDescent="0.3">
      <c r="A13" s="94" t="s">
        <v>113</v>
      </c>
      <c r="B13" s="94"/>
      <c r="C13" s="94"/>
      <c r="D13" s="94"/>
      <c r="E13" s="94"/>
      <c r="F13" s="94"/>
    </row>
    <row r="14" spans="1:13" ht="21.75" customHeight="1" x14ac:dyDescent="0.3">
      <c r="A14" s="37"/>
      <c r="B14" s="37"/>
      <c r="C14" s="37"/>
      <c r="D14" s="37"/>
      <c r="E14" s="37"/>
      <c r="F14" s="37"/>
      <c r="J14" s="16" t="s">
        <v>11</v>
      </c>
      <c r="M14" s="16" t="s">
        <v>9</v>
      </c>
    </row>
    <row r="15" spans="1:13" ht="21.75" customHeight="1" x14ac:dyDescent="0.3">
      <c r="A15" s="90" t="s">
        <v>111</v>
      </c>
      <c r="B15" s="90"/>
      <c r="C15" s="90"/>
      <c r="D15" s="90"/>
      <c r="E15" s="90"/>
      <c r="F15" s="90"/>
    </row>
    <row r="16" spans="1:13" ht="21.75" customHeight="1" x14ac:dyDescent="0.3">
      <c r="A16" s="93" t="s">
        <v>114</v>
      </c>
      <c r="B16" s="93"/>
      <c r="C16" s="93"/>
      <c r="D16" s="93"/>
      <c r="E16" s="93"/>
      <c r="F16" s="93"/>
    </row>
    <row r="17" spans="1:13" ht="21.75" customHeight="1" x14ac:dyDescent="0.3">
      <c r="A17" s="37"/>
      <c r="B17" s="37"/>
      <c r="C17" s="37"/>
      <c r="D17" s="37"/>
      <c r="E17" s="37"/>
      <c r="F17" s="37"/>
      <c r="J17" s="16"/>
      <c r="M17" s="16" t="s">
        <v>10</v>
      </c>
    </row>
    <row r="18" spans="1:13" ht="21.75" customHeight="1" x14ac:dyDescent="0.3">
      <c r="A18" s="90" t="s">
        <v>112</v>
      </c>
      <c r="B18" s="90"/>
      <c r="C18" s="90"/>
      <c r="D18" s="90"/>
      <c r="E18" s="90"/>
      <c r="F18" s="90"/>
      <c r="J18" s="16"/>
      <c r="M18" s="16"/>
    </row>
    <row r="19" spans="1:13" ht="21.75" customHeight="1" x14ac:dyDescent="0.3">
      <c r="A19" s="92" t="s">
        <v>115</v>
      </c>
      <c r="B19" s="92"/>
      <c r="C19" s="92"/>
      <c r="D19" s="92"/>
      <c r="E19" s="92"/>
      <c r="F19" s="92"/>
      <c r="G19" s="16"/>
      <c r="H19" s="16"/>
    </row>
    <row r="20" spans="1:13" ht="21.75" customHeight="1" x14ac:dyDescent="0.3">
      <c r="A20" s="22"/>
      <c r="B20" s="22"/>
      <c r="C20" s="22"/>
      <c r="D20" s="22"/>
      <c r="E20" s="22"/>
      <c r="F20" s="22"/>
      <c r="J20" s="17" t="s">
        <v>12</v>
      </c>
    </row>
  </sheetData>
  <mergeCells count="13">
    <mergeCell ref="A19:F19"/>
    <mergeCell ref="A1:F1"/>
    <mergeCell ref="A2:F2"/>
    <mergeCell ref="A3:F3"/>
    <mergeCell ref="A4:A5"/>
    <mergeCell ref="B4:B5"/>
    <mergeCell ref="C4:E4"/>
    <mergeCell ref="F4:F5"/>
    <mergeCell ref="A12:F12"/>
    <mergeCell ref="A13:F13"/>
    <mergeCell ref="A15:F15"/>
    <mergeCell ref="A16:F16"/>
    <mergeCell ref="A18:F18"/>
  </mergeCells>
  <pageMargins left="0.7" right="0.7" top="0.75" bottom="0.75" header="0.3" footer="0.3"/>
  <pageSetup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07AF-3BBF-499F-885A-99A984FCC78D}">
  <dimension ref="A1:M18"/>
  <sheetViews>
    <sheetView topLeftCell="A4" workbookViewId="0">
      <selection activeCell="A9" sqref="A9:F17"/>
    </sheetView>
  </sheetViews>
  <sheetFormatPr defaultRowHeight="14.25" x14ac:dyDescent="0.2"/>
  <cols>
    <col min="1" max="1" width="5" customWidth="1"/>
    <col min="2" max="2" width="40.625" customWidth="1"/>
    <col min="3" max="3" width="6.125" customWidth="1"/>
    <col min="4" max="5" width="11.5" customWidth="1"/>
    <col min="6" max="6" width="8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34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43">
        <v>1</v>
      </c>
      <c r="B6" s="40" t="s">
        <v>116</v>
      </c>
      <c r="C6" s="41">
        <v>1</v>
      </c>
      <c r="D6" s="64">
        <v>2450</v>
      </c>
      <c r="E6" s="38">
        <f>SUM(D6*C6)</f>
        <v>2450</v>
      </c>
      <c r="F6" s="10"/>
    </row>
    <row r="7" spans="1:13" ht="21.75" customHeight="1" x14ac:dyDescent="0.55000000000000004">
      <c r="A7" s="44">
        <v>2</v>
      </c>
      <c r="B7" s="40" t="s">
        <v>117</v>
      </c>
      <c r="C7" s="41">
        <v>1</v>
      </c>
      <c r="D7" s="64">
        <v>6200</v>
      </c>
      <c r="E7" s="38">
        <f>SUM(D7*C7)</f>
        <v>6200</v>
      </c>
      <c r="F7" s="4"/>
    </row>
    <row r="8" spans="1:13" ht="21.75" customHeight="1" x14ac:dyDescent="0.55000000000000004">
      <c r="A8" s="3"/>
      <c r="B8" s="12" t="s">
        <v>8</v>
      </c>
      <c r="C8" s="14"/>
      <c r="D8" s="13"/>
      <c r="E8" s="13">
        <f>SUM(E6:E7)</f>
        <v>8650</v>
      </c>
      <c r="F8" s="7"/>
    </row>
    <row r="9" spans="1:13" ht="19.5" customHeight="1" x14ac:dyDescent="0.55000000000000004">
      <c r="A9" s="18"/>
      <c r="B9" s="19"/>
      <c r="C9" s="20"/>
      <c r="D9" s="15"/>
      <c r="E9" s="15"/>
      <c r="F9" s="21"/>
    </row>
    <row r="10" spans="1:13" ht="21.75" customHeight="1" x14ac:dyDescent="0.3">
      <c r="A10" s="90" t="s">
        <v>110</v>
      </c>
      <c r="B10" s="90"/>
      <c r="C10" s="90"/>
      <c r="D10" s="90"/>
      <c r="E10" s="90"/>
      <c r="F10" s="90"/>
    </row>
    <row r="11" spans="1:13" ht="21.75" customHeight="1" x14ac:dyDescent="0.3">
      <c r="A11" s="94" t="s">
        <v>118</v>
      </c>
      <c r="B11" s="94"/>
      <c r="C11" s="94"/>
      <c r="D11" s="94"/>
      <c r="E11" s="94"/>
      <c r="F11" s="94"/>
    </row>
    <row r="12" spans="1:13" ht="21.75" customHeight="1" x14ac:dyDescent="0.3">
      <c r="A12" s="37"/>
      <c r="B12" s="37"/>
      <c r="C12" s="37"/>
      <c r="D12" s="37"/>
      <c r="E12" s="37"/>
      <c r="F12" s="37"/>
      <c r="J12" s="16" t="s">
        <v>11</v>
      </c>
      <c r="M12" s="16" t="s">
        <v>9</v>
      </c>
    </row>
    <row r="13" spans="1:13" ht="21.75" customHeight="1" x14ac:dyDescent="0.3">
      <c r="A13" s="90" t="s">
        <v>111</v>
      </c>
      <c r="B13" s="90"/>
      <c r="C13" s="90"/>
      <c r="D13" s="90"/>
      <c r="E13" s="90"/>
      <c r="F13" s="90"/>
    </row>
    <row r="14" spans="1:13" ht="21.75" customHeight="1" x14ac:dyDescent="0.3">
      <c r="A14" s="93" t="s">
        <v>119</v>
      </c>
      <c r="B14" s="93"/>
      <c r="C14" s="93"/>
      <c r="D14" s="93"/>
      <c r="E14" s="93"/>
      <c r="F14" s="93"/>
    </row>
    <row r="15" spans="1:13" ht="21.75" customHeight="1" x14ac:dyDescent="0.3">
      <c r="A15" s="37"/>
      <c r="B15" s="37"/>
      <c r="C15" s="37"/>
      <c r="D15" s="37"/>
      <c r="E15" s="37"/>
      <c r="F15" s="37"/>
      <c r="J15" s="16"/>
      <c r="M15" s="16" t="s">
        <v>10</v>
      </c>
    </row>
    <row r="16" spans="1:13" ht="21.75" customHeight="1" x14ac:dyDescent="0.3">
      <c r="A16" s="90" t="s">
        <v>112</v>
      </c>
      <c r="B16" s="90"/>
      <c r="C16" s="90"/>
      <c r="D16" s="90"/>
      <c r="E16" s="90"/>
      <c r="F16" s="90"/>
      <c r="J16" s="16"/>
      <c r="M16" s="16"/>
    </row>
    <row r="17" spans="1:10" ht="21.75" customHeight="1" x14ac:dyDescent="0.3">
      <c r="A17" s="92" t="s">
        <v>120</v>
      </c>
      <c r="B17" s="92"/>
      <c r="C17" s="92"/>
      <c r="D17" s="92"/>
      <c r="E17" s="92"/>
      <c r="F17" s="92"/>
      <c r="G17" s="16"/>
      <c r="H17" s="16"/>
    </row>
    <row r="18" spans="1:10" ht="21.75" customHeight="1" x14ac:dyDescent="0.3">
      <c r="A18" s="22"/>
      <c r="B18" s="22"/>
      <c r="C18" s="22"/>
      <c r="D18" s="22"/>
      <c r="E18" s="22"/>
      <c r="F18" s="22"/>
      <c r="J18" s="17" t="s">
        <v>12</v>
      </c>
    </row>
  </sheetData>
  <mergeCells count="13">
    <mergeCell ref="A17:F17"/>
    <mergeCell ref="A1:F1"/>
    <mergeCell ref="A2:F2"/>
    <mergeCell ref="A3:F3"/>
    <mergeCell ref="A4:A5"/>
    <mergeCell ref="B4:B5"/>
    <mergeCell ref="C4:E4"/>
    <mergeCell ref="F4:F5"/>
    <mergeCell ref="A10:F10"/>
    <mergeCell ref="A11:F11"/>
    <mergeCell ref="A13:F13"/>
    <mergeCell ref="A14:F14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85E01-77F7-4C54-894B-BA0BBF1E0308}">
  <dimension ref="A1:M17"/>
  <sheetViews>
    <sheetView workbookViewId="0">
      <selection activeCell="A10" sqref="A10:F10"/>
    </sheetView>
  </sheetViews>
  <sheetFormatPr defaultRowHeight="14.25" x14ac:dyDescent="0.2"/>
  <cols>
    <col min="1" max="1" width="5" customWidth="1"/>
    <col min="2" max="2" width="42.25" customWidth="1"/>
    <col min="3" max="3" width="6.125" customWidth="1"/>
    <col min="4" max="5" width="11.75" customWidth="1"/>
    <col min="6" max="6" width="8.12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35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43">
        <v>1</v>
      </c>
      <c r="B6" s="65" t="s">
        <v>121</v>
      </c>
      <c r="C6" s="66">
        <v>1</v>
      </c>
      <c r="D6" s="67">
        <v>1850</v>
      </c>
      <c r="E6" s="38">
        <f>SUM(D6*C6)</f>
        <v>1850</v>
      </c>
      <c r="F6" s="10"/>
    </row>
    <row r="7" spans="1:13" ht="21.75" customHeight="1" x14ac:dyDescent="0.55000000000000004">
      <c r="A7" s="3"/>
      <c r="B7" s="12" t="s">
        <v>8</v>
      </c>
      <c r="C7" s="14"/>
      <c r="D7" s="13"/>
      <c r="E7" s="13">
        <f>SUM(E6:E6)</f>
        <v>1850</v>
      </c>
      <c r="F7" s="7"/>
    </row>
    <row r="8" spans="1:13" ht="19.5" customHeight="1" x14ac:dyDescent="0.55000000000000004">
      <c r="A8" s="18"/>
      <c r="B8" s="19"/>
      <c r="C8" s="20"/>
      <c r="D8" s="15"/>
      <c r="E8" s="15"/>
      <c r="F8" s="21"/>
    </row>
    <row r="9" spans="1:13" ht="21.75" customHeight="1" x14ac:dyDescent="0.3">
      <c r="A9" s="90" t="s">
        <v>110</v>
      </c>
      <c r="B9" s="90"/>
      <c r="C9" s="90"/>
      <c r="D9" s="90"/>
      <c r="E9" s="90"/>
      <c r="F9" s="90"/>
    </row>
    <row r="10" spans="1:13" ht="21.75" customHeight="1" x14ac:dyDescent="0.3">
      <c r="A10" s="94" t="s">
        <v>118</v>
      </c>
      <c r="B10" s="94"/>
      <c r="C10" s="94"/>
      <c r="D10" s="94"/>
      <c r="E10" s="94"/>
      <c r="F10" s="94"/>
    </row>
    <row r="11" spans="1:13" ht="21.75" customHeight="1" x14ac:dyDescent="0.3">
      <c r="A11" s="37"/>
      <c r="B11" s="37"/>
      <c r="C11" s="37"/>
      <c r="D11" s="37"/>
      <c r="E11" s="37"/>
      <c r="F11" s="37"/>
      <c r="J11" s="16" t="s">
        <v>11</v>
      </c>
      <c r="M11" s="16" t="s">
        <v>9</v>
      </c>
    </row>
    <row r="12" spans="1:13" ht="21.75" customHeight="1" x14ac:dyDescent="0.3">
      <c r="A12" s="90" t="s">
        <v>111</v>
      </c>
      <c r="B12" s="90"/>
      <c r="C12" s="90"/>
      <c r="D12" s="90"/>
      <c r="E12" s="90"/>
      <c r="F12" s="90"/>
    </row>
    <row r="13" spans="1:13" ht="21.75" customHeight="1" x14ac:dyDescent="0.3">
      <c r="A13" s="93" t="s">
        <v>122</v>
      </c>
      <c r="B13" s="93"/>
      <c r="C13" s="93"/>
      <c r="D13" s="93"/>
      <c r="E13" s="93"/>
      <c r="F13" s="93"/>
    </row>
    <row r="14" spans="1:13" ht="21.75" customHeight="1" x14ac:dyDescent="0.3">
      <c r="A14" s="37"/>
      <c r="B14" s="37"/>
      <c r="C14" s="37"/>
      <c r="D14" s="37"/>
      <c r="E14" s="37"/>
      <c r="F14" s="37"/>
      <c r="J14" s="16"/>
      <c r="M14" s="16" t="s">
        <v>10</v>
      </c>
    </row>
    <row r="15" spans="1:13" ht="21.75" customHeight="1" x14ac:dyDescent="0.3">
      <c r="A15" s="90" t="s">
        <v>112</v>
      </c>
      <c r="B15" s="90"/>
      <c r="C15" s="90"/>
      <c r="D15" s="90"/>
      <c r="E15" s="90"/>
      <c r="F15" s="90"/>
      <c r="J15" s="16"/>
      <c r="M15" s="16"/>
    </row>
    <row r="16" spans="1:13" ht="21.75" customHeight="1" x14ac:dyDescent="0.3">
      <c r="A16" s="92" t="s">
        <v>123</v>
      </c>
      <c r="B16" s="92"/>
      <c r="C16" s="92"/>
      <c r="D16" s="92"/>
      <c r="E16" s="92"/>
      <c r="F16" s="92"/>
      <c r="G16" s="16"/>
      <c r="H16" s="16"/>
    </row>
    <row r="17" spans="1:10" ht="21.75" customHeight="1" x14ac:dyDescent="0.3">
      <c r="A17" s="22"/>
      <c r="B17" s="22"/>
      <c r="C17" s="22"/>
      <c r="D17" s="22"/>
      <c r="E17" s="22"/>
      <c r="F17" s="22"/>
      <c r="J17" s="17" t="s">
        <v>12</v>
      </c>
    </row>
  </sheetData>
  <mergeCells count="13">
    <mergeCell ref="A16:F16"/>
    <mergeCell ref="A1:F1"/>
    <mergeCell ref="A2:F2"/>
    <mergeCell ref="A3:F3"/>
    <mergeCell ref="A4:A5"/>
    <mergeCell ref="B4:B5"/>
    <mergeCell ref="C4:E4"/>
    <mergeCell ref="F4:F5"/>
    <mergeCell ref="A9:F9"/>
    <mergeCell ref="A10:F10"/>
    <mergeCell ref="A12:F12"/>
    <mergeCell ref="A13:F13"/>
    <mergeCell ref="A15:F15"/>
  </mergeCells>
  <pageMargins left="0.7" right="0.7" top="0.75" bottom="0.75" header="0.3" footer="0.3"/>
  <pageSetup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E8F8-F1B3-4B07-A27E-1DBFFCBD2D3D}">
  <dimension ref="A1:M17"/>
  <sheetViews>
    <sheetView topLeftCell="A4" workbookViewId="0">
      <selection activeCell="A10" sqref="A10:F10"/>
    </sheetView>
  </sheetViews>
  <sheetFormatPr defaultRowHeight="14.25" x14ac:dyDescent="0.2"/>
  <cols>
    <col min="1" max="1" width="5" customWidth="1"/>
    <col min="2" max="2" width="35.25" customWidth="1"/>
    <col min="3" max="3" width="6.125" customWidth="1"/>
    <col min="4" max="5" width="11.375" customWidth="1"/>
    <col min="6" max="6" width="15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37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5000000000000004">
      <c r="A6" s="43">
        <v>1</v>
      </c>
      <c r="B6" s="65" t="s">
        <v>124</v>
      </c>
      <c r="C6" s="66">
        <v>1</v>
      </c>
      <c r="D6" s="68">
        <v>3000</v>
      </c>
      <c r="E6" s="38">
        <f>SUM(D6*C6)</f>
        <v>3000</v>
      </c>
      <c r="F6" s="10"/>
    </row>
    <row r="7" spans="1:13" ht="21.75" customHeight="1" x14ac:dyDescent="0.55000000000000004">
      <c r="A7" s="3"/>
      <c r="B7" s="12" t="s">
        <v>8</v>
      </c>
      <c r="C7" s="14"/>
      <c r="D7" s="13"/>
      <c r="E7" s="13">
        <f>SUM(E6:E6)</f>
        <v>3000</v>
      </c>
      <c r="F7" s="7"/>
    </row>
    <row r="8" spans="1:13" ht="19.5" customHeight="1" x14ac:dyDescent="0.55000000000000004">
      <c r="A8" s="18"/>
      <c r="B8" s="19"/>
      <c r="C8" s="20"/>
      <c r="D8" s="15"/>
      <c r="E8" s="15"/>
      <c r="F8" s="21"/>
    </row>
    <row r="9" spans="1:13" ht="21.75" customHeight="1" x14ac:dyDescent="0.3">
      <c r="A9" s="95" t="s">
        <v>13</v>
      </c>
      <c r="B9" s="95"/>
      <c r="C9" s="95"/>
      <c r="D9" s="95"/>
      <c r="E9" s="95"/>
      <c r="F9" s="95"/>
    </row>
    <row r="10" spans="1:13" ht="21.75" customHeight="1" x14ac:dyDescent="0.3">
      <c r="A10" s="94" t="s">
        <v>128</v>
      </c>
      <c r="B10" s="94"/>
      <c r="C10" s="94"/>
      <c r="D10" s="94"/>
      <c r="E10" s="94"/>
      <c r="F10" s="94"/>
    </row>
    <row r="11" spans="1:13" ht="21.75" customHeight="1" x14ac:dyDescent="0.3">
      <c r="A11" s="37"/>
      <c r="B11" s="37"/>
      <c r="C11" s="37"/>
      <c r="D11" s="37"/>
      <c r="E11" s="37"/>
      <c r="F11" s="37"/>
      <c r="J11" s="16" t="s">
        <v>11</v>
      </c>
      <c r="M11" s="16" t="s">
        <v>9</v>
      </c>
    </row>
    <row r="12" spans="1:13" ht="21.75" customHeight="1" x14ac:dyDescent="0.3">
      <c r="A12" s="90" t="s">
        <v>48</v>
      </c>
      <c r="B12" s="90"/>
      <c r="C12" s="90"/>
      <c r="D12" s="90"/>
      <c r="E12" s="90"/>
      <c r="F12" s="90"/>
    </row>
    <row r="13" spans="1:13" ht="21.75" customHeight="1" x14ac:dyDescent="0.3">
      <c r="A13" s="111" t="s">
        <v>125</v>
      </c>
      <c r="B13" s="111"/>
      <c r="C13" s="111"/>
      <c r="D13" s="111"/>
      <c r="E13" s="111"/>
      <c r="F13" s="111"/>
    </row>
    <row r="14" spans="1:13" ht="21.75" customHeight="1" x14ac:dyDescent="0.3">
      <c r="A14" s="37"/>
      <c r="B14" s="37"/>
      <c r="C14" s="37"/>
      <c r="D14" s="37"/>
      <c r="E14" s="37"/>
      <c r="F14" s="37"/>
      <c r="J14" s="16"/>
      <c r="M14" s="16" t="s">
        <v>10</v>
      </c>
    </row>
    <row r="15" spans="1:13" ht="21.75" customHeight="1" x14ac:dyDescent="0.3">
      <c r="A15" s="91" t="s">
        <v>126</v>
      </c>
      <c r="B15" s="91"/>
      <c r="C15" s="91"/>
      <c r="D15" s="91"/>
      <c r="E15" s="91"/>
      <c r="F15" s="91"/>
      <c r="J15" s="16"/>
      <c r="M15" s="16"/>
    </row>
    <row r="16" spans="1:13" ht="21.75" customHeight="1" x14ac:dyDescent="0.3">
      <c r="A16" s="110" t="s">
        <v>127</v>
      </c>
      <c r="B16" s="110"/>
      <c r="C16" s="110"/>
      <c r="D16" s="110"/>
      <c r="E16" s="110"/>
      <c r="F16" s="110"/>
      <c r="G16" s="16"/>
      <c r="H16" s="16"/>
    </row>
    <row r="17" spans="1:10" ht="21.75" customHeight="1" x14ac:dyDescent="0.3">
      <c r="A17" s="22"/>
      <c r="B17" s="22"/>
      <c r="C17" s="22"/>
      <c r="D17" s="22"/>
      <c r="E17" s="22"/>
      <c r="F17" s="22"/>
      <c r="J17" s="17" t="s">
        <v>12</v>
      </c>
    </row>
  </sheetData>
  <mergeCells count="13">
    <mergeCell ref="A16:F16"/>
    <mergeCell ref="A1:F1"/>
    <mergeCell ref="A2:F2"/>
    <mergeCell ref="A3:F3"/>
    <mergeCell ref="A4:A5"/>
    <mergeCell ref="B4:B5"/>
    <mergeCell ref="C4:E4"/>
    <mergeCell ref="F4:F5"/>
    <mergeCell ref="A9:F9"/>
    <mergeCell ref="A10:F10"/>
    <mergeCell ref="A12:F12"/>
    <mergeCell ref="A13:F13"/>
    <mergeCell ref="A15:F15"/>
  </mergeCells>
  <pageMargins left="0.7" right="0.7" top="0.75" bottom="0.75" header="0.3" footer="0.3"/>
  <pageSetup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C269-E616-4768-8CF3-2A464027C9AB}">
  <dimension ref="A1:M18"/>
  <sheetViews>
    <sheetView topLeftCell="A4" workbookViewId="0">
      <selection activeCell="A11" sqref="A11:F11"/>
    </sheetView>
  </sheetViews>
  <sheetFormatPr defaultRowHeight="14.25" x14ac:dyDescent="0.2"/>
  <cols>
    <col min="1" max="1" width="5" customWidth="1"/>
    <col min="2" max="2" width="38.5" customWidth="1"/>
    <col min="3" max="3" width="6.125" customWidth="1"/>
    <col min="4" max="5" width="11.75" customWidth="1"/>
    <col min="6" max="6" width="11.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39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">
      <c r="A6" s="69">
        <v>1</v>
      </c>
      <c r="B6" s="40" t="s">
        <v>129</v>
      </c>
      <c r="C6" s="41">
        <v>1</v>
      </c>
      <c r="D6" s="42">
        <v>4900</v>
      </c>
      <c r="E6" s="70">
        <f>SUM(D6*C6)</f>
        <v>4900</v>
      </c>
      <c r="F6" s="33"/>
    </row>
    <row r="7" spans="1:13" ht="21.75" customHeight="1" x14ac:dyDescent="0.55000000000000004">
      <c r="A7" s="43">
        <v>2</v>
      </c>
      <c r="B7" s="40" t="s">
        <v>130</v>
      </c>
      <c r="C7" s="41">
        <v>1</v>
      </c>
      <c r="D7" s="42">
        <v>17900</v>
      </c>
      <c r="E7" s="70">
        <f>SUM(D7*C7)</f>
        <v>17900</v>
      </c>
      <c r="F7" s="10"/>
    </row>
    <row r="8" spans="1:13" ht="21.75" customHeight="1" x14ac:dyDescent="0.55000000000000004">
      <c r="A8" s="3"/>
      <c r="B8" s="12" t="s">
        <v>8</v>
      </c>
      <c r="C8" s="14"/>
      <c r="D8" s="13"/>
      <c r="E8" s="13">
        <f>SUM(E7:E7)</f>
        <v>17900</v>
      </c>
      <c r="F8" s="7"/>
    </row>
    <row r="9" spans="1:13" ht="19.5" customHeight="1" x14ac:dyDescent="0.55000000000000004">
      <c r="A9" s="18"/>
      <c r="B9" s="19"/>
      <c r="C9" s="20"/>
      <c r="D9" s="15"/>
      <c r="E9" s="15"/>
      <c r="F9" s="21"/>
    </row>
    <row r="10" spans="1:13" ht="21.75" customHeight="1" x14ac:dyDescent="0.3">
      <c r="A10" s="95" t="s">
        <v>13</v>
      </c>
      <c r="B10" s="95"/>
      <c r="C10" s="95"/>
      <c r="D10" s="95"/>
      <c r="E10" s="95"/>
      <c r="F10" s="95"/>
    </row>
    <row r="11" spans="1:13" ht="21.75" customHeight="1" x14ac:dyDescent="0.3">
      <c r="A11" s="94" t="s">
        <v>128</v>
      </c>
      <c r="B11" s="94"/>
      <c r="C11" s="94"/>
      <c r="D11" s="94"/>
      <c r="E11" s="94"/>
      <c r="F11" s="94"/>
    </row>
    <row r="12" spans="1:13" ht="21.75" customHeight="1" x14ac:dyDescent="0.3">
      <c r="A12" s="37"/>
      <c r="B12" s="37"/>
      <c r="C12" s="37"/>
      <c r="D12" s="37"/>
      <c r="E12" s="37"/>
      <c r="F12" s="37"/>
      <c r="J12" s="16" t="s">
        <v>11</v>
      </c>
      <c r="M12" s="16" t="s">
        <v>9</v>
      </c>
    </row>
    <row r="13" spans="1:13" ht="21.75" customHeight="1" x14ac:dyDescent="0.3">
      <c r="A13" s="90" t="s">
        <v>55</v>
      </c>
      <c r="B13" s="90"/>
      <c r="C13" s="90"/>
      <c r="D13" s="90"/>
      <c r="E13" s="90"/>
      <c r="F13" s="90"/>
    </row>
    <row r="14" spans="1:13" ht="21.75" customHeight="1" x14ac:dyDescent="0.3">
      <c r="A14" s="112" t="s">
        <v>131</v>
      </c>
      <c r="B14" s="112"/>
      <c r="C14" s="112"/>
      <c r="D14" s="112"/>
      <c r="E14" s="112"/>
      <c r="F14" s="112"/>
    </row>
    <row r="15" spans="1:13" ht="21.75" customHeight="1" x14ac:dyDescent="0.3">
      <c r="A15" s="37"/>
      <c r="B15" s="37"/>
      <c r="C15" s="37"/>
      <c r="D15" s="37"/>
      <c r="E15" s="37"/>
      <c r="F15" s="37"/>
      <c r="J15" s="16"/>
      <c r="M15" s="16" t="s">
        <v>10</v>
      </c>
    </row>
    <row r="16" spans="1:13" ht="21.75" customHeight="1" x14ac:dyDescent="0.3">
      <c r="A16" s="91" t="s">
        <v>126</v>
      </c>
      <c r="B16" s="91"/>
      <c r="C16" s="91"/>
      <c r="D16" s="91"/>
      <c r="E16" s="91"/>
      <c r="F16" s="91"/>
      <c r="J16" s="16"/>
      <c r="M16" s="16"/>
    </row>
    <row r="17" spans="1:10" ht="21.75" customHeight="1" x14ac:dyDescent="0.3">
      <c r="A17" s="92" t="s">
        <v>132</v>
      </c>
      <c r="B17" s="92"/>
      <c r="C17" s="92"/>
      <c r="D17" s="92"/>
      <c r="E17" s="92"/>
      <c r="F17" s="92"/>
      <c r="G17" s="16"/>
      <c r="H17" s="16"/>
    </row>
    <row r="18" spans="1:10" ht="21.75" customHeight="1" x14ac:dyDescent="0.3">
      <c r="A18" s="22"/>
      <c r="B18" s="22"/>
      <c r="C18" s="22"/>
      <c r="D18" s="22"/>
      <c r="E18" s="22"/>
      <c r="F18" s="22"/>
      <c r="J18" s="17" t="s">
        <v>12</v>
      </c>
    </row>
  </sheetData>
  <mergeCells count="13">
    <mergeCell ref="A17:F17"/>
    <mergeCell ref="A1:F1"/>
    <mergeCell ref="A2:F2"/>
    <mergeCell ref="A3:F3"/>
    <mergeCell ref="A4:A5"/>
    <mergeCell ref="B4:B5"/>
    <mergeCell ref="C4:E4"/>
    <mergeCell ref="F4:F5"/>
    <mergeCell ref="A10:F10"/>
    <mergeCell ref="A11:F11"/>
    <mergeCell ref="A13:F13"/>
    <mergeCell ref="A14:F14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6A824-D740-4074-B405-7AF280519F5B}">
  <dimension ref="A1:M17"/>
  <sheetViews>
    <sheetView topLeftCell="A3" workbookViewId="0">
      <selection activeCell="H15" sqref="H15"/>
    </sheetView>
  </sheetViews>
  <sheetFormatPr defaultRowHeight="14.25" x14ac:dyDescent="0.2"/>
  <cols>
    <col min="1" max="1" width="5" customWidth="1"/>
    <col min="2" max="2" width="39.12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40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">
      <c r="A6" s="34">
        <v>1</v>
      </c>
      <c r="B6" s="40" t="s">
        <v>25</v>
      </c>
      <c r="C6" s="41">
        <v>2</v>
      </c>
      <c r="D6" s="42">
        <v>3200</v>
      </c>
      <c r="E6" s="70">
        <f>SUM(D6*C6)</f>
        <v>6400</v>
      </c>
      <c r="F6" s="33"/>
    </row>
    <row r="7" spans="1:13" ht="21.75" customHeight="1" x14ac:dyDescent="0.55000000000000004">
      <c r="A7" s="3"/>
      <c r="B7" s="12" t="s">
        <v>8</v>
      </c>
      <c r="C7" s="14"/>
      <c r="D7" s="13"/>
      <c r="E7" s="13">
        <f>SUM(E6:E6)</f>
        <v>6400</v>
      </c>
      <c r="F7" s="7"/>
    </row>
    <row r="8" spans="1:13" ht="19.5" customHeight="1" x14ac:dyDescent="0.55000000000000004">
      <c r="A8" s="18"/>
      <c r="B8" s="19"/>
      <c r="C8" s="20"/>
      <c r="D8" s="15"/>
      <c r="E8" s="15"/>
      <c r="F8" s="21"/>
    </row>
    <row r="9" spans="1:13" ht="21.75" customHeight="1" x14ac:dyDescent="0.3">
      <c r="A9" s="90" t="s">
        <v>138</v>
      </c>
      <c r="B9" s="90"/>
      <c r="C9" s="90"/>
      <c r="D9" s="90"/>
      <c r="E9" s="90"/>
      <c r="F9" s="90"/>
    </row>
    <row r="10" spans="1:13" ht="21.75" customHeight="1" x14ac:dyDescent="0.3">
      <c r="A10" s="94" t="s">
        <v>134</v>
      </c>
      <c r="B10" s="94"/>
      <c r="C10" s="94"/>
      <c r="D10" s="94"/>
      <c r="E10" s="94"/>
      <c r="F10" s="94"/>
    </row>
    <row r="11" spans="1:13" ht="21.75" customHeight="1" x14ac:dyDescent="0.3">
      <c r="A11" s="37"/>
      <c r="B11" s="37"/>
      <c r="C11" s="37"/>
      <c r="D11" s="37"/>
      <c r="E11" s="37"/>
      <c r="F11" s="37"/>
      <c r="J11" s="16" t="s">
        <v>11</v>
      </c>
      <c r="M11" s="16" t="s">
        <v>9</v>
      </c>
    </row>
    <row r="12" spans="1:13" ht="21.75" customHeight="1" x14ac:dyDescent="0.3">
      <c r="A12" s="90" t="s">
        <v>135</v>
      </c>
      <c r="B12" s="90"/>
      <c r="C12" s="90"/>
      <c r="D12" s="90"/>
      <c r="E12" s="90"/>
      <c r="F12" s="90"/>
    </row>
    <row r="13" spans="1:13" ht="21.75" customHeight="1" x14ac:dyDescent="0.3">
      <c r="A13" s="111" t="s">
        <v>136</v>
      </c>
      <c r="B13" s="111"/>
      <c r="C13" s="111"/>
      <c r="D13" s="111"/>
      <c r="E13" s="111"/>
      <c r="F13" s="111"/>
    </row>
    <row r="14" spans="1:13" ht="21.75" customHeight="1" x14ac:dyDescent="0.3">
      <c r="A14" s="37"/>
      <c r="B14" s="37"/>
      <c r="C14" s="37"/>
      <c r="D14" s="37"/>
      <c r="E14" s="37"/>
      <c r="F14" s="37"/>
      <c r="J14" s="16"/>
      <c r="M14" s="16" t="s">
        <v>10</v>
      </c>
    </row>
    <row r="15" spans="1:13" ht="21.75" customHeight="1" x14ac:dyDescent="0.3">
      <c r="A15" s="91" t="s">
        <v>137</v>
      </c>
      <c r="B15" s="91"/>
      <c r="C15" s="91"/>
      <c r="D15" s="91"/>
      <c r="E15" s="91"/>
      <c r="F15" s="91"/>
      <c r="J15" s="16"/>
      <c r="M15" s="16"/>
    </row>
    <row r="16" spans="1:13" ht="21.75" customHeight="1" x14ac:dyDescent="0.3">
      <c r="A16" s="91" t="s">
        <v>133</v>
      </c>
      <c r="B16" s="91"/>
      <c r="C16" s="91"/>
      <c r="D16" s="91"/>
      <c r="E16" s="91"/>
      <c r="F16" s="91"/>
      <c r="G16" s="16"/>
      <c r="H16" s="16"/>
    </row>
    <row r="17" spans="1:10" ht="21.75" customHeight="1" x14ac:dyDescent="0.3">
      <c r="A17" s="22"/>
      <c r="B17" s="22"/>
      <c r="C17" s="22"/>
      <c r="D17" s="22"/>
      <c r="E17" s="22"/>
      <c r="F17" s="22"/>
      <c r="J17" s="17" t="s">
        <v>12</v>
      </c>
    </row>
  </sheetData>
  <mergeCells count="13">
    <mergeCell ref="A16:F16"/>
    <mergeCell ref="A1:F1"/>
    <mergeCell ref="A2:F2"/>
    <mergeCell ref="A3:F3"/>
    <mergeCell ref="A4:A5"/>
    <mergeCell ref="B4:B5"/>
    <mergeCell ref="C4:E4"/>
    <mergeCell ref="F4:F5"/>
    <mergeCell ref="A9:F9"/>
    <mergeCell ref="A10:F10"/>
    <mergeCell ref="A12:F12"/>
    <mergeCell ref="A13:F13"/>
    <mergeCell ref="A15:F15"/>
  </mergeCells>
  <pageMargins left="0.7" right="0.7" top="0.75" bottom="0.75" header="0.3" footer="0.3"/>
  <pageSetup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2FBC0-DBA5-4CBD-8264-9DD2C2869D34}">
  <dimension ref="A1:M19"/>
  <sheetViews>
    <sheetView topLeftCell="A10" workbookViewId="0">
      <selection activeCell="A17" sqref="A17:F17"/>
    </sheetView>
  </sheetViews>
  <sheetFormatPr defaultRowHeight="14.25" x14ac:dyDescent="0.2"/>
  <cols>
    <col min="1" max="1" width="5" customWidth="1"/>
    <col min="2" max="2" width="38.625" customWidth="1"/>
    <col min="3" max="3" width="6.125" customWidth="1"/>
    <col min="4" max="5" width="11.5" customWidth="1"/>
    <col min="6" max="6" width="12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41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2">
      <c r="A6" s="34">
        <v>1</v>
      </c>
      <c r="B6" s="72" t="s">
        <v>139</v>
      </c>
      <c r="C6" s="73">
        <v>1</v>
      </c>
      <c r="D6" s="74">
        <v>1700</v>
      </c>
      <c r="E6" s="36">
        <f>SUM(D6*C6)</f>
        <v>1700</v>
      </c>
      <c r="F6" s="33"/>
    </row>
    <row r="7" spans="1:13" ht="21.75" customHeight="1" x14ac:dyDescent="0.2">
      <c r="A7" s="34">
        <v>2</v>
      </c>
      <c r="B7" s="72" t="s">
        <v>26</v>
      </c>
      <c r="C7" s="73">
        <v>1</v>
      </c>
      <c r="D7" s="74">
        <v>1100</v>
      </c>
      <c r="E7" s="36">
        <f t="shared" ref="E7:E8" si="0">SUM(D7*C7)</f>
        <v>1100</v>
      </c>
      <c r="F7" s="33"/>
    </row>
    <row r="8" spans="1:13" ht="21.75" customHeight="1" x14ac:dyDescent="0.55000000000000004">
      <c r="A8" s="34">
        <v>3</v>
      </c>
      <c r="B8" s="72" t="s">
        <v>25</v>
      </c>
      <c r="C8" s="73">
        <v>1</v>
      </c>
      <c r="D8" s="74">
        <v>3500</v>
      </c>
      <c r="E8" s="36">
        <f t="shared" si="0"/>
        <v>3500</v>
      </c>
      <c r="F8" s="10"/>
    </row>
    <row r="9" spans="1:13" ht="21.75" customHeight="1" x14ac:dyDescent="0.55000000000000004">
      <c r="A9" s="3"/>
      <c r="B9" s="12" t="s">
        <v>8</v>
      </c>
      <c r="C9" s="14"/>
      <c r="D9" s="13"/>
      <c r="E9" s="13">
        <f>SUM(E6:E8)</f>
        <v>6300</v>
      </c>
      <c r="F9" s="7"/>
    </row>
    <row r="10" spans="1:13" ht="19.5" customHeight="1" x14ac:dyDescent="0.55000000000000004">
      <c r="A10" s="18"/>
      <c r="B10" s="19"/>
      <c r="C10" s="20"/>
      <c r="D10" s="15"/>
      <c r="E10" s="15"/>
      <c r="F10" s="21"/>
    </row>
    <row r="11" spans="1:13" ht="21.75" customHeight="1" x14ac:dyDescent="0.3">
      <c r="A11" s="90" t="s">
        <v>140</v>
      </c>
      <c r="B11" s="90"/>
      <c r="C11" s="90"/>
      <c r="D11" s="90"/>
      <c r="E11" s="90"/>
      <c r="F11" s="90"/>
    </row>
    <row r="12" spans="1:13" ht="21.75" customHeight="1" x14ac:dyDescent="0.3">
      <c r="A12" s="94" t="s">
        <v>141</v>
      </c>
      <c r="B12" s="94"/>
      <c r="C12" s="94"/>
      <c r="D12" s="94"/>
      <c r="E12" s="94"/>
      <c r="F12" s="94"/>
    </row>
    <row r="13" spans="1:13" ht="21.75" customHeight="1" x14ac:dyDescent="0.3">
      <c r="A13" s="37"/>
      <c r="B13" s="37"/>
      <c r="C13" s="37"/>
      <c r="D13" s="37"/>
      <c r="E13" s="37"/>
      <c r="F13" s="37"/>
      <c r="J13" s="16" t="s">
        <v>11</v>
      </c>
      <c r="M13" s="16" t="s">
        <v>9</v>
      </c>
    </row>
    <row r="14" spans="1:13" ht="21.75" customHeight="1" x14ac:dyDescent="0.3">
      <c r="A14" s="90" t="s">
        <v>142</v>
      </c>
      <c r="B14" s="90"/>
      <c r="C14" s="90"/>
      <c r="D14" s="90"/>
      <c r="E14" s="90"/>
      <c r="F14" s="90"/>
    </row>
    <row r="15" spans="1:13" ht="21.75" customHeight="1" x14ac:dyDescent="0.3">
      <c r="A15" s="112" t="s">
        <v>145</v>
      </c>
      <c r="B15" s="112"/>
      <c r="C15" s="112"/>
      <c r="D15" s="112"/>
      <c r="E15" s="112"/>
      <c r="F15" s="112"/>
    </row>
    <row r="16" spans="1:13" ht="21.75" customHeight="1" x14ac:dyDescent="0.3">
      <c r="A16" s="37"/>
      <c r="B16" s="37"/>
      <c r="C16" s="37"/>
      <c r="D16" s="37"/>
      <c r="E16" s="37"/>
      <c r="F16" s="37"/>
      <c r="J16" s="16"/>
      <c r="M16" s="16" t="s">
        <v>10</v>
      </c>
    </row>
    <row r="17" spans="1:13" ht="21.75" customHeight="1" x14ac:dyDescent="0.3">
      <c r="A17" s="91" t="s">
        <v>143</v>
      </c>
      <c r="B17" s="91"/>
      <c r="C17" s="91"/>
      <c r="D17" s="91"/>
      <c r="E17" s="91"/>
      <c r="F17" s="91"/>
      <c r="J17" s="16"/>
      <c r="M17" s="16"/>
    </row>
    <row r="18" spans="1:13" ht="21.75" customHeight="1" x14ac:dyDescent="0.3">
      <c r="A18" s="110" t="s">
        <v>144</v>
      </c>
      <c r="B18" s="110"/>
      <c r="C18" s="110"/>
      <c r="D18" s="110"/>
      <c r="E18" s="110"/>
      <c r="F18" s="110"/>
      <c r="G18" s="16"/>
      <c r="H18" s="16"/>
    </row>
    <row r="19" spans="1:13" ht="21.75" customHeight="1" x14ac:dyDescent="0.3">
      <c r="A19" s="22"/>
      <c r="B19" s="22"/>
      <c r="C19" s="22"/>
      <c r="D19" s="22"/>
      <c r="E19" s="22"/>
      <c r="F19" s="22"/>
      <c r="J19" s="17" t="s">
        <v>12</v>
      </c>
    </row>
  </sheetData>
  <mergeCells count="13">
    <mergeCell ref="A18:F18"/>
    <mergeCell ref="A1:F1"/>
    <mergeCell ref="A2:F2"/>
    <mergeCell ref="A3:F3"/>
    <mergeCell ref="A4:A5"/>
    <mergeCell ref="B4:B5"/>
    <mergeCell ref="C4:E4"/>
    <mergeCell ref="F4:F5"/>
    <mergeCell ref="A11:F11"/>
    <mergeCell ref="A12:F12"/>
    <mergeCell ref="A14:F14"/>
    <mergeCell ref="A15:F15"/>
    <mergeCell ref="A17:F17"/>
  </mergeCells>
  <pageMargins left="0.7" right="0.7" top="0.75" bottom="0.75" header="0.3" footer="0.3"/>
  <pageSetup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E1DC-DB24-41E2-BA43-E74081C4547F}">
  <dimension ref="A1:M18"/>
  <sheetViews>
    <sheetView workbookViewId="0">
      <selection activeCell="A13" sqref="A13:F13"/>
    </sheetView>
  </sheetViews>
  <sheetFormatPr defaultRowHeight="14.25" x14ac:dyDescent="0.2"/>
  <cols>
    <col min="1" max="1" width="5" customWidth="1"/>
    <col min="2" max="2" width="41" customWidth="1"/>
    <col min="3" max="3" width="6.125" customWidth="1"/>
    <col min="4" max="5" width="12" customWidth="1"/>
    <col min="6" max="6" width="8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42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2">
      <c r="A6" s="34">
        <v>1</v>
      </c>
      <c r="B6" s="72" t="s">
        <v>148</v>
      </c>
      <c r="C6" s="35">
        <v>1</v>
      </c>
      <c r="D6" s="74">
        <v>1006.25</v>
      </c>
      <c r="E6" s="36">
        <f>SUM(D6*C6)</f>
        <v>1006.25</v>
      </c>
      <c r="F6" s="33"/>
    </row>
    <row r="7" spans="1:13" ht="21.75" customHeight="1" x14ac:dyDescent="0.2">
      <c r="A7" s="34">
        <v>2</v>
      </c>
      <c r="B7" s="72" t="s">
        <v>25</v>
      </c>
      <c r="C7" s="35">
        <v>2</v>
      </c>
      <c r="D7" s="74">
        <v>3200</v>
      </c>
      <c r="E7" s="36">
        <f>SUM(D7*C7)</f>
        <v>6400</v>
      </c>
      <c r="F7" s="33"/>
    </row>
    <row r="8" spans="1:13" ht="21.75" customHeight="1" x14ac:dyDescent="0.55000000000000004">
      <c r="A8" s="3"/>
      <c r="B8" s="12" t="s">
        <v>8</v>
      </c>
      <c r="C8" s="14"/>
      <c r="D8" s="13"/>
      <c r="E8" s="13">
        <f>SUM(E6:E7)</f>
        <v>7406.25</v>
      </c>
      <c r="F8" s="7"/>
    </row>
    <row r="9" spans="1:13" ht="19.5" customHeight="1" x14ac:dyDescent="0.55000000000000004">
      <c r="A9" s="18"/>
      <c r="B9" s="19"/>
      <c r="C9" s="20"/>
      <c r="D9" s="15"/>
      <c r="E9" s="15"/>
      <c r="F9" s="21"/>
    </row>
    <row r="10" spans="1:13" ht="21.75" customHeight="1" x14ac:dyDescent="0.3">
      <c r="A10" s="90" t="s">
        <v>138</v>
      </c>
      <c r="B10" s="90"/>
      <c r="C10" s="90"/>
      <c r="D10" s="90"/>
      <c r="E10" s="90"/>
      <c r="F10" s="90"/>
    </row>
    <row r="11" spans="1:13" ht="21.75" customHeight="1" x14ac:dyDescent="0.3">
      <c r="A11" s="94" t="s">
        <v>146</v>
      </c>
      <c r="B11" s="94"/>
      <c r="C11" s="94"/>
      <c r="D11" s="94"/>
      <c r="E11" s="94"/>
      <c r="F11" s="94"/>
    </row>
    <row r="12" spans="1:13" ht="21.75" customHeight="1" x14ac:dyDescent="0.3">
      <c r="A12" s="37"/>
      <c r="B12" s="37"/>
      <c r="C12" s="37"/>
      <c r="D12" s="37"/>
      <c r="E12" s="37"/>
      <c r="F12" s="37"/>
      <c r="J12" s="16" t="s">
        <v>11</v>
      </c>
      <c r="M12" s="16" t="s">
        <v>9</v>
      </c>
    </row>
    <row r="13" spans="1:13" ht="21.75" customHeight="1" x14ac:dyDescent="0.3">
      <c r="A13" s="90" t="s">
        <v>135</v>
      </c>
      <c r="B13" s="90"/>
      <c r="C13" s="90"/>
      <c r="D13" s="90"/>
      <c r="E13" s="90"/>
      <c r="F13" s="90"/>
    </row>
    <row r="14" spans="1:13" ht="21.75" customHeight="1" x14ac:dyDescent="0.3">
      <c r="A14" s="111" t="s">
        <v>147</v>
      </c>
      <c r="B14" s="111"/>
      <c r="C14" s="111"/>
      <c r="D14" s="111"/>
      <c r="E14" s="111"/>
      <c r="F14" s="111"/>
    </row>
    <row r="15" spans="1:13" ht="21.75" customHeight="1" x14ac:dyDescent="0.3">
      <c r="A15" s="37"/>
      <c r="B15" s="37"/>
      <c r="C15" s="37"/>
      <c r="D15" s="37"/>
      <c r="E15" s="37"/>
      <c r="F15" s="37"/>
      <c r="J15" s="16"/>
      <c r="M15" s="16" t="s">
        <v>10</v>
      </c>
    </row>
    <row r="16" spans="1:13" ht="21.75" customHeight="1" x14ac:dyDescent="0.3">
      <c r="A16" s="91" t="s">
        <v>137</v>
      </c>
      <c r="B16" s="91"/>
      <c r="C16" s="91"/>
      <c r="D16" s="91"/>
      <c r="E16" s="91"/>
      <c r="F16" s="91"/>
      <c r="J16" s="16"/>
      <c r="M16" s="16"/>
    </row>
    <row r="17" spans="1:10" ht="21.75" customHeight="1" x14ac:dyDescent="0.3">
      <c r="A17" s="91" t="s">
        <v>161</v>
      </c>
      <c r="B17" s="91"/>
      <c r="C17" s="91"/>
      <c r="D17" s="91"/>
      <c r="E17" s="91"/>
      <c r="F17" s="91"/>
      <c r="G17" s="16"/>
      <c r="H17" s="16"/>
    </row>
    <row r="18" spans="1:10" ht="21.75" customHeight="1" x14ac:dyDescent="0.3">
      <c r="A18" s="22"/>
      <c r="B18" s="22"/>
      <c r="C18" s="22"/>
      <c r="D18" s="22"/>
      <c r="E18" s="22"/>
      <c r="F18" s="22"/>
      <c r="J18" s="17" t="s">
        <v>12</v>
      </c>
    </row>
  </sheetData>
  <mergeCells count="13">
    <mergeCell ref="A17:F17"/>
    <mergeCell ref="A1:F1"/>
    <mergeCell ref="A2:F2"/>
    <mergeCell ref="A3:F3"/>
    <mergeCell ref="A4:A5"/>
    <mergeCell ref="B4:B5"/>
    <mergeCell ref="C4:E4"/>
    <mergeCell ref="F4:F5"/>
    <mergeCell ref="A10:F10"/>
    <mergeCell ref="A11:F11"/>
    <mergeCell ref="A13:F13"/>
    <mergeCell ref="A14:F14"/>
    <mergeCell ref="A16:F16"/>
  </mergeCells>
  <pageMargins left="0.7" right="0.7" top="0.75" bottom="0.75" header="0.3" footer="0.3"/>
  <pageSetup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35FA-6A17-482B-B076-69703F50506E}">
  <dimension ref="A1:M21"/>
  <sheetViews>
    <sheetView workbookViewId="0">
      <selection activeCell="A14" sqref="A14:F14"/>
    </sheetView>
  </sheetViews>
  <sheetFormatPr defaultRowHeight="14.25" x14ac:dyDescent="0.2"/>
  <cols>
    <col min="1" max="1" width="5" customWidth="1"/>
    <col min="2" max="2" width="39.125" customWidth="1"/>
    <col min="3" max="3" width="6.125" customWidth="1"/>
    <col min="4" max="4" width="12.125" customWidth="1"/>
    <col min="5" max="5" width="13.125" customWidth="1"/>
    <col min="6" max="6" width="8.75" customWidth="1"/>
  </cols>
  <sheetData>
    <row r="1" spans="1:13" ht="25.5" customHeight="1" x14ac:dyDescent="0.55000000000000004">
      <c r="A1" s="79" t="s">
        <v>3</v>
      </c>
      <c r="B1" s="79"/>
      <c r="C1" s="79"/>
      <c r="D1" s="79"/>
      <c r="E1" s="79"/>
      <c r="F1" s="79"/>
    </row>
    <row r="2" spans="1:13" ht="25.5" customHeight="1" x14ac:dyDescent="0.2">
      <c r="A2" s="80" t="s">
        <v>44</v>
      </c>
      <c r="B2" s="80"/>
      <c r="C2" s="80"/>
      <c r="D2" s="80"/>
      <c r="E2" s="80"/>
      <c r="F2" s="80"/>
    </row>
    <row r="3" spans="1:13" ht="25.5" customHeight="1" x14ac:dyDescent="0.2">
      <c r="A3" s="80" t="s">
        <v>43</v>
      </c>
      <c r="B3" s="80"/>
      <c r="C3" s="80"/>
      <c r="D3" s="80"/>
      <c r="E3" s="80"/>
      <c r="F3" s="80"/>
    </row>
    <row r="4" spans="1:13" ht="21.75" customHeight="1" x14ac:dyDescent="0.55000000000000004">
      <c r="A4" s="88" t="s">
        <v>0</v>
      </c>
      <c r="B4" s="81" t="s">
        <v>4</v>
      </c>
      <c r="C4" s="83" t="s">
        <v>5</v>
      </c>
      <c r="D4" s="84"/>
      <c r="E4" s="85"/>
      <c r="F4" s="86" t="s">
        <v>2</v>
      </c>
    </row>
    <row r="5" spans="1:13" ht="21.75" customHeight="1" x14ac:dyDescent="0.2">
      <c r="A5" s="89"/>
      <c r="B5" s="82"/>
      <c r="C5" s="2" t="s">
        <v>1</v>
      </c>
      <c r="D5" s="1" t="s">
        <v>6</v>
      </c>
      <c r="E5" s="11" t="s">
        <v>7</v>
      </c>
      <c r="F5" s="87"/>
    </row>
    <row r="6" spans="1:13" ht="21.75" customHeight="1" x14ac:dyDescent="0.5">
      <c r="A6" s="34">
        <v>1</v>
      </c>
      <c r="B6" s="75" t="s">
        <v>150</v>
      </c>
      <c r="C6" s="76">
        <v>1</v>
      </c>
      <c r="D6" s="77">
        <v>7500</v>
      </c>
      <c r="E6" s="71">
        <f>SUM(D6*C6)</f>
        <v>7500</v>
      </c>
      <c r="F6" s="33"/>
    </row>
    <row r="7" spans="1:13" ht="21.75" customHeight="1" x14ac:dyDescent="0.5">
      <c r="A7" s="34">
        <v>2</v>
      </c>
      <c r="B7" s="75" t="s">
        <v>151</v>
      </c>
      <c r="C7" s="78">
        <v>4</v>
      </c>
      <c r="D7" s="77">
        <v>8000</v>
      </c>
      <c r="E7" s="71">
        <f t="shared" ref="E7:E10" si="0">SUM(D7*C7)</f>
        <v>32000</v>
      </c>
      <c r="F7" s="33"/>
    </row>
    <row r="8" spans="1:13" ht="21.75" customHeight="1" x14ac:dyDescent="0.5">
      <c r="A8" s="34">
        <v>3</v>
      </c>
      <c r="B8" s="75" t="s">
        <v>152</v>
      </c>
      <c r="C8" s="78">
        <v>3</v>
      </c>
      <c r="D8" s="77">
        <v>5000</v>
      </c>
      <c r="E8" s="71">
        <f t="shared" si="0"/>
        <v>15000</v>
      </c>
      <c r="F8" s="33"/>
    </row>
    <row r="9" spans="1:13" ht="21.75" customHeight="1" x14ac:dyDescent="0.5">
      <c r="A9" s="34">
        <v>4</v>
      </c>
      <c r="B9" s="75" t="s">
        <v>153</v>
      </c>
      <c r="C9" s="78">
        <v>5</v>
      </c>
      <c r="D9" s="77">
        <v>9581.85</v>
      </c>
      <c r="E9" s="71">
        <f t="shared" si="0"/>
        <v>47909.25</v>
      </c>
      <c r="F9" s="33"/>
    </row>
    <row r="10" spans="1:13" ht="21.75" customHeight="1" x14ac:dyDescent="0.5">
      <c r="A10" s="34">
        <v>5</v>
      </c>
      <c r="B10" s="75" t="s">
        <v>154</v>
      </c>
      <c r="C10" s="78">
        <v>1</v>
      </c>
      <c r="D10" s="77">
        <v>1450</v>
      </c>
      <c r="E10" s="71">
        <f t="shared" si="0"/>
        <v>1450</v>
      </c>
      <c r="F10" s="33"/>
    </row>
    <row r="11" spans="1:13" ht="21.75" customHeight="1" x14ac:dyDescent="0.55000000000000004">
      <c r="A11" s="3"/>
      <c r="B11" s="12" t="s">
        <v>8</v>
      </c>
      <c r="C11" s="14"/>
      <c r="D11" s="13"/>
      <c r="E11" s="13">
        <f>SUM(E6:E10)</f>
        <v>103859.25</v>
      </c>
      <c r="F11" s="7"/>
    </row>
    <row r="12" spans="1:13" ht="19.5" customHeight="1" x14ac:dyDescent="0.55000000000000004">
      <c r="A12" s="18"/>
      <c r="B12" s="19"/>
      <c r="C12" s="20"/>
      <c r="D12" s="15"/>
      <c r="E12" s="15"/>
      <c r="F12" s="21"/>
    </row>
    <row r="13" spans="1:13" ht="21.75" customHeight="1" x14ac:dyDescent="0.3">
      <c r="A13" s="90" t="s">
        <v>138</v>
      </c>
      <c r="B13" s="90"/>
      <c r="C13" s="90"/>
      <c r="D13" s="90"/>
      <c r="E13" s="90"/>
      <c r="F13" s="90"/>
    </row>
    <row r="14" spans="1:13" ht="21.75" customHeight="1" x14ac:dyDescent="0.3">
      <c r="A14" s="94" t="s">
        <v>156</v>
      </c>
      <c r="B14" s="94"/>
      <c r="C14" s="94"/>
      <c r="D14" s="94"/>
      <c r="E14" s="94"/>
      <c r="F14" s="94"/>
    </row>
    <row r="15" spans="1:13" ht="21.75" customHeight="1" x14ac:dyDescent="0.3">
      <c r="A15" s="37"/>
      <c r="B15" s="37"/>
      <c r="C15" s="37"/>
      <c r="D15" s="37"/>
      <c r="E15" s="37"/>
      <c r="F15" s="37"/>
      <c r="J15" s="16" t="s">
        <v>11</v>
      </c>
      <c r="M15" s="16" t="s">
        <v>9</v>
      </c>
    </row>
    <row r="16" spans="1:13" ht="21.75" customHeight="1" x14ac:dyDescent="0.3">
      <c r="A16" s="90" t="s">
        <v>135</v>
      </c>
      <c r="B16" s="90"/>
      <c r="C16" s="90"/>
      <c r="D16" s="90"/>
      <c r="E16" s="90"/>
      <c r="F16" s="90"/>
    </row>
    <row r="17" spans="1:13" ht="21.75" customHeight="1" x14ac:dyDescent="0.3">
      <c r="A17" s="111" t="s">
        <v>155</v>
      </c>
      <c r="B17" s="111"/>
      <c r="C17" s="111"/>
      <c r="D17" s="111"/>
      <c r="E17" s="111"/>
      <c r="F17" s="111"/>
    </row>
    <row r="18" spans="1:13" ht="21.75" customHeight="1" x14ac:dyDescent="0.3">
      <c r="A18" s="37"/>
      <c r="B18" s="37"/>
      <c r="C18" s="37"/>
      <c r="D18" s="37"/>
      <c r="E18" s="37"/>
      <c r="F18" s="37"/>
      <c r="J18" s="16"/>
      <c r="M18" s="16" t="s">
        <v>10</v>
      </c>
    </row>
    <row r="19" spans="1:13" ht="21.75" customHeight="1" x14ac:dyDescent="0.3">
      <c r="A19" s="91" t="s">
        <v>137</v>
      </c>
      <c r="B19" s="91"/>
      <c r="C19" s="91"/>
      <c r="D19" s="91"/>
      <c r="E19" s="91"/>
      <c r="F19" s="91"/>
      <c r="J19" s="16"/>
      <c r="M19" s="16"/>
    </row>
    <row r="20" spans="1:13" ht="21.75" customHeight="1" x14ac:dyDescent="0.3">
      <c r="A20" s="91" t="s">
        <v>149</v>
      </c>
      <c r="B20" s="91"/>
      <c r="C20" s="91"/>
      <c r="D20" s="91"/>
      <c r="E20" s="91"/>
      <c r="F20" s="91"/>
      <c r="G20" s="16"/>
      <c r="H20" s="16"/>
    </row>
    <row r="21" spans="1:13" ht="21.75" customHeight="1" x14ac:dyDescent="0.3">
      <c r="A21" s="22"/>
      <c r="B21" s="22"/>
      <c r="C21" s="22"/>
      <c r="D21" s="22"/>
      <c r="E21" s="22"/>
      <c r="F21" s="22"/>
      <c r="J21" s="17" t="s">
        <v>12</v>
      </c>
    </row>
  </sheetData>
  <mergeCells count="13">
    <mergeCell ref="A20:F20"/>
    <mergeCell ref="A1:F1"/>
    <mergeCell ref="A2:F2"/>
    <mergeCell ref="A3:F3"/>
    <mergeCell ref="A4:A5"/>
    <mergeCell ref="B4:B5"/>
    <mergeCell ref="C4:E4"/>
    <mergeCell ref="F4:F5"/>
    <mergeCell ref="A13:F13"/>
    <mergeCell ref="A14:F14"/>
    <mergeCell ref="A16:F16"/>
    <mergeCell ref="A17:F17"/>
    <mergeCell ref="A19:F19"/>
  </mergeCells>
  <pageMargins left="0.7" right="0.7" top="0.75" bottom="0.75" header="0.3" footer="0.3"/>
  <pageSetup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01372-7022-4839-825C-841D9956C0C1}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20</vt:i4>
      </vt:variant>
    </vt:vector>
  </HeadingPairs>
  <TitlesOfParts>
    <vt:vector size="20" baseType="lpstr">
      <vt:lpstr>งานการเงิน</vt:lpstr>
      <vt:lpstr>บริหารงานทั่วไป</vt:lpstr>
      <vt:lpstr>งานพัสดุ</vt:lpstr>
      <vt:lpstr>งานบัญชี</vt:lpstr>
      <vt:lpstr>งานบุคลากร</vt:lpstr>
      <vt:lpstr>งานประชาสัมพันธ์</vt:lpstr>
      <vt:lpstr>งานอาคาร</vt:lpstr>
      <vt:lpstr>งานทะเบียน</vt:lpstr>
      <vt:lpstr>งานส่งเสริมผลิตผลการค้า</vt:lpstr>
      <vt:lpstr>งานความร่วมมือ</vt:lpstr>
      <vt:lpstr>งานประกันคุณภาพ</vt:lpstr>
      <vt:lpstr>งานกิจกรรม</vt:lpstr>
      <vt:lpstr>งานปกครอง</vt:lpstr>
      <vt:lpstr>งานแนะแนว</vt:lpstr>
      <vt:lpstr>งานครูที่ปรึกษา</vt:lpstr>
      <vt:lpstr>งานโครงการพิเศษ</vt:lpstr>
      <vt:lpstr>งานวัดผล</vt:lpstr>
      <vt:lpstr>งานพัฒนาหลักสูตร</vt:lpstr>
      <vt:lpstr>งานวิทยบริการ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Administrator</cp:lastModifiedBy>
  <cp:lastPrinted>2025-08-19T11:02:21Z</cp:lastPrinted>
  <dcterms:created xsi:type="dcterms:W3CDTF">2023-10-31T08:09:07Z</dcterms:created>
  <dcterms:modified xsi:type="dcterms:W3CDTF">2025-08-19T11:04:05Z</dcterms:modified>
</cp:coreProperties>
</file>