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9. คำสั่งคณะกรรมการแปรสภาพ\บัญชีรายละเอียดพัสดุ แปรสภาพ\บัญชีรายละเอียด แปรสภาพ\"/>
    </mc:Choice>
  </mc:AlternateContent>
  <xr:revisionPtr revIDLastSave="0" documentId="13_ncr:1_{1C8DC239-71A9-48C1-A182-1162D7829FB4}" xr6:coauthVersionLast="46" xr6:coauthVersionMax="47" xr10:uidLastSave="{00000000-0000-0000-0000-000000000000}"/>
  <bookViews>
    <workbookView xWindow="-120" yWindow="-120" windowWidth="20730" windowHeight="11310" activeTab="4" xr2:uid="{CF0E813D-18DF-4A2E-9ED1-C0D71ADF5846}"/>
  </bookViews>
  <sheets>
    <sheet name="ช่างยนต์-เครื่องกล" sheetId="1" r:id="rId1"/>
    <sheet name="ช่างเชื่อม" sheetId="9" r:id="rId2"/>
    <sheet name="เทคนิค" sheetId="10" r:id="rId3"/>
    <sheet name="การตลาด" sheetId="11" r:id="rId4"/>
    <sheet name="บัญชี" sheetId="1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2" l="1"/>
  <c r="E6" i="12"/>
  <c r="E7" i="11"/>
  <c r="E8" i="11"/>
  <c r="E9" i="11"/>
  <c r="E10" i="11"/>
  <c r="E11" i="11"/>
  <c r="E12" i="11"/>
  <c r="E13" i="11"/>
  <c r="E6" i="11"/>
  <c r="E8" i="10" l="1"/>
  <c r="D8" i="10"/>
  <c r="E7" i="10"/>
  <c r="E6" i="10"/>
  <c r="E7" i="9"/>
  <c r="E8" i="9"/>
  <c r="E9" i="9"/>
  <c r="E10" i="9"/>
  <c r="E6" i="9"/>
  <c r="E8" i="1"/>
  <c r="E7" i="1"/>
  <c r="E6" i="1"/>
  <c r="E8" i="12" l="1"/>
  <c r="E14" i="11"/>
  <c r="E9" i="10"/>
  <c r="E11" i="9"/>
</calcChain>
</file>

<file path=xl/sharedStrings.xml><?xml version="1.0" encoding="utf-8"?>
<sst xmlns="http://schemas.openxmlformats.org/spreadsheetml/2006/main" count="125" uniqueCount="52">
  <si>
    <t>ลำดับ
ที่</t>
  </si>
  <si>
    <t>จำนวน</t>
  </si>
  <si>
    <t>หมายเหตุ</t>
  </si>
  <si>
    <t xml:space="preserve">  วิทยาลัยเทคนิคกันทรลักษ์</t>
  </si>
  <si>
    <t>รายการ</t>
  </si>
  <si>
    <t>พัสดุที่ขอจำหน่าย</t>
  </si>
  <si>
    <t>ราคาต่อหน่วย</t>
  </si>
  <si>
    <t>ราคาซื้อ/ได้มา</t>
  </si>
  <si>
    <t>แผนกวิชาช่างยนต์/สาขางานเครื่องกลอุสาหกรรม</t>
  </si>
  <si>
    <t>รวมเป็นเงินทั้งสิ้น</t>
  </si>
  <si>
    <t xml:space="preserve">    </t>
  </si>
  <si>
    <t xml:space="preserve">  </t>
  </si>
  <si>
    <t xml:space="preserve">      </t>
  </si>
  <si>
    <t xml:space="preserve">          </t>
  </si>
  <si>
    <t xml:space="preserve">     ลงชื่อ...........................................ประธานกรรมการ</t>
  </si>
  <si>
    <t>แผนกวิชาช่างเชื่อมโลหะ</t>
  </si>
  <si>
    <t>แผนกวิชาเทคนิคพื้นฐาน</t>
  </si>
  <si>
    <t>แผนกวิชาการตลาด</t>
  </si>
  <si>
    <t>โต๊ะพิมพ์ดีด</t>
  </si>
  <si>
    <t>เก้าอี้พิมพ์ดีด</t>
  </si>
  <si>
    <t>แผนกวิชาการบัญชี</t>
  </si>
  <si>
    <t>บัญชีรายละเอียดพัสดุที่ขอจำหน่ายโดยวิธีแปรสภาพ ประจำปี 2567</t>
  </si>
  <si>
    <t>ชุดโปรแกรมวัดและการทดลองแบบ CBT พร้อมแหล่งจ่ายไฟ</t>
  </si>
  <si>
    <t>ชุดครุภัณฑ์ปฏิบัติการสาขางานออกแบบ</t>
  </si>
  <si>
    <t xml:space="preserve">                                                                           ลงชื่อ............................................กรรมการ</t>
  </si>
  <si>
    <t xml:space="preserve">                                                    (นายประดิษฐ  ใจทรง)</t>
  </si>
  <si>
    <t xml:space="preserve">                                            (นายไกรศร ผิวผัน)</t>
  </si>
  <si>
    <t xml:space="preserve">                           (นายอาทร  ศรีมะณี)</t>
  </si>
  <si>
    <t>เครื่องเชื่อมไฟฟ้าแบบAc/DC ขนาด 250 A</t>
  </si>
  <si>
    <t>เครื่องเชื่อม orbit - 220</t>
  </si>
  <si>
    <t>เครื่องตัดพลาสมา orbit</t>
  </si>
  <si>
    <t>เครื่องฉายภาพทึบแสง</t>
  </si>
  <si>
    <t>เครื่องตัดพลาสม่า ชนิดใช้อากาศ</t>
  </si>
  <si>
    <t xml:space="preserve">                                            (นายสมาน  คำขาว)</t>
  </si>
  <si>
    <t>โต๊ะปฏิบัติงาน</t>
  </si>
  <si>
    <t>เลื่อยกลไฟฟ้าแบบแท่นพร้อมมอเตอร์</t>
  </si>
  <si>
    <t>เครื่องเชื่อมไฟฟ้า  inverter</t>
  </si>
  <si>
    <t xml:space="preserve">                                                 ( นายจักรกฤษณ์  พันธ์ศรี)</t>
  </si>
  <si>
    <t xml:space="preserve">                                              ( ว่าที่ร้อยเอกสายชล  ทองแป)</t>
  </si>
  <si>
    <t xml:space="preserve">                                       (นายศักดิ์นรินทร์ ประชา)</t>
  </si>
  <si>
    <t>เครื่องพิมพ์ดีดแบบธรรมดาภาษาไทย15</t>
  </si>
  <si>
    <t>Printer HP Officejet j4660</t>
  </si>
  <si>
    <t>เครื่องปริ้นเตอร์ HP Laserjet P1102</t>
  </si>
  <si>
    <t>เครื่องขยาย POWER MIX</t>
  </si>
  <si>
    <t>ตู้ลำโพง</t>
  </si>
  <si>
    <t>เครื่องถ่ายเอกสารระบบดิจิตอล</t>
  </si>
  <si>
    <t xml:space="preserve">                                       (นางสาวฐิติชญา  ภิบาลวงษ์)</t>
  </si>
  <si>
    <t xml:space="preserve">                                                   ( นางนงลักษณ์  ศรีชา)</t>
  </si>
  <si>
    <t>เครื่องคำนวนเลข 12 หลัก</t>
  </si>
  <si>
    <t xml:space="preserve">                               (นายอาทร  ศรีมะณี)</t>
  </si>
  <si>
    <t xml:space="preserve">                                            (นางศิริรัตน์  คำเพราะ)</t>
  </si>
  <si>
    <t xml:space="preserve">                                                   ( นางสาวเพ็ญธิดา  แก้วคำ)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</si>
</sst>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4"/>
      <name val="Cordia New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6"/>
      <color rgb="FFFF0000"/>
      <name val="TH SarabunPSK"/>
      <family val="2"/>
    </font>
    <font>
      <sz val="10"/>
      <name val="Arial"/>
      <family val="2"/>
    </font>
    <font>
      <sz val="16"/>
      <color theme="1"/>
      <name val="TH SarabunIT๙"/>
      <family val="2"/>
    </font>
    <font>
      <sz val="14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</cellStyleXfs>
  <cellXfs count="6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4" fillId="0" borderId="1" xfId="5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7" fillId="0" borderId="1" xfId="5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43" fontId="4" fillId="0" borderId="2" xfId="5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3" applyFont="1" applyBorder="1" applyAlignment="1">
      <alignment horizontal="right"/>
    </xf>
    <xf numFmtId="43" fontId="5" fillId="0" borderId="1" xfId="1" applyFont="1" applyBorder="1"/>
    <xf numFmtId="0" fontId="5" fillId="0" borderId="1" xfId="4" applyFont="1" applyBorder="1" applyAlignment="1">
      <alignment horizontal="center"/>
    </xf>
    <xf numFmtId="43" fontId="5" fillId="0" borderId="0" xfId="1" applyFont="1" applyBorder="1"/>
    <xf numFmtId="0" fontId="9" fillId="0" borderId="0" xfId="0" applyFont="1" applyAlignment="1">
      <alignment vertical="center"/>
    </xf>
    <xf numFmtId="0" fontId="9" fillId="0" borderId="0" xfId="0" applyFont="1"/>
    <xf numFmtId="0" fontId="6" fillId="2" borderId="0" xfId="0" applyFont="1" applyFill="1" applyAlignment="1">
      <alignment horizontal="center" vertical="center"/>
    </xf>
    <xf numFmtId="0" fontId="5" fillId="0" borderId="0" xfId="3" applyFont="1" applyAlignment="1">
      <alignment horizontal="right"/>
    </xf>
    <xf numFmtId="0" fontId="5" fillId="0" borderId="0" xfId="4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wrapText="1" indent="22"/>
    </xf>
    <xf numFmtId="0" fontId="9" fillId="0" borderId="0" xfId="0" applyFont="1" applyAlignment="1">
      <alignment horizontal="left" wrapText="1" indent="17"/>
    </xf>
    <xf numFmtId="0" fontId="9" fillId="0" borderId="0" xfId="0" applyFont="1" applyAlignment="1">
      <alignment horizontal="left" indent="14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2" xfId="3" applyFont="1" applyBorder="1"/>
    <xf numFmtId="0" fontId="10" fillId="0" borderId="2" xfId="3" applyFont="1" applyBorder="1" applyAlignment="1">
      <alignment horizontal="center"/>
    </xf>
    <xf numFmtId="43" fontId="11" fillId="0" borderId="1" xfId="1" applyFont="1" applyBorder="1" applyAlignment="1">
      <alignment horizontal="center"/>
    </xf>
    <xf numFmtId="43" fontId="11" fillId="0" borderId="1" xfId="1" applyFont="1" applyBorder="1"/>
    <xf numFmtId="49" fontId="11" fillId="0" borderId="6" xfId="3" applyNumberFormat="1" applyFont="1" applyBorder="1" applyAlignment="1">
      <alignment horizontal="left" vertical="center"/>
    </xf>
    <xf numFmtId="0" fontId="10" fillId="0" borderId="1" xfId="3" applyFont="1" applyBorder="1" applyAlignment="1">
      <alignment horizontal="center"/>
    </xf>
    <xf numFmtId="43" fontId="11" fillId="0" borderId="6" xfId="1" applyFont="1" applyBorder="1"/>
    <xf numFmtId="43" fontId="11" fillId="0" borderId="1" xfId="1" applyFont="1" applyFill="1" applyBorder="1"/>
    <xf numFmtId="0" fontId="10" fillId="2" borderId="2" xfId="0" applyFont="1" applyFill="1" applyBorder="1" applyAlignment="1">
      <alignment horizontal="center" vertical="center"/>
    </xf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43" fontId="10" fillId="0" borderId="2" xfId="1" applyFont="1" applyBorder="1"/>
    <xf numFmtId="0" fontId="10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43" fontId="12" fillId="0" borderId="2" xfId="1" applyFont="1" applyBorder="1" applyAlignment="1">
      <alignment horizontal="center" vertical="center" wrapText="1"/>
    </xf>
    <xf numFmtId="0" fontId="11" fillId="0" borderId="1" xfId="3" applyFont="1" applyBorder="1" applyAlignment="1">
      <alignment horizontal="left"/>
    </xf>
    <xf numFmtId="0" fontId="6" fillId="2" borderId="0" xfId="0" applyFont="1" applyFill="1" applyBorder="1" applyAlignment="1">
      <alignment horizontal="center" vertical="center"/>
    </xf>
    <xf numFmtId="0" fontId="5" fillId="0" borderId="0" xfId="3" applyFont="1" applyBorder="1" applyAlignment="1">
      <alignment horizontal="right"/>
    </xf>
    <xf numFmtId="0" fontId="5" fillId="0" borderId="0" xfId="4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3" fontId="11" fillId="0" borderId="1" xfId="1" applyFont="1" applyFill="1" applyBorder="1" applyAlignment="1">
      <alignment horizontal="center"/>
    </xf>
  </cellXfs>
  <cellStyles count="9">
    <cellStyle name="Normal_ครุภัณฑ์ปี  2553" xfId="8" xr:uid="{AE646D44-086A-4056-B886-9CA6ADA7DB6B}"/>
    <cellStyle name="เครื่องหมายจุลภาค 9" xfId="5" xr:uid="{1D0711E8-16EE-4D82-809D-2FDF3B5CCD83}"/>
    <cellStyle name="จุลภาค" xfId="1" builtinId="3"/>
    <cellStyle name="ปกติ" xfId="0" builtinId="0"/>
    <cellStyle name="ปกติ 12" xfId="6" xr:uid="{5CB0AC1D-B084-42C6-A7E4-5321F2431771}"/>
    <cellStyle name="ปกติ 19" xfId="7" xr:uid="{4ED7F993-934E-4C72-B42E-8D2FE7D4001F}"/>
    <cellStyle name="ปกติ 21" xfId="4" xr:uid="{A0100C82-7B1C-4F86-91A6-76B37B5C5ECE}"/>
    <cellStyle name="ปกติ 3" xfId="2" xr:uid="{F7BBC10F-9414-411B-A731-ABE5E828FE8A}"/>
    <cellStyle name="ปกติ_รายการครุภัณฑ์ ปี 52 ที่แก้ไขเรียงลำดับใหม่ 23 ก.พ.53" xfId="3" xr:uid="{79606422-4B80-4AA1-83AD-343F71C750E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86CC5428-8112-44BF-965F-122BE13CD372}"/>
            </a:ext>
          </a:extLst>
        </xdr:cNvPr>
        <xdr:cNvSpPr txBox="1"/>
      </xdr:nvSpPr>
      <xdr:spPr>
        <a:xfrm>
          <a:off x="6867525" y="266700"/>
          <a:ext cx="1476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E309857-37D4-40AE-88EA-D3EFEDD3D421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54CE0EE-3865-4034-8680-CCC6951F1E6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20AC5CE-44FA-4BB6-8003-7419FE2BE92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510A881-33F3-4EBA-B12F-2D7E6F68B98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A62-0AC2-4DA2-AFF6-377053F7E547}">
  <dimension ref="A1:M18"/>
  <sheetViews>
    <sheetView topLeftCell="A4" workbookViewId="0">
      <selection activeCell="A11" sqref="A11:F11"/>
    </sheetView>
  </sheetViews>
  <sheetFormatPr defaultRowHeight="14.25" x14ac:dyDescent="0.2"/>
  <cols>
    <col min="1" max="1" width="5" customWidth="1"/>
    <col min="2" max="2" width="40.875" customWidth="1"/>
    <col min="3" max="3" width="6.125" customWidth="1"/>
    <col min="4" max="5" width="11.25" customWidth="1"/>
    <col min="6" max="6" width="10.375" customWidth="1"/>
  </cols>
  <sheetData>
    <row r="1" spans="1:13" ht="25.5" customHeight="1" x14ac:dyDescent="0.55000000000000004">
      <c r="A1" s="35" t="s">
        <v>3</v>
      </c>
      <c r="B1" s="35"/>
      <c r="C1" s="35"/>
      <c r="D1" s="35"/>
      <c r="E1" s="35"/>
      <c r="F1" s="35"/>
    </row>
    <row r="2" spans="1:13" ht="25.5" customHeight="1" x14ac:dyDescent="0.2">
      <c r="A2" s="36" t="s">
        <v>21</v>
      </c>
      <c r="B2" s="36"/>
      <c r="C2" s="36"/>
      <c r="D2" s="36"/>
      <c r="E2" s="36"/>
      <c r="F2" s="36"/>
    </row>
    <row r="3" spans="1:13" ht="25.5" customHeight="1" x14ac:dyDescent="0.2">
      <c r="A3" s="36" t="s">
        <v>8</v>
      </c>
      <c r="B3" s="36"/>
      <c r="C3" s="36"/>
      <c r="D3" s="36"/>
      <c r="E3" s="36"/>
      <c r="F3" s="36"/>
    </row>
    <row r="4" spans="1:13" ht="21.75" customHeight="1" x14ac:dyDescent="0.55000000000000004">
      <c r="A4" s="37" t="s">
        <v>0</v>
      </c>
      <c r="B4" s="28" t="s">
        <v>4</v>
      </c>
      <c r="C4" s="30" t="s">
        <v>5</v>
      </c>
      <c r="D4" s="31"/>
      <c r="E4" s="32"/>
      <c r="F4" s="33" t="s">
        <v>2</v>
      </c>
    </row>
    <row r="5" spans="1:13" ht="21.75" customHeight="1" x14ac:dyDescent="0.2">
      <c r="A5" s="38"/>
      <c r="B5" s="29"/>
      <c r="C5" s="2" t="s">
        <v>1</v>
      </c>
      <c r="D5" s="1" t="s">
        <v>6</v>
      </c>
      <c r="E5" s="11" t="s">
        <v>7</v>
      </c>
      <c r="F5" s="34"/>
    </row>
    <row r="6" spans="1:13" ht="21.75" customHeight="1" x14ac:dyDescent="0.55000000000000004">
      <c r="A6" s="9">
        <v>1</v>
      </c>
      <c r="B6" s="40" t="s">
        <v>22</v>
      </c>
      <c r="C6" s="41">
        <v>1</v>
      </c>
      <c r="D6" s="42">
        <v>498000</v>
      </c>
      <c r="E6" s="43">
        <f>SUM(D6*C6)</f>
        <v>498000</v>
      </c>
      <c r="F6" s="10"/>
    </row>
    <row r="7" spans="1:13" ht="21.75" customHeight="1" x14ac:dyDescent="0.55000000000000004">
      <c r="A7" s="5">
        <v>2</v>
      </c>
      <c r="B7" s="44" t="s">
        <v>23</v>
      </c>
      <c r="C7" s="45">
        <v>1</v>
      </c>
      <c r="D7" s="46">
        <v>588000</v>
      </c>
      <c r="E7" s="47">
        <f>SUM(D7*C7)</f>
        <v>588000</v>
      </c>
      <c r="F7" s="4"/>
    </row>
    <row r="8" spans="1:13" ht="21.75" customHeight="1" x14ac:dyDescent="0.55000000000000004">
      <c r="A8" s="3"/>
      <c r="B8" s="12" t="s">
        <v>9</v>
      </c>
      <c r="C8" s="14"/>
      <c r="D8" s="13"/>
      <c r="E8" s="13">
        <f>SUM(E6:E7)</f>
        <v>1086000</v>
      </c>
      <c r="F8" s="8"/>
    </row>
    <row r="9" spans="1:13" ht="19.5" customHeight="1" x14ac:dyDescent="0.55000000000000004">
      <c r="A9" s="18"/>
      <c r="B9" s="19"/>
      <c r="C9" s="20"/>
      <c r="D9" s="15"/>
      <c r="E9" s="15"/>
      <c r="F9" s="21"/>
    </row>
    <row r="10" spans="1:13" ht="21.75" customHeight="1" x14ac:dyDescent="0.3">
      <c r="A10" s="24" t="s">
        <v>14</v>
      </c>
      <c r="B10" s="24"/>
      <c r="C10" s="24"/>
      <c r="D10" s="24"/>
      <c r="E10" s="24"/>
      <c r="F10" s="24"/>
    </row>
    <row r="11" spans="1:13" ht="21.75" customHeight="1" x14ac:dyDescent="0.3">
      <c r="A11" s="25" t="s">
        <v>27</v>
      </c>
      <c r="B11" s="25"/>
      <c r="C11" s="25"/>
      <c r="D11" s="25"/>
      <c r="E11" s="25"/>
      <c r="F11" s="25"/>
    </row>
    <row r="12" spans="1:13" ht="21.75" customHeight="1" x14ac:dyDescent="0.3">
      <c r="A12" s="23"/>
      <c r="B12" s="23"/>
      <c r="C12" s="23"/>
      <c r="D12" s="23"/>
      <c r="E12" s="23"/>
      <c r="F12" s="23"/>
      <c r="J12" s="16" t="s">
        <v>12</v>
      </c>
      <c r="M12" s="16" t="s">
        <v>10</v>
      </c>
    </row>
    <row r="13" spans="1:13" ht="21.75" customHeight="1" x14ac:dyDescent="0.3">
      <c r="A13" s="39" t="s">
        <v>24</v>
      </c>
      <c r="B13" s="39"/>
      <c r="C13" s="39"/>
      <c r="D13" s="39"/>
      <c r="E13" s="39"/>
      <c r="F13" s="39"/>
    </row>
    <row r="14" spans="1:13" ht="21.75" customHeight="1" x14ac:dyDescent="0.3">
      <c r="A14" s="27" t="s">
        <v>25</v>
      </c>
      <c r="B14" s="27"/>
      <c r="C14" s="27"/>
      <c r="D14" s="27"/>
      <c r="E14" s="27"/>
      <c r="F14" s="27"/>
    </row>
    <row r="15" spans="1:13" ht="21.75" customHeight="1" x14ac:dyDescent="0.3">
      <c r="A15" s="23"/>
      <c r="B15" s="23"/>
      <c r="C15" s="23"/>
      <c r="D15" s="23"/>
      <c r="E15" s="23"/>
      <c r="F15" s="23"/>
      <c r="J15" s="16"/>
      <c r="M15" s="16" t="s">
        <v>11</v>
      </c>
    </row>
    <row r="16" spans="1:13" ht="21.75" customHeight="1" x14ac:dyDescent="0.3">
      <c r="A16" s="39" t="s">
        <v>24</v>
      </c>
      <c r="B16" s="39"/>
      <c r="C16" s="39"/>
      <c r="D16" s="39"/>
      <c r="E16" s="39"/>
      <c r="F16" s="39"/>
      <c r="J16" s="16"/>
      <c r="M16" s="16"/>
    </row>
    <row r="17" spans="1:10" ht="21.75" customHeight="1" x14ac:dyDescent="0.3">
      <c r="A17" s="26" t="s">
        <v>26</v>
      </c>
      <c r="B17" s="26"/>
      <c r="C17" s="26"/>
      <c r="D17" s="26"/>
      <c r="E17" s="26"/>
      <c r="F17" s="26"/>
      <c r="G17" s="16"/>
      <c r="H17" s="16"/>
    </row>
    <row r="18" spans="1:10" ht="21.75" customHeight="1" x14ac:dyDescent="0.3">
      <c r="A18" s="22"/>
      <c r="B18" s="22"/>
      <c r="C18" s="22"/>
      <c r="D18" s="22"/>
      <c r="E18" s="22"/>
      <c r="F18" s="22"/>
      <c r="J18" s="17" t="s">
        <v>13</v>
      </c>
    </row>
  </sheetData>
  <mergeCells count="13">
    <mergeCell ref="A1:F1"/>
    <mergeCell ref="A2:F2"/>
    <mergeCell ref="A3:F3"/>
    <mergeCell ref="B4:B5"/>
    <mergeCell ref="C4:E4"/>
    <mergeCell ref="F4:F5"/>
    <mergeCell ref="A4:A5"/>
    <mergeCell ref="A10:F10"/>
    <mergeCell ref="A11:F11"/>
    <mergeCell ref="A13:F13"/>
    <mergeCell ref="A16:F16"/>
    <mergeCell ref="A17:F17"/>
    <mergeCell ref="A14:F14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3BF3-C30C-4769-90D8-7CA86533200E}">
  <dimension ref="A1:M21"/>
  <sheetViews>
    <sheetView topLeftCell="A7" workbookViewId="0">
      <selection activeCell="G16" sqref="G16"/>
    </sheetView>
  </sheetViews>
  <sheetFormatPr defaultRowHeight="14.25" x14ac:dyDescent="0.2"/>
  <cols>
    <col min="1" max="1" width="5" customWidth="1"/>
    <col min="2" max="2" width="40" customWidth="1"/>
    <col min="3" max="3" width="6.125" customWidth="1"/>
    <col min="4" max="5" width="12.125" customWidth="1"/>
    <col min="6" max="6" width="8.75" customWidth="1"/>
  </cols>
  <sheetData>
    <row r="1" spans="1:13" ht="25.5" customHeight="1" x14ac:dyDescent="0.55000000000000004">
      <c r="A1" s="35" t="s">
        <v>3</v>
      </c>
      <c r="B1" s="35"/>
      <c r="C1" s="35"/>
      <c r="D1" s="35"/>
      <c r="E1" s="35"/>
      <c r="F1" s="35"/>
    </row>
    <row r="2" spans="1:13" ht="25.5" customHeight="1" x14ac:dyDescent="0.2">
      <c r="A2" s="36" t="s">
        <v>21</v>
      </c>
      <c r="B2" s="36"/>
      <c r="C2" s="36"/>
      <c r="D2" s="36"/>
      <c r="E2" s="36"/>
      <c r="F2" s="36"/>
    </row>
    <row r="3" spans="1:13" ht="25.5" customHeight="1" x14ac:dyDescent="0.2">
      <c r="A3" s="36" t="s">
        <v>15</v>
      </c>
      <c r="B3" s="36"/>
      <c r="C3" s="36"/>
      <c r="D3" s="36"/>
      <c r="E3" s="36"/>
      <c r="F3" s="36"/>
    </row>
    <row r="4" spans="1:13" ht="21.75" customHeight="1" x14ac:dyDescent="0.55000000000000004">
      <c r="A4" s="37" t="s">
        <v>0</v>
      </c>
      <c r="B4" s="28" t="s">
        <v>4</v>
      </c>
      <c r="C4" s="30" t="s">
        <v>5</v>
      </c>
      <c r="D4" s="31"/>
      <c r="E4" s="32"/>
      <c r="F4" s="33" t="s">
        <v>2</v>
      </c>
    </row>
    <row r="5" spans="1:13" ht="21.75" customHeight="1" x14ac:dyDescent="0.2">
      <c r="A5" s="38"/>
      <c r="B5" s="29"/>
      <c r="C5" s="2" t="s">
        <v>1</v>
      </c>
      <c r="D5" s="1" t="s">
        <v>6</v>
      </c>
      <c r="E5" s="11" t="s">
        <v>7</v>
      </c>
      <c r="F5" s="34"/>
    </row>
    <row r="6" spans="1:13" ht="21.75" customHeight="1" x14ac:dyDescent="0.55000000000000004">
      <c r="A6" s="48">
        <v>1</v>
      </c>
      <c r="B6" s="49" t="s">
        <v>28</v>
      </c>
      <c r="C6" s="50">
        <v>5</v>
      </c>
      <c r="D6" s="43">
        <v>40000</v>
      </c>
      <c r="E6" s="51">
        <f>SUM(D6*C6)</f>
        <v>200000</v>
      </c>
      <c r="F6" s="10"/>
    </row>
    <row r="7" spans="1:13" ht="21.75" customHeight="1" x14ac:dyDescent="0.55000000000000004">
      <c r="A7" s="52">
        <v>2</v>
      </c>
      <c r="B7" s="49" t="s">
        <v>29</v>
      </c>
      <c r="C7" s="50">
        <v>4</v>
      </c>
      <c r="D7" s="43">
        <v>23000</v>
      </c>
      <c r="E7" s="51">
        <f t="shared" ref="E7:E10" si="0">SUM(D7*C7)</f>
        <v>92000</v>
      </c>
      <c r="F7" s="4"/>
    </row>
    <row r="8" spans="1:13" ht="21.75" customHeight="1" x14ac:dyDescent="0.55000000000000004">
      <c r="A8" s="48">
        <v>3</v>
      </c>
      <c r="B8" s="49" t="s">
        <v>30</v>
      </c>
      <c r="C8" s="50">
        <v>1</v>
      </c>
      <c r="D8" s="43">
        <v>37500</v>
      </c>
      <c r="E8" s="51">
        <f t="shared" si="0"/>
        <v>37500</v>
      </c>
      <c r="F8" s="4"/>
    </row>
    <row r="9" spans="1:13" ht="21.75" customHeight="1" x14ac:dyDescent="0.55000000000000004">
      <c r="A9" s="52">
        <v>4</v>
      </c>
      <c r="B9" s="49" t="s">
        <v>31</v>
      </c>
      <c r="C9" s="50">
        <v>1</v>
      </c>
      <c r="D9" s="43">
        <v>45000</v>
      </c>
      <c r="E9" s="51">
        <f t="shared" si="0"/>
        <v>45000</v>
      </c>
      <c r="F9" s="4"/>
    </row>
    <row r="10" spans="1:13" ht="21.75" customHeight="1" x14ac:dyDescent="0.55000000000000004">
      <c r="A10" s="48">
        <v>5</v>
      </c>
      <c r="B10" s="49" t="s">
        <v>32</v>
      </c>
      <c r="C10" s="50">
        <v>1</v>
      </c>
      <c r="D10" s="43">
        <v>80000</v>
      </c>
      <c r="E10" s="51">
        <f t="shared" si="0"/>
        <v>80000</v>
      </c>
      <c r="F10" s="6"/>
    </row>
    <row r="11" spans="1:13" ht="21.75" customHeight="1" x14ac:dyDescent="0.55000000000000004">
      <c r="A11" s="3"/>
      <c r="B11" s="12" t="s">
        <v>9</v>
      </c>
      <c r="C11" s="14"/>
      <c r="D11" s="13"/>
      <c r="E11" s="13">
        <f>SUM(E6:E10)</f>
        <v>454500</v>
      </c>
      <c r="F11" s="8"/>
    </row>
    <row r="12" spans="1:13" ht="19.5" customHeight="1" x14ac:dyDescent="0.55000000000000004">
      <c r="A12" s="18"/>
      <c r="B12" s="19"/>
      <c r="C12" s="20"/>
      <c r="D12" s="15"/>
      <c r="E12" s="15"/>
      <c r="F12" s="21"/>
    </row>
    <row r="13" spans="1:13" ht="21.75" customHeight="1" x14ac:dyDescent="0.3">
      <c r="A13" s="24" t="s">
        <v>14</v>
      </c>
      <c r="B13" s="24"/>
      <c r="C13" s="24"/>
      <c r="D13" s="24"/>
      <c r="E13" s="24"/>
      <c r="F13" s="24"/>
    </row>
    <row r="14" spans="1:13" ht="21.75" customHeight="1" x14ac:dyDescent="0.3">
      <c r="A14" s="25" t="s">
        <v>27</v>
      </c>
      <c r="B14" s="25"/>
      <c r="C14" s="25"/>
      <c r="D14" s="25"/>
      <c r="E14" s="25"/>
      <c r="F14" s="25"/>
    </row>
    <row r="15" spans="1:13" ht="21.75" customHeight="1" x14ac:dyDescent="0.3">
      <c r="A15" s="23"/>
      <c r="B15" s="23"/>
      <c r="C15" s="23"/>
      <c r="D15" s="23"/>
      <c r="E15" s="23"/>
      <c r="F15" s="23"/>
      <c r="J15" s="16" t="s">
        <v>12</v>
      </c>
      <c r="M15" s="16" t="s">
        <v>10</v>
      </c>
    </row>
    <row r="16" spans="1:13" ht="21.75" customHeight="1" x14ac:dyDescent="0.3">
      <c r="A16" s="39" t="s">
        <v>24</v>
      </c>
      <c r="B16" s="39"/>
      <c r="C16" s="39"/>
      <c r="D16" s="39"/>
      <c r="E16" s="39"/>
      <c r="F16" s="39"/>
    </row>
    <row r="17" spans="1:13" ht="21.75" customHeight="1" x14ac:dyDescent="0.3">
      <c r="A17" s="27" t="s">
        <v>37</v>
      </c>
      <c r="B17" s="27"/>
      <c r="C17" s="27"/>
      <c r="D17" s="27"/>
      <c r="E17" s="27"/>
      <c r="F17" s="27"/>
    </row>
    <row r="18" spans="1:13" ht="21.75" customHeight="1" x14ac:dyDescent="0.3">
      <c r="A18" s="23"/>
      <c r="B18" s="23"/>
      <c r="C18" s="23"/>
      <c r="D18" s="23"/>
      <c r="E18" s="23"/>
      <c r="F18" s="23"/>
      <c r="J18" s="16"/>
      <c r="M18" s="16" t="s">
        <v>11</v>
      </c>
    </row>
    <row r="19" spans="1:13" ht="21.75" customHeight="1" x14ac:dyDescent="0.3">
      <c r="A19" s="39" t="s">
        <v>24</v>
      </c>
      <c r="B19" s="39"/>
      <c r="C19" s="39"/>
      <c r="D19" s="39"/>
      <c r="E19" s="39"/>
      <c r="F19" s="39"/>
      <c r="J19" s="16"/>
      <c r="M19" s="16"/>
    </row>
    <row r="20" spans="1:13" ht="21.75" customHeight="1" x14ac:dyDescent="0.3">
      <c r="A20" s="26" t="s">
        <v>33</v>
      </c>
      <c r="B20" s="26"/>
      <c r="C20" s="26"/>
      <c r="D20" s="26"/>
      <c r="E20" s="26"/>
      <c r="F20" s="26"/>
      <c r="G20" s="16"/>
      <c r="H20" s="16"/>
    </row>
    <row r="21" spans="1:13" ht="21.75" customHeight="1" x14ac:dyDescent="0.3">
      <c r="A21" s="22"/>
      <c r="B21" s="22"/>
      <c r="C21" s="22"/>
      <c r="D21" s="22"/>
      <c r="E21" s="22"/>
      <c r="F21" s="22"/>
      <c r="J21" s="17" t="s">
        <v>13</v>
      </c>
    </row>
  </sheetData>
  <mergeCells count="13">
    <mergeCell ref="A20:F20"/>
    <mergeCell ref="A1:F1"/>
    <mergeCell ref="A2:F2"/>
    <mergeCell ref="A3:F3"/>
    <mergeCell ref="A4:A5"/>
    <mergeCell ref="B4:B5"/>
    <mergeCell ref="C4:E4"/>
    <mergeCell ref="F4:F5"/>
    <mergeCell ref="A13:F13"/>
    <mergeCell ref="A14:F14"/>
    <mergeCell ref="A16:F16"/>
    <mergeCell ref="A17:F17"/>
    <mergeCell ref="A19:F19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25C9-7014-4A35-AE03-3BEBC052F42D}">
  <dimension ref="A1:M20"/>
  <sheetViews>
    <sheetView topLeftCell="A7" workbookViewId="0">
      <selection activeCell="A10" sqref="A10:F19"/>
    </sheetView>
  </sheetViews>
  <sheetFormatPr defaultRowHeight="14.25" x14ac:dyDescent="0.2"/>
  <cols>
    <col min="1" max="1" width="5" customWidth="1"/>
    <col min="2" max="2" width="37.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5.5" customHeight="1" x14ac:dyDescent="0.55000000000000004">
      <c r="A1" s="35" t="s">
        <v>3</v>
      </c>
      <c r="B1" s="35"/>
      <c r="C1" s="35"/>
      <c r="D1" s="35"/>
      <c r="E1" s="35"/>
      <c r="F1" s="35"/>
    </row>
    <row r="2" spans="1:13" ht="25.5" customHeight="1" x14ac:dyDescent="0.2">
      <c r="A2" s="36" t="s">
        <v>21</v>
      </c>
      <c r="B2" s="36"/>
      <c r="C2" s="36"/>
      <c r="D2" s="36"/>
      <c r="E2" s="36"/>
      <c r="F2" s="36"/>
    </row>
    <row r="3" spans="1:13" ht="25.5" customHeight="1" x14ac:dyDescent="0.2">
      <c r="A3" s="36" t="s">
        <v>16</v>
      </c>
      <c r="B3" s="36"/>
      <c r="C3" s="36"/>
      <c r="D3" s="36"/>
      <c r="E3" s="36"/>
      <c r="F3" s="36"/>
    </row>
    <row r="4" spans="1:13" ht="21.75" customHeight="1" x14ac:dyDescent="0.55000000000000004">
      <c r="A4" s="37" t="s">
        <v>0</v>
      </c>
      <c r="B4" s="28" t="s">
        <v>4</v>
      </c>
      <c r="C4" s="30" t="s">
        <v>5</v>
      </c>
      <c r="D4" s="31"/>
      <c r="E4" s="32"/>
      <c r="F4" s="33" t="s">
        <v>2</v>
      </c>
    </row>
    <row r="5" spans="1:13" ht="21.75" customHeight="1" x14ac:dyDescent="0.2">
      <c r="A5" s="38"/>
      <c r="B5" s="29"/>
      <c r="C5" s="2" t="s">
        <v>1</v>
      </c>
      <c r="D5" s="1" t="s">
        <v>6</v>
      </c>
      <c r="E5" s="11" t="s">
        <v>7</v>
      </c>
      <c r="F5" s="34"/>
    </row>
    <row r="6" spans="1:13" ht="21.75" customHeight="1" x14ac:dyDescent="0.55000000000000004">
      <c r="A6" s="9">
        <v>1</v>
      </c>
      <c r="B6" s="53" t="s">
        <v>34</v>
      </c>
      <c r="C6" s="54">
        <v>5</v>
      </c>
      <c r="D6" s="55">
        <v>5000</v>
      </c>
      <c r="E6" s="51">
        <f>SUM(D6*C6)</f>
        <v>25000</v>
      </c>
      <c r="F6" s="10"/>
    </row>
    <row r="7" spans="1:13" ht="21.75" customHeight="1" x14ac:dyDescent="0.55000000000000004">
      <c r="A7" s="5">
        <v>2</v>
      </c>
      <c r="B7" s="53" t="s">
        <v>35</v>
      </c>
      <c r="C7" s="54">
        <v>1</v>
      </c>
      <c r="D7" s="55">
        <v>9500</v>
      </c>
      <c r="E7" s="51">
        <f>SUM(D7*C7)</f>
        <v>9500</v>
      </c>
      <c r="F7" s="4"/>
    </row>
    <row r="8" spans="1:13" ht="21.75" customHeight="1" x14ac:dyDescent="0.55000000000000004">
      <c r="A8" s="9">
        <v>3</v>
      </c>
      <c r="B8" s="56" t="s">
        <v>36</v>
      </c>
      <c r="C8" s="50">
        <v>1</v>
      </c>
      <c r="D8" s="43">
        <f>-D11</f>
        <v>0</v>
      </c>
      <c r="E8" s="43">
        <f>-E11</f>
        <v>0</v>
      </c>
      <c r="F8" s="4"/>
    </row>
    <row r="9" spans="1:13" ht="21.75" customHeight="1" x14ac:dyDescent="0.55000000000000004">
      <c r="A9" s="3"/>
      <c r="B9" s="12" t="s">
        <v>9</v>
      </c>
      <c r="C9" s="14"/>
      <c r="D9" s="13"/>
      <c r="E9" s="13">
        <f>SUM(E6:E8)</f>
        <v>34500</v>
      </c>
      <c r="F9" s="8"/>
    </row>
    <row r="10" spans="1:13" ht="21.75" customHeight="1" x14ac:dyDescent="0.55000000000000004">
      <c r="A10" s="57"/>
      <c r="B10" s="58"/>
      <c r="C10" s="59"/>
      <c r="D10" s="15"/>
      <c r="E10" s="15"/>
      <c r="F10" s="60"/>
    </row>
    <row r="11" spans="1:13" ht="19.5" customHeight="1" x14ac:dyDescent="0.3">
      <c r="A11" s="24" t="s">
        <v>14</v>
      </c>
      <c r="B11" s="24"/>
      <c r="C11" s="24"/>
      <c r="D11" s="24"/>
      <c r="E11" s="24"/>
      <c r="F11" s="24"/>
    </row>
    <row r="12" spans="1:13" ht="21.75" customHeight="1" x14ac:dyDescent="0.3">
      <c r="A12" s="25" t="s">
        <v>27</v>
      </c>
      <c r="B12" s="25"/>
      <c r="C12" s="25"/>
      <c r="D12" s="25"/>
      <c r="E12" s="25"/>
      <c r="F12" s="25"/>
    </row>
    <row r="13" spans="1:13" ht="21.75" customHeight="1" x14ac:dyDescent="0.3">
      <c r="A13" s="23"/>
      <c r="B13" s="23"/>
      <c r="C13" s="23"/>
      <c r="D13" s="23"/>
      <c r="E13" s="23"/>
      <c r="F13" s="23"/>
    </row>
    <row r="14" spans="1:13" ht="21.75" customHeight="1" x14ac:dyDescent="0.3">
      <c r="A14" s="39" t="s">
        <v>24</v>
      </c>
      <c r="B14" s="39"/>
      <c r="C14" s="39"/>
      <c r="D14" s="39"/>
      <c r="E14" s="39"/>
      <c r="F14" s="39"/>
      <c r="J14" s="16" t="s">
        <v>12</v>
      </c>
      <c r="M14" s="16" t="s">
        <v>10</v>
      </c>
    </row>
    <row r="15" spans="1:13" ht="21.75" customHeight="1" x14ac:dyDescent="0.3">
      <c r="A15" s="27" t="s">
        <v>38</v>
      </c>
      <c r="B15" s="27"/>
      <c r="C15" s="27"/>
      <c r="D15" s="27"/>
      <c r="E15" s="27"/>
      <c r="F15" s="27"/>
    </row>
    <row r="16" spans="1:13" ht="21.75" customHeight="1" x14ac:dyDescent="0.3">
      <c r="A16" s="23"/>
      <c r="B16" s="23"/>
      <c r="C16" s="23"/>
      <c r="D16" s="23"/>
      <c r="E16" s="23"/>
      <c r="F16" s="23"/>
    </row>
    <row r="17" spans="1:13" ht="21.75" customHeight="1" x14ac:dyDescent="0.3">
      <c r="A17" s="39" t="s">
        <v>24</v>
      </c>
      <c r="B17" s="39"/>
      <c r="C17" s="39"/>
      <c r="D17" s="39"/>
      <c r="E17" s="39"/>
      <c r="F17" s="39"/>
      <c r="J17" s="16"/>
      <c r="M17" s="16" t="s">
        <v>11</v>
      </c>
    </row>
    <row r="18" spans="1:13" ht="21.75" customHeight="1" x14ac:dyDescent="0.3">
      <c r="A18" s="26" t="s">
        <v>39</v>
      </c>
      <c r="B18" s="26"/>
      <c r="C18" s="26"/>
      <c r="D18" s="26"/>
      <c r="E18" s="26"/>
      <c r="F18" s="26"/>
      <c r="J18" s="16"/>
      <c r="M18" s="16"/>
    </row>
    <row r="19" spans="1:13" ht="21.75" customHeight="1" x14ac:dyDescent="0.3">
      <c r="A19" s="26"/>
      <c r="B19" s="26"/>
      <c r="C19" s="26"/>
      <c r="D19" s="26"/>
      <c r="E19" s="26"/>
      <c r="F19" s="26"/>
      <c r="G19" s="16"/>
      <c r="H19" s="16"/>
    </row>
    <row r="20" spans="1:13" ht="21.75" customHeight="1" x14ac:dyDescent="0.3">
      <c r="A20" s="22"/>
      <c r="B20" s="22"/>
      <c r="C20" s="22"/>
      <c r="D20" s="22"/>
      <c r="E20" s="22"/>
      <c r="F20" s="22"/>
      <c r="J20" s="17" t="s">
        <v>13</v>
      </c>
    </row>
  </sheetData>
  <mergeCells count="14">
    <mergeCell ref="A19:F19"/>
    <mergeCell ref="A1:F1"/>
    <mergeCell ref="A2:F2"/>
    <mergeCell ref="A3:F3"/>
    <mergeCell ref="A4:A5"/>
    <mergeCell ref="B4:B5"/>
    <mergeCell ref="C4:E4"/>
    <mergeCell ref="F4:F5"/>
    <mergeCell ref="A12:F12"/>
    <mergeCell ref="A15:F15"/>
    <mergeCell ref="A18:F18"/>
    <mergeCell ref="A11:F11"/>
    <mergeCell ref="A14:F14"/>
    <mergeCell ref="A17:F17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49B0-F8AC-40A3-881B-1BA6FF5A746C}">
  <dimension ref="A1:M24"/>
  <sheetViews>
    <sheetView workbookViewId="0">
      <selection activeCell="I25" sqref="I25"/>
    </sheetView>
  </sheetViews>
  <sheetFormatPr defaultRowHeight="14.25" x14ac:dyDescent="0.2"/>
  <cols>
    <col min="1" max="1" width="5" customWidth="1"/>
    <col min="2" max="2" width="35.87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6" ht="25.5" customHeight="1" x14ac:dyDescent="0.55000000000000004">
      <c r="A1" s="35" t="s">
        <v>3</v>
      </c>
      <c r="B1" s="35"/>
      <c r="C1" s="35"/>
      <c r="D1" s="35"/>
      <c r="E1" s="35"/>
      <c r="F1" s="35"/>
    </row>
    <row r="2" spans="1:6" ht="25.5" customHeight="1" x14ac:dyDescent="0.2">
      <c r="A2" s="36" t="s">
        <v>21</v>
      </c>
      <c r="B2" s="36"/>
      <c r="C2" s="36"/>
      <c r="D2" s="36"/>
      <c r="E2" s="36"/>
      <c r="F2" s="36"/>
    </row>
    <row r="3" spans="1:6" ht="25.5" customHeight="1" x14ac:dyDescent="0.2">
      <c r="A3" s="36" t="s">
        <v>17</v>
      </c>
      <c r="B3" s="36"/>
      <c r="C3" s="36"/>
      <c r="D3" s="36"/>
      <c r="E3" s="36"/>
      <c r="F3" s="36"/>
    </row>
    <row r="4" spans="1:6" ht="21.75" customHeight="1" x14ac:dyDescent="0.55000000000000004">
      <c r="A4" s="37" t="s">
        <v>0</v>
      </c>
      <c r="B4" s="28" t="s">
        <v>4</v>
      </c>
      <c r="C4" s="30" t="s">
        <v>5</v>
      </c>
      <c r="D4" s="31"/>
      <c r="E4" s="32"/>
      <c r="F4" s="33" t="s">
        <v>2</v>
      </c>
    </row>
    <row r="5" spans="1:6" ht="21.75" customHeight="1" x14ac:dyDescent="0.2">
      <c r="A5" s="38"/>
      <c r="B5" s="29"/>
      <c r="C5" s="2" t="s">
        <v>1</v>
      </c>
      <c r="D5" s="1" t="s">
        <v>6</v>
      </c>
      <c r="E5" s="11" t="s">
        <v>7</v>
      </c>
      <c r="F5" s="34"/>
    </row>
    <row r="6" spans="1:6" ht="21.75" customHeight="1" x14ac:dyDescent="0.55000000000000004">
      <c r="A6" s="9">
        <v>1</v>
      </c>
      <c r="B6" s="49" t="s">
        <v>40</v>
      </c>
      <c r="C6" s="50">
        <v>40</v>
      </c>
      <c r="D6" s="61">
        <v>8500</v>
      </c>
      <c r="E6" s="51">
        <f>SUM(D6*C6:C6)</f>
        <v>340000</v>
      </c>
      <c r="F6" s="10"/>
    </row>
    <row r="7" spans="1:6" ht="21.75" customHeight="1" x14ac:dyDescent="0.55000000000000004">
      <c r="A7" s="5">
        <v>2</v>
      </c>
      <c r="B7" s="49" t="s">
        <v>18</v>
      </c>
      <c r="C7" s="50">
        <v>20</v>
      </c>
      <c r="D7" s="61">
        <v>800</v>
      </c>
      <c r="E7" s="51">
        <f t="shared" ref="E7:E13" si="0">SUM(D7*C7:C7)</f>
        <v>16000</v>
      </c>
      <c r="F7" s="4"/>
    </row>
    <row r="8" spans="1:6" ht="21.75" customHeight="1" x14ac:dyDescent="0.55000000000000004">
      <c r="A8" s="9">
        <v>3</v>
      </c>
      <c r="B8" s="49" t="s">
        <v>19</v>
      </c>
      <c r="C8" s="50">
        <v>10</v>
      </c>
      <c r="D8" s="61">
        <v>536</v>
      </c>
      <c r="E8" s="51">
        <f t="shared" si="0"/>
        <v>5360</v>
      </c>
      <c r="F8" s="4"/>
    </row>
    <row r="9" spans="1:6" ht="21.75" customHeight="1" x14ac:dyDescent="0.55000000000000004">
      <c r="A9" s="5">
        <v>4</v>
      </c>
      <c r="B9" s="49" t="s">
        <v>41</v>
      </c>
      <c r="C9" s="50">
        <v>1</v>
      </c>
      <c r="D9" s="61">
        <v>4310</v>
      </c>
      <c r="E9" s="51">
        <f t="shared" si="0"/>
        <v>4310</v>
      </c>
      <c r="F9" s="4"/>
    </row>
    <row r="10" spans="1:6" ht="21.75" customHeight="1" x14ac:dyDescent="0.55000000000000004">
      <c r="A10" s="9">
        <v>5</v>
      </c>
      <c r="B10" s="49" t="s">
        <v>42</v>
      </c>
      <c r="C10" s="50">
        <v>1</v>
      </c>
      <c r="D10" s="61">
        <v>3950</v>
      </c>
      <c r="E10" s="51">
        <f t="shared" si="0"/>
        <v>3950</v>
      </c>
      <c r="F10" s="6"/>
    </row>
    <row r="11" spans="1:6" ht="21.75" customHeight="1" x14ac:dyDescent="0.55000000000000004">
      <c r="A11" s="5">
        <v>6</v>
      </c>
      <c r="B11" s="49" t="s">
        <v>43</v>
      </c>
      <c r="C11" s="50">
        <v>1</v>
      </c>
      <c r="D11" s="61">
        <v>6500</v>
      </c>
      <c r="E11" s="51">
        <f t="shared" si="0"/>
        <v>6500</v>
      </c>
      <c r="F11" s="4"/>
    </row>
    <row r="12" spans="1:6" ht="21.75" customHeight="1" x14ac:dyDescent="0.55000000000000004">
      <c r="A12" s="9">
        <v>7</v>
      </c>
      <c r="B12" s="49" t="s">
        <v>44</v>
      </c>
      <c r="C12" s="50">
        <v>4</v>
      </c>
      <c r="D12" s="61">
        <v>1675</v>
      </c>
      <c r="E12" s="51">
        <f t="shared" si="0"/>
        <v>6700</v>
      </c>
      <c r="F12" s="4"/>
    </row>
    <row r="13" spans="1:6" ht="21.75" customHeight="1" x14ac:dyDescent="0.55000000000000004">
      <c r="A13" s="5">
        <v>8</v>
      </c>
      <c r="B13" s="49" t="s">
        <v>45</v>
      </c>
      <c r="C13" s="50">
        <v>1</v>
      </c>
      <c r="D13" s="61">
        <v>129000</v>
      </c>
      <c r="E13" s="51">
        <f t="shared" si="0"/>
        <v>129000</v>
      </c>
      <c r="F13" s="7"/>
    </row>
    <row r="14" spans="1:6" ht="21.75" customHeight="1" x14ac:dyDescent="0.55000000000000004">
      <c r="A14" s="3"/>
      <c r="B14" s="12" t="s">
        <v>9</v>
      </c>
      <c r="C14" s="14"/>
      <c r="D14" s="13"/>
      <c r="E14" s="13">
        <f>SUM(E6:E13)</f>
        <v>511820</v>
      </c>
      <c r="F14" s="8"/>
    </row>
    <row r="15" spans="1:6" ht="19.5" customHeight="1" x14ac:dyDescent="0.55000000000000004">
      <c r="A15" s="57"/>
      <c r="B15" s="58"/>
      <c r="C15" s="59"/>
      <c r="D15" s="15"/>
      <c r="E15" s="15"/>
      <c r="F15" s="60"/>
    </row>
    <row r="16" spans="1:6" ht="21.75" customHeight="1" x14ac:dyDescent="0.3">
      <c r="A16" s="24" t="s">
        <v>14</v>
      </c>
      <c r="B16" s="24"/>
      <c r="C16" s="24"/>
      <c r="D16" s="24"/>
      <c r="E16" s="24"/>
      <c r="F16" s="24"/>
    </row>
    <row r="17" spans="1:13" ht="21.75" customHeight="1" x14ac:dyDescent="0.3">
      <c r="A17" s="25" t="s">
        <v>27</v>
      </c>
      <c r="B17" s="25"/>
      <c r="C17" s="25"/>
      <c r="D17" s="25"/>
      <c r="E17" s="25"/>
      <c r="F17" s="25"/>
    </row>
    <row r="18" spans="1:13" ht="21.75" customHeight="1" x14ac:dyDescent="0.3">
      <c r="A18" s="23"/>
      <c r="B18" s="23"/>
      <c r="C18" s="23"/>
      <c r="D18" s="23"/>
      <c r="E18" s="23"/>
      <c r="F18" s="23"/>
      <c r="J18" s="16" t="s">
        <v>12</v>
      </c>
      <c r="M18" s="16" t="s">
        <v>10</v>
      </c>
    </row>
    <row r="19" spans="1:13" ht="21.75" customHeight="1" x14ac:dyDescent="0.3">
      <c r="A19" s="39" t="s">
        <v>24</v>
      </c>
      <c r="B19" s="39"/>
      <c r="C19" s="39"/>
      <c r="D19" s="39"/>
      <c r="E19" s="39"/>
      <c r="F19" s="39"/>
    </row>
    <row r="20" spans="1:13" ht="21.75" customHeight="1" x14ac:dyDescent="0.3">
      <c r="A20" s="27" t="s">
        <v>47</v>
      </c>
      <c r="B20" s="27"/>
      <c r="C20" s="27"/>
      <c r="D20" s="27"/>
      <c r="E20" s="27"/>
      <c r="F20" s="27"/>
    </row>
    <row r="21" spans="1:13" ht="21.75" customHeight="1" x14ac:dyDescent="0.3">
      <c r="A21" s="23"/>
      <c r="B21" s="23"/>
      <c r="C21" s="23"/>
      <c r="D21" s="23"/>
      <c r="E21" s="23"/>
      <c r="F21" s="23"/>
      <c r="J21" s="16"/>
      <c r="M21" s="16" t="s">
        <v>11</v>
      </c>
    </row>
    <row r="22" spans="1:13" ht="21.75" customHeight="1" x14ac:dyDescent="0.3">
      <c r="A22" s="39" t="s">
        <v>24</v>
      </c>
      <c r="B22" s="39"/>
      <c r="C22" s="39"/>
      <c r="D22" s="39"/>
      <c r="E22" s="39"/>
      <c r="F22" s="39"/>
      <c r="J22" s="16"/>
      <c r="M22" s="16"/>
    </row>
    <row r="23" spans="1:13" ht="21.75" customHeight="1" x14ac:dyDescent="0.3">
      <c r="A23" s="26" t="s">
        <v>46</v>
      </c>
      <c r="B23" s="26"/>
      <c r="C23" s="26"/>
      <c r="D23" s="26"/>
      <c r="E23" s="26"/>
      <c r="F23" s="26"/>
      <c r="G23" s="16"/>
      <c r="H23" s="16"/>
    </row>
    <row r="24" spans="1:13" ht="21.75" customHeight="1" x14ac:dyDescent="0.3">
      <c r="A24" s="22"/>
      <c r="B24" s="22"/>
      <c r="C24" s="22"/>
      <c r="D24" s="22"/>
      <c r="E24" s="22"/>
      <c r="F24" s="22"/>
      <c r="J24" s="17" t="s">
        <v>13</v>
      </c>
    </row>
  </sheetData>
  <mergeCells count="13">
    <mergeCell ref="A23:F23"/>
    <mergeCell ref="A1:F1"/>
    <mergeCell ref="A2:F2"/>
    <mergeCell ref="A3:F3"/>
    <mergeCell ref="A4:A5"/>
    <mergeCell ref="B4:B5"/>
    <mergeCell ref="C4:E4"/>
    <mergeCell ref="F4:F5"/>
    <mergeCell ref="A16:F16"/>
    <mergeCell ref="A17:F17"/>
    <mergeCell ref="A19:F19"/>
    <mergeCell ref="A20:F20"/>
    <mergeCell ref="A22:F22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B46-0D14-4555-8F77-1F9313043631}">
  <dimension ref="A1:M18"/>
  <sheetViews>
    <sheetView tabSelected="1" topLeftCell="A4" workbookViewId="0">
      <selection activeCell="H9" sqref="H9"/>
    </sheetView>
  </sheetViews>
  <sheetFormatPr defaultRowHeight="14.25" x14ac:dyDescent="0.2"/>
  <cols>
    <col min="1" max="1" width="5" customWidth="1"/>
    <col min="2" max="2" width="39.7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1.75" customHeight="1" x14ac:dyDescent="0.55000000000000004">
      <c r="A1" s="35" t="s">
        <v>3</v>
      </c>
      <c r="B1" s="35"/>
      <c r="C1" s="35"/>
      <c r="D1" s="35"/>
      <c r="E1" s="35"/>
      <c r="F1" s="35"/>
    </row>
    <row r="2" spans="1:13" ht="21.75" customHeight="1" x14ac:dyDescent="0.2">
      <c r="A2" s="36" t="s">
        <v>21</v>
      </c>
      <c r="B2" s="36"/>
      <c r="C2" s="36"/>
      <c r="D2" s="36"/>
      <c r="E2" s="36"/>
      <c r="F2" s="36"/>
    </row>
    <row r="3" spans="1:13" ht="21.75" customHeight="1" x14ac:dyDescent="0.2">
      <c r="A3" s="36" t="s">
        <v>20</v>
      </c>
      <c r="B3" s="36"/>
      <c r="C3" s="36"/>
      <c r="D3" s="36"/>
      <c r="E3" s="36"/>
      <c r="F3" s="36"/>
    </row>
    <row r="4" spans="1:13" ht="21.75" customHeight="1" x14ac:dyDescent="0.55000000000000004">
      <c r="A4" s="37" t="s">
        <v>0</v>
      </c>
      <c r="B4" s="28" t="s">
        <v>4</v>
      </c>
      <c r="C4" s="30" t="s">
        <v>5</v>
      </c>
      <c r="D4" s="31"/>
      <c r="E4" s="32"/>
      <c r="F4" s="33" t="s">
        <v>2</v>
      </c>
    </row>
    <row r="5" spans="1:13" ht="21.75" customHeight="1" x14ac:dyDescent="0.2">
      <c r="A5" s="38"/>
      <c r="B5" s="29"/>
      <c r="C5" s="2" t="s">
        <v>1</v>
      </c>
      <c r="D5" s="1" t="s">
        <v>6</v>
      </c>
      <c r="E5" s="11" t="s">
        <v>7</v>
      </c>
      <c r="F5" s="34"/>
    </row>
    <row r="6" spans="1:13" ht="22.5" customHeight="1" x14ac:dyDescent="0.55000000000000004">
      <c r="A6" s="9">
        <v>1</v>
      </c>
      <c r="B6" s="53" t="s">
        <v>48</v>
      </c>
      <c r="C6" s="54">
        <v>20</v>
      </c>
      <c r="D6" s="55">
        <v>2500</v>
      </c>
      <c r="E6" s="51">
        <f>SUM(D6*C6)</f>
        <v>50000</v>
      </c>
      <c r="F6" s="10"/>
    </row>
    <row r="7" spans="1:13" ht="22.5" customHeight="1" x14ac:dyDescent="0.55000000000000004">
      <c r="A7" s="5">
        <v>2</v>
      </c>
      <c r="B7" s="56" t="s">
        <v>18</v>
      </c>
      <c r="C7" s="50">
        <v>62</v>
      </c>
      <c r="D7" s="43">
        <v>1600</v>
      </c>
      <c r="E7" s="51">
        <f>SUM(D7*C7)</f>
        <v>99200</v>
      </c>
      <c r="F7" s="4"/>
    </row>
    <row r="8" spans="1:13" ht="20.25" customHeight="1" x14ac:dyDescent="0.55000000000000004">
      <c r="A8" s="3"/>
      <c r="B8" s="12" t="s">
        <v>9</v>
      </c>
      <c r="C8" s="14"/>
      <c r="D8" s="13"/>
      <c r="E8" s="13">
        <f>SUM(E6:E7)</f>
        <v>149200</v>
      </c>
      <c r="F8" s="8"/>
    </row>
    <row r="9" spans="1:13" ht="18" customHeight="1" x14ac:dyDescent="0.55000000000000004">
      <c r="A9" s="57"/>
      <c r="B9" s="58"/>
      <c r="C9" s="59"/>
      <c r="D9" s="15"/>
      <c r="E9" s="15"/>
      <c r="F9" s="60"/>
    </row>
    <row r="10" spans="1:13" ht="18" customHeight="1" x14ac:dyDescent="0.3">
      <c r="A10" s="24" t="s">
        <v>14</v>
      </c>
      <c r="B10" s="24"/>
      <c r="C10" s="24"/>
      <c r="D10" s="24"/>
      <c r="E10" s="24"/>
      <c r="F10" s="24"/>
    </row>
    <row r="11" spans="1:13" ht="18" customHeight="1" x14ac:dyDescent="0.3">
      <c r="A11" s="25" t="s">
        <v>49</v>
      </c>
      <c r="B11" s="25"/>
      <c r="C11" s="25"/>
      <c r="D11" s="25"/>
      <c r="E11" s="25"/>
      <c r="F11" s="25"/>
    </row>
    <row r="12" spans="1:13" ht="18" customHeight="1" x14ac:dyDescent="0.3">
      <c r="A12" s="23"/>
      <c r="B12" s="23"/>
      <c r="C12" s="23"/>
      <c r="D12" s="23"/>
      <c r="E12" s="23"/>
      <c r="F12" s="23"/>
      <c r="J12" s="16" t="s">
        <v>12</v>
      </c>
      <c r="M12" s="16" t="s">
        <v>10</v>
      </c>
    </row>
    <row r="13" spans="1:13" ht="18" customHeight="1" x14ac:dyDescent="0.3">
      <c r="A13" s="39" t="s">
        <v>24</v>
      </c>
      <c r="B13" s="39"/>
      <c r="C13" s="39"/>
      <c r="D13" s="39"/>
      <c r="E13" s="39"/>
      <c r="F13" s="39"/>
    </row>
    <row r="14" spans="1:13" ht="18" customHeight="1" x14ac:dyDescent="0.3">
      <c r="A14" s="27" t="s">
        <v>51</v>
      </c>
      <c r="B14" s="27"/>
      <c r="C14" s="27"/>
      <c r="D14" s="27"/>
      <c r="E14" s="27"/>
      <c r="F14" s="27"/>
    </row>
    <row r="15" spans="1:13" ht="18" customHeight="1" x14ac:dyDescent="0.3">
      <c r="A15" s="23"/>
      <c r="B15" s="23"/>
      <c r="C15" s="23"/>
      <c r="D15" s="23"/>
      <c r="E15" s="23"/>
      <c r="F15" s="23"/>
      <c r="J15" s="16"/>
      <c r="M15" s="16" t="s">
        <v>11</v>
      </c>
    </row>
    <row r="16" spans="1:13" ht="18" customHeight="1" x14ac:dyDescent="0.3">
      <c r="A16" s="39" t="s">
        <v>24</v>
      </c>
      <c r="B16" s="39"/>
      <c r="C16" s="39"/>
      <c r="D16" s="39"/>
      <c r="E16" s="39"/>
      <c r="F16" s="39"/>
      <c r="J16" s="16"/>
      <c r="M16" s="16"/>
    </row>
    <row r="17" spans="1:10" ht="18" customHeight="1" x14ac:dyDescent="0.3">
      <c r="A17" s="26" t="s">
        <v>50</v>
      </c>
      <c r="B17" s="26"/>
      <c r="C17" s="26"/>
      <c r="D17" s="26"/>
      <c r="E17" s="26"/>
      <c r="F17" s="26"/>
      <c r="G17" s="16"/>
      <c r="H17" s="16"/>
    </row>
    <row r="18" spans="1:10" ht="21.75" customHeight="1" x14ac:dyDescent="0.3">
      <c r="A18" s="26"/>
      <c r="B18" s="26"/>
      <c r="C18" s="26"/>
      <c r="D18" s="26"/>
      <c r="E18" s="26"/>
      <c r="F18" s="26"/>
      <c r="J18" s="17" t="s">
        <v>13</v>
      </c>
    </row>
  </sheetData>
  <mergeCells count="14">
    <mergeCell ref="A18:F18"/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ช่างยนต์-เครื่องกล</vt:lpstr>
      <vt:lpstr>ช่างเชื่อม</vt:lpstr>
      <vt:lpstr>เทคนิค</vt:lpstr>
      <vt:lpstr>การตลาด</vt:lpstr>
      <vt:lpstr>บัญชี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2025-05-21T05:55:50Z</cp:lastPrinted>
  <dcterms:created xsi:type="dcterms:W3CDTF">2023-10-31T08:09:07Z</dcterms:created>
  <dcterms:modified xsi:type="dcterms:W3CDTF">2025-05-21T05:56:53Z</dcterms:modified>
</cp:coreProperties>
</file>