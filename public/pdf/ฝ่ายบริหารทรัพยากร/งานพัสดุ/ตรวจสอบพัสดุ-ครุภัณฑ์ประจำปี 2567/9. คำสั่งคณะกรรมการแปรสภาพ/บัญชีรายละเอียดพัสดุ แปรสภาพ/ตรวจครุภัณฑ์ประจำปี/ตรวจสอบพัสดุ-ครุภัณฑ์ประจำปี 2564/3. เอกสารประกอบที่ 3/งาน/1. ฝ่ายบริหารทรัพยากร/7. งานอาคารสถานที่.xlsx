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701"/>
  <workbookPr/>
  <mc:AlternateContent xmlns:mc="http://schemas.openxmlformats.org/markup-compatibility/2006">
    <mc:Choice Requires="x15">
      <x15ac:absPath xmlns:x15ac="http://schemas.microsoft.com/office/spreadsheetml/2010/11/ac" url="E:\งานธนพร\ตรวจครุภัณฑ์ประจำปี\ตรวจสอบพัสดุ-ครุภัณฑ์ประจำปี 2564\เอกสารประกอบที่ 3\งาน\1. ฝ่ายบริหารทรัพยากร\"/>
    </mc:Choice>
  </mc:AlternateContent>
  <xr:revisionPtr revIDLastSave="0" documentId="13_ncr:1_{EE2AEAF2-D209-46E4-9F56-530E38D6A4AB}" xr6:coauthVersionLast="47" xr6:coauthVersionMax="47" xr10:uidLastSave="{00000000-0000-0000-0000-000000000000}"/>
  <bookViews>
    <workbookView xWindow="-120" yWindow="-120" windowWidth="24240" windowHeight="13140" tabRatio="897" xr2:uid="{00000000-000D-0000-FFFF-FFFF00000000}"/>
  </bookViews>
  <sheets>
    <sheet name="ต้นฉบับ" sheetId="46" r:id="rId1"/>
  </sheets>
  <definedNames>
    <definedName name="_xlnm.Print_Titles" localSheetId="0">ต้นฉบับ!$2:$6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0" i="46" l="1"/>
  <c r="K91" i="46"/>
  <c r="K92" i="46"/>
  <c r="K93" i="46"/>
  <c r="K94" i="46"/>
  <c r="K89" i="46"/>
  <c r="K88" i="46"/>
  <c r="K86" i="46"/>
  <c r="K87" i="46"/>
  <c r="K85" i="46"/>
  <c r="K80" i="46"/>
  <c r="K81" i="46"/>
  <c r="K82" i="46"/>
  <c r="K83" i="46"/>
  <c r="K84" i="46"/>
  <c r="K79" i="46"/>
  <c r="K78" i="46"/>
  <c r="K73" i="46"/>
  <c r="K74" i="46"/>
  <c r="K75" i="46"/>
  <c r="K76" i="46"/>
  <c r="K77" i="46"/>
  <c r="K64" i="46"/>
  <c r="K65" i="46"/>
  <c r="K66" i="46"/>
  <c r="K67" i="46"/>
  <c r="K68" i="46"/>
  <c r="K69" i="46"/>
  <c r="K70" i="46"/>
  <c r="K71" i="46"/>
  <c r="K72" i="46"/>
  <c r="K63" i="46"/>
  <c r="K62" i="46"/>
  <c r="K61" i="46"/>
  <c r="K60" i="46"/>
  <c r="K59" i="46"/>
  <c r="K58" i="46"/>
  <c r="K57" i="46"/>
  <c r="K56" i="46"/>
  <c r="K55" i="46"/>
  <c r="K54" i="46"/>
  <c r="K53" i="46"/>
  <c r="K52" i="46"/>
  <c r="K51" i="46"/>
  <c r="K50" i="46"/>
  <c r="K49" i="46"/>
  <c r="K48" i="46"/>
  <c r="K47" i="46"/>
  <c r="K46" i="46"/>
  <c r="K45" i="46"/>
  <c r="K44" i="46"/>
  <c r="K40" i="46"/>
  <c r="K41" i="46"/>
  <c r="K42" i="46"/>
  <c r="K43" i="46"/>
  <c r="K35" i="46"/>
  <c r="K36" i="46"/>
  <c r="K37" i="46"/>
  <c r="K38" i="46"/>
  <c r="K39" i="46"/>
  <c r="K34" i="46"/>
  <c r="K33" i="46"/>
  <c r="K9" i="46"/>
  <c r="K10" i="46"/>
  <c r="K11" i="46"/>
  <c r="K12" i="46"/>
  <c r="K13" i="46"/>
  <c r="K14" i="46"/>
  <c r="K15" i="46"/>
  <c r="K16" i="46"/>
  <c r="K17" i="46"/>
  <c r="K18" i="46"/>
  <c r="K19" i="46"/>
  <c r="K20" i="46"/>
  <c r="K21" i="46"/>
  <c r="K22" i="46"/>
  <c r="K23" i="46"/>
  <c r="K24" i="46"/>
  <c r="K25" i="46"/>
  <c r="K26" i="46"/>
  <c r="K27" i="46"/>
  <c r="K28" i="46"/>
  <c r="K29" i="46"/>
  <c r="K30" i="46"/>
  <c r="K31" i="46"/>
  <c r="K32" i="46"/>
  <c r="K8" i="46"/>
  <c r="K96" i="46" l="1"/>
</calcChain>
</file>

<file path=xl/sharedStrings.xml><?xml version="1.0" encoding="utf-8"?>
<sst xmlns="http://schemas.openxmlformats.org/spreadsheetml/2006/main" count="600" uniqueCount="239">
  <si>
    <t>รายการ ขนาด ลักษณะ</t>
  </si>
  <si>
    <t>จำนวน</t>
  </si>
  <si>
    <t>หมายเหตุ</t>
  </si>
  <si>
    <t>ชำรุด</t>
  </si>
  <si>
    <t>หัวหน้าหน่วยจ่าย/หน่วยเบิก</t>
  </si>
  <si>
    <t>รวมเป็นเงิน</t>
  </si>
  <si>
    <t xml:space="preserve"> สถานศึกษา วิทยาลัยเทคนิคกันทรลักษ์</t>
  </si>
  <si>
    <t>บัญชีรายการ ครุภัณฑ์ ชำรุด เสื่อมคุณภาพ ไม่ใช้ราชการ ของสถานศึกษา</t>
  </si>
  <si>
    <t>ลำดับ
ที่</t>
  </si>
  <si>
    <t>เป็นเงิน</t>
  </si>
  <si>
    <t>ระยะเวลา
ใช้งาน</t>
  </si>
  <si>
    <t>ได้มา
โดยวิธีใด</t>
  </si>
  <si>
    <t>เคย
ซ่อม
กี่ครั้ง</t>
  </si>
  <si>
    <t>เต็มตาม
บัญชี</t>
  </si>
  <si>
    <t>คำชี้แจง
ประกอบ
ของชำรุด</t>
  </si>
  <si>
    <t>หน่วยละ</t>
  </si>
  <si>
    <t xml:space="preserve">หมายเลขประจำ
วัสดุครุภัณฑ์ </t>
  </si>
  <si>
    <t>1. ให้แยกบัญชี เช่น บัญชีรายการครุภัณฑ์มูลค่าต่ำกว่าเกณฑ์ หรือ บัญชีรายการครุภัณฑ์ชำรุด เป็นต้น</t>
  </si>
  <si>
    <t>2. ในช่อง "เป็นเงิน" ให้ลงจำนวนเงินรวมตามจำนวนของที่ชำรุดเท่านั้น</t>
  </si>
  <si>
    <t>วัน เดือน ปี 
ที่ได้มา</t>
  </si>
  <si>
    <t>เอกสารหมายเลข...................</t>
  </si>
  <si>
    <t xml:space="preserve"> ............................................................</t>
  </si>
  <si>
    <t>ประจำปี 2564 สิ้นงวดเมื่อวันที่ 30 กันยายน 2564 ของงานอาคารสถานที่</t>
  </si>
  <si>
    <t>(นายสมาน  คำขาว)</t>
  </si>
  <si>
    <t>2539</t>
  </si>
  <si>
    <t>7110-006-0003/391-001-400</t>
  </si>
  <si>
    <t>เก้าอี้สำหรับห้องประชุม</t>
  </si>
  <si>
    <t>7110-006-0004/391-001-200</t>
  </si>
  <si>
    <t>เก้าอี้ฟังคำบรรยาย</t>
  </si>
  <si>
    <t>7110-006-0004/392-001-075</t>
  </si>
  <si>
    <t>7110-007-0010/391-001</t>
  </si>
  <si>
    <t>โต๊ะประชุม ขนาด 12 คน</t>
  </si>
  <si>
    <t>4110-002-0002/391-001-002</t>
  </si>
  <si>
    <t>เครื่องทำน้ำเย็นสแตนดาร์ด</t>
  </si>
  <si>
    <t>7110-007-0003/391-001-015</t>
  </si>
  <si>
    <t>โต๊ะทำงานระดับ 3-6</t>
  </si>
  <si>
    <t>7110-007-0005/391-001</t>
  </si>
  <si>
    <t>โต๊ะทำงานระดับ 7-9</t>
  </si>
  <si>
    <t>2540</t>
  </si>
  <si>
    <t>7110-006-0004/401-201-400</t>
  </si>
  <si>
    <t>7110-007-0010/401-002</t>
  </si>
  <si>
    <t>7110-006-0001/403-001</t>
  </si>
  <si>
    <t>เก้าอี้สำนักงานล้อเลื่อนหลังโยก</t>
  </si>
  <si>
    <t>7110-006-0001/403-002</t>
  </si>
  <si>
    <t>7110-007-0003/403-001</t>
  </si>
  <si>
    <t>7110-007-0005/403-001-002</t>
  </si>
  <si>
    <t>4210-001-0001/403-001-005</t>
  </si>
  <si>
    <t>เครื่องปรับอากาศ</t>
  </si>
  <si>
    <t>2541</t>
  </si>
  <si>
    <t>9925-009-0001/412-001</t>
  </si>
  <si>
    <t>โต๊ะหมู่บูชา (หมู่ 9 หน้า 8)</t>
  </si>
  <si>
    <t>3750-002-0001/412-001</t>
  </si>
  <si>
    <t>รถตัดหญ้า 5.5</t>
  </si>
  <si>
    <t>2542</t>
  </si>
  <si>
    <t>4110-002-0002/422-001</t>
  </si>
  <si>
    <t>เครื่องทำน้ำเย็น</t>
  </si>
  <si>
    <t>9925-009-0001/422-002</t>
  </si>
  <si>
    <t>โต๊ะหมู่บูชา (หมู่ 5)</t>
  </si>
  <si>
    <t>7110-006-0005/424-001-072</t>
  </si>
  <si>
    <t>เก้าอี้รับประทานอาหาร</t>
  </si>
  <si>
    <t>7110-007-0018/424-001-036</t>
  </si>
  <si>
    <t>โต๊ะรับประทานอาหาร</t>
  </si>
  <si>
    <t>7110-007-0019/424-001-020</t>
  </si>
  <si>
    <t>โต๊ะอเนกประสงค์</t>
  </si>
  <si>
    <t>7110-001-0001/432-001-015</t>
  </si>
  <si>
    <t>โต๊ะทำงานระดับ 1 - 2 พร้อมเก้าอี้</t>
  </si>
  <si>
    <t>7110-001-0001/434-001-015</t>
  </si>
  <si>
    <t>7110-006-0004/432-076-120</t>
  </si>
  <si>
    <t>7110-0006-0004/434-001-080</t>
  </si>
  <si>
    <t>3570-002-0001/432-001</t>
  </si>
  <si>
    <t>ชุดรับแขก</t>
  </si>
  <si>
    <t>7110-006-0001/432-001</t>
  </si>
  <si>
    <t>งปม.</t>
  </si>
  <si>
    <t>บกศ.</t>
  </si>
  <si>
    <t>บริจาค</t>
  </si>
  <si>
    <t>ปกศ.</t>
  </si>
  <si>
    <t>25ปี</t>
  </si>
  <si>
    <t>24ปี</t>
  </si>
  <si>
    <t>23ปี</t>
  </si>
  <si>
    <t>22ปี</t>
  </si>
  <si>
    <t>21ปี</t>
  </si>
  <si>
    <t>-</t>
  </si>
  <si>
    <t>4110-002-0002/433-001-004</t>
  </si>
  <si>
    <t>4140-001-0001/432-001(3)</t>
  </si>
  <si>
    <t>พัดลมอุตสาหกรรม 20 "</t>
  </si>
  <si>
    <t>3750-002-0001/432-003</t>
  </si>
  <si>
    <t>รถตัดหญ้า 4 ล้อ</t>
  </si>
  <si>
    <t>3750-002-0001/432-004</t>
  </si>
  <si>
    <t>เครื่องตัดหญ้าแบบสายสพาย</t>
  </si>
  <si>
    <t>7490-015-0001/432-001</t>
  </si>
  <si>
    <t>เครื่องตัดสติกเกอร์ ROLAND</t>
  </si>
  <si>
    <t>2544</t>
  </si>
  <si>
    <t>7110-006-0004/444-081-160</t>
  </si>
  <si>
    <t>4140-001-0001/442-006</t>
  </si>
  <si>
    <t>พัดลมติดผนัง</t>
  </si>
  <si>
    <t>5130-007-0001/442-001</t>
  </si>
  <si>
    <t>เครื่องเจียมือถือ 4" มากีต้า</t>
  </si>
  <si>
    <t>5130-009-0001/442-001</t>
  </si>
  <si>
    <t>สว่านโรตารี่ GBH - 2 BOSCH</t>
  </si>
  <si>
    <t>2545</t>
  </si>
  <si>
    <t>3220-003-0001/452-001</t>
  </si>
  <si>
    <t>จิกซอร์ 4300 มากีต้า</t>
  </si>
  <si>
    <t>4330-001-0002/452-002</t>
  </si>
  <si>
    <t>ปั้มน้ำมิตซู  ขนาด 2" 2 PH</t>
  </si>
  <si>
    <t>2546</t>
  </si>
  <si>
    <t>7110-001-0001/462-016-019</t>
  </si>
  <si>
    <t>โต๊ะทำงานระดับระดับ 1 - 2 พร้อมเก้าอี้</t>
  </si>
  <si>
    <t>20ปี</t>
  </si>
  <si>
    <t>19ปี</t>
  </si>
  <si>
    <t>18ปี</t>
  </si>
  <si>
    <t>7110-006-0004/462-121-200</t>
  </si>
  <si>
    <t>7110-007-0003/462-001-002</t>
  </si>
  <si>
    <t>7110-007-0005/462-001</t>
  </si>
  <si>
    <t>4110-002-0002/462-002</t>
  </si>
  <si>
    <t>เครื่องทำน้ำเย็น 4 หัว</t>
  </si>
  <si>
    <t>4140-001-0001/463-001-002</t>
  </si>
  <si>
    <t>4140-001-0001/463-003-018</t>
  </si>
  <si>
    <t>5130-009-0001/462-002</t>
  </si>
  <si>
    <t>สว่านไฟฟ้ากระแทก</t>
  </si>
  <si>
    <t>7110-001-0001/472-036-038</t>
  </si>
  <si>
    <t>7110-001-0001/472-027-035</t>
  </si>
  <si>
    <t>7110-001-0001/472-039-042</t>
  </si>
  <si>
    <t>4210-001-0001/472-001</t>
  </si>
  <si>
    <t>4210-001-0001/472-001-002</t>
  </si>
  <si>
    <t>4210-001-0001/472-003-004</t>
  </si>
  <si>
    <t>4210-001-0001/473-006</t>
  </si>
  <si>
    <t>7110-001-0001/481-001-005</t>
  </si>
  <si>
    <t>7110-006-0006/481-001-280</t>
  </si>
  <si>
    <t>เก้าอี้ขาคู่หน้าไม้ยาง</t>
  </si>
  <si>
    <t>5210-002-0001/482-001</t>
  </si>
  <si>
    <t>เลื่อยวงเดือน 9 นิ้ว</t>
  </si>
  <si>
    <t>17ปี</t>
  </si>
  <si>
    <t>16ปี</t>
  </si>
  <si>
    <t>3510-003-0001/484-001</t>
  </si>
  <si>
    <t>เครื่องซักผ้า</t>
  </si>
  <si>
    <t>2549</t>
  </si>
  <si>
    <t>7110-001-0001/492-048-068</t>
  </si>
  <si>
    <t>7110-0006-0004/494-161-580</t>
  </si>
  <si>
    <t>4110-002-0002/492-003-004</t>
  </si>
  <si>
    <t>เครื่องทำน้ำเย็น 5 หัว</t>
  </si>
  <si>
    <t>4110-002-0002/492-005-006</t>
  </si>
  <si>
    <t>เครื่องทำน้ำเย็น  6  หัว</t>
  </si>
  <si>
    <t>9925-009-0002/492-003</t>
  </si>
  <si>
    <t>โต๊ะหมู่บูชา ขนาด 9 * 9</t>
  </si>
  <si>
    <t>4210-001-0001/494-001-002</t>
  </si>
  <si>
    <t>2550</t>
  </si>
  <si>
    <t>7110-006-0004/504-581-700</t>
  </si>
  <si>
    <t>4330-001-0002/502-003</t>
  </si>
  <si>
    <t>ปั้มหอยโข่ง</t>
  </si>
  <si>
    <t>15ปี</t>
  </si>
  <si>
    <t>7440-001-0001/502-055</t>
  </si>
  <si>
    <t>เครื่องคอมพิวเตอร์</t>
  </si>
  <si>
    <t>7110-007-0001/502-009</t>
  </si>
  <si>
    <t>โต๊ะเครื่องคอมพิวเตอร์</t>
  </si>
  <si>
    <t>4140-001-0002/514-001-008</t>
  </si>
  <si>
    <t>พัดลมไอน้ำ</t>
  </si>
  <si>
    <t>7110-001-0003/512-006</t>
  </si>
  <si>
    <t>โต๊ะเหล็ก 5 ฟุต TC - 3060  BESTER</t>
  </si>
  <si>
    <t>7110-006-0007/512-005</t>
  </si>
  <si>
    <t>เก้าอี้สำนักงาน  S - 35 หนัง</t>
  </si>
  <si>
    <t>14ปี</t>
  </si>
  <si>
    <t>8350-001-0001/521-007-013</t>
  </si>
  <si>
    <t>ผ้าม่านพร้อมอุปกรณ์</t>
  </si>
  <si>
    <t>13ปี</t>
  </si>
  <si>
    <t>3450-002-0001/521-001</t>
  </si>
  <si>
    <t>เครื่องขัดพื้น CLEAN WORLD 18 นิ้ว TIP</t>
  </si>
  <si>
    <t>7430-008-0002/531-017</t>
  </si>
  <si>
    <t>HP Laserjet P1005</t>
  </si>
  <si>
    <t>4140-001-0003/532-001-009</t>
  </si>
  <si>
    <t>พัดลมไอน้ำขนาด 26"  พร้อมอุปกรณ์</t>
  </si>
  <si>
    <t>8350-001-0001/531-014-015</t>
  </si>
  <si>
    <t>ผ้าม่านพร้อมติดตั้ง ขนาด 376*200 ซ.ม.</t>
  </si>
  <si>
    <t>8350-001-0001/531-016-017</t>
  </si>
  <si>
    <t>ผ้าม่านพร้อมติดตั้ง ขนาด 356*230 ซ.ม.</t>
  </si>
  <si>
    <t>8350-001-0001/531-018-019</t>
  </si>
  <si>
    <t>ผ้าม่านพร้อมติดตั้ง ขนาด 260*230 ซ.ม.</t>
  </si>
  <si>
    <t>8350-001-0001/531-020-021</t>
  </si>
  <si>
    <t>ผ้าม่านพร้อมติดตั้ง ขนาด 96*105 ซ.ม.</t>
  </si>
  <si>
    <t>8350-001-0001/531-022-023</t>
  </si>
  <si>
    <t>ผ้าม่านพร้อมติดตั้ง ขนาด 360*220 ซ.ม.</t>
  </si>
  <si>
    <t>8350-001-0001/531-024-025</t>
  </si>
  <si>
    <t>ผ้าม่านพร้อมติดตั้ง ขนาด 260*220 ซ.ม.</t>
  </si>
  <si>
    <t>8350-001-0001/531-026-027</t>
  </si>
  <si>
    <t>ผ้าม่านพร้อมติดตั้ง ขนาด 100*95 ซ.ม.</t>
  </si>
  <si>
    <t>12ปี</t>
  </si>
  <si>
    <t>6720-005-0002/531-005</t>
  </si>
  <si>
    <t>กล้องถ่ายภาพนิ่ง</t>
  </si>
  <si>
    <t>2555</t>
  </si>
  <si>
    <t>4120-001-0003/551-008-009</t>
  </si>
  <si>
    <t>เครื่องปรับอากาศมิสซูบิซิ 32,000 บีทียู</t>
  </si>
  <si>
    <t>7110-007-0013/551-001-016</t>
  </si>
  <si>
    <t>ชุดโต๊ะประชุม 16 ที่นั่ง พร้อมเก้าอี้</t>
  </si>
  <si>
    <t>7110-007-0014/551-017-024</t>
  </si>
  <si>
    <t>ชุดโต๊ะประชุม 8 ที่นั่ง พร้อมเก้าอี้</t>
  </si>
  <si>
    <t>4610-007-0001/551-001-002</t>
  </si>
  <si>
    <t>เครื่องกรองน้ำ</t>
  </si>
  <si>
    <t>4110-003-0001/551-001-002</t>
  </si>
  <si>
    <t>ตู้น้ำกิน 6 ก๊อก ขนาด 3/8</t>
  </si>
  <si>
    <t>9ปี</t>
  </si>
  <si>
    <t xml:space="preserve">ปั๊มน้ำ MITSUBISHI 380V 2 นิ้ว 3แรง </t>
  </si>
  <si>
    <t>ขาหัก</t>
  </si>
  <si>
    <t>ท่อน้ำยารั่ว</t>
  </si>
  <si>
    <t>ผุ ขาหัก</t>
  </si>
  <si>
    <t>ล้อหัก แตก</t>
  </si>
  <si>
    <t>ขึ้นสนิม หัก</t>
  </si>
  <si>
    <t>คอยเย็นรั่ว</t>
  </si>
  <si>
    <t>ขาหัก ผุ</t>
  </si>
  <si>
    <t>สตาร์ทไม่ติด</t>
  </si>
  <si>
    <t>ไฟไม่เข้า</t>
  </si>
  <si>
    <t>พนักพิงหัก</t>
  </si>
  <si>
    <t>พื้นแตก</t>
  </si>
  <si>
    <t>ท่อน้ำยาแตก</t>
  </si>
  <si>
    <t>ลูกปืนแตก มอเตอร์ไหม้</t>
  </si>
  <si>
    <t>ลูกสูบติด</t>
  </si>
  <si>
    <t>ถังน้ำมันรั่ว</t>
  </si>
  <si>
    <t>ขึ้นสนิม หัก มอเตอร์ไหม้</t>
  </si>
  <si>
    <t>เฟืองรูด</t>
  </si>
  <si>
    <t>ขดลวดไหม้</t>
  </si>
  <si>
    <t>ฐานเครื่องแตก</t>
  </si>
  <si>
    <t>ขึ้นสนิม</t>
  </si>
  <si>
    <t>ใบพัดแตก มอเตอร์ไหม้</t>
  </si>
  <si>
    <t>เฟืองแตก</t>
  </si>
  <si>
    <t>ขึ้นสนิม  ขาหัก</t>
  </si>
  <si>
    <t>คอยร้อนไหม้</t>
  </si>
  <si>
    <t>ขาหัก พื้นหลุด</t>
  </si>
  <si>
    <t>เครื่องไหม้</t>
  </si>
  <si>
    <t>คอมเพรสเซอร์ไม่ทำงาน</t>
  </si>
  <si>
    <t>คอมเพรสเซอร์ไหม้</t>
  </si>
  <si>
    <t>โต๊ะขหัก</t>
  </si>
  <si>
    <t>เมนบอร์ดไหม้</t>
  </si>
  <si>
    <t>ขึ้นสนิม ผุ</t>
  </si>
  <si>
    <t>ขึ้นสนิม ขาหัก</t>
  </si>
  <si>
    <t>ขึ้นรา ขาด</t>
  </si>
  <si>
    <t>ไฟช็อต</t>
  </si>
  <si>
    <t>ปริ้นไม่ได้</t>
  </si>
  <si>
    <t>ระบบไอน้ำไม่ทำงาน</t>
  </si>
  <si>
    <t>ขาด</t>
  </si>
  <si>
    <t>เปิดกล้องไม่ติด</t>
  </si>
  <si>
    <t>ถังรั่ว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</si>
</sst>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9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4"/>
      <name val="Cordia New"/>
      <family val="2"/>
    </font>
    <font>
      <sz val="16"/>
      <name val="TH SarabunPSK"/>
      <family val="2"/>
    </font>
    <font>
      <sz val="16"/>
      <color theme="1"/>
      <name val="TH SarabunPSK"/>
      <family val="2"/>
    </font>
    <font>
      <sz val="10"/>
      <name val="Arial"/>
      <family val="2"/>
    </font>
    <font>
      <b/>
      <sz val="16"/>
      <color theme="1"/>
      <name val="TH SarabunPSK"/>
      <family val="2"/>
    </font>
    <font>
      <b/>
      <sz val="16"/>
      <name val="TH SarabunPSK"/>
      <family val="2"/>
    </font>
    <font>
      <u/>
      <sz val="16"/>
      <color theme="1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" fillId="0" borderId="0"/>
    <xf numFmtId="0" fontId="2" fillId="0" borderId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2" fillId="0" borderId="0"/>
  </cellStyleXfs>
  <cellXfs count="58">
    <xf numFmtId="0" fontId="0" fillId="0" borderId="0" xfId="0"/>
    <xf numFmtId="0" fontId="3" fillId="0" borderId="1" xfId="6" applyFont="1" applyBorder="1"/>
    <xf numFmtId="0" fontId="4" fillId="0" borderId="0" xfId="0" applyFont="1"/>
    <xf numFmtId="0" fontId="3" fillId="0" borderId="1" xfId="6" applyFont="1" applyBorder="1" applyAlignment="1">
      <alignment horizontal="left"/>
    </xf>
    <xf numFmtId="0" fontId="3" fillId="0" borderId="1" xfId="2" applyFont="1" applyBorder="1" applyAlignment="1">
      <alignment horizontal="center"/>
    </xf>
    <xf numFmtId="0" fontId="3" fillId="0" borderId="1" xfId="6" applyFont="1" applyBorder="1" applyAlignment="1">
      <alignment horizontal="center"/>
    </xf>
    <xf numFmtId="43" fontId="3" fillId="0" borderId="1" xfId="1" applyFont="1" applyBorder="1"/>
    <xf numFmtId="49" fontId="3" fillId="0" borderId="1" xfId="0" applyNumberFormat="1" applyFont="1" applyBorder="1" applyAlignment="1">
      <alignment horizontal="center"/>
    </xf>
    <xf numFmtId="0" fontId="4" fillId="0" borderId="0" xfId="0" applyFont="1" applyBorder="1"/>
    <xf numFmtId="49" fontId="3" fillId="0" borderId="1" xfId="7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49" fontId="3" fillId="0" borderId="1" xfId="13" applyNumberFormat="1" applyFont="1" applyBorder="1" applyAlignment="1">
      <alignment horizont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Border="1" applyAlignment="1"/>
    <xf numFmtId="43" fontId="4" fillId="0" borderId="0" xfId="0" applyNumberFormat="1" applyFont="1" applyBorder="1" applyAlignment="1"/>
    <xf numFmtId="0" fontId="3" fillId="0" borderId="0" xfId="2" applyFont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4" fillId="0" borderId="0" xfId="0" applyFont="1" applyAlignment="1">
      <alignment horizontal="right"/>
    </xf>
    <xf numFmtId="0" fontId="4" fillId="0" borderId="0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0" xfId="0" applyFont="1" applyBorder="1" applyAlignment="1" applyProtection="1">
      <alignment horizontal="center"/>
      <protection locked="0"/>
    </xf>
    <xf numFmtId="0" fontId="3" fillId="0" borderId="1" xfId="6" applyFont="1" applyBorder="1" applyAlignment="1">
      <alignment horizontal="left" vertical="center"/>
    </xf>
    <xf numFmtId="0" fontId="3" fillId="0" borderId="5" xfId="6" applyFont="1" applyBorder="1" applyAlignment="1">
      <alignment horizontal="left"/>
    </xf>
    <xf numFmtId="0" fontId="3" fillId="0" borderId="6" xfId="6" applyFont="1" applyBorder="1" applyAlignment="1">
      <alignment horizontal="left" vertical="center"/>
    </xf>
    <xf numFmtId="0" fontId="3" fillId="0" borderId="1" xfId="2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3" fillId="0" borderId="1" xfId="6" applyFont="1" applyFill="1" applyBorder="1" applyAlignment="1">
      <alignment horizontal="center"/>
    </xf>
    <xf numFmtId="43" fontId="3" fillId="0" borderId="5" xfId="1" applyFont="1" applyFill="1" applyBorder="1" applyAlignment="1">
      <alignment horizontal="center"/>
    </xf>
    <xf numFmtId="43" fontId="3" fillId="0" borderId="1" xfId="1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43" fontId="3" fillId="0" borderId="1" xfId="1" applyFont="1" applyFill="1" applyBorder="1"/>
    <xf numFmtId="49" fontId="3" fillId="0" borderId="1" xfId="6" applyNumberFormat="1" applyFont="1" applyBorder="1"/>
    <xf numFmtId="0" fontId="3" fillId="2" borderId="1" xfId="0" applyFont="1" applyFill="1" applyBorder="1"/>
    <xf numFmtId="43" fontId="3" fillId="0" borderId="1" xfId="12" applyNumberFormat="1" applyFont="1" applyBorder="1" applyAlignment="1">
      <alignment horizontal="left"/>
    </xf>
    <xf numFmtId="0" fontId="4" fillId="0" borderId="1" xfId="0" applyFont="1" applyBorder="1" applyAlignment="1">
      <alignment horizontal="left"/>
    </xf>
    <xf numFmtId="43" fontId="3" fillId="0" borderId="1" xfId="12" applyFont="1" applyBorder="1" applyAlignment="1">
      <alignment horizontal="left"/>
    </xf>
    <xf numFmtId="43" fontId="3" fillId="0" borderId="1" xfId="12" applyNumberFormat="1" applyFont="1" applyBorder="1" applyAlignment="1"/>
    <xf numFmtId="0" fontId="4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9" applyFont="1" applyAlignment="1">
      <alignment horizontal="center" vertical="center"/>
    </xf>
    <xf numFmtId="0" fontId="6" fillId="0" borderId="0" xfId="0" applyFont="1" applyBorder="1" applyAlignment="1" applyProtection="1">
      <alignment horizontal="center"/>
      <protection locked="0"/>
    </xf>
    <xf numFmtId="0" fontId="4" fillId="0" borderId="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7" fillId="2" borderId="2" xfId="0" applyFont="1" applyFill="1" applyBorder="1" applyAlignment="1">
      <alignment horizontal="center"/>
    </xf>
    <xf numFmtId="0" fontId="7" fillId="2" borderId="7" xfId="0" applyFont="1" applyFill="1" applyBorder="1" applyAlignment="1">
      <alignment horizontal="center"/>
    </xf>
    <xf numFmtId="0" fontId="7" fillId="2" borderId="3" xfId="0" applyFont="1" applyFill="1" applyBorder="1" applyAlignment="1">
      <alignment horizontal="center"/>
    </xf>
  </cellXfs>
  <cellStyles count="14">
    <cellStyle name="Normal_ครุภัณฑ์ปี  2553" xfId="8" xr:uid="{00000000-0005-0000-0000-000000000000}"/>
    <cellStyle name="เครื่องหมายจุลภาค 9" xfId="12" xr:uid="{00000000-0005-0000-0000-000002000000}"/>
    <cellStyle name="จุลภาค" xfId="1" builtinId="3"/>
    <cellStyle name="ปกติ" xfId="0" builtinId="0"/>
    <cellStyle name="ปกติ 10" xfId="4" xr:uid="{00000000-0005-0000-0000-000004000000}"/>
    <cellStyle name="ปกติ 12" xfId="7" xr:uid="{00000000-0005-0000-0000-000005000000}"/>
    <cellStyle name="ปกติ 14" xfId="3" xr:uid="{00000000-0005-0000-0000-000006000000}"/>
    <cellStyle name="ปกติ 19" xfId="13" xr:uid="{00000000-0005-0000-0000-000007000000}"/>
    <cellStyle name="ปกติ 21" xfId="2" xr:uid="{00000000-0005-0000-0000-000008000000}"/>
    <cellStyle name="ปกติ 22" xfId="5" xr:uid="{00000000-0005-0000-0000-000009000000}"/>
    <cellStyle name="ปกติ 3" xfId="9" xr:uid="{00000000-0005-0000-0000-00000A000000}"/>
    <cellStyle name="ปกติ 4" xfId="10" xr:uid="{00000000-0005-0000-0000-00000B000000}"/>
    <cellStyle name="ปกติ 5" xfId="11" xr:uid="{00000000-0005-0000-0000-00000C000000}"/>
    <cellStyle name="ปกติ_รายการครุภัณฑ์ ปี 52 ที่แก้ไขเรียงลำดับใหม่ 23 ก.พ.53" xfId="6" xr:uid="{00000000-0005-0000-0000-00000D000000}"/>
  </cellStyles>
  <dxfs count="0"/>
  <tableStyles count="0" defaultTableStyle="TableStyleMedium2" defaultPivotStyle="PivotStyleLight16"/>
  <colors>
    <mruColors>
      <color rgb="FF7030A0"/>
      <color rgb="FF993300"/>
      <color rgb="FF0070C0"/>
      <color rgb="FFFF0066"/>
      <color rgb="FF2F75B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1162050</xdr:colOff>
      <xdr:row>96</xdr:row>
      <xdr:rowOff>123826</xdr:rowOff>
    </xdr:from>
    <xdr:to>
      <xdr:col>11</xdr:col>
      <xdr:colOff>1514475</xdr:colOff>
      <xdr:row>101</xdr:row>
      <xdr:rowOff>104776</xdr:rowOff>
    </xdr:to>
    <xdr:sp macro="" textlink="">
      <xdr:nvSpPr>
        <xdr:cNvPr id="2" name="กล่องข้อความ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 rot="5400000">
          <a:off x="10606088" y="30294263"/>
          <a:ext cx="1504950" cy="352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th-TH" sz="1600">
              <a:latin typeface="TH SarabunPSK" panose="020B0500040200020003" pitchFamily="34" charset="-34"/>
              <a:cs typeface="TH SarabunPSK" panose="020B0500040200020003" pitchFamily="34" charset="-34"/>
            </a:rPr>
            <a:t>เอกสารประกอบที่ 3</a:t>
          </a:r>
          <a:endParaRPr lang="en-US" sz="1600">
            <a:latin typeface="TH SarabunPSK" panose="020B0500040200020003" pitchFamily="34" charset="-34"/>
            <a:cs typeface="TH SarabunPSK" panose="020B0500040200020003" pitchFamily="34" charset="-34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70C0"/>
  </sheetPr>
  <dimension ref="A1:L103"/>
  <sheetViews>
    <sheetView tabSelected="1" topLeftCell="A76" zoomScaleNormal="100" workbookViewId="0">
      <selection activeCell="M7" sqref="M7"/>
    </sheetView>
  </sheetViews>
  <sheetFormatPr defaultColWidth="9" defaultRowHeight="24" x14ac:dyDescent="0.55000000000000004"/>
  <cols>
    <col min="1" max="1" width="5.25" style="2" customWidth="1"/>
    <col min="2" max="2" width="12" style="24" customWidth="1"/>
    <col min="3" max="3" width="30.375" style="17" customWidth="1"/>
    <col min="4" max="4" width="34.375" style="2" customWidth="1"/>
    <col min="5" max="5" width="7.625" style="2" customWidth="1"/>
    <col min="6" max="6" width="8.625" style="2" customWidth="1"/>
    <col min="7" max="7" width="6.625" style="2" customWidth="1"/>
    <col min="8" max="9" width="7.625" style="2" customWidth="1"/>
    <col min="10" max="10" width="12.625" style="2" customWidth="1"/>
    <col min="11" max="11" width="17.75" style="2" customWidth="1"/>
    <col min="12" max="12" width="25" style="24" customWidth="1"/>
    <col min="13" max="16384" width="9" style="2"/>
  </cols>
  <sheetData>
    <row r="1" spans="1:12" x14ac:dyDescent="0.55000000000000004">
      <c r="L1" s="22" t="s">
        <v>20</v>
      </c>
    </row>
    <row r="2" spans="1:12" x14ac:dyDescent="0.55000000000000004">
      <c r="A2" s="46" t="s">
        <v>6</v>
      </c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</row>
    <row r="3" spans="1:12" x14ac:dyDescent="0.55000000000000004">
      <c r="A3" s="47" t="s">
        <v>7</v>
      </c>
      <c r="B3" s="47"/>
      <c r="C3" s="47"/>
      <c r="D3" s="47"/>
      <c r="E3" s="47"/>
      <c r="F3" s="47"/>
      <c r="G3" s="47"/>
      <c r="H3" s="47"/>
      <c r="I3" s="47"/>
      <c r="J3" s="47"/>
      <c r="K3" s="47"/>
      <c r="L3" s="47"/>
    </row>
    <row r="4" spans="1:12" x14ac:dyDescent="0.55000000000000004">
      <c r="A4" s="48" t="s">
        <v>22</v>
      </c>
      <c r="B4" s="48"/>
      <c r="C4" s="48"/>
      <c r="D4" s="48"/>
      <c r="E4" s="48"/>
      <c r="F4" s="48"/>
      <c r="G4" s="48"/>
      <c r="H4" s="48"/>
      <c r="I4" s="48"/>
      <c r="J4" s="48"/>
      <c r="K4" s="48"/>
      <c r="L4" s="48"/>
    </row>
    <row r="5" spans="1:12" ht="12" customHeight="1" x14ac:dyDescent="0.55000000000000004">
      <c r="A5" s="26"/>
      <c r="B5" s="26"/>
      <c r="C5" s="26"/>
      <c r="D5" s="26"/>
      <c r="E5" s="26"/>
      <c r="F5" s="26"/>
      <c r="G5" s="26"/>
      <c r="H5" s="26"/>
      <c r="I5" s="26"/>
      <c r="J5" s="26"/>
      <c r="K5" s="26"/>
      <c r="L5" s="26"/>
    </row>
    <row r="6" spans="1:12" ht="28.5" customHeight="1" x14ac:dyDescent="0.55000000000000004">
      <c r="A6" s="43" t="s">
        <v>8</v>
      </c>
      <c r="B6" s="43" t="s">
        <v>19</v>
      </c>
      <c r="C6" s="43" t="s">
        <v>16</v>
      </c>
      <c r="D6" s="49" t="s">
        <v>0</v>
      </c>
      <c r="E6" s="43" t="s">
        <v>11</v>
      </c>
      <c r="F6" s="43" t="s">
        <v>10</v>
      </c>
      <c r="G6" s="51" t="s">
        <v>12</v>
      </c>
      <c r="H6" s="53" t="s">
        <v>1</v>
      </c>
      <c r="I6" s="54"/>
      <c r="J6" s="43" t="s">
        <v>15</v>
      </c>
      <c r="K6" s="43" t="s">
        <v>9</v>
      </c>
      <c r="L6" s="43" t="s">
        <v>14</v>
      </c>
    </row>
    <row r="7" spans="1:12" ht="45.75" customHeight="1" x14ac:dyDescent="0.55000000000000004">
      <c r="A7" s="44"/>
      <c r="B7" s="44"/>
      <c r="C7" s="44"/>
      <c r="D7" s="50"/>
      <c r="E7" s="44"/>
      <c r="F7" s="44"/>
      <c r="G7" s="52"/>
      <c r="H7" s="13" t="s">
        <v>13</v>
      </c>
      <c r="I7" s="12" t="s">
        <v>3</v>
      </c>
      <c r="J7" s="44"/>
      <c r="K7" s="44"/>
      <c r="L7" s="44"/>
    </row>
    <row r="8" spans="1:12" x14ac:dyDescent="0.55000000000000004">
      <c r="A8" s="10">
        <v>1</v>
      </c>
      <c r="B8" s="7" t="s">
        <v>24</v>
      </c>
      <c r="C8" s="3" t="s">
        <v>25</v>
      </c>
      <c r="D8" s="27" t="s">
        <v>26</v>
      </c>
      <c r="E8" s="30" t="s">
        <v>72</v>
      </c>
      <c r="F8" s="4" t="s">
        <v>76</v>
      </c>
      <c r="G8" s="4" t="s">
        <v>81</v>
      </c>
      <c r="H8" s="30">
        <v>331</v>
      </c>
      <c r="I8" s="30">
        <v>331</v>
      </c>
      <c r="J8" s="6">
        <v>500</v>
      </c>
      <c r="K8" s="6">
        <f>SUM(I8*J8)</f>
        <v>165500</v>
      </c>
      <c r="L8" s="39" t="s">
        <v>200</v>
      </c>
    </row>
    <row r="9" spans="1:12" x14ac:dyDescent="0.55000000000000004">
      <c r="A9" s="15">
        <v>2</v>
      </c>
      <c r="B9" s="7" t="s">
        <v>24</v>
      </c>
      <c r="C9" s="28" t="s">
        <v>27</v>
      </c>
      <c r="D9" s="29" t="s">
        <v>28</v>
      </c>
      <c r="E9" s="30" t="s">
        <v>72</v>
      </c>
      <c r="F9" s="4" t="s">
        <v>76</v>
      </c>
      <c r="G9" s="4" t="s">
        <v>81</v>
      </c>
      <c r="H9" s="30">
        <v>83</v>
      </c>
      <c r="I9" s="30">
        <v>83</v>
      </c>
      <c r="J9" s="33">
        <v>600</v>
      </c>
      <c r="K9" s="6">
        <f t="shared" ref="K9:K32" si="0">SUM(I9*J9)</f>
        <v>49800</v>
      </c>
      <c r="L9" s="39" t="s">
        <v>200</v>
      </c>
    </row>
    <row r="10" spans="1:12" x14ac:dyDescent="0.55000000000000004">
      <c r="A10" s="10">
        <v>3</v>
      </c>
      <c r="B10" s="7" t="s">
        <v>24</v>
      </c>
      <c r="C10" s="3" t="s">
        <v>29</v>
      </c>
      <c r="D10" s="1" t="s">
        <v>28</v>
      </c>
      <c r="E10" s="30" t="s">
        <v>73</v>
      </c>
      <c r="F10" s="4" t="s">
        <v>76</v>
      </c>
      <c r="G10" s="4" t="s">
        <v>81</v>
      </c>
      <c r="H10" s="30">
        <v>27</v>
      </c>
      <c r="I10" s="30">
        <v>27</v>
      </c>
      <c r="J10" s="34">
        <v>600</v>
      </c>
      <c r="K10" s="6">
        <f t="shared" si="0"/>
        <v>16200</v>
      </c>
      <c r="L10" s="39" t="s">
        <v>200</v>
      </c>
    </row>
    <row r="11" spans="1:12" x14ac:dyDescent="0.55000000000000004">
      <c r="A11" s="15">
        <v>4</v>
      </c>
      <c r="B11" s="7" t="s">
        <v>24</v>
      </c>
      <c r="C11" s="3" t="s">
        <v>30</v>
      </c>
      <c r="D11" s="1" t="s">
        <v>31</v>
      </c>
      <c r="E11" s="30" t="s">
        <v>72</v>
      </c>
      <c r="F11" s="4" t="s">
        <v>76</v>
      </c>
      <c r="G11" s="4" t="s">
        <v>81</v>
      </c>
      <c r="H11" s="30">
        <v>1</v>
      </c>
      <c r="I11" s="30">
        <v>1</v>
      </c>
      <c r="J11" s="34">
        <v>15000</v>
      </c>
      <c r="K11" s="6">
        <f t="shared" si="0"/>
        <v>15000</v>
      </c>
      <c r="L11" s="39" t="s">
        <v>200</v>
      </c>
    </row>
    <row r="12" spans="1:12" x14ac:dyDescent="0.55000000000000004">
      <c r="A12" s="10">
        <v>5</v>
      </c>
      <c r="B12" s="7" t="s">
        <v>24</v>
      </c>
      <c r="C12" s="3" t="s">
        <v>32</v>
      </c>
      <c r="D12" s="3" t="s">
        <v>33</v>
      </c>
      <c r="E12" s="30" t="s">
        <v>72</v>
      </c>
      <c r="F12" s="4" t="s">
        <v>76</v>
      </c>
      <c r="G12" s="4" t="s">
        <v>81</v>
      </c>
      <c r="H12" s="30">
        <v>2</v>
      </c>
      <c r="I12" s="30">
        <v>2</v>
      </c>
      <c r="J12" s="34">
        <v>2350</v>
      </c>
      <c r="K12" s="6">
        <f t="shared" si="0"/>
        <v>4700</v>
      </c>
      <c r="L12" s="39" t="s">
        <v>201</v>
      </c>
    </row>
    <row r="13" spans="1:12" x14ac:dyDescent="0.55000000000000004">
      <c r="A13" s="15">
        <v>6</v>
      </c>
      <c r="B13" s="7" t="s">
        <v>24</v>
      </c>
      <c r="C13" s="3" t="s">
        <v>34</v>
      </c>
      <c r="D13" s="3" t="s">
        <v>35</v>
      </c>
      <c r="E13" s="30" t="s">
        <v>72</v>
      </c>
      <c r="F13" s="4" t="s">
        <v>76</v>
      </c>
      <c r="G13" s="4" t="s">
        <v>81</v>
      </c>
      <c r="H13" s="30">
        <v>15</v>
      </c>
      <c r="I13" s="30">
        <v>15</v>
      </c>
      <c r="J13" s="34">
        <v>2250</v>
      </c>
      <c r="K13" s="6">
        <f t="shared" si="0"/>
        <v>33750</v>
      </c>
      <c r="L13" s="39" t="s">
        <v>202</v>
      </c>
    </row>
    <row r="14" spans="1:12" x14ac:dyDescent="0.55000000000000004">
      <c r="A14" s="10">
        <v>7</v>
      </c>
      <c r="B14" s="7" t="s">
        <v>24</v>
      </c>
      <c r="C14" s="3" t="s">
        <v>36</v>
      </c>
      <c r="D14" s="3" t="s">
        <v>37</v>
      </c>
      <c r="E14" s="30" t="s">
        <v>72</v>
      </c>
      <c r="F14" s="4" t="s">
        <v>76</v>
      </c>
      <c r="G14" s="4" t="s">
        <v>81</v>
      </c>
      <c r="H14" s="30">
        <v>1</v>
      </c>
      <c r="I14" s="30">
        <v>1</v>
      </c>
      <c r="J14" s="34">
        <v>3800</v>
      </c>
      <c r="K14" s="6">
        <f t="shared" si="0"/>
        <v>3800</v>
      </c>
      <c r="L14" s="39" t="s">
        <v>202</v>
      </c>
    </row>
    <row r="15" spans="1:12" x14ac:dyDescent="0.55000000000000004">
      <c r="A15" s="15">
        <v>8</v>
      </c>
      <c r="B15" s="7" t="s">
        <v>38</v>
      </c>
      <c r="C15" s="3" t="s">
        <v>39</v>
      </c>
      <c r="D15" s="1" t="s">
        <v>28</v>
      </c>
      <c r="E15" s="30" t="s">
        <v>72</v>
      </c>
      <c r="F15" s="4" t="s">
        <v>77</v>
      </c>
      <c r="G15" s="4" t="s">
        <v>81</v>
      </c>
      <c r="H15" s="30">
        <v>156</v>
      </c>
      <c r="I15" s="30">
        <v>156</v>
      </c>
      <c r="J15" s="34">
        <v>600</v>
      </c>
      <c r="K15" s="6">
        <f t="shared" si="0"/>
        <v>93600</v>
      </c>
      <c r="L15" s="39" t="s">
        <v>202</v>
      </c>
    </row>
    <row r="16" spans="1:12" x14ac:dyDescent="0.55000000000000004">
      <c r="A16" s="10">
        <v>9</v>
      </c>
      <c r="B16" s="7" t="s">
        <v>38</v>
      </c>
      <c r="C16" s="3" t="s">
        <v>40</v>
      </c>
      <c r="D16" s="1" t="s">
        <v>31</v>
      </c>
      <c r="E16" s="30" t="s">
        <v>72</v>
      </c>
      <c r="F16" s="4" t="s">
        <v>77</v>
      </c>
      <c r="G16" s="4" t="s">
        <v>81</v>
      </c>
      <c r="H16" s="32">
        <v>1</v>
      </c>
      <c r="I16" s="32">
        <v>1</v>
      </c>
      <c r="J16" s="34">
        <v>13000</v>
      </c>
      <c r="K16" s="6">
        <f t="shared" si="0"/>
        <v>13000</v>
      </c>
      <c r="L16" s="39" t="s">
        <v>200</v>
      </c>
    </row>
    <row r="17" spans="1:12" x14ac:dyDescent="0.55000000000000004">
      <c r="A17" s="15">
        <v>10</v>
      </c>
      <c r="B17" s="7" t="s">
        <v>38</v>
      </c>
      <c r="C17" s="3" t="s">
        <v>41</v>
      </c>
      <c r="D17" s="3" t="s">
        <v>42</v>
      </c>
      <c r="E17" s="30" t="s">
        <v>74</v>
      </c>
      <c r="F17" s="4" t="s">
        <v>77</v>
      </c>
      <c r="G17" s="4" t="s">
        <v>81</v>
      </c>
      <c r="H17" s="32">
        <v>1</v>
      </c>
      <c r="I17" s="32">
        <v>1</v>
      </c>
      <c r="J17" s="34">
        <v>3000</v>
      </c>
      <c r="K17" s="6">
        <f t="shared" si="0"/>
        <v>3000</v>
      </c>
      <c r="L17" s="39" t="s">
        <v>200</v>
      </c>
    </row>
    <row r="18" spans="1:12" x14ac:dyDescent="0.55000000000000004">
      <c r="A18" s="10">
        <v>11</v>
      </c>
      <c r="B18" s="7" t="s">
        <v>38</v>
      </c>
      <c r="C18" s="3" t="s">
        <v>43</v>
      </c>
      <c r="D18" s="3" t="s">
        <v>42</v>
      </c>
      <c r="E18" s="30" t="s">
        <v>74</v>
      </c>
      <c r="F18" s="4" t="s">
        <v>77</v>
      </c>
      <c r="G18" s="4" t="s">
        <v>81</v>
      </c>
      <c r="H18" s="32">
        <v>1</v>
      </c>
      <c r="I18" s="32">
        <v>1</v>
      </c>
      <c r="J18" s="34">
        <v>2500</v>
      </c>
      <c r="K18" s="6">
        <f t="shared" si="0"/>
        <v>2500</v>
      </c>
      <c r="L18" s="39" t="s">
        <v>203</v>
      </c>
    </row>
    <row r="19" spans="1:12" x14ac:dyDescent="0.55000000000000004">
      <c r="A19" s="15">
        <v>12</v>
      </c>
      <c r="B19" s="7" t="s">
        <v>38</v>
      </c>
      <c r="C19" s="3" t="s">
        <v>44</v>
      </c>
      <c r="D19" s="3" t="s">
        <v>35</v>
      </c>
      <c r="E19" s="30" t="s">
        <v>74</v>
      </c>
      <c r="F19" s="4" t="s">
        <v>77</v>
      </c>
      <c r="G19" s="4" t="s">
        <v>81</v>
      </c>
      <c r="H19" s="32">
        <v>1</v>
      </c>
      <c r="I19" s="32">
        <v>1</v>
      </c>
      <c r="J19" s="34">
        <v>2100</v>
      </c>
      <c r="K19" s="6">
        <f t="shared" si="0"/>
        <v>2100</v>
      </c>
      <c r="L19" s="39" t="s">
        <v>204</v>
      </c>
    </row>
    <row r="20" spans="1:12" x14ac:dyDescent="0.55000000000000004">
      <c r="A20" s="10">
        <v>13</v>
      </c>
      <c r="B20" s="7" t="s">
        <v>38</v>
      </c>
      <c r="C20" s="3" t="s">
        <v>45</v>
      </c>
      <c r="D20" s="3" t="s">
        <v>37</v>
      </c>
      <c r="E20" s="30" t="s">
        <v>74</v>
      </c>
      <c r="F20" s="4" t="s">
        <v>77</v>
      </c>
      <c r="G20" s="4" t="s">
        <v>81</v>
      </c>
      <c r="H20" s="32">
        <v>2</v>
      </c>
      <c r="I20" s="32">
        <v>2</v>
      </c>
      <c r="J20" s="34">
        <v>3500</v>
      </c>
      <c r="K20" s="6">
        <f t="shared" si="0"/>
        <v>7000</v>
      </c>
      <c r="L20" s="39" t="s">
        <v>204</v>
      </c>
    </row>
    <row r="21" spans="1:12" x14ac:dyDescent="0.55000000000000004">
      <c r="A21" s="15">
        <v>14</v>
      </c>
      <c r="B21" s="7" t="s">
        <v>38</v>
      </c>
      <c r="C21" s="3" t="s">
        <v>46</v>
      </c>
      <c r="D21" s="1" t="s">
        <v>47</v>
      </c>
      <c r="E21" s="30" t="s">
        <v>74</v>
      </c>
      <c r="F21" s="4" t="s">
        <v>77</v>
      </c>
      <c r="G21" s="4" t="s">
        <v>81</v>
      </c>
      <c r="H21" s="32">
        <v>5</v>
      </c>
      <c r="I21" s="32">
        <v>5</v>
      </c>
      <c r="J21" s="34">
        <v>23000</v>
      </c>
      <c r="K21" s="6">
        <f t="shared" si="0"/>
        <v>115000</v>
      </c>
      <c r="L21" s="39" t="s">
        <v>205</v>
      </c>
    </row>
    <row r="22" spans="1:12" x14ac:dyDescent="0.55000000000000004">
      <c r="A22" s="10">
        <v>15</v>
      </c>
      <c r="B22" s="9" t="s">
        <v>48</v>
      </c>
      <c r="C22" s="3" t="s">
        <v>49</v>
      </c>
      <c r="D22" s="3" t="s">
        <v>50</v>
      </c>
      <c r="E22" s="30" t="s">
        <v>73</v>
      </c>
      <c r="F22" s="4" t="s">
        <v>78</v>
      </c>
      <c r="G22" s="4" t="s">
        <v>81</v>
      </c>
      <c r="H22" s="32">
        <v>1</v>
      </c>
      <c r="I22" s="32">
        <v>1</v>
      </c>
      <c r="J22" s="34">
        <v>3500</v>
      </c>
      <c r="K22" s="6">
        <f t="shared" si="0"/>
        <v>3500</v>
      </c>
      <c r="L22" s="39" t="s">
        <v>206</v>
      </c>
    </row>
    <row r="23" spans="1:12" x14ac:dyDescent="0.55000000000000004">
      <c r="A23" s="15">
        <v>16</v>
      </c>
      <c r="B23" s="9" t="s">
        <v>48</v>
      </c>
      <c r="C23" s="3" t="s">
        <v>51</v>
      </c>
      <c r="D23" s="3" t="s">
        <v>52</v>
      </c>
      <c r="E23" s="30" t="s">
        <v>73</v>
      </c>
      <c r="F23" s="4" t="s">
        <v>78</v>
      </c>
      <c r="G23" s="4" t="s">
        <v>81</v>
      </c>
      <c r="H23" s="32">
        <v>1</v>
      </c>
      <c r="I23" s="32">
        <v>1</v>
      </c>
      <c r="J23" s="34">
        <v>9530</v>
      </c>
      <c r="K23" s="6">
        <f t="shared" si="0"/>
        <v>9530</v>
      </c>
      <c r="L23" s="39" t="s">
        <v>207</v>
      </c>
    </row>
    <row r="24" spans="1:12" x14ac:dyDescent="0.55000000000000004">
      <c r="A24" s="10">
        <v>17</v>
      </c>
      <c r="B24" s="9" t="s">
        <v>53</v>
      </c>
      <c r="C24" s="3" t="s">
        <v>54</v>
      </c>
      <c r="D24" s="3" t="s">
        <v>55</v>
      </c>
      <c r="E24" s="30" t="s">
        <v>73</v>
      </c>
      <c r="F24" s="4" t="s">
        <v>79</v>
      </c>
      <c r="G24" s="4" t="s">
        <v>81</v>
      </c>
      <c r="H24" s="32">
        <v>1</v>
      </c>
      <c r="I24" s="32">
        <v>1</v>
      </c>
      <c r="J24" s="34">
        <v>27500</v>
      </c>
      <c r="K24" s="6">
        <f t="shared" si="0"/>
        <v>27500</v>
      </c>
      <c r="L24" s="39" t="s">
        <v>208</v>
      </c>
    </row>
    <row r="25" spans="1:12" x14ac:dyDescent="0.55000000000000004">
      <c r="A25" s="15">
        <v>18</v>
      </c>
      <c r="B25" s="9" t="s">
        <v>53</v>
      </c>
      <c r="C25" s="3" t="s">
        <v>56</v>
      </c>
      <c r="D25" s="3" t="s">
        <v>57</v>
      </c>
      <c r="E25" s="30" t="s">
        <v>73</v>
      </c>
      <c r="F25" s="4" t="s">
        <v>79</v>
      </c>
      <c r="G25" s="4" t="s">
        <v>81</v>
      </c>
      <c r="H25" s="32">
        <v>1</v>
      </c>
      <c r="I25" s="32">
        <v>1</v>
      </c>
      <c r="J25" s="34">
        <v>1100</v>
      </c>
      <c r="K25" s="6">
        <f t="shared" si="0"/>
        <v>1100</v>
      </c>
      <c r="L25" s="39" t="s">
        <v>200</v>
      </c>
    </row>
    <row r="26" spans="1:12" x14ac:dyDescent="0.55000000000000004">
      <c r="A26" s="10">
        <v>19</v>
      </c>
      <c r="B26" s="9" t="s">
        <v>53</v>
      </c>
      <c r="C26" s="3" t="s">
        <v>58</v>
      </c>
      <c r="D26" s="3" t="s">
        <v>59</v>
      </c>
      <c r="E26" s="30" t="s">
        <v>75</v>
      </c>
      <c r="F26" s="4" t="s">
        <v>79</v>
      </c>
      <c r="G26" s="4" t="s">
        <v>81</v>
      </c>
      <c r="H26" s="32">
        <v>72</v>
      </c>
      <c r="I26" s="32">
        <v>72</v>
      </c>
      <c r="J26" s="34">
        <v>300</v>
      </c>
      <c r="K26" s="6">
        <f t="shared" si="0"/>
        <v>21600</v>
      </c>
      <c r="L26" s="39" t="s">
        <v>209</v>
      </c>
    </row>
    <row r="27" spans="1:12" x14ac:dyDescent="0.55000000000000004">
      <c r="A27" s="15">
        <v>20</v>
      </c>
      <c r="B27" s="9" t="s">
        <v>53</v>
      </c>
      <c r="C27" s="3" t="s">
        <v>60</v>
      </c>
      <c r="D27" s="3" t="s">
        <v>61</v>
      </c>
      <c r="E27" s="30" t="s">
        <v>75</v>
      </c>
      <c r="F27" s="4" t="s">
        <v>79</v>
      </c>
      <c r="G27" s="4" t="s">
        <v>81</v>
      </c>
      <c r="H27" s="32">
        <v>36</v>
      </c>
      <c r="I27" s="32">
        <v>36</v>
      </c>
      <c r="J27" s="34">
        <v>1100</v>
      </c>
      <c r="K27" s="6">
        <f t="shared" si="0"/>
        <v>39600</v>
      </c>
      <c r="L27" s="39" t="s">
        <v>204</v>
      </c>
    </row>
    <row r="28" spans="1:12" x14ac:dyDescent="0.55000000000000004">
      <c r="A28" s="10">
        <v>21</v>
      </c>
      <c r="B28" s="9" t="s">
        <v>53</v>
      </c>
      <c r="C28" s="3" t="s">
        <v>62</v>
      </c>
      <c r="D28" s="3" t="s">
        <v>63</v>
      </c>
      <c r="E28" s="30" t="s">
        <v>75</v>
      </c>
      <c r="F28" s="4" t="s">
        <v>79</v>
      </c>
      <c r="G28" s="4" t="s">
        <v>81</v>
      </c>
      <c r="H28" s="32">
        <v>20</v>
      </c>
      <c r="I28" s="32">
        <v>20</v>
      </c>
      <c r="J28" s="34">
        <v>180</v>
      </c>
      <c r="K28" s="6">
        <f t="shared" si="0"/>
        <v>3600</v>
      </c>
      <c r="L28" s="39" t="s">
        <v>210</v>
      </c>
    </row>
    <row r="29" spans="1:12" x14ac:dyDescent="0.55000000000000004">
      <c r="A29" s="15">
        <v>22</v>
      </c>
      <c r="B29" s="14">
        <v>2543</v>
      </c>
      <c r="C29" s="3" t="s">
        <v>64</v>
      </c>
      <c r="D29" s="3" t="s">
        <v>65</v>
      </c>
      <c r="E29" s="31" t="s">
        <v>73</v>
      </c>
      <c r="F29" s="4" t="s">
        <v>80</v>
      </c>
      <c r="G29" s="4" t="s">
        <v>81</v>
      </c>
      <c r="H29" s="30">
        <v>15</v>
      </c>
      <c r="I29" s="30">
        <v>15</v>
      </c>
      <c r="J29" s="34">
        <v>1800</v>
      </c>
      <c r="K29" s="6">
        <f t="shared" si="0"/>
        <v>27000</v>
      </c>
      <c r="L29" s="39" t="s">
        <v>204</v>
      </c>
    </row>
    <row r="30" spans="1:12" x14ac:dyDescent="0.55000000000000004">
      <c r="A30" s="10">
        <v>23</v>
      </c>
      <c r="B30" s="14">
        <v>2543</v>
      </c>
      <c r="C30" s="3" t="s">
        <v>66</v>
      </c>
      <c r="D30" s="3" t="s">
        <v>65</v>
      </c>
      <c r="E30" s="30" t="s">
        <v>75</v>
      </c>
      <c r="F30" s="4" t="s">
        <v>80</v>
      </c>
      <c r="G30" s="4" t="s">
        <v>81</v>
      </c>
      <c r="H30" s="30">
        <v>15</v>
      </c>
      <c r="I30" s="30">
        <v>15</v>
      </c>
      <c r="J30" s="34">
        <v>1800</v>
      </c>
      <c r="K30" s="6">
        <f t="shared" si="0"/>
        <v>27000</v>
      </c>
      <c r="L30" s="39" t="s">
        <v>204</v>
      </c>
    </row>
    <row r="31" spans="1:12" x14ac:dyDescent="0.55000000000000004">
      <c r="A31" s="15">
        <v>24</v>
      </c>
      <c r="B31" s="14">
        <v>2543</v>
      </c>
      <c r="C31" s="3" t="s">
        <v>67</v>
      </c>
      <c r="D31" s="1" t="s">
        <v>28</v>
      </c>
      <c r="E31" s="31" t="s">
        <v>73</v>
      </c>
      <c r="F31" s="4" t="s">
        <v>80</v>
      </c>
      <c r="G31" s="4" t="s">
        <v>81</v>
      </c>
      <c r="H31" s="30">
        <v>45</v>
      </c>
      <c r="I31" s="30">
        <v>45</v>
      </c>
      <c r="J31" s="34">
        <v>580</v>
      </c>
      <c r="K31" s="6">
        <f t="shared" si="0"/>
        <v>26100</v>
      </c>
      <c r="L31" s="39" t="s">
        <v>200</v>
      </c>
    </row>
    <row r="32" spans="1:12" x14ac:dyDescent="0.55000000000000004">
      <c r="A32" s="10">
        <v>25</v>
      </c>
      <c r="B32" s="14">
        <v>2543</v>
      </c>
      <c r="C32" s="3" t="s">
        <v>68</v>
      </c>
      <c r="D32" s="1" t="s">
        <v>28</v>
      </c>
      <c r="E32" s="31" t="s">
        <v>73</v>
      </c>
      <c r="F32" s="4" t="s">
        <v>80</v>
      </c>
      <c r="G32" s="4" t="s">
        <v>81</v>
      </c>
      <c r="H32" s="30">
        <v>80</v>
      </c>
      <c r="I32" s="30">
        <v>80</v>
      </c>
      <c r="J32" s="34">
        <v>580</v>
      </c>
      <c r="K32" s="6">
        <f t="shared" si="0"/>
        <v>46400</v>
      </c>
      <c r="L32" s="39" t="s">
        <v>200</v>
      </c>
    </row>
    <row r="33" spans="1:12" x14ac:dyDescent="0.55000000000000004">
      <c r="A33" s="15">
        <v>26</v>
      </c>
      <c r="B33" s="14">
        <v>2543</v>
      </c>
      <c r="C33" s="3" t="s">
        <v>69</v>
      </c>
      <c r="D33" s="1" t="s">
        <v>70</v>
      </c>
      <c r="E33" s="31" t="s">
        <v>73</v>
      </c>
      <c r="F33" s="4" t="s">
        <v>80</v>
      </c>
      <c r="G33" s="4" t="s">
        <v>81</v>
      </c>
      <c r="H33" s="4">
        <v>1</v>
      </c>
      <c r="I33" s="5">
        <v>1</v>
      </c>
      <c r="J33" s="34">
        <v>5700</v>
      </c>
      <c r="K33" s="6">
        <f>SUM(I33*J33)</f>
        <v>5700</v>
      </c>
      <c r="L33" s="40" t="s">
        <v>200</v>
      </c>
    </row>
    <row r="34" spans="1:12" x14ac:dyDescent="0.55000000000000004">
      <c r="A34" s="10">
        <v>27</v>
      </c>
      <c r="B34" s="14">
        <v>2543</v>
      </c>
      <c r="C34" s="3" t="s">
        <v>71</v>
      </c>
      <c r="D34" s="3" t="s">
        <v>42</v>
      </c>
      <c r="E34" s="31" t="s">
        <v>73</v>
      </c>
      <c r="F34" s="4" t="s">
        <v>80</v>
      </c>
      <c r="G34" s="4" t="s">
        <v>81</v>
      </c>
      <c r="H34" s="4">
        <v>1</v>
      </c>
      <c r="I34" s="5">
        <v>1</v>
      </c>
      <c r="J34" s="34">
        <v>2500</v>
      </c>
      <c r="K34" s="6">
        <f>SUM(I34*J34)</f>
        <v>2500</v>
      </c>
      <c r="L34" s="40" t="s">
        <v>209</v>
      </c>
    </row>
    <row r="35" spans="1:12" x14ac:dyDescent="0.55000000000000004">
      <c r="A35" s="15">
        <v>28</v>
      </c>
      <c r="B35" s="14">
        <v>2543</v>
      </c>
      <c r="C35" s="3" t="s">
        <v>82</v>
      </c>
      <c r="D35" s="3" t="s">
        <v>33</v>
      </c>
      <c r="E35" s="30" t="s">
        <v>74</v>
      </c>
      <c r="F35" s="4" t="s">
        <v>80</v>
      </c>
      <c r="G35" s="4" t="s">
        <v>81</v>
      </c>
      <c r="H35" s="30">
        <v>4</v>
      </c>
      <c r="I35" s="30">
        <v>4</v>
      </c>
      <c r="J35" s="34">
        <v>3000</v>
      </c>
      <c r="K35" s="6">
        <f t="shared" ref="K35:K57" si="1">SUM(I35*J35)</f>
        <v>12000</v>
      </c>
      <c r="L35" s="40" t="s">
        <v>211</v>
      </c>
    </row>
    <row r="36" spans="1:12" x14ac:dyDescent="0.55000000000000004">
      <c r="A36" s="10">
        <v>29</v>
      </c>
      <c r="B36" s="14">
        <v>2543</v>
      </c>
      <c r="C36" s="3" t="s">
        <v>83</v>
      </c>
      <c r="D36" s="3" t="s">
        <v>84</v>
      </c>
      <c r="E36" s="35" t="s">
        <v>73</v>
      </c>
      <c r="F36" s="4" t="s">
        <v>80</v>
      </c>
      <c r="G36" s="4" t="s">
        <v>81</v>
      </c>
      <c r="H36" s="30">
        <v>2</v>
      </c>
      <c r="I36" s="30">
        <v>2</v>
      </c>
      <c r="J36" s="34">
        <v>3424</v>
      </c>
      <c r="K36" s="6">
        <f t="shared" si="1"/>
        <v>6848</v>
      </c>
      <c r="L36" s="40" t="s">
        <v>212</v>
      </c>
    </row>
    <row r="37" spans="1:12" x14ac:dyDescent="0.55000000000000004">
      <c r="A37" s="15">
        <v>30</v>
      </c>
      <c r="B37" s="14">
        <v>2543</v>
      </c>
      <c r="C37" s="3" t="s">
        <v>85</v>
      </c>
      <c r="D37" s="1" t="s">
        <v>86</v>
      </c>
      <c r="E37" s="35" t="s">
        <v>73</v>
      </c>
      <c r="F37" s="4" t="s">
        <v>80</v>
      </c>
      <c r="G37" s="4" t="s">
        <v>81</v>
      </c>
      <c r="H37" s="30">
        <v>1</v>
      </c>
      <c r="I37" s="30">
        <v>1</v>
      </c>
      <c r="J37" s="34">
        <v>10561</v>
      </c>
      <c r="K37" s="6">
        <f t="shared" si="1"/>
        <v>10561</v>
      </c>
      <c r="L37" s="40" t="s">
        <v>213</v>
      </c>
    </row>
    <row r="38" spans="1:12" x14ac:dyDescent="0.55000000000000004">
      <c r="A38" s="10">
        <v>31</v>
      </c>
      <c r="B38" s="14">
        <v>2543</v>
      </c>
      <c r="C38" s="3" t="s">
        <v>87</v>
      </c>
      <c r="D38" s="1" t="s">
        <v>88</v>
      </c>
      <c r="E38" s="30" t="s">
        <v>73</v>
      </c>
      <c r="F38" s="4" t="s">
        <v>80</v>
      </c>
      <c r="G38" s="4" t="s">
        <v>81</v>
      </c>
      <c r="H38" s="32">
        <v>1</v>
      </c>
      <c r="I38" s="32">
        <v>1</v>
      </c>
      <c r="J38" s="34">
        <v>11535.6</v>
      </c>
      <c r="K38" s="6">
        <f t="shared" si="1"/>
        <v>11535.6</v>
      </c>
      <c r="L38" s="40" t="s">
        <v>214</v>
      </c>
    </row>
    <row r="39" spans="1:12" x14ac:dyDescent="0.55000000000000004">
      <c r="A39" s="15">
        <v>32</v>
      </c>
      <c r="B39" s="14">
        <v>2543</v>
      </c>
      <c r="C39" s="3" t="s">
        <v>89</v>
      </c>
      <c r="D39" s="1" t="s">
        <v>90</v>
      </c>
      <c r="E39" s="30" t="s">
        <v>73</v>
      </c>
      <c r="F39" s="4" t="s">
        <v>80</v>
      </c>
      <c r="G39" s="4" t="s">
        <v>81</v>
      </c>
      <c r="H39" s="32">
        <v>1</v>
      </c>
      <c r="I39" s="32">
        <v>1</v>
      </c>
      <c r="J39" s="34">
        <v>25000</v>
      </c>
      <c r="K39" s="6">
        <f t="shared" si="1"/>
        <v>25000</v>
      </c>
      <c r="L39" s="40" t="s">
        <v>208</v>
      </c>
    </row>
    <row r="40" spans="1:12" x14ac:dyDescent="0.55000000000000004">
      <c r="A40" s="10">
        <v>33</v>
      </c>
      <c r="B40" s="7" t="s">
        <v>91</v>
      </c>
      <c r="C40" s="3" t="s">
        <v>92</v>
      </c>
      <c r="D40" s="1" t="s">
        <v>28</v>
      </c>
      <c r="E40" s="30" t="s">
        <v>72</v>
      </c>
      <c r="F40" s="4" t="s">
        <v>107</v>
      </c>
      <c r="G40" s="4" t="s">
        <v>81</v>
      </c>
      <c r="H40" s="32">
        <v>80</v>
      </c>
      <c r="I40" s="32">
        <v>80</v>
      </c>
      <c r="J40" s="36">
        <v>580</v>
      </c>
      <c r="K40" s="6">
        <f t="shared" si="1"/>
        <v>46400</v>
      </c>
      <c r="L40" s="39" t="s">
        <v>209</v>
      </c>
    </row>
    <row r="41" spans="1:12" x14ac:dyDescent="0.55000000000000004">
      <c r="A41" s="15">
        <v>34</v>
      </c>
      <c r="B41" s="7" t="s">
        <v>91</v>
      </c>
      <c r="C41" s="3" t="s">
        <v>93</v>
      </c>
      <c r="D41" s="3" t="s">
        <v>94</v>
      </c>
      <c r="E41" s="30" t="s">
        <v>73</v>
      </c>
      <c r="F41" s="4" t="s">
        <v>107</v>
      </c>
      <c r="G41" s="4" t="s">
        <v>81</v>
      </c>
      <c r="H41" s="32">
        <v>1</v>
      </c>
      <c r="I41" s="32">
        <v>1</v>
      </c>
      <c r="J41" s="36">
        <v>1400</v>
      </c>
      <c r="K41" s="6">
        <f t="shared" si="1"/>
        <v>1400</v>
      </c>
      <c r="L41" s="39" t="s">
        <v>215</v>
      </c>
    </row>
    <row r="42" spans="1:12" x14ac:dyDescent="0.55000000000000004">
      <c r="A42" s="10">
        <v>35</v>
      </c>
      <c r="B42" s="7" t="s">
        <v>91</v>
      </c>
      <c r="C42" s="3" t="s">
        <v>95</v>
      </c>
      <c r="D42" s="1" t="s">
        <v>96</v>
      </c>
      <c r="E42" s="30" t="s">
        <v>73</v>
      </c>
      <c r="F42" s="4" t="s">
        <v>107</v>
      </c>
      <c r="G42" s="4" t="s">
        <v>81</v>
      </c>
      <c r="H42" s="32">
        <v>1</v>
      </c>
      <c r="I42" s="32">
        <v>1</v>
      </c>
      <c r="J42" s="36">
        <v>2920</v>
      </c>
      <c r="K42" s="6">
        <f t="shared" si="1"/>
        <v>2920</v>
      </c>
      <c r="L42" s="39" t="s">
        <v>216</v>
      </c>
    </row>
    <row r="43" spans="1:12" x14ac:dyDescent="0.55000000000000004">
      <c r="A43" s="15">
        <v>36</v>
      </c>
      <c r="B43" s="7" t="s">
        <v>91</v>
      </c>
      <c r="C43" s="3" t="s">
        <v>97</v>
      </c>
      <c r="D43" s="3" t="s">
        <v>98</v>
      </c>
      <c r="E43" s="30" t="s">
        <v>73</v>
      </c>
      <c r="F43" s="4" t="s">
        <v>107</v>
      </c>
      <c r="G43" s="4" t="s">
        <v>81</v>
      </c>
      <c r="H43" s="32">
        <v>1</v>
      </c>
      <c r="I43" s="32">
        <v>1</v>
      </c>
      <c r="J43" s="36">
        <v>5880</v>
      </c>
      <c r="K43" s="6">
        <f t="shared" si="1"/>
        <v>5880</v>
      </c>
      <c r="L43" s="39" t="s">
        <v>217</v>
      </c>
    </row>
    <row r="44" spans="1:12" x14ac:dyDescent="0.55000000000000004">
      <c r="A44" s="10">
        <v>37</v>
      </c>
      <c r="B44" s="7" t="s">
        <v>99</v>
      </c>
      <c r="C44" s="3" t="s">
        <v>100</v>
      </c>
      <c r="D44" s="1" t="s">
        <v>101</v>
      </c>
      <c r="E44" s="30" t="s">
        <v>73</v>
      </c>
      <c r="F44" s="4" t="s">
        <v>108</v>
      </c>
      <c r="G44" s="4" t="s">
        <v>81</v>
      </c>
      <c r="H44" s="4">
        <v>1</v>
      </c>
      <c r="I44" s="5">
        <v>1</v>
      </c>
      <c r="J44" s="6">
        <v>5280.45</v>
      </c>
      <c r="K44" s="6">
        <f t="shared" si="1"/>
        <v>5280.45</v>
      </c>
      <c r="L44" s="39" t="s">
        <v>217</v>
      </c>
    </row>
    <row r="45" spans="1:12" x14ac:dyDescent="0.55000000000000004">
      <c r="A45" s="15">
        <v>38</v>
      </c>
      <c r="B45" s="7" t="s">
        <v>99</v>
      </c>
      <c r="C45" s="3" t="s">
        <v>102</v>
      </c>
      <c r="D45" s="3" t="s">
        <v>103</v>
      </c>
      <c r="E45" s="30" t="s">
        <v>73</v>
      </c>
      <c r="F45" s="4" t="s">
        <v>108</v>
      </c>
      <c r="G45" s="4" t="s">
        <v>81</v>
      </c>
      <c r="H45" s="4">
        <v>1</v>
      </c>
      <c r="I45" s="5">
        <v>1</v>
      </c>
      <c r="J45" s="6">
        <v>7700</v>
      </c>
      <c r="K45" s="6">
        <f t="shared" si="1"/>
        <v>7700</v>
      </c>
      <c r="L45" s="40" t="s">
        <v>218</v>
      </c>
    </row>
    <row r="46" spans="1:12" x14ac:dyDescent="0.55000000000000004">
      <c r="A46" s="10">
        <v>39</v>
      </c>
      <c r="B46" s="11" t="s">
        <v>104</v>
      </c>
      <c r="C46" s="3" t="s">
        <v>105</v>
      </c>
      <c r="D46" s="3" t="s">
        <v>106</v>
      </c>
      <c r="E46" s="30" t="s">
        <v>73</v>
      </c>
      <c r="F46" s="4" t="s">
        <v>109</v>
      </c>
      <c r="G46" s="4" t="s">
        <v>81</v>
      </c>
      <c r="H46" s="4">
        <v>4</v>
      </c>
      <c r="I46" s="5">
        <v>4</v>
      </c>
      <c r="J46" s="6">
        <v>1600</v>
      </c>
      <c r="K46" s="6">
        <f t="shared" si="1"/>
        <v>6400</v>
      </c>
      <c r="L46" s="40" t="s">
        <v>204</v>
      </c>
    </row>
    <row r="47" spans="1:12" x14ac:dyDescent="0.55000000000000004">
      <c r="A47" s="15">
        <v>40</v>
      </c>
      <c r="B47" s="11" t="s">
        <v>104</v>
      </c>
      <c r="C47" s="3" t="s">
        <v>110</v>
      </c>
      <c r="D47" s="1" t="s">
        <v>28</v>
      </c>
      <c r="E47" s="30" t="s">
        <v>73</v>
      </c>
      <c r="F47" s="4" t="s">
        <v>109</v>
      </c>
      <c r="G47" s="4" t="s">
        <v>81</v>
      </c>
      <c r="H47" s="4">
        <v>80</v>
      </c>
      <c r="I47" s="5">
        <v>80</v>
      </c>
      <c r="J47" s="6">
        <v>460</v>
      </c>
      <c r="K47" s="6">
        <f t="shared" si="1"/>
        <v>36800</v>
      </c>
      <c r="L47" s="42" t="s">
        <v>209</v>
      </c>
    </row>
    <row r="48" spans="1:12" x14ac:dyDescent="0.55000000000000004">
      <c r="A48" s="10">
        <v>41</v>
      </c>
      <c r="B48" s="11" t="s">
        <v>104</v>
      </c>
      <c r="C48" s="3" t="s">
        <v>111</v>
      </c>
      <c r="D48" s="3" t="s">
        <v>35</v>
      </c>
      <c r="E48" s="30" t="s">
        <v>73</v>
      </c>
      <c r="F48" s="4" t="s">
        <v>109</v>
      </c>
      <c r="G48" s="4" t="s">
        <v>81</v>
      </c>
      <c r="H48" s="4">
        <v>2</v>
      </c>
      <c r="I48" s="5">
        <v>2</v>
      </c>
      <c r="J48" s="6">
        <v>2950</v>
      </c>
      <c r="K48" s="6">
        <f t="shared" si="1"/>
        <v>5900</v>
      </c>
      <c r="L48" s="39" t="s">
        <v>204</v>
      </c>
    </row>
    <row r="49" spans="1:12" x14ac:dyDescent="0.55000000000000004">
      <c r="A49" s="15">
        <v>42</v>
      </c>
      <c r="B49" s="11" t="s">
        <v>104</v>
      </c>
      <c r="C49" s="3" t="s">
        <v>112</v>
      </c>
      <c r="D49" s="3" t="s">
        <v>37</v>
      </c>
      <c r="E49" s="30" t="s">
        <v>73</v>
      </c>
      <c r="F49" s="4" t="s">
        <v>109</v>
      </c>
      <c r="G49" s="4" t="s">
        <v>81</v>
      </c>
      <c r="H49" s="4">
        <v>1</v>
      </c>
      <c r="I49" s="5">
        <v>1</v>
      </c>
      <c r="J49" s="6">
        <v>5700</v>
      </c>
      <c r="K49" s="6">
        <f t="shared" si="1"/>
        <v>5700</v>
      </c>
      <c r="L49" s="39" t="s">
        <v>219</v>
      </c>
    </row>
    <row r="50" spans="1:12" x14ac:dyDescent="0.55000000000000004">
      <c r="A50" s="10">
        <v>43</v>
      </c>
      <c r="B50" s="11" t="s">
        <v>104</v>
      </c>
      <c r="C50" s="3" t="s">
        <v>113</v>
      </c>
      <c r="D50" s="3" t="s">
        <v>114</v>
      </c>
      <c r="E50" s="30" t="s">
        <v>73</v>
      </c>
      <c r="F50" s="4" t="s">
        <v>109</v>
      </c>
      <c r="G50" s="4" t="s">
        <v>81</v>
      </c>
      <c r="H50" s="4">
        <v>1</v>
      </c>
      <c r="I50" s="5">
        <v>1</v>
      </c>
      <c r="J50" s="6">
        <v>19620</v>
      </c>
      <c r="K50" s="6">
        <f t="shared" si="1"/>
        <v>19620</v>
      </c>
      <c r="L50" s="39" t="s">
        <v>219</v>
      </c>
    </row>
    <row r="51" spans="1:12" x14ac:dyDescent="0.55000000000000004">
      <c r="A51" s="15">
        <v>44</v>
      </c>
      <c r="B51" s="11" t="s">
        <v>104</v>
      </c>
      <c r="C51" s="3" t="s">
        <v>115</v>
      </c>
      <c r="D51" s="3" t="s">
        <v>94</v>
      </c>
      <c r="E51" s="30" t="s">
        <v>74</v>
      </c>
      <c r="F51" s="4" t="s">
        <v>109</v>
      </c>
      <c r="G51" s="4" t="s">
        <v>81</v>
      </c>
      <c r="H51" s="4">
        <v>2</v>
      </c>
      <c r="I51" s="5">
        <v>2</v>
      </c>
      <c r="J51" s="6">
        <v>300</v>
      </c>
      <c r="K51" s="6">
        <f t="shared" si="1"/>
        <v>600</v>
      </c>
      <c r="L51" s="39" t="s">
        <v>217</v>
      </c>
    </row>
    <row r="52" spans="1:12" x14ac:dyDescent="0.55000000000000004">
      <c r="A52" s="10">
        <v>45</v>
      </c>
      <c r="B52" s="11" t="s">
        <v>104</v>
      </c>
      <c r="C52" s="3" t="s">
        <v>116</v>
      </c>
      <c r="D52" s="3" t="s">
        <v>94</v>
      </c>
      <c r="E52" s="30" t="s">
        <v>74</v>
      </c>
      <c r="F52" s="4" t="s">
        <v>109</v>
      </c>
      <c r="G52" s="4" t="s">
        <v>81</v>
      </c>
      <c r="H52" s="4">
        <v>16</v>
      </c>
      <c r="I52" s="5">
        <v>16</v>
      </c>
      <c r="J52" s="6">
        <v>1000</v>
      </c>
      <c r="K52" s="6">
        <f t="shared" si="1"/>
        <v>16000</v>
      </c>
      <c r="L52" s="39" t="s">
        <v>220</v>
      </c>
    </row>
    <row r="53" spans="1:12" x14ac:dyDescent="0.55000000000000004">
      <c r="A53" s="15">
        <v>46</v>
      </c>
      <c r="B53" s="11" t="s">
        <v>104</v>
      </c>
      <c r="C53" s="3" t="s">
        <v>117</v>
      </c>
      <c r="D53" s="3" t="s">
        <v>118</v>
      </c>
      <c r="E53" s="31" t="s">
        <v>73</v>
      </c>
      <c r="F53" s="4" t="s">
        <v>109</v>
      </c>
      <c r="G53" s="4" t="s">
        <v>81</v>
      </c>
      <c r="H53" s="4">
        <v>1</v>
      </c>
      <c r="I53" s="5">
        <v>1</v>
      </c>
      <c r="J53" s="6">
        <v>7420</v>
      </c>
      <c r="K53" s="6">
        <f t="shared" si="1"/>
        <v>7420</v>
      </c>
      <c r="L53" s="39" t="s">
        <v>221</v>
      </c>
    </row>
    <row r="54" spans="1:12" x14ac:dyDescent="0.55000000000000004">
      <c r="A54" s="15">
        <v>47</v>
      </c>
      <c r="B54" s="14">
        <v>2547</v>
      </c>
      <c r="C54" s="3" t="s">
        <v>119</v>
      </c>
      <c r="D54" s="3" t="s">
        <v>106</v>
      </c>
      <c r="E54" s="31" t="s">
        <v>73</v>
      </c>
      <c r="F54" s="32" t="s">
        <v>131</v>
      </c>
      <c r="G54" s="4" t="s">
        <v>81</v>
      </c>
      <c r="H54" s="32">
        <v>3</v>
      </c>
      <c r="I54" s="32">
        <v>3</v>
      </c>
      <c r="J54" s="6">
        <v>1600</v>
      </c>
      <c r="K54" s="6">
        <f t="shared" si="1"/>
        <v>4800</v>
      </c>
      <c r="L54" s="39" t="s">
        <v>204</v>
      </c>
    </row>
    <row r="55" spans="1:12" x14ac:dyDescent="0.55000000000000004">
      <c r="A55" s="10">
        <v>48</v>
      </c>
      <c r="B55" s="14">
        <v>2547</v>
      </c>
      <c r="C55" s="3" t="s">
        <v>120</v>
      </c>
      <c r="D55" s="3" t="s">
        <v>106</v>
      </c>
      <c r="E55" s="31" t="s">
        <v>73</v>
      </c>
      <c r="F55" s="32" t="s">
        <v>131</v>
      </c>
      <c r="G55" s="4" t="s">
        <v>81</v>
      </c>
      <c r="H55" s="32">
        <v>9</v>
      </c>
      <c r="I55" s="32">
        <v>9</v>
      </c>
      <c r="J55" s="6">
        <v>1600</v>
      </c>
      <c r="K55" s="6">
        <f t="shared" si="1"/>
        <v>14400</v>
      </c>
      <c r="L55" s="39" t="s">
        <v>204</v>
      </c>
    </row>
    <row r="56" spans="1:12" x14ac:dyDescent="0.55000000000000004">
      <c r="A56" s="15">
        <v>49</v>
      </c>
      <c r="B56" s="14">
        <v>2547</v>
      </c>
      <c r="C56" s="3" t="s">
        <v>121</v>
      </c>
      <c r="D56" s="3" t="s">
        <v>106</v>
      </c>
      <c r="E56" s="31" t="s">
        <v>73</v>
      </c>
      <c r="F56" s="32" t="s">
        <v>131</v>
      </c>
      <c r="G56" s="4" t="s">
        <v>81</v>
      </c>
      <c r="H56" s="32">
        <v>4</v>
      </c>
      <c r="I56" s="32">
        <v>4</v>
      </c>
      <c r="J56" s="6">
        <v>38000</v>
      </c>
      <c r="K56" s="6">
        <f t="shared" si="1"/>
        <v>152000</v>
      </c>
      <c r="L56" s="39" t="s">
        <v>222</v>
      </c>
    </row>
    <row r="57" spans="1:12" x14ac:dyDescent="0.55000000000000004">
      <c r="A57" s="15">
        <v>50</v>
      </c>
      <c r="B57" s="14">
        <v>2547</v>
      </c>
      <c r="C57" s="3" t="s">
        <v>122</v>
      </c>
      <c r="D57" s="1" t="s">
        <v>47</v>
      </c>
      <c r="E57" s="31" t="s">
        <v>73</v>
      </c>
      <c r="F57" s="32" t="s">
        <v>131</v>
      </c>
      <c r="G57" s="4" t="s">
        <v>81</v>
      </c>
      <c r="H57" s="32">
        <v>1</v>
      </c>
      <c r="I57" s="32">
        <v>1</v>
      </c>
      <c r="J57" s="6">
        <v>43500</v>
      </c>
      <c r="K57" s="6">
        <f t="shared" si="1"/>
        <v>43500</v>
      </c>
      <c r="L57" s="39" t="s">
        <v>223</v>
      </c>
    </row>
    <row r="58" spans="1:12" x14ac:dyDescent="0.55000000000000004">
      <c r="A58" s="15">
        <v>51</v>
      </c>
      <c r="B58" s="14">
        <v>2547</v>
      </c>
      <c r="C58" s="3" t="s">
        <v>123</v>
      </c>
      <c r="D58" s="1" t="s">
        <v>47</v>
      </c>
      <c r="E58" s="31" t="s">
        <v>73</v>
      </c>
      <c r="F58" s="32" t="s">
        <v>131</v>
      </c>
      <c r="G58" s="4" t="s">
        <v>81</v>
      </c>
      <c r="H58" s="32">
        <v>2</v>
      </c>
      <c r="I58" s="32">
        <v>2</v>
      </c>
      <c r="J58" s="6">
        <v>43500</v>
      </c>
      <c r="K58" s="6">
        <f t="shared" ref="K58:K63" si="2">SUM(I58*J58)</f>
        <v>87000</v>
      </c>
      <c r="L58" s="39" t="s">
        <v>205</v>
      </c>
    </row>
    <row r="59" spans="1:12" x14ac:dyDescent="0.55000000000000004">
      <c r="A59" s="15">
        <v>52</v>
      </c>
      <c r="B59" s="14">
        <v>2547</v>
      </c>
      <c r="C59" s="3" t="s">
        <v>124</v>
      </c>
      <c r="D59" s="1" t="s">
        <v>47</v>
      </c>
      <c r="E59" s="31" t="s">
        <v>73</v>
      </c>
      <c r="F59" s="32" t="s">
        <v>131</v>
      </c>
      <c r="G59" s="4" t="s">
        <v>81</v>
      </c>
      <c r="H59" s="32">
        <v>2</v>
      </c>
      <c r="I59" s="32">
        <v>2</v>
      </c>
      <c r="J59" s="6">
        <v>43500</v>
      </c>
      <c r="K59" s="6">
        <f t="shared" si="2"/>
        <v>87000</v>
      </c>
      <c r="L59" s="39" t="s">
        <v>205</v>
      </c>
    </row>
    <row r="60" spans="1:12" x14ac:dyDescent="0.55000000000000004">
      <c r="A60" s="15">
        <v>53</v>
      </c>
      <c r="B60" s="14">
        <v>2547</v>
      </c>
      <c r="C60" s="3" t="s">
        <v>125</v>
      </c>
      <c r="D60" s="1" t="s">
        <v>47</v>
      </c>
      <c r="E60" s="30" t="s">
        <v>74</v>
      </c>
      <c r="F60" s="32" t="s">
        <v>131</v>
      </c>
      <c r="G60" s="4" t="s">
        <v>81</v>
      </c>
      <c r="H60" s="32">
        <v>1</v>
      </c>
      <c r="I60" s="32">
        <v>1</v>
      </c>
      <c r="J60" s="6">
        <v>38000</v>
      </c>
      <c r="K60" s="6">
        <f t="shared" si="2"/>
        <v>38000</v>
      </c>
      <c r="L60" s="39" t="s">
        <v>201</v>
      </c>
    </row>
    <row r="61" spans="1:12" x14ac:dyDescent="0.55000000000000004">
      <c r="A61" s="15">
        <v>54</v>
      </c>
      <c r="B61" s="14">
        <v>2548</v>
      </c>
      <c r="C61" s="3" t="s">
        <v>126</v>
      </c>
      <c r="D61" s="3" t="s">
        <v>106</v>
      </c>
      <c r="E61" s="31" t="s">
        <v>72</v>
      </c>
      <c r="F61" s="4" t="s">
        <v>132</v>
      </c>
      <c r="G61" s="4" t="s">
        <v>81</v>
      </c>
      <c r="H61" s="32">
        <v>5</v>
      </c>
      <c r="I61" s="32">
        <v>5</v>
      </c>
      <c r="J61" s="6">
        <v>1600</v>
      </c>
      <c r="K61" s="6">
        <f t="shared" si="2"/>
        <v>8000</v>
      </c>
      <c r="L61" s="39" t="s">
        <v>204</v>
      </c>
    </row>
    <row r="62" spans="1:12" x14ac:dyDescent="0.55000000000000004">
      <c r="A62" s="15">
        <v>55</v>
      </c>
      <c r="B62" s="14">
        <v>2548</v>
      </c>
      <c r="C62" s="3" t="s">
        <v>127</v>
      </c>
      <c r="D62" s="3" t="s">
        <v>128</v>
      </c>
      <c r="E62" s="30" t="s">
        <v>72</v>
      </c>
      <c r="F62" s="4" t="s">
        <v>132</v>
      </c>
      <c r="G62" s="4" t="s">
        <v>81</v>
      </c>
      <c r="H62" s="32">
        <v>280</v>
      </c>
      <c r="I62" s="32">
        <v>280</v>
      </c>
      <c r="J62" s="6">
        <v>200</v>
      </c>
      <c r="K62" s="6">
        <f t="shared" si="2"/>
        <v>56000</v>
      </c>
      <c r="L62" s="39" t="s">
        <v>224</v>
      </c>
    </row>
    <row r="63" spans="1:12" x14ac:dyDescent="0.55000000000000004">
      <c r="A63" s="15">
        <v>56</v>
      </c>
      <c r="B63" s="14">
        <v>2548</v>
      </c>
      <c r="C63" s="3" t="s">
        <v>129</v>
      </c>
      <c r="D63" s="3" t="s">
        <v>130</v>
      </c>
      <c r="E63" s="30" t="s">
        <v>72</v>
      </c>
      <c r="F63" s="4" t="s">
        <v>132</v>
      </c>
      <c r="G63" s="4" t="s">
        <v>81</v>
      </c>
      <c r="H63" s="32">
        <v>1</v>
      </c>
      <c r="I63" s="32">
        <v>1</v>
      </c>
      <c r="J63" s="6">
        <v>4534</v>
      </c>
      <c r="K63" s="6">
        <f t="shared" si="2"/>
        <v>4534</v>
      </c>
      <c r="L63" s="39" t="s">
        <v>219</v>
      </c>
    </row>
    <row r="64" spans="1:12" x14ac:dyDescent="0.55000000000000004">
      <c r="A64" s="15">
        <v>57</v>
      </c>
      <c r="B64" s="14">
        <v>2548</v>
      </c>
      <c r="C64" s="3" t="s">
        <v>133</v>
      </c>
      <c r="D64" s="3" t="s">
        <v>134</v>
      </c>
      <c r="E64" s="31" t="s">
        <v>73</v>
      </c>
      <c r="F64" s="4" t="s">
        <v>132</v>
      </c>
      <c r="G64" s="4" t="s">
        <v>81</v>
      </c>
      <c r="H64" s="32">
        <v>1</v>
      </c>
      <c r="I64" s="32">
        <v>1</v>
      </c>
      <c r="J64" s="34">
        <v>11490</v>
      </c>
      <c r="K64" s="6">
        <f t="shared" ref="K64:K84" si="3">SUM(I64*J64)</f>
        <v>11490</v>
      </c>
      <c r="L64" s="39" t="s">
        <v>225</v>
      </c>
    </row>
    <row r="65" spans="1:12" x14ac:dyDescent="0.55000000000000004">
      <c r="A65" s="15">
        <v>58</v>
      </c>
      <c r="B65" s="7" t="s">
        <v>135</v>
      </c>
      <c r="C65" s="3" t="s">
        <v>136</v>
      </c>
      <c r="D65" s="3" t="s">
        <v>106</v>
      </c>
      <c r="E65" s="30" t="s">
        <v>73</v>
      </c>
      <c r="F65" s="4" t="s">
        <v>149</v>
      </c>
      <c r="G65" s="4" t="s">
        <v>81</v>
      </c>
      <c r="H65" s="32">
        <v>20</v>
      </c>
      <c r="I65" s="32">
        <v>20</v>
      </c>
      <c r="J65" s="36">
        <v>1800</v>
      </c>
      <c r="K65" s="6">
        <f t="shared" si="3"/>
        <v>36000</v>
      </c>
      <c r="L65" s="39" t="s">
        <v>219</v>
      </c>
    </row>
    <row r="66" spans="1:12" x14ac:dyDescent="0.55000000000000004">
      <c r="A66" s="15">
        <v>59</v>
      </c>
      <c r="B66" s="7" t="s">
        <v>135</v>
      </c>
      <c r="C66" s="3" t="s">
        <v>137</v>
      </c>
      <c r="D66" s="1" t="s">
        <v>28</v>
      </c>
      <c r="E66" s="30" t="s">
        <v>73</v>
      </c>
      <c r="F66" s="4" t="s">
        <v>149</v>
      </c>
      <c r="G66" s="4" t="s">
        <v>81</v>
      </c>
      <c r="H66" s="32">
        <v>420</v>
      </c>
      <c r="I66" s="32">
        <v>420</v>
      </c>
      <c r="J66" s="36">
        <v>750</v>
      </c>
      <c r="K66" s="6">
        <f t="shared" si="3"/>
        <v>315000</v>
      </c>
      <c r="L66" s="39" t="s">
        <v>200</v>
      </c>
    </row>
    <row r="67" spans="1:12" x14ac:dyDescent="0.55000000000000004">
      <c r="A67" s="15">
        <v>60</v>
      </c>
      <c r="B67" s="7" t="s">
        <v>135</v>
      </c>
      <c r="C67" s="3" t="s">
        <v>138</v>
      </c>
      <c r="D67" s="3" t="s">
        <v>139</v>
      </c>
      <c r="E67" s="30" t="s">
        <v>73</v>
      </c>
      <c r="F67" s="4" t="s">
        <v>149</v>
      </c>
      <c r="G67" s="4" t="s">
        <v>81</v>
      </c>
      <c r="H67" s="32">
        <v>2</v>
      </c>
      <c r="I67" s="32">
        <v>2</v>
      </c>
      <c r="J67" s="34">
        <v>19320</v>
      </c>
      <c r="K67" s="6">
        <f t="shared" si="3"/>
        <v>38640</v>
      </c>
      <c r="L67" s="41" t="s">
        <v>226</v>
      </c>
    </row>
    <row r="68" spans="1:12" x14ac:dyDescent="0.55000000000000004">
      <c r="A68" s="15">
        <v>61</v>
      </c>
      <c r="B68" s="7" t="s">
        <v>135</v>
      </c>
      <c r="C68" s="3" t="s">
        <v>140</v>
      </c>
      <c r="D68" s="3" t="s">
        <v>141</v>
      </c>
      <c r="E68" s="30" t="s">
        <v>73</v>
      </c>
      <c r="F68" s="4" t="s">
        <v>149</v>
      </c>
      <c r="G68" s="4" t="s">
        <v>81</v>
      </c>
      <c r="H68" s="32">
        <v>2</v>
      </c>
      <c r="I68" s="32">
        <v>2</v>
      </c>
      <c r="J68" s="34">
        <v>23000</v>
      </c>
      <c r="K68" s="6">
        <f t="shared" si="3"/>
        <v>46000</v>
      </c>
      <c r="L68" s="41" t="s">
        <v>227</v>
      </c>
    </row>
    <row r="69" spans="1:12" x14ac:dyDescent="0.55000000000000004">
      <c r="A69" s="15">
        <v>62</v>
      </c>
      <c r="B69" s="7" t="s">
        <v>135</v>
      </c>
      <c r="C69" s="3" t="s">
        <v>142</v>
      </c>
      <c r="D69" s="3" t="s">
        <v>143</v>
      </c>
      <c r="E69" s="30" t="s">
        <v>73</v>
      </c>
      <c r="F69" s="4" t="s">
        <v>149</v>
      </c>
      <c r="G69" s="4" t="s">
        <v>81</v>
      </c>
      <c r="H69" s="32">
        <v>1</v>
      </c>
      <c r="I69" s="32">
        <v>1</v>
      </c>
      <c r="J69" s="34">
        <v>6500</v>
      </c>
      <c r="K69" s="6">
        <f t="shared" si="3"/>
        <v>6500</v>
      </c>
      <c r="L69" s="40" t="s">
        <v>228</v>
      </c>
    </row>
    <row r="70" spans="1:12" x14ac:dyDescent="0.55000000000000004">
      <c r="A70" s="15">
        <v>63</v>
      </c>
      <c r="B70" s="7" t="s">
        <v>135</v>
      </c>
      <c r="C70" s="3" t="s">
        <v>144</v>
      </c>
      <c r="D70" s="1" t="s">
        <v>47</v>
      </c>
      <c r="E70" s="30" t="s">
        <v>75</v>
      </c>
      <c r="F70" s="4" t="s">
        <v>149</v>
      </c>
      <c r="G70" s="4" t="s">
        <v>81</v>
      </c>
      <c r="H70" s="32">
        <v>2</v>
      </c>
      <c r="I70" s="32">
        <v>2</v>
      </c>
      <c r="J70" s="34">
        <v>39000</v>
      </c>
      <c r="K70" s="6">
        <f t="shared" si="3"/>
        <v>78000</v>
      </c>
      <c r="L70" s="40" t="s">
        <v>227</v>
      </c>
    </row>
    <row r="71" spans="1:12" x14ac:dyDescent="0.55000000000000004">
      <c r="A71" s="15">
        <v>64</v>
      </c>
      <c r="B71" s="11" t="s">
        <v>145</v>
      </c>
      <c r="C71" s="3" t="s">
        <v>146</v>
      </c>
      <c r="D71" s="1" t="s">
        <v>28</v>
      </c>
      <c r="E71" s="30" t="s">
        <v>75</v>
      </c>
      <c r="F71" s="4" t="s">
        <v>149</v>
      </c>
      <c r="G71" s="4" t="s">
        <v>81</v>
      </c>
      <c r="H71" s="32">
        <v>120</v>
      </c>
      <c r="I71" s="32">
        <v>120</v>
      </c>
      <c r="J71" s="36">
        <v>750</v>
      </c>
      <c r="K71" s="6">
        <f t="shared" si="3"/>
        <v>90000</v>
      </c>
      <c r="L71" s="40" t="s">
        <v>200</v>
      </c>
    </row>
    <row r="72" spans="1:12" x14ac:dyDescent="0.55000000000000004">
      <c r="A72" s="15">
        <v>65</v>
      </c>
      <c r="B72" s="11" t="s">
        <v>145</v>
      </c>
      <c r="C72" s="3" t="s">
        <v>147</v>
      </c>
      <c r="D72" s="3" t="s">
        <v>148</v>
      </c>
      <c r="E72" s="30" t="s">
        <v>73</v>
      </c>
      <c r="F72" s="4" t="s">
        <v>149</v>
      </c>
      <c r="G72" s="4" t="s">
        <v>81</v>
      </c>
      <c r="H72" s="32">
        <v>1</v>
      </c>
      <c r="I72" s="32">
        <v>1</v>
      </c>
      <c r="J72" s="36">
        <v>1980</v>
      </c>
      <c r="K72" s="6">
        <f t="shared" si="3"/>
        <v>1980</v>
      </c>
      <c r="L72" s="40" t="s">
        <v>217</v>
      </c>
    </row>
    <row r="73" spans="1:12" x14ac:dyDescent="0.55000000000000004">
      <c r="A73" s="15">
        <v>66</v>
      </c>
      <c r="B73" s="11" t="s">
        <v>145</v>
      </c>
      <c r="C73" s="3" t="s">
        <v>150</v>
      </c>
      <c r="D73" s="3" t="s">
        <v>151</v>
      </c>
      <c r="E73" s="30" t="s">
        <v>73</v>
      </c>
      <c r="F73" s="4" t="s">
        <v>149</v>
      </c>
      <c r="G73" s="4" t="s">
        <v>81</v>
      </c>
      <c r="H73" s="32">
        <v>1</v>
      </c>
      <c r="I73" s="32">
        <v>1</v>
      </c>
      <c r="J73" s="34">
        <v>17300</v>
      </c>
      <c r="K73" s="6">
        <f t="shared" si="3"/>
        <v>17300</v>
      </c>
      <c r="L73" s="40" t="s">
        <v>229</v>
      </c>
    </row>
    <row r="74" spans="1:12" x14ac:dyDescent="0.55000000000000004">
      <c r="A74" s="15">
        <v>67</v>
      </c>
      <c r="B74" s="11" t="s">
        <v>145</v>
      </c>
      <c r="C74" s="3" t="s">
        <v>152</v>
      </c>
      <c r="D74" s="3" t="s">
        <v>153</v>
      </c>
      <c r="E74" s="31" t="s">
        <v>73</v>
      </c>
      <c r="F74" s="4" t="s">
        <v>149</v>
      </c>
      <c r="G74" s="4" t="s">
        <v>81</v>
      </c>
      <c r="H74" s="32">
        <v>1</v>
      </c>
      <c r="I74" s="32">
        <v>1</v>
      </c>
      <c r="J74" s="33">
        <v>1700</v>
      </c>
      <c r="K74" s="6">
        <f t="shared" si="3"/>
        <v>1700</v>
      </c>
      <c r="L74" s="40" t="s">
        <v>229</v>
      </c>
    </row>
    <row r="75" spans="1:12" x14ac:dyDescent="0.55000000000000004">
      <c r="A75" s="15">
        <v>68</v>
      </c>
      <c r="B75" s="14">
        <v>2551</v>
      </c>
      <c r="C75" s="3" t="s">
        <v>154</v>
      </c>
      <c r="D75" s="3" t="s">
        <v>155</v>
      </c>
      <c r="E75" s="31" t="s">
        <v>75</v>
      </c>
      <c r="F75" s="4" t="s">
        <v>160</v>
      </c>
      <c r="G75" s="4" t="s">
        <v>81</v>
      </c>
      <c r="H75" s="32">
        <v>8</v>
      </c>
      <c r="I75" s="32">
        <v>8</v>
      </c>
      <c r="J75" s="36">
        <v>3000</v>
      </c>
      <c r="K75" s="6">
        <f t="shared" si="3"/>
        <v>24000</v>
      </c>
      <c r="L75" s="40" t="s">
        <v>217</v>
      </c>
    </row>
    <row r="76" spans="1:12" x14ac:dyDescent="0.55000000000000004">
      <c r="A76" s="15">
        <v>69</v>
      </c>
      <c r="B76" s="14">
        <v>2551</v>
      </c>
      <c r="C76" s="3" t="s">
        <v>156</v>
      </c>
      <c r="D76" s="1" t="s">
        <v>157</v>
      </c>
      <c r="E76" s="31" t="s">
        <v>73</v>
      </c>
      <c r="F76" s="4" t="s">
        <v>160</v>
      </c>
      <c r="G76" s="4" t="s">
        <v>81</v>
      </c>
      <c r="H76" s="32">
        <v>1</v>
      </c>
      <c r="I76" s="32">
        <v>1</v>
      </c>
      <c r="J76" s="34">
        <v>5684.5</v>
      </c>
      <c r="K76" s="6">
        <f t="shared" si="3"/>
        <v>5684.5</v>
      </c>
      <c r="L76" s="40" t="s">
        <v>230</v>
      </c>
    </row>
    <row r="77" spans="1:12" x14ac:dyDescent="0.55000000000000004">
      <c r="A77" s="15">
        <v>70</v>
      </c>
      <c r="B77" s="14">
        <v>2551</v>
      </c>
      <c r="C77" s="3" t="s">
        <v>158</v>
      </c>
      <c r="D77" s="1" t="s">
        <v>159</v>
      </c>
      <c r="E77" s="31" t="s">
        <v>73</v>
      </c>
      <c r="F77" s="4" t="s">
        <v>160</v>
      </c>
      <c r="G77" s="4" t="s">
        <v>81</v>
      </c>
      <c r="H77" s="32">
        <v>1</v>
      </c>
      <c r="I77" s="32">
        <v>1</v>
      </c>
      <c r="J77" s="34">
        <v>1006.25</v>
      </c>
      <c r="K77" s="6">
        <f t="shared" si="3"/>
        <v>1006.25</v>
      </c>
      <c r="L77" s="40" t="s">
        <v>231</v>
      </c>
    </row>
    <row r="78" spans="1:12" x14ac:dyDescent="0.55000000000000004">
      <c r="A78" s="15">
        <v>71</v>
      </c>
      <c r="B78" s="14">
        <v>2552</v>
      </c>
      <c r="C78" s="3" t="s">
        <v>161</v>
      </c>
      <c r="D78" s="1" t="s">
        <v>162</v>
      </c>
      <c r="E78" s="31" t="s">
        <v>72</v>
      </c>
      <c r="F78" s="4" t="s">
        <v>163</v>
      </c>
      <c r="G78" s="4" t="s">
        <v>81</v>
      </c>
      <c r="H78" s="4">
        <v>7</v>
      </c>
      <c r="I78" s="5">
        <v>7</v>
      </c>
      <c r="J78" s="6">
        <v>3500</v>
      </c>
      <c r="K78" s="6">
        <f t="shared" si="3"/>
        <v>24500</v>
      </c>
      <c r="L78" s="40" t="s">
        <v>232</v>
      </c>
    </row>
    <row r="79" spans="1:12" x14ac:dyDescent="0.55000000000000004">
      <c r="A79" s="15">
        <v>72</v>
      </c>
      <c r="B79" s="14">
        <v>2552</v>
      </c>
      <c r="C79" s="3" t="s">
        <v>164</v>
      </c>
      <c r="D79" s="37" t="s">
        <v>165</v>
      </c>
      <c r="E79" s="31" t="s">
        <v>72</v>
      </c>
      <c r="F79" s="4" t="s">
        <v>163</v>
      </c>
      <c r="G79" s="4" t="s">
        <v>81</v>
      </c>
      <c r="H79" s="4">
        <v>1</v>
      </c>
      <c r="I79" s="5">
        <v>1</v>
      </c>
      <c r="J79" s="6">
        <v>17909.32</v>
      </c>
      <c r="K79" s="6">
        <f t="shared" si="3"/>
        <v>17909.32</v>
      </c>
      <c r="L79" s="40" t="s">
        <v>233</v>
      </c>
    </row>
    <row r="80" spans="1:12" x14ac:dyDescent="0.55000000000000004">
      <c r="A80" s="15">
        <v>73</v>
      </c>
      <c r="B80" s="14">
        <v>2553</v>
      </c>
      <c r="C80" s="3" t="s">
        <v>166</v>
      </c>
      <c r="D80" s="37" t="s">
        <v>167</v>
      </c>
      <c r="E80" s="31" t="s">
        <v>72</v>
      </c>
      <c r="F80" s="4" t="s">
        <v>184</v>
      </c>
      <c r="G80" s="4" t="s">
        <v>81</v>
      </c>
      <c r="H80" s="32">
        <v>1</v>
      </c>
      <c r="I80" s="32">
        <v>1</v>
      </c>
      <c r="J80" s="36">
        <v>3700</v>
      </c>
      <c r="K80" s="6">
        <f t="shared" si="3"/>
        <v>3700</v>
      </c>
      <c r="L80" s="40" t="s">
        <v>234</v>
      </c>
    </row>
    <row r="81" spans="1:12" x14ac:dyDescent="0.55000000000000004">
      <c r="A81" s="15">
        <v>74</v>
      </c>
      <c r="B81" s="14">
        <v>2553</v>
      </c>
      <c r="C81" s="3" t="s">
        <v>168</v>
      </c>
      <c r="D81" s="37" t="s">
        <v>169</v>
      </c>
      <c r="E81" s="31" t="s">
        <v>73</v>
      </c>
      <c r="F81" s="4" t="s">
        <v>184</v>
      </c>
      <c r="G81" s="4" t="s">
        <v>81</v>
      </c>
      <c r="H81" s="32">
        <v>9</v>
      </c>
      <c r="I81" s="32">
        <v>9</v>
      </c>
      <c r="J81" s="36">
        <v>11000</v>
      </c>
      <c r="K81" s="6">
        <f t="shared" si="3"/>
        <v>99000</v>
      </c>
      <c r="L81" s="40" t="s">
        <v>235</v>
      </c>
    </row>
    <row r="82" spans="1:12" x14ac:dyDescent="0.55000000000000004">
      <c r="A82" s="15">
        <v>75</v>
      </c>
      <c r="B82" s="14">
        <v>2553</v>
      </c>
      <c r="C82" s="3" t="s">
        <v>170</v>
      </c>
      <c r="D82" s="37" t="s">
        <v>171</v>
      </c>
      <c r="E82" s="31" t="s">
        <v>72</v>
      </c>
      <c r="F82" s="4" t="s">
        <v>184</v>
      </c>
      <c r="G82" s="4" t="s">
        <v>81</v>
      </c>
      <c r="H82" s="32">
        <v>2</v>
      </c>
      <c r="I82" s="32">
        <v>2</v>
      </c>
      <c r="J82" s="36">
        <v>4000</v>
      </c>
      <c r="K82" s="6">
        <f t="shared" si="3"/>
        <v>8000</v>
      </c>
      <c r="L82" s="40" t="s">
        <v>236</v>
      </c>
    </row>
    <row r="83" spans="1:12" x14ac:dyDescent="0.55000000000000004">
      <c r="A83" s="15">
        <v>76</v>
      </c>
      <c r="B83" s="14">
        <v>2553</v>
      </c>
      <c r="C83" s="3" t="s">
        <v>172</v>
      </c>
      <c r="D83" s="37" t="s">
        <v>173</v>
      </c>
      <c r="E83" s="30" t="s">
        <v>72</v>
      </c>
      <c r="F83" s="4" t="s">
        <v>184</v>
      </c>
      <c r="G83" s="4" t="s">
        <v>81</v>
      </c>
      <c r="H83" s="32">
        <v>2</v>
      </c>
      <c r="I83" s="32">
        <v>2</v>
      </c>
      <c r="J83" s="36">
        <v>4000</v>
      </c>
      <c r="K83" s="6">
        <f t="shared" si="3"/>
        <v>8000</v>
      </c>
      <c r="L83" s="40" t="s">
        <v>236</v>
      </c>
    </row>
    <row r="84" spans="1:12" x14ac:dyDescent="0.55000000000000004">
      <c r="A84" s="15">
        <v>77</v>
      </c>
      <c r="B84" s="14">
        <v>2553</v>
      </c>
      <c r="C84" s="3" t="s">
        <v>174</v>
      </c>
      <c r="D84" s="37" t="s">
        <v>175</v>
      </c>
      <c r="E84" s="30" t="s">
        <v>72</v>
      </c>
      <c r="F84" s="4" t="s">
        <v>184</v>
      </c>
      <c r="G84" s="4" t="s">
        <v>81</v>
      </c>
      <c r="H84" s="32">
        <v>2</v>
      </c>
      <c r="I84" s="32">
        <v>2</v>
      </c>
      <c r="J84" s="36">
        <v>2500</v>
      </c>
      <c r="K84" s="6">
        <f t="shared" si="3"/>
        <v>5000</v>
      </c>
      <c r="L84" s="40" t="s">
        <v>236</v>
      </c>
    </row>
    <row r="85" spans="1:12" x14ac:dyDescent="0.55000000000000004">
      <c r="A85" s="15">
        <v>78</v>
      </c>
      <c r="B85" s="14">
        <v>2553</v>
      </c>
      <c r="C85" s="3" t="s">
        <v>176</v>
      </c>
      <c r="D85" s="37" t="s">
        <v>177</v>
      </c>
      <c r="E85" s="30" t="s">
        <v>72</v>
      </c>
      <c r="F85" s="4" t="s">
        <v>184</v>
      </c>
      <c r="G85" s="4" t="s">
        <v>81</v>
      </c>
      <c r="H85" s="32">
        <v>2</v>
      </c>
      <c r="I85" s="32">
        <v>2</v>
      </c>
      <c r="J85" s="36">
        <v>1000</v>
      </c>
      <c r="K85" s="6">
        <f t="shared" ref="K85:K94" si="4">SUM(I85*J85)</f>
        <v>2000</v>
      </c>
      <c r="L85" s="40" t="s">
        <v>236</v>
      </c>
    </row>
    <row r="86" spans="1:12" x14ac:dyDescent="0.55000000000000004">
      <c r="A86" s="15">
        <v>79</v>
      </c>
      <c r="B86" s="14">
        <v>2553</v>
      </c>
      <c r="C86" s="3" t="s">
        <v>178</v>
      </c>
      <c r="D86" s="37" t="s">
        <v>179</v>
      </c>
      <c r="E86" s="30" t="s">
        <v>72</v>
      </c>
      <c r="F86" s="4" t="s">
        <v>184</v>
      </c>
      <c r="G86" s="4" t="s">
        <v>81</v>
      </c>
      <c r="H86" s="32">
        <v>2</v>
      </c>
      <c r="I86" s="32">
        <v>2</v>
      </c>
      <c r="J86" s="36">
        <v>4000</v>
      </c>
      <c r="K86" s="6">
        <f t="shared" si="4"/>
        <v>8000</v>
      </c>
      <c r="L86" s="40" t="s">
        <v>236</v>
      </c>
    </row>
    <row r="87" spans="1:12" x14ac:dyDescent="0.55000000000000004">
      <c r="A87" s="15">
        <v>80</v>
      </c>
      <c r="B87" s="14">
        <v>2553</v>
      </c>
      <c r="C87" s="3" t="s">
        <v>180</v>
      </c>
      <c r="D87" s="37" t="s">
        <v>181</v>
      </c>
      <c r="E87" s="30" t="s">
        <v>72</v>
      </c>
      <c r="F87" s="4" t="s">
        <v>184</v>
      </c>
      <c r="G87" s="4" t="s">
        <v>81</v>
      </c>
      <c r="H87" s="32">
        <v>2</v>
      </c>
      <c r="I87" s="32">
        <v>2</v>
      </c>
      <c r="J87" s="36">
        <v>3200</v>
      </c>
      <c r="K87" s="6">
        <f t="shared" si="4"/>
        <v>6400</v>
      </c>
      <c r="L87" s="40" t="s">
        <v>236</v>
      </c>
    </row>
    <row r="88" spans="1:12" x14ac:dyDescent="0.55000000000000004">
      <c r="A88" s="15">
        <v>81</v>
      </c>
      <c r="B88" s="14">
        <v>2553</v>
      </c>
      <c r="C88" s="3" t="s">
        <v>182</v>
      </c>
      <c r="D88" s="37" t="s">
        <v>183</v>
      </c>
      <c r="E88" s="30" t="s">
        <v>72</v>
      </c>
      <c r="F88" s="4" t="s">
        <v>184</v>
      </c>
      <c r="G88" s="4" t="s">
        <v>81</v>
      </c>
      <c r="H88" s="32">
        <v>2</v>
      </c>
      <c r="I88" s="32">
        <v>2</v>
      </c>
      <c r="J88" s="36">
        <v>1300</v>
      </c>
      <c r="K88" s="6">
        <f t="shared" si="4"/>
        <v>2600</v>
      </c>
      <c r="L88" s="40" t="s">
        <v>236</v>
      </c>
    </row>
    <row r="89" spans="1:12" x14ac:dyDescent="0.55000000000000004">
      <c r="A89" s="15">
        <v>82</v>
      </c>
      <c r="B89" s="14">
        <v>2553</v>
      </c>
      <c r="C89" s="3" t="s">
        <v>185</v>
      </c>
      <c r="D89" s="37" t="s">
        <v>186</v>
      </c>
      <c r="E89" s="30" t="s">
        <v>72</v>
      </c>
      <c r="F89" s="4" t="s">
        <v>184</v>
      </c>
      <c r="G89" s="4" t="s">
        <v>81</v>
      </c>
      <c r="H89" s="4">
        <v>1</v>
      </c>
      <c r="I89" s="5">
        <v>1</v>
      </c>
      <c r="J89" s="6">
        <v>7900</v>
      </c>
      <c r="K89" s="6">
        <f t="shared" si="4"/>
        <v>7900</v>
      </c>
      <c r="L89" s="41" t="s">
        <v>237</v>
      </c>
    </row>
    <row r="90" spans="1:12" x14ac:dyDescent="0.55000000000000004">
      <c r="A90" s="15">
        <v>83</v>
      </c>
      <c r="B90" s="11" t="s">
        <v>187</v>
      </c>
      <c r="C90" s="3" t="s">
        <v>188</v>
      </c>
      <c r="D90" s="37" t="s">
        <v>189</v>
      </c>
      <c r="E90" s="30" t="s">
        <v>72</v>
      </c>
      <c r="F90" s="4" t="s">
        <v>198</v>
      </c>
      <c r="G90" s="4" t="s">
        <v>81</v>
      </c>
      <c r="H90" s="32">
        <v>2</v>
      </c>
      <c r="I90" s="32">
        <v>2</v>
      </c>
      <c r="J90" s="36">
        <v>49500</v>
      </c>
      <c r="K90" s="6">
        <f t="shared" si="4"/>
        <v>99000</v>
      </c>
      <c r="L90" s="40" t="s">
        <v>227</v>
      </c>
    </row>
    <row r="91" spans="1:12" x14ac:dyDescent="0.55000000000000004">
      <c r="A91" s="15">
        <v>84</v>
      </c>
      <c r="B91" s="11" t="s">
        <v>187</v>
      </c>
      <c r="C91" s="3" t="s">
        <v>190</v>
      </c>
      <c r="D91" s="37" t="s">
        <v>191</v>
      </c>
      <c r="E91" s="30" t="s">
        <v>72</v>
      </c>
      <c r="F91" s="4" t="s">
        <v>198</v>
      </c>
      <c r="G91" s="4" t="s">
        <v>81</v>
      </c>
      <c r="H91" s="32">
        <v>1</v>
      </c>
      <c r="I91" s="32">
        <v>1</v>
      </c>
      <c r="J91" s="36">
        <v>22440</v>
      </c>
      <c r="K91" s="6">
        <f t="shared" si="4"/>
        <v>22440</v>
      </c>
      <c r="L91" s="40" t="s">
        <v>200</v>
      </c>
    </row>
    <row r="92" spans="1:12" x14ac:dyDescent="0.55000000000000004">
      <c r="A92" s="15">
        <v>85</v>
      </c>
      <c r="B92" s="11" t="s">
        <v>187</v>
      </c>
      <c r="C92" s="3" t="s">
        <v>192</v>
      </c>
      <c r="D92" s="37" t="s">
        <v>193</v>
      </c>
      <c r="E92" s="30" t="s">
        <v>72</v>
      </c>
      <c r="F92" s="4" t="s">
        <v>198</v>
      </c>
      <c r="G92" s="4" t="s">
        <v>81</v>
      </c>
      <c r="H92" s="32">
        <v>1</v>
      </c>
      <c r="I92" s="32">
        <v>1</v>
      </c>
      <c r="J92" s="36">
        <v>12000</v>
      </c>
      <c r="K92" s="6">
        <f t="shared" si="4"/>
        <v>12000</v>
      </c>
      <c r="L92" s="40" t="s">
        <v>200</v>
      </c>
    </row>
    <row r="93" spans="1:12" x14ac:dyDescent="0.55000000000000004">
      <c r="A93" s="15">
        <v>86</v>
      </c>
      <c r="B93" s="11" t="s">
        <v>187</v>
      </c>
      <c r="C93" s="3" t="s">
        <v>194</v>
      </c>
      <c r="D93" s="37" t="s">
        <v>195</v>
      </c>
      <c r="E93" s="30" t="s">
        <v>72</v>
      </c>
      <c r="F93" s="4" t="s">
        <v>198</v>
      </c>
      <c r="G93" s="4" t="s">
        <v>81</v>
      </c>
      <c r="H93" s="32">
        <v>2</v>
      </c>
      <c r="I93" s="32">
        <v>2</v>
      </c>
      <c r="J93" s="36">
        <v>2000</v>
      </c>
      <c r="K93" s="6">
        <f t="shared" si="4"/>
        <v>4000</v>
      </c>
      <c r="L93" s="40" t="s">
        <v>238</v>
      </c>
    </row>
    <row r="94" spans="1:12" x14ac:dyDescent="0.55000000000000004">
      <c r="A94" s="15">
        <v>87</v>
      </c>
      <c r="B94" s="11" t="s">
        <v>187</v>
      </c>
      <c r="C94" s="3" t="s">
        <v>196</v>
      </c>
      <c r="D94" s="37" t="s">
        <v>197</v>
      </c>
      <c r="E94" s="30" t="s">
        <v>72</v>
      </c>
      <c r="F94" s="4" t="s">
        <v>198</v>
      </c>
      <c r="G94" s="4" t="s">
        <v>81</v>
      </c>
      <c r="H94" s="32">
        <v>2</v>
      </c>
      <c r="I94" s="32">
        <v>2</v>
      </c>
      <c r="J94" s="36">
        <v>31000</v>
      </c>
      <c r="K94" s="6">
        <f t="shared" si="4"/>
        <v>62000</v>
      </c>
      <c r="L94" s="40" t="s">
        <v>227</v>
      </c>
    </row>
    <row r="95" spans="1:12" x14ac:dyDescent="0.55000000000000004">
      <c r="A95" s="15">
        <v>88</v>
      </c>
      <c r="B95" s="10"/>
      <c r="C95" s="3"/>
      <c r="D95" s="38" t="s">
        <v>199</v>
      </c>
      <c r="E95" s="30" t="s">
        <v>73</v>
      </c>
      <c r="F95" s="4"/>
      <c r="G95" s="4" t="s">
        <v>81</v>
      </c>
      <c r="H95" s="35">
        <v>1</v>
      </c>
      <c r="I95" s="35">
        <v>1</v>
      </c>
      <c r="J95" s="6">
        <v>10500</v>
      </c>
      <c r="K95" s="6">
        <v>10500</v>
      </c>
      <c r="L95" s="40" t="s">
        <v>217</v>
      </c>
    </row>
    <row r="96" spans="1:12" x14ac:dyDescent="0.55000000000000004">
      <c r="A96" s="55" t="s">
        <v>5</v>
      </c>
      <c r="B96" s="56"/>
      <c r="C96" s="56"/>
      <c r="D96" s="56"/>
      <c r="E96" s="56"/>
      <c r="F96" s="56"/>
      <c r="G96" s="56"/>
      <c r="H96" s="56"/>
      <c r="I96" s="56"/>
      <c r="J96" s="57"/>
      <c r="K96" s="6">
        <f>SUM(K8:K95)</f>
        <v>2571529.1199999996</v>
      </c>
      <c r="L96" s="14"/>
    </row>
    <row r="97" spans="1:12" x14ac:dyDescent="0.55000000000000004">
      <c r="A97" s="25"/>
      <c r="B97" s="25"/>
      <c r="C97" s="25"/>
      <c r="D97" s="25"/>
      <c r="E97" s="25"/>
      <c r="F97" s="25"/>
      <c r="G97" s="25"/>
      <c r="H97" s="25"/>
      <c r="I97" s="20"/>
      <c r="J97" s="19"/>
      <c r="K97" s="19"/>
      <c r="L97" s="23"/>
    </row>
    <row r="98" spans="1:12" x14ac:dyDescent="0.55000000000000004">
      <c r="A98" s="8"/>
      <c r="B98" s="21" t="s">
        <v>2</v>
      </c>
      <c r="C98" s="16" t="s">
        <v>17</v>
      </c>
      <c r="D98" s="8"/>
      <c r="E98" s="8"/>
      <c r="F98" s="8"/>
      <c r="G98" s="8"/>
      <c r="H98" s="8"/>
      <c r="I98" s="20"/>
      <c r="J98" s="8"/>
      <c r="K98" s="8"/>
      <c r="L98" s="23"/>
    </row>
    <row r="99" spans="1:12" x14ac:dyDescent="0.55000000000000004">
      <c r="A99" s="8"/>
      <c r="B99" s="23"/>
      <c r="C99" s="16" t="s">
        <v>18</v>
      </c>
      <c r="D99" s="8"/>
      <c r="E99" s="8"/>
      <c r="F99" s="8"/>
      <c r="G99" s="8"/>
      <c r="H99" s="18"/>
      <c r="I99" s="18"/>
      <c r="J99" s="18"/>
      <c r="K99" s="18"/>
      <c r="L99" s="18"/>
    </row>
    <row r="100" spans="1:12" x14ac:dyDescent="0.55000000000000004">
      <c r="A100" s="8"/>
      <c r="B100" s="23"/>
      <c r="C100" s="16"/>
      <c r="D100" s="8"/>
      <c r="E100" s="8"/>
      <c r="F100" s="8"/>
      <c r="G100" s="8"/>
      <c r="H100" s="18"/>
      <c r="I100" s="18"/>
      <c r="J100" s="18"/>
      <c r="K100" s="18"/>
      <c r="L100" s="18"/>
    </row>
    <row r="101" spans="1:12" x14ac:dyDescent="0.55000000000000004">
      <c r="A101" s="8"/>
      <c r="B101" s="23"/>
      <c r="C101" s="16"/>
      <c r="D101" s="8"/>
      <c r="E101" s="8"/>
      <c r="F101" s="8"/>
      <c r="G101" s="8"/>
      <c r="H101" s="45" t="s">
        <v>21</v>
      </c>
      <c r="I101" s="45"/>
      <c r="J101" s="45"/>
      <c r="K101" s="45"/>
      <c r="L101" s="18"/>
    </row>
    <row r="102" spans="1:12" x14ac:dyDescent="0.55000000000000004">
      <c r="H102" s="45" t="s">
        <v>23</v>
      </c>
      <c r="I102" s="45"/>
      <c r="J102" s="45"/>
      <c r="K102" s="45"/>
    </row>
    <row r="103" spans="1:12" x14ac:dyDescent="0.55000000000000004">
      <c r="H103" s="45" t="s">
        <v>4</v>
      </c>
      <c r="I103" s="45"/>
      <c r="J103" s="45"/>
      <c r="K103" s="45"/>
    </row>
  </sheetData>
  <mergeCells count="18">
    <mergeCell ref="H103:K103"/>
    <mergeCell ref="H102:K102"/>
    <mergeCell ref="H6:I6"/>
    <mergeCell ref="J6:J7"/>
    <mergeCell ref="K6:K7"/>
    <mergeCell ref="A96:J96"/>
    <mergeCell ref="L6:L7"/>
    <mergeCell ref="H101:K101"/>
    <mergeCell ref="A2:L2"/>
    <mergeCell ref="A3:L3"/>
    <mergeCell ref="A4:L4"/>
    <mergeCell ref="A6:A7"/>
    <mergeCell ref="B6:B7"/>
    <mergeCell ref="C6:C7"/>
    <mergeCell ref="D6:D7"/>
    <mergeCell ref="E6:E7"/>
    <mergeCell ref="F6:F7"/>
    <mergeCell ref="G6:G7"/>
  </mergeCells>
  <printOptions horizontalCentered="1"/>
  <pageMargins left="0.19685039370078741" right="0" top="0.59055118110236227" bottom="0.19685039370078741" header="0" footer="0"/>
  <pageSetup paperSize="9" scale="75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1</vt:i4>
      </vt:variant>
      <vt:variant>
        <vt:lpstr>ช่วงที่มีชื่อ</vt:lpstr>
      </vt:variant>
      <vt:variant>
        <vt:i4>1</vt:i4>
      </vt:variant>
    </vt:vector>
  </HeadingPairs>
  <TitlesOfParts>
    <vt:vector size="2" baseType="lpstr">
      <vt:lpstr>ต้นฉบับ</vt:lpstr>
      <vt:lpstr>ต้นฉบับ!Print_Titles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AP2017</dc:creator>
  <cp:lastModifiedBy>user</cp:lastModifiedBy>
  <cp:lastPrinted>2022-02-28T09:52:08Z</cp:lastPrinted>
  <dcterms:created xsi:type="dcterms:W3CDTF">2017-11-14T01:32:33Z</dcterms:created>
  <dcterms:modified xsi:type="dcterms:W3CDTF">2022-02-28T09:52:24Z</dcterms:modified>
</cp:coreProperties>
</file>