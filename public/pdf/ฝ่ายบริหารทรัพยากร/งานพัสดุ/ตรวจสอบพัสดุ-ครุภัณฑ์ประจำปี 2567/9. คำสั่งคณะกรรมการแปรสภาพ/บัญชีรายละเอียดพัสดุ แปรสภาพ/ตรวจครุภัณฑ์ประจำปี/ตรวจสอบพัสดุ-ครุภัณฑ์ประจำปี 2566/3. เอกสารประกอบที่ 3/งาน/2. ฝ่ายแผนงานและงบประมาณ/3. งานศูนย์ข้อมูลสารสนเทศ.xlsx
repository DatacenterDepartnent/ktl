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3. เอกสารประกอบที่ 3\งาน\2. ฝ่ายแผนงานและงบประมาณ\"/>
    </mc:Choice>
  </mc:AlternateContent>
  <xr:revisionPtr revIDLastSave="0" documentId="13_ncr:1_{B8EC9029-6E8B-478B-9609-316BC325E38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17" i="46"/>
  <c r="K7" i="46"/>
  <c r="K18" i="46" s="1"/>
</calcChain>
</file>

<file path=xl/sharedStrings.xml><?xml version="1.0" encoding="utf-8"?>
<sst xmlns="http://schemas.openxmlformats.org/spreadsheetml/2006/main" count="79" uniqueCount="55">
  <si>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</si>
  <si>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</si>
  <si>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</si>
  <si>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</si>
  <si>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</si>
  <si>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</si>
  <si>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</si>
  <si>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</si>
  <si>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</si>
  <si>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</si>
  <si>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</si>
  <si>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</si>
  <si>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</si>
  <si>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</si>
  <si>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</si>
  <si>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</si>
  <si>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</si>
  <si>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</si>
  <si>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</si>
  <si>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</si>
  <si>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4140-001-0001/493-039</t>
  </si>
  <si>
    <t xml:space="preserve">พัดลมตั้งพื้น 16 นิ้ว MD </t>
  </si>
  <si>
    <t>บริจาค</t>
  </si>
  <si>
    <t>-</t>
  </si>
  <si>
    <t>6340-010-0001/531-001-006</t>
  </si>
  <si>
    <t>Media Converter Single mode</t>
  </si>
  <si>
    <t>งปม.</t>
  </si>
  <si>
    <t>7440-010-0012/531-001</t>
  </si>
  <si>
    <t>อุปกรณ์บริหารจัดการเครือข่าย  และอินเตอร์เน็ต</t>
  </si>
  <si>
    <t>7110-006-0006/531-016</t>
  </si>
  <si>
    <t>เก้าอี้ (ขาเหล็ก)  5 แฉก</t>
  </si>
  <si>
    <t>ขาเหล็กหัก</t>
  </si>
  <si>
    <t>6130-001-0001/531-010</t>
  </si>
  <si>
    <t>เครื่องสำรองไฟฟ้า</t>
  </si>
  <si>
    <t>ไม่จัดเก็บสำรองไฟฟ้า</t>
  </si>
  <si>
    <t>7440-010-0014/531-001-005</t>
  </si>
  <si>
    <t>เครื่องแปลงสัญญาณอินเตอร์เน็ต8  ช่อง</t>
  </si>
  <si>
    <t>7440-010-0015/531-001-005</t>
  </si>
  <si>
    <t>เครื่องแปลงสัญญาณอินเตอร์ แบบไร้สาย</t>
  </si>
  <si>
    <t>7440-001-0001/576-001-004</t>
  </si>
  <si>
    <t>เครื่องไมโครคอมพิวเตอร์ Acer tc-605 18.5 led</t>
  </si>
  <si>
    <t>อุดหนุน</t>
  </si>
  <si>
    <t>7430-008-0006/576-001-003</t>
  </si>
  <si>
    <t>เครื่องพิมพ์ HP Laserjet P1102</t>
  </si>
  <si>
    <t>7440-001-0003/586-001(3)</t>
  </si>
  <si>
    <t>คอมพิวเตอร์โน๊ตบุ๊ค</t>
  </si>
  <si>
    <t>7440-001-0001/586-001(2)</t>
  </si>
  <si>
    <t>เอกสารหมายเลข.................</t>
  </si>
  <si>
    <t xml:space="preserve"> ......................................................</t>
  </si>
  <si>
    <t>(นายณัทพงศ์  โยธี)</t>
  </si>
  <si>
    <t>ประจำปี 2565 สิ้นงวดเมื่อวันที่ 30 กันยายน 2565 ของงานศูนย์ข้อมูลและสารสนเทศ</t>
  </si>
  <si>
    <t>ใบพัดแตก มอร์เตอร์ไหม้</t>
  </si>
  <si>
    <t>ฟ้าผ่าไฟกระชากอุปกรณ์ภายในพัง</t>
  </si>
  <si>
    <t>บอร์ดพัง</t>
  </si>
  <si>
    <t>บอร์ดพัง เฟืองพัง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</si>
</sst>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5" xfId="6" applyFont="1" applyBorder="1" applyAlignment="1">
      <alignment horizontal="left" vertical="center"/>
    </xf>
    <xf numFmtId="0" fontId="3" fillId="0" borderId="10" xfId="6" applyFont="1" applyBorder="1" applyAlignment="1">
      <alignment horizontal="left" vertical="center"/>
    </xf>
    <xf numFmtId="0" fontId="3" fillId="0" borderId="1" xfId="6" applyFont="1" applyBorder="1" applyAlignment="1">
      <alignment horizontal="left" vertical="center"/>
    </xf>
    <xf numFmtId="43" fontId="3" fillId="0" borderId="1" xfId="1" applyFont="1" applyBorder="1" applyAlignment="1">
      <alignment horizontal="center"/>
    </xf>
    <xf numFmtId="0" fontId="3" fillId="0" borderId="11" xfId="1" applyNumberFormat="1" applyFont="1" applyBorder="1" applyAlignment="1">
      <alignment horizontal="center"/>
    </xf>
    <xf numFmtId="0" fontId="3" fillId="0" borderId="1" xfId="2" applyNumberFormat="1" applyFont="1" applyBorder="1" applyAlignment="1">
      <alignment horizontal="center"/>
    </xf>
    <xf numFmtId="49" fontId="3" fillId="0" borderId="1" xfId="8" applyNumberFormat="1" applyFont="1" applyBorder="1" applyAlignment="1">
      <alignment horizontal="left"/>
    </xf>
    <xf numFmtId="0" fontId="3" fillId="0" borderId="12" xfId="2" applyFont="1" applyBorder="1" applyAlignment="1">
      <alignment horizontal="center"/>
    </xf>
    <xf numFmtId="15" fontId="3" fillId="0" borderId="1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12" applyNumberFormat="1" applyFont="1" applyBorder="1" applyAlignment="1">
      <alignment horizontal="left"/>
    </xf>
    <xf numFmtId="43" fontId="6" fillId="0" borderId="6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43" fontId="9" fillId="0" borderId="1" xfId="12" applyNumberFormat="1" applyFont="1" applyBorder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1076325</xdr:colOff>
      <xdr:row>19</xdr:row>
      <xdr:rowOff>104779</xdr:rowOff>
    </xdr:from>
    <xdr:to>
      <xdr:col>11</xdr:col>
      <xdr:colOff>1409701</xdr:colOff>
      <xdr:row>24</xdr:row>
      <xdr:rowOff>9527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96614" y="6796090"/>
          <a:ext cx="1428748" cy="3333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5"/>
  <sheetViews>
    <sheetView tabSelected="1" topLeftCell="A4" zoomScaleNormal="100" workbookViewId="0">
      <selection activeCell="N13" sqref="N13"/>
    </sheetView>
  </sheetViews>
  <sheetFormatPr defaultColWidth="9" defaultRowHeight="24"/>
  <cols>
    <col min="1" max="1" width="6.28515625" style="1" customWidth="1"/>
    <col min="2" max="2" width="13" style="18" customWidth="1"/>
    <col min="3" max="3" width="30.140625" style="11" customWidth="1"/>
    <col min="4" max="4" width="41.7109375" style="1" customWidth="1"/>
    <col min="5" max="5" width="9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7109375" style="1" customWidth="1"/>
    <col min="11" max="11" width="13.85546875" style="1" customWidth="1"/>
    <col min="12" max="12" width="25.140625" style="18" customWidth="1"/>
    <col min="13" max="16384" width="9" style="1"/>
  </cols>
  <sheetData>
    <row r="1" spans="1:12">
      <c r="L1" s="18" t="s">
        <v>47</v>
      </c>
    </row>
    <row r="2" spans="1:12">
      <c r="A2" s="40" t="s">
        <v>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>
      <c r="A3" s="41" t="s">
        <v>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>
      <c r="A4" s="42" t="s">
        <v>50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ht="28.5" customHeight="1">
      <c r="A5" s="35" t="s">
        <v>8</v>
      </c>
      <c r="B5" s="35" t="s">
        <v>19</v>
      </c>
      <c r="C5" s="35" t="s">
        <v>16</v>
      </c>
      <c r="D5" s="43" t="s">
        <v>0</v>
      </c>
      <c r="E5" s="35" t="s">
        <v>11</v>
      </c>
      <c r="F5" s="35" t="s">
        <v>10</v>
      </c>
      <c r="G5" s="45" t="s">
        <v>12</v>
      </c>
      <c r="H5" s="33" t="s">
        <v>1</v>
      </c>
      <c r="I5" s="34"/>
      <c r="J5" s="35" t="s">
        <v>15</v>
      </c>
      <c r="K5" s="35" t="s">
        <v>9</v>
      </c>
      <c r="L5" s="35" t="s">
        <v>14</v>
      </c>
    </row>
    <row r="6" spans="1:12" ht="45" customHeight="1">
      <c r="A6" s="36"/>
      <c r="B6" s="36"/>
      <c r="C6" s="36"/>
      <c r="D6" s="44"/>
      <c r="E6" s="36"/>
      <c r="F6" s="36"/>
      <c r="G6" s="46"/>
      <c r="H6" s="7" t="s">
        <v>13</v>
      </c>
      <c r="I6" s="6" t="s">
        <v>3</v>
      </c>
      <c r="J6" s="36"/>
      <c r="K6" s="36"/>
      <c r="L6" s="36"/>
    </row>
    <row r="7" spans="1:12">
      <c r="A7" s="9">
        <v>1</v>
      </c>
      <c r="B7" s="8">
        <v>2549</v>
      </c>
      <c r="C7" s="20" t="s">
        <v>20</v>
      </c>
      <c r="D7" s="21" t="s">
        <v>21</v>
      </c>
      <c r="E7" s="2" t="s">
        <v>22</v>
      </c>
      <c r="F7" s="2">
        <v>16</v>
      </c>
      <c r="G7" s="2" t="s">
        <v>23</v>
      </c>
      <c r="H7" s="2">
        <v>1</v>
      </c>
      <c r="I7" s="3">
        <v>1</v>
      </c>
      <c r="J7" s="4">
        <v>780</v>
      </c>
      <c r="K7" s="4">
        <f>SUM(I7*J7)</f>
        <v>780</v>
      </c>
      <c r="L7" s="30" t="s">
        <v>51</v>
      </c>
    </row>
    <row r="8" spans="1:12">
      <c r="A8" s="9">
        <v>2</v>
      </c>
      <c r="B8" s="8">
        <v>2553</v>
      </c>
      <c r="C8" s="22" t="s">
        <v>24</v>
      </c>
      <c r="D8" s="22" t="s">
        <v>25</v>
      </c>
      <c r="E8" s="2" t="s">
        <v>26</v>
      </c>
      <c r="F8" s="2">
        <v>12</v>
      </c>
      <c r="G8" s="23" t="s">
        <v>23</v>
      </c>
      <c r="H8" s="24">
        <v>6</v>
      </c>
      <c r="I8" s="3">
        <v>6</v>
      </c>
      <c r="J8" s="4">
        <v>5250</v>
      </c>
      <c r="K8" s="4">
        <f t="shared" ref="K8:K17" si="0">SUM(I8*J8)</f>
        <v>31500</v>
      </c>
      <c r="L8" s="47" t="s">
        <v>52</v>
      </c>
    </row>
    <row r="9" spans="1:12">
      <c r="A9" s="9">
        <v>3</v>
      </c>
      <c r="B9" s="8">
        <v>2553</v>
      </c>
      <c r="C9" s="22" t="s">
        <v>27</v>
      </c>
      <c r="D9" s="22" t="s">
        <v>28</v>
      </c>
      <c r="E9" s="2" t="s">
        <v>26</v>
      </c>
      <c r="F9" s="2">
        <v>12</v>
      </c>
      <c r="G9" s="2" t="s">
        <v>23</v>
      </c>
      <c r="H9" s="25">
        <v>1</v>
      </c>
      <c r="I9" s="3">
        <v>1</v>
      </c>
      <c r="J9" s="4">
        <v>122600</v>
      </c>
      <c r="K9" s="4">
        <f t="shared" si="0"/>
        <v>122600</v>
      </c>
      <c r="L9" s="47" t="s">
        <v>52</v>
      </c>
    </row>
    <row r="10" spans="1:12">
      <c r="A10" s="9">
        <v>4</v>
      </c>
      <c r="B10" s="8">
        <v>2553</v>
      </c>
      <c r="C10" s="22" t="s">
        <v>29</v>
      </c>
      <c r="D10" s="22" t="s">
        <v>30</v>
      </c>
      <c r="E10" s="2" t="s">
        <v>26</v>
      </c>
      <c r="F10" s="2">
        <v>12</v>
      </c>
      <c r="G10" s="2" t="s">
        <v>23</v>
      </c>
      <c r="H10" s="25">
        <v>1</v>
      </c>
      <c r="I10" s="3">
        <v>1</v>
      </c>
      <c r="J10" s="4">
        <v>1100</v>
      </c>
      <c r="K10" s="4">
        <f t="shared" si="0"/>
        <v>1100</v>
      </c>
      <c r="L10" s="30" t="s">
        <v>31</v>
      </c>
    </row>
    <row r="11" spans="1:12">
      <c r="A11" s="9">
        <v>5</v>
      </c>
      <c r="B11" s="8">
        <v>2553</v>
      </c>
      <c r="C11" s="26" t="s">
        <v>32</v>
      </c>
      <c r="D11" s="26" t="s">
        <v>33</v>
      </c>
      <c r="E11" s="2" t="s">
        <v>26</v>
      </c>
      <c r="F11" s="2">
        <v>12</v>
      </c>
      <c r="G11" s="2" t="s">
        <v>23</v>
      </c>
      <c r="H11" s="25">
        <v>1</v>
      </c>
      <c r="I11" s="3">
        <v>1</v>
      </c>
      <c r="J11" s="4">
        <v>2590</v>
      </c>
      <c r="K11" s="4">
        <f t="shared" si="0"/>
        <v>2590</v>
      </c>
      <c r="L11" s="30" t="s">
        <v>34</v>
      </c>
    </row>
    <row r="12" spans="1:12">
      <c r="A12" s="9">
        <v>6</v>
      </c>
      <c r="B12" s="8">
        <v>2553</v>
      </c>
      <c r="C12" s="26" t="s">
        <v>35</v>
      </c>
      <c r="D12" s="26" t="s">
        <v>36</v>
      </c>
      <c r="E12" s="27" t="s">
        <v>26</v>
      </c>
      <c r="F12" s="2">
        <v>12</v>
      </c>
      <c r="G12" s="2" t="s">
        <v>23</v>
      </c>
      <c r="H12" s="25">
        <v>5</v>
      </c>
      <c r="I12" s="3">
        <v>5</v>
      </c>
      <c r="J12" s="4">
        <v>1000</v>
      </c>
      <c r="K12" s="4">
        <f t="shared" si="0"/>
        <v>5000</v>
      </c>
      <c r="L12" s="47" t="s">
        <v>52</v>
      </c>
    </row>
    <row r="13" spans="1:12">
      <c r="A13" s="9">
        <v>7</v>
      </c>
      <c r="B13" s="8">
        <v>2553</v>
      </c>
      <c r="C13" s="26" t="s">
        <v>37</v>
      </c>
      <c r="D13" s="26" t="s">
        <v>38</v>
      </c>
      <c r="E13" s="2" t="s">
        <v>26</v>
      </c>
      <c r="F13" s="2">
        <v>12</v>
      </c>
      <c r="G13" s="2" t="s">
        <v>23</v>
      </c>
      <c r="H13" s="25">
        <v>5</v>
      </c>
      <c r="I13" s="3">
        <v>5</v>
      </c>
      <c r="J13" s="4">
        <v>2500</v>
      </c>
      <c r="K13" s="4">
        <f t="shared" si="0"/>
        <v>12500</v>
      </c>
      <c r="L13" s="47" t="s">
        <v>52</v>
      </c>
    </row>
    <row r="14" spans="1:12">
      <c r="A14" s="9">
        <v>8</v>
      </c>
      <c r="B14" s="8">
        <v>2557</v>
      </c>
      <c r="C14" s="26" t="s">
        <v>39</v>
      </c>
      <c r="D14" s="26" t="s">
        <v>40</v>
      </c>
      <c r="E14" s="2" t="s">
        <v>41</v>
      </c>
      <c r="F14" s="2">
        <v>8</v>
      </c>
      <c r="G14" s="2" t="s">
        <v>23</v>
      </c>
      <c r="H14" s="25">
        <v>4</v>
      </c>
      <c r="I14" s="3">
        <v>4</v>
      </c>
      <c r="J14" s="4">
        <v>13807.5</v>
      </c>
      <c r="K14" s="4">
        <f t="shared" si="0"/>
        <v>55230</v>
      </c>
      <c r="L14" s="30" t="s">
        <v>53</v>
      </c>
    </row>
    <row r="15" spans="1:12">
      <c r="A15" s="9">
        <v>9</v>
      </c>
      <c r="B15" s="8">
        <v>2557</v>
      </c>
      <c r="C15" s="26" t="s">
        <v>42</v>
      </c>
      <c r="D15" s="26" t="s">
        <v>43</v>
      </c>
      <c r="E15" s="2" t="s">
        <v>41</v>
      </c>
      <c r="F15" s="2">
        <v>8</v>
      </c>
      <c r="G15" s="2" t="s">
        <v>23</v>
      </c>
      <c r="H15" s="25">
        <v>3</v>
      </c>
      <c r="I15" s="3">
        <v>3</v>
      </c>
      <c r="J15" s="4">
        <v>3590</v>
      </c>
      <c r="K15" s="4">
        <f t="shared" si="0"/>
        <v>10770</v>
      </c>
      <c r="L15" s="30" t="s">
        <v>54</v>
      </c>
    </row>
    <row r="16" spans="1:12">
      <c r="A16" s="9">
        <v>10</v>
      </c>
      <c r="B16" s="28">
        <v>21316</v>
      </c>
      <c r="C16" s="22" t="s">
        <v>44</v>
      </c>
      <c r="D16" s="22" t="s">
        <v>45</v>
      </c>
      <c r="E16" s="2" t="s">
        <v>41</v>
      </c>
      <c r="F16" s="2">
        <v>7</v>
      </c>
      <c r="G16" s="2" t="s">
        <v>23</v>
      </c>
      <c r="H16" s="25">
        <v>3</v>
      </c>
      <c r="I16" s="3">
        <v>3</v>
      </c>
      <c r="J16" s="4">
        <v>25000</v>
      </c>
      <c r="K16" s="4">
        <f t="shared" si="0"/>
        <v>75000</v>
      </c>
      <c r="L16" s="30" t="s">
        <v>53</v>
      </c>
    </row>
    <row r="17" spans="1:12" ht="24.75" thickBot="1">
      <c r="A17" s="9">
        <v>11</v>
      </c>
      <c r="B17" s="28">
        <v>21113</v>
      </c>
      <c r="C17" s="29" t="s">
        <v>46</v>
      </c>
      <c r="D17" s="26" t="s">
        <v>40</v>
      </c>
      <c r="E17" s="2" t="s">
        <v>41</v>
      </c>
      <c r="F17" s="2">
        <v>9</v>
      </c>
      <c r="G17" s="2" t="s">
        <v>23</v>
      </c>
      <c r="H17" s="25">
        <v>2</v>
      </c>
      <c r="I17" s="3">
        <v>2</v>
      </c>
      <c r="J17" s="4">
        <v>14000</v>
      </c>
      <c r="K17" s="4">
        <f t="shared" si="0"/>
        <v>28000</v>
      </c>
      <c r="L17" s="30" t="s">
        <v>53</v>
      </c>
    </row>
    <row r="18" spans="1:12" ht="24.75" thickBot="1">
      <c r="A18" s="37" t="s">
        <v>5</v>
      </c>
      <c r="B18" s="38"/>
      <c r="C18" s="38"/>
      <c r="D18" s="38"/>
      <c r="E18" s="38"/>
      <c r="F18" s="38"/>
      <c r="G18" s="38"/>
      <c r="H18" s="38"/>
      <c r="I18" s="38"/>
      <c r="J18" s="39"/>
      <c r="K18" s="31">
        <f>SUM(K7:K17)</f>
        <v>345070</v>
      </c>
      <c r="L18" s="16"/>
    </row>
    <row r="19" spans="1:12" ht="24.75" thickTop="1">
      <c r="A19" s="19"/>
      <c r="B19" s="19"/>
      <c r="C19" s="19"/>
      <c r="D19" s="19"/>
      <c r="E19" s="19"/>
      <c r="F19" s="19"/>
      <c r="G19" s="19"/>
      <c r="H19" s="19"/>
      <c r="I19" s="14"/>
      <c r="J19" s="13"/>
      <c r="K19" s="13"/>
      <c r="L19" s="17"/>
    </row>
    <row r="20" spans="1:12">
      <c r="A20" s="5"/>
      <c r="B20" s="15" t="s">
        <v>2</v>
      </c>
      <c r="C20" s="10" t="s">
        <v>17</v>
      </c>
      <c r="D20" s="5"/>
      <c r="E20" s="5"/>
      <c r="F20" s="5"/>
      <c r="G20" s="5"/>
      <c r="H20" s="5"/>
      <c r="I20" s="14"/>
      <c r="J20" s="5"/>
      <c r="K20" s="5"/>
      <c r="L20" s="17"/>
    </row>
    <row r="21" spans="1:12">
      <c r="A21" s="5"/>
      <c r="B21" s="17"/>
      <c r="C21" s="10" t="s">
        <v>18</v>
      </c>
      <c r="D21" s="5"/>
      <c r="E21" s="5"/>
      <c r="F21" s="5"/>
      <c r="G21" s="5"/>
      <c r="H21" s="12"/>
      <c r="I21" s="12"/>
      <c r="J21" s="12"/>
      <c r="K21" s="12"/>
      <c r="L21" s="12"/>
    </row>
    <row r="22" spans="1:12">
      <c r="A22" s="5"/>
      <c r="B22" s="17"/>
      <c r="C22" s="10"/>
      <c r="D22" s="5"/>
      <c r="E22" s="5"/>
      <c r="F22" s="5"/>
      <c r="G22" s="5"/>
      <c r="H22" s="12"/>
      <c r="I22" s="12"/>
      <c r="J22" s="12"/>
      <c r="K22" s="12"/>
      <c r="L22" s="12"/>
    </row>
    <row r="23" spans="1:12">
      <c r="A23" s="5"/>
      <c r="B23" s="17"/>
      <c r="C23" s="10"/>
      <c r="D23" s="5"/>
      <c r="E23" s="5"/>
      <c r="F23" s="5"/>
      <c r="G23" s="5"/>
      <c r="H23" s="32" t="s">
        <v>48</v>
      </c>
      <c r="I23" s="32"/>
      <c r="J23" s="32"/>
      <c r="K23" s="32"/>
      <c r="L23" s="12"/>
    </row>
    <row r="24" spans="1:12">
      <c r="H24" s="32" t="s">
        <v>49</v>
      </c>
      <c r="I24" s="32"/>
      <c r="J24" s="32"/>
      <c r="K24" s="32"/>
    </row>
    <row r="25" spans="1:12">
      <c r="H25" s="32" t="s">
        <v>4</v>
      </c>
      <c r="I25" s="32"/>
      <c r="J25" s="32"/>
      <c r="K25" s="32"/>
    </row>
  </sheetData>
  <mergeCells count="18">
    <mergeCell ref="L5:L6"/>
    <mergeCell ref="A18:J18"/>
    <mergeCell ref="H23:K2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5:K25"/>
    <mergeCell ref="H24:K24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2022-11-17T11:29:34Z</cp:lastPrinted>
  <dcterms:created xsi:type="dcterms:W3CDTF">2017-11-14T01:32:33Z</dcterms:created>
  <dcterms:modified xsi:type="dcterms:W3CDTF">2022-11-17T11:31:29Z</dcterms:modified>
</cp:coreProperties>
</file>