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ใหม่\ตรวจครุภัณฑ์ประจำปี\ตรวจสอบพัสดุ-ครุภัณฑ์ประจำปี 2566\2. เอกสารประกอบที่ 2\แผนก\"/>
    </mc:Choice>
  </mc:AlternateContent>
  <xr:revisionPtr revIDLastSave="0" documentId="13_ncr:1_{8B4FB6B7-D364-477D-8362-7F7FA5F77752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แผนกช่างไฟฟ้ากำลัง" sheetId="31" r:id="rId1"/>
  </sheets>
  <definedNames>
    <definedName name="_xlnm.Print_Titles" localSheetId="0">แผนกช่างไฟฟ้ากำลัง!$1:$4</definedName>
  </definedNames>
  <calcPr calcId="191029"/>
</workbook>
</file>

<file path=xl/calcChain.xml><?xml version="1.0" encoding="utf-8"?>
<calcChain xmlns="http://schemas.openxmlformats.org/spreadsheetml/2006/main">
  <c r="H66" i="31" l="1"/>
  <c r="H65" i="31"/>
  <c r="H64" i="31"/>
  <c r="H48" i="31"/>
  <c r="H47" i="31"/>
  <c r="H63" i="31" l="1"/>
  <c r="H62" i="31"/>
  <c r="H6" i="31" l="1"/>
  <c r="H7" i="31"/>
  <c r="H8" i="31"/>
  <c r="H9" i="31"/>
  <c r="H10" i="31"/>
  <c r="H11" i="31"/>
  <c r="H12" i="31"/>
  <c r="H13" i="31"/>
  <c r="H14" i="31"/>
  <c r="H15" i="31"/>
  <c r="H16" i="31"/>
  <c r="H17" i="31"/>
  <c r="H18" i="31"/>
  <c r="H19" i="31"/>
  <c r="H20" i="31"/>
  <c r="H21" i="31"/>
  <c r="H22" i="31"/>
  <c r="H23" i="31"/>
  <c r="H24" i="31"/>
  <c r="H25" i="31"/>
  <c r="H26" i="31"/>
  <c r="H27" i="31"/>
  <c r="H28" i="31"/>
  <c r="H29" i="31"/>
  <c r="H30" i="31"/>
  <c r="H31" i="31"/>
  <c r="H32" i="31"/>
  <c r="H33" i="31"/>
  <c r="H34" i="31"/>
  <c r="H35" i="31"/>
  <c r="H36" i="31"/>
  <c r="H37" i="31"/>
  <c r="H38" i="31"/>
  <c r="H39" i="31"/>
  <c r="H40" i="31"/>
  <c r="H41" i="31"/>
  <c r="H42" i="31"/>
  <c r="H43" i="31"/>
  <c r="H46" i="31"/>
  <c r="H49" i="31"/>
  <c r="H50" i="31"/>
  <c r="H51" i="31"/>
  <c r="H52" i="31"/>
  <c r="H53" i="31"/>
  <c r="H54" i="31"/>
  <c r="H55" i="31"/>
  <c r="H56" i="31"/>
  <c r="H57" i="31"/>
  <c r="H58" i="31"/>
  <c r="H59" i="31"/>
  <c r="H60" i="31"/>
  <c r="H61" i="31"/>
  <c r="H5" i="31"/>
  <c r="H44" i="31" l="1"/>
  <c r="H45" i="31" l="1"/>
</calcChain>
</file>

<file path=xl/sharedStrings.xml><?xml version="1.0" encoding="utf-8"?>
<sst xmlns="http://schemas.openxmlformats.org/spreadsheetml/2006/main" count="235" uniqueCount="142">
  <si>
    <t>รายการ ขนาด ลักษณะ</t>
  </si>
  <si>
    <t>จำนวน</t>
  </si>
  <si>
    <t>หมายเหตุ</t>
  </si>
  <si>
    <t>งปม.</t>
  </si>
  <si>
    <t>บกศ.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</si>
  <si>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</si>
  <si>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</si>
  <si>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</si>
  <si>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มัลติมิเตอร์</t>
  </si>
  <si>
    <t>ออสซิลโลสโคป 2 เส้นภาพขนาด 20</t>
  </si>
  <si>
    <t>R-L-C  แบบดิจิตอล</t>
  </si>
  <si>
    <t>โต๊ะพับเอนกประสงค์ 6 ฟุต</t>
  </si>
  <si>
    <t>5950-004-0001/391-001-391-010</t>
  </si>
  <si>
    <t>ทรานฟอร์เมอร์ 1 เฟส</t>
  </si>
  <si>
    <t>6910-001-0007/391-001</t>
  </si>
  <si>
    <t>แรงเคลื่อนคงที่</t>
  </si>
  <si>
    <t>6910-001-0006/391-001-391-007</t>
  </si>
  <si>
    <t>ชุดฝึกไฟฟ้าเบื้องต้น</t>
  </si>
  <si>
    <t>5905-006-0005/391-001-391-020</t>
  </si>
  <si>
    <t>ดิจิตอลแคมป์ออนมิเตอร์ (001,002,003)</t>
  </si>
  <si>
    <t>5905-006-0004/391-001-391-010</t>
  </si>
  <si>
    <t>เครื่องวัดกระแสสลับแบบพอร์ทเทเบิ้ล</t>
  </si>
  <si>
    <t>5905-006-0003/391-001-391-010</t>
  </si>
  <si>
    <t>7110-007-0017/391-001-391-006</t>
  </si>
  <si>
    <t>โต๊ะงานช่างกล</t>
  </si>
  <si>
    <t>6625-002-0004/391-001</t>
  </si>
  <si>
    <t>ชุดสาธิตทดลองระบบเครื่องมือวัด</t>
  </si>
  <si>
    <t>6625-003-0012/391-001-391-010</t>
  </si>
  <si>
    <t>เพาเวอร์ซัพพลาย 0 -50 โวลท์</t>
  </si>
  <si>
    <t>6625-003-0011/391-001-391-005</t>
  </si>
  <si>
    <t xml:space="preserve">เพาเวอร์ซัพพลาย </t>
  </si>
  <si>
    <t>ดิจิตอลมัลติมิเตอร์แบบตั้งโต๊ะ</t>
  </si>
  <si>
    <t>6625-003-0009/391-012,013</t>
  </si>
  <si>
    <t>มัลติมิเตอร์แอมป์มิเตอร์</t>
  </si>
  <si>
    <t>5975-006-0002/391-001-391-002</t>
  </si>
  <si>
    <t>ชุดฝึกการควบคุมเครื่องกลไฟฟ้า</t>
  </si>
  <si>
    <t>5210-016-0001/391-001-391-002</t>
  </si>
  <si>
    <t>เครื่องวัดค่าคาปาซิเตอร์อ่านค่าเป็นตัวเลข</t>
  </si>
  <si>
    <t>6625-003-0005/391-001</t>
  </si>
  <si>
    <t>6150-003-0003/391-001-391-004</t>
  </si>
  <si>
    <t>แหล่งจ่ายไฟกระแสตรงชนิดควบคุมปรับค่าได้</t>
  </si>
  <si>
    <t>6150-003-0002/391-001-391-024</t>
  </si>
  <si>
    <t>เครื่องจ่ายไฟกระแสตรงแรงเคลื่อนต่ำ</t>
  </si>
  <si>
    <t>6150-003-0001/391-001-391-025</t>
  </si>
  <si>
    <t>เครื่องจ่ายไฟกระแสตรงปรับค่าได้</t>
  </si>
  <si>
    <t>6110-010-0002/401-001</t>
  </si>
  <si>
    <t>ชุดฝึกเครื่องกลไฟฟ้า</t>
  </si>
  <si>
    <t>6110-001-0001/401-001</t>
  </si>
  <si>
    <t>ชุดสาธิตเครื่องกลไฟฟ้าเบื้องต้น</t>
  </si>
  <si>
    <t>6110-011-0001/401-001</t>
  </si>
  <si>
    <t>ชุดเครื่องทดสอบในงานติดตั้งไฟฟ้า</t>
  </si>
  <si>
    <t>5977-009-0002/401-001-401-005</t>
  </si>
  <si>
    <t>เครื่องฝึกทดลองอิเล็กทรอนิกส์อุสาหกรรม</t>
  </si>
  <si>
    <t>5915-003-0001/401-001-401-005</t>
  </si>
  <si>
    <t>เครื่องทดสอบอิเล็กทรอนิกส์และวงจร 1</t>
  </si>
  <si>
    <t>5840-012-0001/401-001-401-005</t>
  </si>
  <si>
    <t>เครื่องมือวัดเครื่องกลไฟฟ้างานปฏิบัติ</t>
  </si>
  <si>
    <t>5977-009-0001/401-001</t>
  </si>
  <si>
    <t>เครื่องฝึกทดสอบไฟฟ้าและอิเล็กทรอนิกส์</t>
  </si>
  <si>
    <t>5990-006-0003/401-001-401-010</t>
  </si>
  <si>
    <t>6105-004-0001/401-001</t>
  </si>
  <si>
    <t>ชุกฝึกประจำวิชาติดตั้งไฟฟ้า</t>
  </si>
  <si>
    <t>5915-005-0002/401-001-401-005</t>
  </si>
  <si>
    <t>ชุดประลองวงจรไฟฟ้า  2 กระแสสลับ</t>
  </si>
  <si>
    <t>5915-005-0001/401-001-401-005</t>
  </si>
  <si>
    <t>ชุดประลองวงจรไฟฟ้า  1 กระแสตรง</t>
  </si>
  <si>
    <t>4810-001-0001/411-001</t>
  </si>
  <si>
    <t>ชุดฝึกนิวเนติกส์ไฟฟ้า</t>
  </si>
  <si>
    <t>6110-002-0001/411-001</t>
  </si>
  <si>
    <t>เครื่องควบคุมมอเตอร์</t>
  </si>
  <si>
    <t>6110-006-0001/411-001</t>
  </si>
  <si>
    <t>อินเวอร์เตอร์ 3 เฟส</t>
  </si>
  <si>
    <t>6110-007-0001/411-001</t>
  </si>
  <si>
    <t>ชุดฝึกควบคุมความเร็วมอเตอร์กระแสสลับ</t>
  </si>
  <si>
    <t>6110-010-0001/411-001</t>
  </si>
  <si>
    <t>ตู้ควบคุมระบบไฟฟ้า</t>
  </si>
  <si>
    <t>ชุดฝึกโปรแกรมเมเบิลคอนโทรล</t>
  </si>
  <si>
    <t>4110-008-0002/411-001</t>
  </si>
  <si>
    <t>ชุดฝึกเครื่องทำความเย็น</t>
  </si>
  <si>
    <t>4110-007-0001/411-001</t>
  </si>
  <si>
    <t>ชุดฝึกตู้แช่</t>
  </si>
  <si>
    <t>4120-002-0001/411-001</t>
  </si>
  <si>
    <t>ชุดเครื่องมือทดสอบเครื่องเย็นและปรับอากาศ</t>
  </si>
  <si>
    <t>4130-009-0001/411-001</t>
  </si>
  <si>
    <t>อุปกรณ์การสอนสาธิตเครื่องเย็น</t>
  </si>
  <si>
    <t>4110-008-0001411-001</t>
  </si>
  <si>
    <t>ชุดฝึกเครื่องเย็น</t>
  </si>
  <si>
    <t>5120-024-0002/421-001</t>
  </si>
  <si>
    <t>ชุดฝึกการพันมอเตอร์และทรานฟอเมอร์</t>
  </si>
  <si>
    <t>6110-002-0001/421-001</t>
  </si>
  <si>
    <t>ชุดควบคุมความเร็วมอเตอร์ขนาดไม่ต่ำกว่า 3 แรงม้า</t>
  </si>
  <si>
    <t>6910-001-0001./421-001</t>
  </si>
  <si>
    <t>ชุดอุปกรณ์ฝึกซ่อมเครื่องใช้ไฟฟ้า</t>
  </si>
  <si>
    <t>5120-024-0003/421-001</t>
  </si>
  <si>
    <t>เครื่องพันขดลวด</t>
  </si>
  <si>
    <t>5110-022-0001/421-001</t>
  </si>
  <si>
    <t>เครื่องมืองานท่อไฟฟ้าบาง</t>
  </si>
  <si>
    <t>5110-022-0002/421-001</t>
  </si>
  <si>
    <t>เครื่องมืองานท่อหนา</t>
  </si>
  <si>
    <t>6910-001-0001/451-001</t>
  </si>
  <si>
    <t>ชุดเครื่องมือฝึกซ่อมเครื่องใช้ไฟฟ้า</t>
  </si>
  <si>
    <t>6930-002-0001/451-001</t>
  </si>
  <si>
    <t>ชุดทดลองเป็นลำดับขั้น PLC</t>
  </si>
  <si>
    <t>7110-007-0011/451-019-451-028</t>
  </si>
  <si>
    <t>4310-001-0001/451-001</t>
  </si>
  <si>
    <t>เครื่องทำสูญญากาศเติมถ่ายและฟื้นฟูสภาพน้ำยา</t>
  </si>
  <si>
    <t>4130-009-0001/451-001</t>
  </si>
  <si>
    <t>ชุดสาธิตเครื่องเย็นและปรับอากาศ</t>
  </si>
  <si>
    <t>4330-001-0001/452-001</t>
  </si>
  <si>
    <t>เครื่องแว๊คคั่ม</t>
  </si>
  <si>
    <t>7110-002-0006/462-002-462-016</t>
  </si>
  <si>
    <t>ตู้กระจก  2  บานเลื่อน</t>
  </si>
  <si>
    <t>7110-002-0006/462-002-462-051</t>
  </si>
  <si>
    <t>7110-001-0003/512-004</t>
  </si>
  <si>
    <t>โต๊ะเหล็ก 5 ฟุต  TC - 3060  BESTER</t>
  </si>
  <si>
    <t>เครื่องวัดกระแสไฟฟ้าตรงแบบไมโครแอมป์</t>
  </si>
  <si>
    <t xml:space="preserve"> 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</si>
  <si>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</si>
  <si>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</si>
  <si>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</si>
  <si>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</si>
  <si>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</si>
  <si>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</si>
  <si>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ยอดยกไป</t>
  </si>
  <si>
    <t>ยอดยกมา</t>
  </si>
  <si>
    <t>เครื่องพิมพ์เลเซอร์</t>
  </si>
  <si>
    <t>7440-010-0002/642-009(13)</t>
  </si>
  <si>
    <t>2539</t>
  </si>
  <si>
    <t>2540</t>
  </si>
  <si>
    <t>2546</t>
  </si>
  <si>
    <t>2542</t>
  </si>
  <si>
    <t>2551</t>
  </si>
  <si>
    <t>บัญชีรายการ แผนกวิชาช่างไฟฟ้ากำลัง คงเหลือ</t>
  </si>
  <si>
    <t>6625-003-0010/391-001,003</t>
  </si>
  <si>
    <t>6625-003-0004/391-001-391-002/
391-015,022-024</t>
  </si>
  <si>
    <t>.............................................</t>
  </si>
  <si>
    <t>เก้าอี้สแตนเลสหัวกลม</t>
  </si>
  <si>
    <t>7110-006-0005/652-011-020 (100)</t>
  </si>
  <si>
    <t>(นายธีระ ศรีมาบุตร)</t>
  </si>
  <si>
    <t>7730-003-0003/662-001(3)</t>
  </si>
  <si>
    <t>โทรทัศน์ LED พร้อมขาตั้งแบบล้อลาก ขนาด 65 นิ้ว</t>
  </si>
  <si>
    <t>ประจำปี 2566  ณ วันที่ 30 กันยายน 2566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</si>
</sst>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3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sz val="16"/>
      <color rgb="FF0070C0"/>
      <name val="TH SarabunPSK"/>
      <family val="2"/>
    </font>
    <font>
      <b/>
      <sz val="16"/>
      <color rgb="FF0070C0"/>
      <name val="TH SarabunPSK"/>
      <family val="2"/>
    </font>
    <font>
      <b/>
      <sz val="14"/>
      <color rgb="FF0070C0"/>
      <name val="TH SarabunPSK"/>
      <family val="2"/>
    </font>
    <font>
      <b/>
      <sz val="15"/>
      <name val="TH SarabunPSK"/>
      <family val="2"/>
    </font>
    <font>
      <b/>
      <sz val="14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82">
    <xf numFmtId="0" fontId="0" fillId="0" borderId="0" xfId="0"/>
    <xf numFmtId="0" fontId="4" fillId="0" borderId="0" xfId="0" applyFont="1"/>
    <xf numFmtId="0" fontId="3" fillId="0" borderId="0" xfId="6" applyFont="1"/>
    <xf numFmtId="43" fontId="3" fillId="0" borderId="0" xfId="12" applyFont="1" applyBorder="1" applyAlignment="1"/>
    <xf numFmtId="43" fontId="4" fillId="0" borderId="0" xfId="0" applyNumberFormat="1" applyFont="1"/>
    <xf numFmtId="43" fontId="3" fillId="0" borderId="0" xfId="12" applyFont="1" applyBorder="1"/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9" applyFont="1" applyAlignment="1">
      <alignment horizontal="center" vertical="center"/>
    </xf>
    <xf numFmtId="0" fontId="3" fillId="0" borderId="0" xfId="2" applyFont="1" applyAlignment="1">
      <alignment horizontal="center"/>
    </xf>
    <xf numFmtId="0" fontId="6" fillId="0" borderId="4" xfId="0" applyFont="1" applyBorder="1" applyAlignment="1">
      <alignment horizontal="center"/>
    </xf>
    <xf numFmtId="43" fontId="8" fillId="0" borderId="0" xfId="12" applyFont="1" applyBorder="1" applyAlignment="1"/>
    <xf numFmtId="0" fontId="8" fillId="0" borderId="0" xfId="0" applyFont="1"/>
    <xf numFmtId="43" fontId="8" fillId="0" borderId="0" xfId="12" applyFont="1" applyBorder="1"/>
    <xf numFmtId="0" fontId="8" fillId="0" borderId="0" xfId="6" applyFont="1"/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8" xfId="0" applyFont="1" applyBorder="1" applyAlignment="1" applyProtection="1">
      <alignment horizontal="center"/>
      <protection locked="0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49" fontId="9" fillId="0" borderId="1" xfId="0" applyNumberFormat="1" applyFont="1" applyBorder="1" applyAlignment="1">
      <alignment horizontal="center"/>
    </xf>
    <xf numFmtId="0" fontId="9" fillId="0" borderId="7" xfId="6" applyFont="1" applyBorder="1" applyAlignment="1">
      <alignment horizontal="left"/>
    </xf>
    <xf numFmtId="0" fontId="9" fillId="0" borderId="1" xfId="6" applyFont="1" applyBorder="1"/>
    <xf numFmtId="0" fontId="9" fillId="0" borderId="1" xfId="2" applyFont="1" applyBorder="1" applyAlignment="1">
      <alignment horizontal="center"/>
    </xf>
    <xf numFmtId="0" fontId="9" fillId="0" borderId="1" xfId="6" applyFont="1" applyBorder="1" applyAlignment="1">
      <alignment horizontal="center"/>
    </xf>
    <xf numFmtId="43" fontId="9" fillId="0" borderId="7" xfId="1" applyFont="1" applyBorder="1"/>
    <xf numFmtId="43" fontId="9" fillId="0" borderId="1" xfId="12" applyFont="1" applyBorder="1" applyAlignment="1">
      <alignment horizontal="center"/>
    </xf>
    <xf numFmtId="0" fontId="9" fillId="0" borderId="1" xfId="6" applyFont="1" applyBorder="1" applyAlignment="1">
      <alignment horizontal="left"/>
    </xf>
    <xf numFmtId="43" fontId="9" fillId="0" borderId="1" xfId="1" applyFont="1" applyBorder="1"/>
    <xf numFmtId="0" fontId="7" fillId="0" borderId="1" xfId="0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0" fontId="7" fillId="0" borderId="1" xfId="6" applyFont="1" applyBorder="1" applyAlignment="1">
      <alignment horizontal="left"/>
    </xf>
    <xf numFmtId="0" fontId="7" fillId="0" borderId="1" xfId="6" applyFont="1" applyBorder="1"/>
    <xf numFmtId="0" fontId="7" fillId="0" borderId="1" xfId="2" applyFont="1" applyBorder="1" applyAlignment="1">
      <alignment horizontal="center"/>
    </xf>
    <xf numFmtId="0" fontId="7" fillId="0" borderId="1" xfId="6" applyFont="1" applyBorder="1" applyAlignment="1">
      <alignment horizontal="center"/>
    </xf>
    <xf numFmtId="43" fontId="7" fillId="0" borderId="1" xfId="1" applyFont="1" applyBorder="1"/>
    <xf numFmtId="43" fontId="7" fillId="0" borderId="7" xfId="1" applyFont="1" applyBorder="1"/>
    <xf numFmtId="43" fontId="7" fillId="0" borderId="1" xfId="12" applyFont="1" applyBorder="1" applyAlignment="1">
      <alignment horizontal="center"/>
    </xf>
    <xf numFmtId="0" fontId="9" fillId="0" borderId="6" xfId="6" applyFont="1" applyBorder="1" applyAlignment="1">
      <alignment horizontal="left"/>
    </xf>
    <xf numFmtId="0" fontId="9" fillId="0" borderId="5" xfId="6" applyFont="1" applyBorder="1" applyAlignment="1">
      <alignment horizontal="left"/>
    </xf>
    <xf numFmtId="0" fontId="9" fillId="0" borderId="5" xfId="6" applyFont="1" applyBorder="1" applyAlignment="1">
      <alignment horizontal="center"/>
    </xf>
    <xf numFmtId="43" fontId="9" fillId="0" borderId="5" xfId="1" applyFont="1" applyBorder="1"/>
    <xf numFmtId="0" fontId="6" fillId="0" borderId="1" xfId="0" applyFont="1" applyBorder="1" applyAlignment="1">
      <alignment horizontal="center"/>
    </xf>
    <xf numFmtId="0" fontId="7" fillId="0" borderId="7" xfId="6" applyFont="1" applyBorder="1" applyAlignment="1">
      <alignment horizontal="left"/>
    </xf>
    <xf numFmtId="1" fontId="7" fillId="0" borderId="1" xfId="0" applyNumberFormat="1" applyFont="1" applyBorder="1" applyAlignment="1">
      <alignment horizontal="center" vertical="top"/>
    </xf>
    <xf numFmtId="49" fontId="7" fillId="0" borderId="1" xfId="0" applyNumberFormat="1" applyFont="1" applyBorder="1" applyAlignment="1">
      <alignment horizontal="center" vertical="top"/>
    </xf>
    <xf numFmtId="2" fontId="7" fillId="0" borderId="7" xfId="6" applyNumberFormat="1" applyFont="1" applyBorder="1" applyAlignment="1">
      <alignment horizontal="left" vertical="top" wrapText="1"/>
    </xf>
    <xf numFmtId="2" fontId="7" fillId="0" borderId="1" xfId="6" applyNumberFormat="1" applyFont="1" applyBorder="1" applyAlignment="1">
      <alignment horizontal="left" vertical="top"/>
    </xf>
    <xf numFmtId="2" fontId="7" fillId="0" borderId="1" xfId="2" applyNumberFormat="1" applyFont="1" applyBorder="1" applyAlignment="1">
      <alignment horizontal="center" vertical="top"/>
    </xf>
    <xf numFmtId="1" fontId="7" fillId="0" borderId="1" xfId="6" applyNumberFormat="1" applyFont="1" applyBorder="1" applyAlignment="1">
      <alignment horizontal="center" vertical="top"/>
    </xf>
    <xf numFmtId="43" fontId="7" fillId="0" borderId="1" xfId="1" applyFont="1" applyBorder="1" applyAlignment="1">
      <alignment vertical="top"/>
    </xf>
    <xf numFmtId="43" fontId="7" fillId="0" borderId="7" xfId="1" applyFont="1" applyBorder="1" applyAlignment="1">
      <alignment vertical="top"/>
    </xf>
    <xf numFmtId="2" fontId="7" fillId="0" borderId="1" xfId="12" applyNumberFormat="1" applyFont="1" applyBorder="1" applyAlignment="1">
      <alignment horizontal="center" vertical="top"/>
    </xf>
    <xf numFmtId="0" fontId="9" fillId="0" borderId="7" xfId="6" applyFont="1" applyBorder="1"/>
    <xf numFmtId="0" fontId="9" fillId="0" borderId="7" xfId="6" applyFont="1" applyBorder="1" applyAlignment="1">
      <alignment horizontal="center"/>
    </xf>
    <xf numFmtId="0" fontId="7" fillId="0" borderId="2" xfId="0" applyFont="1" applyBorder="1" applyAlignment="1">
      <alignment horizontal="right"/>
    </xf>
    <xf numFmtId="0" fontId="7" fillId="0" borderId="3" xfId="0" applyFont="1" applyBorder="1" applyAlignment="1">
      <alignment horizontal="right"/>
    </xf>
    <xf numFmtId="0" fontId="7" fillId="0" borderId="4" xfId="0" applyFont="1" applyBorder="1" applyAlignment="1">
      <alignment horizontal="right"/>
    </xf>
    <xf numFmtId="0" fontId="10" fillId="0" borderId="1" xfId="6" applyFont="1" applyBorder="1"/>
    <xf numFmtId="0" fontId="9" fillId="2" borderId="1" xfId="6" applyFont="1" applyFill="1" applyBorder="1" applyAlignment="1">
      <alignment horizontal="center"/>
    </xf>
    <xf numFmtId="43" fontId="9" fillId="0" borderId="1" xfId="1" applyFont="1" applyBorder="1" applyAlignment="1"/>
    <xf numFmtId="0" fontId="11" fillId="0" borderId="1" xfId="6" applyFont="1" applyBorder="1"/>
    <xf numFmtId="43" fontId="7" fillId="0" borderId="1" xfId="1" applyFont="1" applyBorder="1" applyAlignment="1"/>
    <xf numFmtId="49" fontId="7" fillId="0" borderId="1" xfId="13" applyNumberFormat="1" applyFont="1" applyBorder="1" applyAlignment="1">
      <alignment horizontal="center"/>
    </xf>
    <xf numFmtId="49" fontId="7" fillId="0" borderId="1" xfId="7" applyNumberFormat="1" applyFont="1" applyBorder="1" applyAlignment="1">
      <alignment horizontal="center"/>
    </xf>
    <xf numFmtId="15" fontId="7" fillId="0" borderId="1" xfId="7" applyNumberFormat="1" applyFont="1" applyBorder="1" applyAlignment="1">
      <alignment horizontal="center"/>
    </xf>
    <xf numFmtId="15" fontId="6" fillId="0" borderId="1" xfId="0" applyNumberFormat="1" applyFont="1" applyBorder="1" applyAlignment="1">
      <alignment horizontal="center"/>
    </xf>
    <xf numFmtId="49" fontId="7" fillId="2" borderId="1" xfId="0" applyNumberFormat="1" applyFont="1" applyFill="1" applyBorder="1" applyAlignment="1">
      <alignment horizontal="left"/>
    </xf>
    <xf numFmtId="49" fontId="7" fillId="2" borderId="1" xfId="0" applyNumberFormat="1" applyFont="1" applyFill="1" applyBorder="1"/>
    <xf numFmtId="0" fontId="7" fillId="2" borderId="1" xfId="2" applyFont="1" applyFill="1" applyBorder="1" applyAlignment="1">
      <alignment horizontal="center"/>
    </xf>
    <xf numFmtId="0" fontId="7" fillId="2" borderId="1" xfId="5" applyFont="1" applyFill="1" applyBorder="1" applyAlignment="1">
      <alignment horizontal="center"/>
    </xf>
    <xf numFmtId="43" fontId="7" fillId="2" borderId="1" xfId="1" applyFont="1" applyFill="1" applyBorder="1"/>
    <xf numFmtId="43" fontId="7" fillId="0" borderId="4" xfId="12" applyFont="1" applyBorder="1" applyAlignment="1">
      <alignment horizontal="center"/>
    </xf>
    <xf numFmtId="43" fontId="6" fillId="0" borderId="1" xfId="0" applyNumberFormat="1" applyFont="1" applyBorder="1"/>
    <xf numFmtId="43" fontId="6" fillId="0" borderId="4" xfId="0" applyNumberFormat="1" applyFont="1" applyBorder="1"/>
    <xf numFmtId="43" fontId="7" fillId="0" borderId="9" xfId="1" applyFont="1" applyBorder="1"/>
    <xf numFmtId="49" fontId="12" fillId="2" borderId="1" xfId="0" applyNumberFormat="1" applyFont="1" applyFill="1" applyBorder="1"/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0070C0"/>
      <color rgb="FF99330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805297</xdr:colOff>
      <xdr:row>0</xdr:row>
      <xdr:rowOff>125557</xdr:rowOff>
    </xdr:from>
    <xdr:to>
      <xdr:col>8</xdr:col>
      <xdr:colOff>424297</xdr:colOff>
      <xdr:row>1</xdr:row>
      <xdr:rowOff>112568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940388" y="125557"/>
          <a:ext cx="1350818" cy="29007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249977111117893"/>
  </sheetPr>
  <dimension ref="A1:K72"/>
  <sheetViews>
    <sheetView tabSelected="1" topLeftCell="A61" zoomScale="90" zoomScaleNormal="90" workbookViewId="0">
      <selection activeCell="A66" sqref="A66:E66"/>
    </sheetView>
  </sheetViews>
  <sheetFormatPr defaultColWidth="9" defaultRowHeight="24"/>
  <cols>
    <col min="1" max="1" width="5.7109375" style="1" customWidth="1"/>
    <col min="2" max="2" width="10.7109375" style="1" customWidth="1"/>
    <col min="3" max="3" width="33.5703125" style="1" customWidth="1"/>
    <col min="4" max="4" width="39.140625" style="1" customWidth="1"/>
    <col min="5" max="5" width="6.7109375" style="1" customWidth="1"/>
    <col min="6" max="6" width="6.42578125" style="1" customWidth="1"/>
    <col min="7" max="7" width="13.42578125" style="1" customWidth="1"/>
    <col min="8" max="8" width="14.28515625" style="1" customWidth="1"/>
    <col min="9" max="9" width="9" style="6" customWidth="1"/>
    <col min="10" max="10" width="14.28515625" style="1" customWidth="1"/>
    <col min="11" max="16384" width="9" style="1"/>
  </cols>
  <sheetData>
    <row r="1" spans="1:10">
      <c r="A1" s="16" t="s">
        <v>7</v>
      </c>
      <c r="B1" s="16"/>
      <c r="C1" s="16"/>
      <c r="D1" s="16"/>
      <c r="E1" s="16"/>
      <c r="F1" s="16"/>
      <c r="G1" s="16"/>
      <c r="H1" s="16"/>
      <c r="I1" s="16"/>
      <c r="J1" s="6"/>
    </row>
    <row r="2" spans="1:10">
      <c r="A2" s="17" t="s">
        <v>132</v>
      </c>
      <c r="B2" s="17"/>
      <c r="C2" s="17"/>
      <c r="D2" s="17"/>
      <c r="E2" s="17"/>
      <c r="F2" s="17"/>
      <c r="G2" s="17"/>
      <c r="H2" s="17"/>
      <c r="I2" s="17"/>
      <c r="J2" s="8"/>
    </row>
    <row r="3" spans="1:10">
      <c r="A3" s="18" t="s">
        <v>141</v>
      </c>
      <c r="B3" s="18"/>
      <c r="C3" s="18"/>
      <c r="D3" s="18"/>
      <c r="E3" s="18"/>
      <c r="F3" s="18"/>
      <c r="G3" s="18"/>
      <c r="H3" s="18"/>
      <c r="I3" s="18"/>
      <c r="J3" s="6"/>
    </row>
    <row r="4" spans="1:10" ht="45.75" customHeight="1">
      <c r="A4" s="22" t="s">
        <v>117</v>
      </c>
      <c r="B4" s="22" t="s">
        <v>120</v>
      </c>
      <c r="C4" s="22" t="s">
        <v>121</v>
      </c>
      <c r="D4" s="23" t="s">
        <v>0</v>
      </c>
      <c r="E4" s="22" t="s">
        <v>118</v>
      </c>
      <c r="F4" s="23" t="s">
        <v>1</v>
      </c>
      <c r="G4" s="22" t="s">
        <v>119</v>
      </c>
      <c r="H4" s="22" t="s">
        <v>122</v>
      </c>
      <c r="I4" s="22" t="s">
        <v>2</v>
      </c>
    </row>
    <row r="5" spans="1:10" s="12" customFormat="1">
      <c r="A5" s="24">
        <v>1</v>
      </c>
      <c r="B5" s="25" t="s">
        <v>127</v>
      </c>
      <c r="C5" s="26" t="s">
        <v>12</v>
      </c>
      <c r="D5" s="27" t="s">
        <v>13</v>
      </c>
      <c r="E5" s="28" t="s">
        <v>3</v>
      </c>
      <c r="F5" s="29">
        <v>10</v>
      </c>
      <c r="G5" s="30">
        <v>3271.03</v>
      </c>
      <c r="H5" s="30">
        <f>SUM(F5*G5)</f>
        <v>32710.300000000003</v>
      </c>
      <c r="I5" s="31"/>
      <c r="J5" s="11"/>
    </row>
    <row r="6" spans="1:10" s="12" customFormat="1">
      <c r="A6" s="24">
        <v>2</v>
      </c>
      <c r="B6" s="25" t="s">
        <v>127</v>
      </c>
      <c r="C6" s="32" t="s">
        <v>14</v>
      </c>
      <c r="D6" s="27" t="s">
        <v>15</v>
      </c>
      <c r="E6" s="28" t="s">
        <v>3</v>
      </c>
      <c r="F6" s="29">
        <v>1</v>
      </c>
      <c r="G6" s="33">
        <v>499900</v>
      </c>
      <c r="H6" s="30">
        <f t="shared" ref="H6:H61" si="0">SUM(F6*G6)</f>
        <v>499900</v>
      </c>
      <c r="I6" s="31"/>
      <c r="J6" s="11"/>
    </row>
    <row r="7" spans="1:10" s="12" customFormat="1">
      <c r="A7" s="24">
        <v>3</v>
      </c>
      <c r="B7" s="25" t="s">
        <v>127</v>
      </c>
      <c r="C7" s="32" t="s">
        <v>16</v>
      </c>
      <c r="D7" s="27" t="s">
        <v>17</v>
      </c>
      <c r="E7" s="28" t="s">
        <v>3</v>
      </c>
      <c r="F7" s="29">
        <v>7</v>
      </c>
      <c r="G7" s="33">
        <v>49972</v>
      </c>
      <c r="H7" s="30">
        <f t="shared" si="0"/>
        <v>349804</v>
      </c>
      <c r="I7" s="31"/>
      <c r="J7" s="11"/>
    </row>
    <row r="8" spans="1:10">
      <c r="A8" s="34">
        <v>4</v>
      </c>
      <c r="B8" s="35" t="s">
        <v>127</v>
      </c>
      <c r="C8" s="36" t="s">
        <v>18</v>
      </c>
      <c r="D8" s="37" t="s">
        <v>19</v>
      </c>
      <c r="E8" s="38" t="s">
        <v>3</v>
      </c>
      <c r="F8" s="39">
        <v>20</v>
      </c>
      <c r="G8" s="40">
        <v>1985</v>
      </c>
      <c r="H8" s="41">
        <f t="shared" si="0"/>
        <v>39700</v>
      </c>
      <c r="I8" s="42"/>
      <c r="J8" s="3"/>
    </row>
    <row r="9" spans="1:10" s="12" customFormat="1">
      <c r="A9" s="24">
        <v>5</v>
      </c>
      <c r="B9" s="25" t="s">
        <v>127</v>
      </c>
      <c r="C9" s="32" t="s">
        <v>20</v>
      </c>
      <c r="D9" s="27" t="s">
        <v>21</v>
      </c>
      <c r="E9" s="28" t="s">
        <v>3</v>
      </c>
      <c r="F9" s="29">
        <v>10</v>
      </c>
      <c r="G9" s="33">
        <v>14970</v>
      </c>
      <c r="H9" s="30">
        <f t="shared" si="0"/>
        <v>149700</v>
      </c>
      <c r="I9" s="31"/>
      <c r="J9" s="11"/>
    </row>
    <row r="10" spans="1:10" s="12" customFormat="1">
      <c r="A10" s="24">
        <v>6</v>
      </c>
      <c r="B10" s="25" t="s">
        <v>127</v>
      </c>
      <c r="C10" s="26" t="s">
        <v>22</v>
      </c>
      <c r="D10" s="27" t="s">
        <v>115</v>
      </c>
      <c r="E10" s="28" t="s">
        <v>3</v>
      </c>
      <c r="F10" s="29">
        <v>10</v>
      </c>
      <c r="G10" s="33">
        <v>4970</v>
      </c>
      <c r="H10" s="30">
        <f t="shared" si="0"/>
        <v>49700</v>
      </c>
      <c r="I10" s="31"/>
      <c r="J10" s="13"/>
    </row>
    <row r="11" spans="1:10" s="12" customFormat="1">
      <c r="A11" s="24">
        <v>7</v>
      </c>
      <c r="B11" s="25" t="s">
        <v>127</v>
      </c>
      <c r="C11" s="26" t="s">
        <v>23</v>
      </c>
      <c r="D11" s="27" t="s">
        <v>24</v>
      </c>
      <c r="E11" s="28" t="s">
        <v>3</v>
      </c>
      <c r="F11" s="29">
        <v>6</v>
      </c>
      <c r="G11" s="33">
        <v>9950</v>
      </c>
      <c r="H11" s="30">
        <f t="shared" si="0"/>
        <v>59700</v>
      </c>
      <c r="I11" s="31"/>
    </row>
    <row r="12" spans="1:10" s="12" customFormat="1">
      <c r="A12" s="24">
        <v>8</v>
      </c>
      <c r="B12" s="25" t="s">
        <v>127</v>
      </c>
      <c r="C12" s="43" t="s">
        <v>25</v>
      </c>
      <c r="D12" s="44" t="s">
        <v>26</v>
      </c>
      <c r="E12" s="28" t="s">
        <v>3</v>
      </c>
      <c r="F12" s="45">
        <v>1</v>
      </c>
      <c r="G12" s="46">
        <v>484700</v>
      </c>
      <c r="H12" s="30">
        <f t="shared" si="0"/>
        <v>484700</v>
      </c>
      <c r="I12" s="31"/>
    </row>
    <row r="13" spans="1:10">
      <c r="A13" s="34">
        <v>9</v>
      </c>
      <c r="B13" s="35" t="s">
        <v>127</v>
      </c>
      <c r="C13" s="36" t="s">
        <v>27</v>
      </c>
      <c r="D13" s="36" t="s">
        <v>28</v>
      </c>
      <c r="E13" s="38" t="s">
        <v>3</v>
      </c>
      <c r="F13" s="39">
        <v>10</v>
      </c>
      <c r="G13" s="40">
        <v>4470</v>
      </c>
      <c r="H13" s="41">
        <f t="shared" si="0"/>
        <v>44700</v>
      </c>
      <c r="I13" s="42"/>
    </row>
    <row r="14" spans="1:10">
      <c r="A14" s="34">
        <v>10</v>
      </c>
      <c r="B14" s="35" t="s">
        <v>127</v>
      </c>
      <c r="C14" s="36" t="s">
        <v>29</v>
      </c>
      <c r="D14" s="36" t="s">
        <v>30</v>
      </c>
      <c r="E14" s="38" t="s">
        <v>3</v>
      </c>
      <c r="F14" s="39">
        <v>5</v>
      </c>
      <c r="G14" s="40">
        <v>6940</v>
      </c>
      <c r="H14" s="41">
        <f t="shared" si="0"/>
        <v>34700</v>
      </c>
      <c r="I14" s="42"/>
    </row>
    <row r="15" spans="1:10">
      <c r="A15" s="34">
        <v>11</v>
      </c>
      <c r="B15" s="35" t="s">
        <v>127</v>
      </c>
      <c r="C15" s="36" t="s">
        <v>133</v>
      </c>
      <c r="D15" s="36" t="s">
        <v>31</v>
      </c>
      <c r="E15" s="47" t="s">
        <v>3</v>
      </c>
      <c r="F15" s="39">
        <v>2</v>
      </c>
      <c r="G15" s="40">
        <v>9975</v>
      </c>
      <c r="H15" s="41">
        <f t="shared" si="0"/>
        <v>19950</v>
      </c>
      <c r="I15" s="42"/>
    </row>
    <row r="16" spans="1:10">
      <c r="A16" s="34">
        <v>12</v>
      </c>
      <c r="B16" s="35" t="s">
        <v>127</v>
      </c>
      <c r="C16" s="36" t="s">
        <v>32</v>
      </c>
      <c r="D16" s="36" t="s">
        <v>33</v>
      </c>
      <c r="E16" s="47" t="s">
        <v>3</v>
      </c>
      <c r="F16" s="39">
        <v>2</v>
      </c>
      <c r="G16" s="40">
        <v>2985</v>
      </c>
      <c r="H16" s="41">
        <f t="shared" si="0"/>
        <v>5970</v>
      </c>
      <c r="I16" s="42"/>
    </row>
    <row r="17" spans="1:11" s="12" customFormat="1">
      <c r="A17" s="24">
        <v>13</v>
      </c>
      <c r="B17" s="25" t="s">
        <v>127</v>
      </c>
      <c r="C17" s="32" t="s">
        <v>34</v>
      </c>
      <c r="D17" s="32" t="s">
        <v>35</v>
      </c>
      <c r="E17" s="24" t="s">
        <v>3</v>
      </c>
      <c r="F17" s="29">
        <v>2</v>
      </c>
      <c r="G17" s="33">
        <v>17200</v>
      </c>
      <c r="H17" s="30">
        <f t="shared" si="0"/>
        <v>34400</v>
      </c>
      <c r="I17" s="31"/>
    </row>
    <row r="18" spans="1:11">
      <c r="A18" s="34">
        <v>14</v>
      </c>
      <c r="B18" s="35" t="s">
        <v>127</v>
      </c>
      <c r="C18" s="48" t="s">
        <v>36</v>
      </c>
      <c r="D18" s="36" t="s">
        <v>37</v>
      </c>
      <c r="E18" s="47" t="s">
        <v>3</v>
      </c>
      <c r="F18" s="39">
        <v>2</v>
      </c>
      <c r="G18" s="40">
        <v>7950</v>
      </c>
      <c r="H18" s="41">
        <f t="shared" si="0"/>
        <v>15900</v>
      </c>
      <c r="I18" s="42"/>
    </row>
    <row r="19" spans="1:11">
      <c r="A19" s="34">
        <v>15</v>
      </c>
      <c r="B19" s="35" t="s">
        <v>127</v>
      </c>
      <c r="C19" s="48" t="s">
        <v>38</v>
      </c>
      <c r="D19" s="36" t="s">
        <v>10</v>
      </c>
      <c r="E19" s="47" t="s">
        <v>3</v>
      </c>
      <c r="F19" s="39">
        <v>1</v>
      </c>
      <c r="G19" s="40">
        <v>79500</v>
      </c>
      <c r="H19" s="41">
        <f t="shared" si="0"/>
        <v>79500</v>
      </c>
      <c r="I19" s="42"/>
    </row>
    <row r="20" spans="1:11" ht="43.5" customHeight="1">
      <c r="A20" s="49">
        <v>16</v>
      </c>
      <c r="B20" s="50" t="s">
        <v>127</v>
      </c>
      <c r="C20" s="51" t="s">
        <v>134</v>
      </c>
      <c r="D20" s="52" t="s">
        <v>8</v>
      </c>
      <c r="E20" s="53" t="s">
        <v>3</v>
      </c>
      <c r="F20" s="54">
        <v>2</v>
      </c>
      <c r="G20" s="55">
        <v>7925</v>
      </c>
      <c r="H20" s="56">
        <f t="shared" si="0"/>
        <v>15850</v>
      </c>
      <c r="I20" s="57"/>
      <c r="J20" s="3"/>
    </row>
    <row r="21" spans="1:11">
      <c r="A21" s="34">
        <v>17</v>
      </c>
      <c r="B21" s="35" t="s">
        <v>127</v>
      </c>
      <c r="C21" s="36" t="s">
        <v>39</v>
      </c>
      <c r="D21" s="37" t="s">
        <v>40</v>
      </c>
      <c r="E21" s="38" t="s">
        <v>3</v>
      </c>
      <c r="F21" s="39">
        <v>4</v>
      </c>
      <c r="G21" s="40">
        <v>5925</v>
      </c>
      <c r="H21" s="41">
        <f t="shared" si="0"/>
        <v>23700</v>
      </c>
      <c r="I21" s="42"/>
      <c r="J21" s="3"/>
      <c r="K21" s="2"/>
    </row>
    <row r="22" spans="1:11">
      <c r="A22" s="34">
        <v>18</v>
      </c>
      <c r="B22" s="35" t="s">
        <v>127</v>
      </c>
      <c r="C22" s="36" t="s">
        <v>41</v>
      </c>
      <c r="D22" s="37" t="s">
        <v>42</v>
      </c>
      <c r="E22" s="38" t="s">
        <v>3</v>
      </c>
      <c r="F22" s="39">
        <v>24</v>
      </c>
      <c r="G22" s="40">
        <v>4487.5</v>
      </c>
      <c r="H22" s="41">
        <f t="shared" si="0"/>
        <v>107700</v>
      </c>
      <c r="I22" s="42"/>
      <c r="J22" s="3"/>
      <c r="K22" s="2"/>
    </row>
    <row r="23" spans="1:11">
      <c r="A23" s="34">
        <v>19</v>
      </c>
      <c r="B23" s="35" t="s">
        <v>127</v>
      </c>
      <c r="C23" s="36" t="s">
        <v>43</v>
      </c>
      <c r="D23" s="37" t="s">
        <v>44</v>
      </c>
      <c r="E23" s="38" t="s">
        <v>3</v>
      </c>
      <c r="F23" s="39">
        <v>25</v>
      </c>
      <c r="G23" s="40">
        <v>2992</v>
      </c>
      <c r="H23" s="41">
        <f t="shared" si="0"/>
        <v>74800</v>
      </c>
      <c r="I23" s="42"/>
      <c r="J23" s="3"/>
      <c r="K23" s="2"/>
    </row>
    <row r="24" spans="1:11" s="12" customFormat="1">
      <c r="A24" s="24">
        <v>20</v>
      </c>
      <c r="B24" s="25" t="s">
        <v>128</v>
      </c>
      <c r="C24" s="32" t="s">
        <v>45</v>
      </c>
      <c r="D24" s="27" t="s">
        <v>46</v>
      </c>
      <c r="E24" s="28" t="s">
        <v>3</v>
      </c>
      <c r="F24" s="29">
        <v>1</v>
      </c>
      <c r="G24" s="33">
        <v>925000</v>
      </c>
      <c r="H24" s="30">
        <f t="shared" si="0"/>
        <v>925000</v>
      </c>
      <c r="I24" s="31"/>
      <c r="J24" s="11"/>
      <c r="K24" s="14"/>
    </row>
    <row r="25" spans="1:11" s="12" customFormat="1">
      <c r="A25" s="24">
        <v>21</v>
      </c>
      <c r="B25" s="25" t="s">
        <v>128</v>
      </c>
      <c r="C25" s="32" t="s">
        <v>47</v>
      </c>
      <c r="D25" s="27" t="s">
        <v>48</v>
      </c>
      <c r="E25" s="28" t="s">
        <v>3</v>
      </c>
      <c r="F25" s="29">
        <v>1</v>
      </c>
      <c r="G25" s="33">
        <v>541900</v>
      </c>
      <c r="H25" s="30">
        <f t="shared" si="0"/>
        <v>541900</v>
      </c>
      <c r="I25" s="31"/>
      <c r="J25" s="13"/>
      <c r="K25" s="14"/>
    </row>
    <row r="26" spans="1:11" s="12" customFormat="1">
      <c r="A26" s="24">
        <v>22</v>
      </c>
      <c r="B26" s="25" t="s">
        <v>128</v>
      </c>
      <c r="C26" s="32" t="s">
        <v>49</v>
      </c>
      <c r="D26" s="27" t="s">
        <v>50</v>
      </c>
      <c r="E26" s="28" t="s">
        <v>3</v>
      </c>
      <c r="F26" s="29">
        <v>1</v>
      </c>
      <c r="G26" s="33">
        <v>121300</v>
      </c>
      <c r="H26" s="30">
        <f t="shared" si="0"/>
        <v>121300</v>
      </c>
      <c r="I26" s="31"/>
      <c r="J26" s="13"/>
      <c r="K26" s="14"/>
    </row>
    <row r="27" spans="1:11" s="12" customFormat="1">
      <c r="A27" s="24">
        <v>23</v>
      </c>
      <c r="B27" s="25" t="s">
        <v>128</v>
      </c>
      <c r="C27" s="32" t="s">
        <v>51</v>
      </c>
      <c r="D27" s="27" t="s">
        <v>52</v>
      </c>
      <c r="E27" s="28" t="s">
        <v>3</v>
      </c>
      <c r="F27" s="29">
        <v>5</v>
      </c>
      <c r="G27" s="33">
        <v>89880</v>
      </c>
      <c r="H27" s="30">
        <f t="shared" si="0"/>
        <v>449400</v>
      </c>
      <c r="I27" s="31"/>
      <c r="K27" s="14"/>
    </row>
    <row r="28" spans="1:11" s="12" customFormat="1">
      <c r="A28" s="24">
        <v>24</v>
      </c>
      <c r="B28" s="25" t="s">
        <v>128</v>
      </c>
      <c r="C28" s="32" t="s">
        <v>53</v>
      </c>
      <c r="D28" s="27" t="s">
        <v>54</v>
      </c>
      <c r="E28" s="28" t="s">
        <v>3</v>
      </c>
      <c r="F28" s="29">
        <v>5</v>
      </c>
      <c r="G28" s="33">
        <v>34882</v>
      </c>
      <c r="H28" s="30">
        <f t="shared" si="0"/>
        <v>174410</v>
      </c>
      <c r="I28" s="31"/>
      <c r="K28" s="14"/>
    </row>
    <row r="29" spans="1:11">
      <c r="A29" s="34">
        <v>25</v>
      </c>
      <c r="B29" s="35" t="s">
        <v>128</v>
      </c>
      <c r="C29" s="36" t="s">
        <v>55</v>
      </c>
      <c r="D29" s="37" t="s">
        <v>56</v>
      </c>
      <c r="E29" s="38" t="s">
        <v>3</v>
      </c>
      <c r="F29" s="39">
        <v>5</v>
      </c>
      <c r="G29" s="40">
        <v>34882</v>
      </c>
      <c r="H29" s="41">
        <f t="shared" si="0"/>
        <v>174410</v>
      </c>
      <c r="I29" s="42"/>
      <c r="K29" s="2"/>
    </row>
    <row r="30" spans="1:11" s="12" customFormat="1">
      <c r="A30" s="24">
        <v>26</v>
      </c>
      <c r="B30" s="25" t="s">
        <v>128</v>
      </c>
      <c r="C30" s="32" t="s">
        <v>57</v>
      </c>
      <c r="D30" s="27" t="s">
        <v>58</v>
      </c>
      <c r="E30" s="28" t="s">
        <v>3</v>
      </c>
      <c r="F30" s="29">
        <v>1</v>
      </c>
      <c r="G30" s="33">
        <v>499690</v>
      </c>
      <c r="H30" s="30">
        <f t="shared" si="0"/>
        <v>499690</v>
      </c>
      <c r="I30" s="31"/>
      <c r="K30" s="14"/>
    </row>
    <row r="31" spans="1:11">
      <c r="A31" s="34">
        <v>27</v>
      </c>
      <c r="B31" s="35" t="s">
        <v>128</v>
      </c>
      <c r="C31" s="36" t="s">
        <v>59</v>
      </c>
      <c r="D31" s="37" t="s">
        <v>9</v>
      </c>
      <c r="E31" s="38" t="s">
        <v>3</v>
      </c>
      <c r="F31" s="39">
        <v>10</v>
      </c>
      <c r="G31" s="40">
        <v>23861</v>
      </c>
      <c r="H31" s="41">
        <f t="shared" si="0"/>
        <v>238610</v>
      </c>
      <c r="I31" s="47"/>
      <c r="K31" s="2"/>
    </row>
    <row r="32" spans="1:11" s="12" customFormat="1">
      <c r="A32" s="24">
        <v>28</v>
      </c>
      <c r="B32" s="25" t="s">
        <v>128</v>
      </c>
      <c r="C32" s="32" t="s">
        <v>60</v>
      </c>
      <c r="D32" s="27" t="s">
        <v>61</v>
      </c>
      <c r="E32" s="28" t="s">
        <v>3</v>
      </c>
      <c r="F32" s="29">
        <v>1</v>
      </c>
      <c r="G32" s="33">
        <v>179760</v>
      </c>
      <c r="H32" s="30">
        <f t="shared" si="0"/>
        <v>179760</v>
      </c>
      <c r="I32" s="24"/>
      <c r="K32" s="14"/>
    </row>
    <row r="33" spans="1:11" s="12" customFormat="1">
      <c r="A33" s="24">
        <v>29</v>
      </c>
      <c r="B33" s="25" t="s">
        <v>128</v>
      </c>
      <c r="C33" s="26" t="s">
        <v>62</v>
      </c>
      <c r="D33" s="27" t="s">
        <v>63</v>
      </c>
      <c r="E33" s="28" t="s">
        <v>3</v>
      </c>
      <c r="F33" s="29">
        <v>5</v>
      </c>
      <c r="G33" s="33">
        <v>92234</v>
      </c>
      <c r="H33" s="30">
        <f t="shared" si="0"/>
        <v>461170</v>
      </c>
      <c r="I33" s="24"/>
      <c r="K33" s="14"/>
    </row>
    <row r="34" spans="1:11" s="12" customFormat="1">
      <c r="A34" s="24">
        <v>30</v>
      </c>
      <c r="B34" s="25" t="s">
        <v>128</v>
      </c>
      <c r="C34" s="26" t="s">
        <v>64</v>
      </c>
      <c r="D34" s="27" t="s">
        <v>65</v>
      </c>
      <c r="E34" s="28" t="s">
        <v>3</v>
      </c>
      <c r="F34" s="29">
        <v>5</v>
      </c>
      <c r="G34" s="33">
        <v>59706</v>
      </c>
      <c r="H34" s="30">
        <f t="shared" si="0"/>
        <v>298530</v>
      </c>
      <c r="I34" s="24"/>
      <c r="K34" s="14"/>
    </row>
    <row r="35" spans="1:11" s="12" customFormat="1">
      <c r="A35" s="24">
        <v>31</v>
      </c>
      <c r="B35" s="24">
        <v>2541</v>
      </c>
      <c r="C35" s="26" t="s">
        <v>66</v>
      </c>
      <c r="D35" s="27" t="s">
        <v>67</v>
      </c>
      <c r="E35" s="24" t="s">
        <v>3</v>
      </c>
      <c r="F35" s="29">
        <v>1</v>
      </c>
      <c r="G35" s="33">
        <v>200000</v>
      </c>
      <c r="H35" s="30">
        <f t="shared" si="0"/>
        <v>200000</v>
      </c>
      <c r="I35" s="24"/>
      <c r="K35" s="14"/>
    </row>
    <row r="36" spans="1:11">
      <c r="A36" s="34">
        <v>32</v>
      </c>
      <c r="B36" s="47">
        <v>2541</v>
      </c>
      <c r="C36" s="48" t="s">
        <v>68</v>
      </c>
      <c r="D36" s="37" t="s">
        <v>69</v>
      </c>
      <c r="E36" s="47" t="s">
        <v>3</v>
      </c>
      <c r="F36" s="39">
        <v>1</v>
      </c>
      <c r="G36" s="40">
        <v>48950</v>
      </c>
      <c r="H36" s="41">
        <f t="shared" si="0"/>
        <v>48950</v>
      </c>
      <c r="I36" s="47"/>
      <c r="K36" s="2"/>
    </row>
    <row r="37" spans="1:11" s="12" customFormat="1">
      <c r="A37" s="24">
        <v>33</v>
      </c>
      <c r="B37" s="24">
        <v>2541</v>
      </c>
      <c r="C37" s="26" t="s">
        <v>70</v>
      </c>
      <c r="D37" s="27" t="s">
        <v>71</v>
      </c>
      <c r="E37" s="24" t="s">
        <v>3</v>
      </c>
      <c r="F37" s="29">
        <v>1</v>
      </c>
      <c r="G37" s="33">
        <v>29700</v>
      </c>
      <c r="H37" s="30">
        <f t="shared" si="0"/>
        <v>29700</v>
      </c>
      <c r="I37" s="24"/>
    </row>
    <row r="38" spans="1:11" s="12" customFormat="1">
      <c r="A38" s="24">
        <v>34</v>
      </c>
      <c r="B38" s="24">
        <v>2541</v>
      </c>
      <c r="C38" s="26" t="s">
        <v>72</v>
      </c>
      <c r="D38" s="27" t="s">
        <v>73</v>
      </c>
      <c r="E38" s="24" t="s">
        <v>3</v>
      </c>
      <c r="F38" s="29">
        <v>1</v>
      </c>
      <c r="G38" s="33">
        <v>115060</v>
      </c>
      <c r="H38" s="30">
        <f t="shared" si="0"/>
        <v>115060</v>
      </c>
      <c r="I38" s="24"/>
    </row>
    <row r="39" spans="1:11">
      <c r="A39" s="34">
        <v>35</v>
      </c>
      <c r="B39" s="47">
        <v>2541</v>
      </c>
      <c r="C39" s="48" t="s">
        <v>74</v>
      </c>
      <c r="D39" s="37" t="s">
        <v>75</v>
      </c>
      <c r="E39" s="47" t="s">
        <v>3</v>
      </c>
      <c r="F39" s="39">
        <v>1</v>
      </c>
      <c r="G39" s="40">
        <v>99000</v>
      </c>
      <c r="H39" s="41">
        <f t="shared" si="0"/>
        <v>99000</v>
      </c>
      <c r="I39" s="47"/>
    </row>
    <row r="40" spans="1:11">
      <c r="A40" s="34">
        <v>36</v>
      </c>
      <c r="B40" s="47">
        <v>2541</v>
      </c>
      <c r="C40" s="36" t="s">
        <v>74</v>
      </c>
      <c r="D40" s="37" t="s">
        <v>76</v>
      </c>
      <c r="E40" s="47" t="s">
        <v>3</v>
      </c>
      <c r="F40" s="39">
        <v>1</v>
      </c>
      <c r="G40" s="40">
        <v>46750</v>
      </c>
      <c r="H40" s="41">
        <f t="shared" si="0"/>
        <v>46750</v>
      </c>
      <c r="I40" s="47"/>
    </row>
    <row r="41" spans="1:11" s="12" customFormat="1">
      <c r="A41" s="24">
        <v>37</v>
      </c>
      <c r="B41" s="24">
        <v>2541</v>
      </c>
      <c r="C41" s="26" t="s">
        <v>77</v>
      </c>
      <c r="D41" s="58" t="s">
        <v>78</v>
      </c>
      <c r="E41" s="24" t="s">
        <v>3</v>
      </c>
      <c r="F41" s="59">
        <v>1</v>
      </c>
      <c r="G41" s="30">
        <v>44990</v>
      </c>
      <c r="H41" s="30">
        <f t="shared" si="0"/>
        <v>44990</v>
      </c>
      <c r="I41" s="24"/>
    </row>
    <row r="42" spans="1:11">
      <c r="A42" s="34">
        <v>38</v>
      </c>
      <c r="B42" s="47">
        <v>2541</v>
      </c>
      <c r="C42" s="48" t="s">
        <v>79</v>
      </c>
      <c r="D42" s="37" t="s">
        <v>80</v>
      </c>
      <c r="E42" s="47" t="s">
        <v>3</v>
      </c>
      <c r="F42" s="39">
        <v>1</v>
      </c>
      <c r="G42" s="40">
        <v>29920</v>
      </c>
      <c r="H42" s="41">
        <f t="shared" si="0"/>
        <v>29920</v>
      </c>
      <c r="I42" s="47"/>
    </row>
    <row r="43" spans="1:11">
      <c r="A43" s="34">
        <v>39</v>
      </c>
      <c r="B43" s="47">
        <v>2541</v>
      </c>
      <c r="C43" s="36" t="s">
        <v>81</v>
      </c>
      <c r="D43" s="37" t="s">
        <v>82</v>
      </c>
      <c r="E43" s="47" t="s">
        <v>3</v>
      </c>
      <c r="F43" s="39">
        <v>1</v>
      </c>
      <c r="G43" s="40">
        <v>179960</v>
      </c>
      <c r="H43" s="41">
        <f t="shared" si="0"/>
        <v>179960</v>
      </c>
      <c r="I43" s="47"/>
    </row>
    <row r="44" spans="1:11">
      <c r="A44" s="60" t="s">
        <v>123</v>
      </c>
      <c r="B44" s="61"/>
      <c r="C44" s="61"/>
      <c r="D44" s="62"/>
      <c r="E44" s="47"/>
      <c r="F44" s="39"/>
      <c r="G44" s="40"/>
      <c r="H44" s="41">
        <f>SUM(H5:H43)</f>
        <v>6981594.2999999998</v>
      </c>
      <c r="I44" s="47"/>
    </row>
    <row r="45" spans="1:11">
      <c r="A45" s="60" t="s">
        <v>124</v>
      </c>
      <c r="B45" s="61"/>
      <c r="C45" s="61"/>
      <c r="D45" s="62"/>
      <c r="E45" s="47"/>
      <c r="F45" s="39"/>
      <c r="G45" s="40"/>
      <c r="H45" s="41">
        <f>SUM(H44)</f>
        <v>6981594.2999999998</v>
      </c>
      <c r="I45" s="47"/>
    </row>
    <row r="46" spans="1:11">
      <c r="A46" s="34">
        <v>40</v>
      </c>
      <c r="B46" s="47">
        <v>2541</v>
      </c>
      <c r="C46" s="48" t="s">
        <v>83</v>
      </c>
      <c r="D46" s="37" t="s">
        <v>84</v>
      </c>
      <c r="E46" s="47" t="s">
        <v>3</v>
      </c>
      <c r="F46" s="39">
        <v>1</v>
      </c>
      <c r="G46" s="40">
        <v>49940</v>
      </c>
      <c r="H46" s="41">
        <f>SUM(F46*G46)</f>
        <v>49940</v>
      </c>
      <c r="I46" s="47"/>
    </row>
    <row r="47" spans="1:11">
      <c r="A47" s="34">
        <v>41</v>
      </c>
      <c r="B47" s="47">
        <v>2541</v>
      </c>
      <c r="C47" s="36" t="s">
        <v>85</v>
      </c>
      <c r="D47" s="37" t="s">
        <v>86</v>
      </c>
      <c r="E47" s="47" t="s">
        <v>3</v>
      </c>
      <c r="F47" s="39">
        <v>1</v>
      </c>
      <c r="G47" s="40">
        <v>119900</v>
      </c>
      <c r="H47" s="41">
        <f t="shared" ref="H47:H48" si="1">SUM(F47*G47)</f>
        <v>119900</v>
      </c>
      <c r="I47" s="47"/>
    </row>
    <row r="48" spans="1:11" s="12" customFormat="1">
      <c r="A48" s="24">
        <v>42</v>
      </c>
      <c r="B48" s="25" t="s">
        <v>130</v>
      </c>
      <c r="C48" s="32" t="s">
        <v>87</v>
      </c>
      <c r="D48" s="27" t="s">
        <v>88</v>
      </c>
      <c r="E48" s="24" t="s">
        <v>3</v>
      </c>
      <c r="F48" s="29">
        <v>1</v>
      </c>
      <c r="G48" s="33">
        <v>271500</v>
      </c>
      <c r="H48" s="30">
        <f t="shared" si="1"/>
        <v>271500</v>
      </c>
      <c r="I48" s="24"/>
    </row>
    <row r="49" spans="1:10" s="12" customFormat="1">
      <c r="A49" s="24">
        <v>43</v>
      </c>
      <c r="B49" s="25" t="s">
        <v>130</v>
      </c>
      <c r="C49" s="32" t="s">
        <v>89</v>
      </c>
      <c r="D49" s="63" t="s">
        <v>90</v>
      </c>
      <c r="E49" s="24" t="s">
        <v>3</v>
      </c>
      <c r="F49" s="29">
        <v>1</v>
      </c>
      <c r="G49" s="33">
        <v>58300</v>
      </c>
      <c r="H49" s="30">
        <f t="shared" si="0"/>
        <v>58300</v>
      </c>
      <c r="I49" s="31"/>
      <c r="J49" s="11"/>
    </row>
    <row r="50" spans="1:10" s="12" customFormat="1">
      <c r="A50" s="24">
        <v>44</v>
      </c>
      <c r="B50" s="25" t="s">
        <v>130</v>
      </c>
      <c r="C50" s="32" t="s">
        <v>91</v>
      </c>
      <c r="D50" s="27" t="s">
        <v>92</v>
      </c>
      <c r="E50" s="24" t="s">
        <v>3</v>
      </c>
      <c r="F50" s="29">
        <v>1</v>
      </c>
      <c r="G50" s="33">
        <v>46200</v>
      </c>
      <c r="H50" s="30">
        <f t="shared" si="0"/>
        <v>46200</v>
      </c>
      <c r="I50" s="31"/>
      <c r="J50" s="11"/>
    </row>
    <row r="51" spans="1:10" s="12" customFormat="1">
      <c r="A51" s="24">
        <v>45</v>
      </c>
      <c r="B51" s="25" t="s">
        <v>130</v>
      </c>
      <c r="C51" s="32" t="s">
        <v>93</v>
      </c>
      <c r="D51" s="27" t="s">
        <v>94</v>
      </c>
      <c r="E51" s="24" t="s">
        <v>3</v>
      </c>
      <c r="F51" s="29">
        <v>1</v>
      </c>
      <c r="G51" s="33">
        <v>42900</v>
      </c>
      <c r="H51" s="30">
        <f t="shared" si="0"/>
        <v>42900</v>
      </c>
      <c r="I51" s="31"/>
      <c r="J51" s="11"/>
    </row>
    <row r="52" spans="1:10">
      <c r="A52" s="34">
        <v>46</v>
      </c>
      <c r="B52" s="35" t="s">
        <v>130</v>
      </c>
      <c r="C52" s="36" t="s">
        <v>95</v>
      </c>
      <c r="D52" s="37" t="s">
        <v>96</v>
      </c>
      <c r="E52" s="47" t="s">
        <v>3</v>
      </c>
      <c r="F52" s="39">
        <v>1</v>
      </c>
      <c r="G52" s="40">
        <v>11000</v>
      </c>
      <c r="H52" s="41">
        <f t="shared" si="0"/>
        <v>11000</v>
      </c>
      <c r="I52" s="42"/>
      <c r="J52" s="3"/>
    </row>
    <row r="53" spans="1:10">
      <c r="A53" s="34">
        <v>47</v>
      </c>
      <c r="B53" s="35" t="s">
        <v>130</v>
      </c>
      <c r="C53" s="36" t="s">
        <v>97</v>
      </c>
      <c r="D53" s="37" t="s">
        <v>98</v>
      </c>
      <c r="E53" s="47" t="s">
        <v>3</v>
      </c>
      <c r="F53" s="39">
        <v>1</v>
      </c>
      <c r="G53" s="40">
        <v>12100</v>
      </c>
      <c r="H53" s="41">
        <f t="shared" si="0"/>
        <v>12100</v>
      </c>
      <c r="I53" s="42"/>
      <c r="J53" s="3"/>
    </row>
    <row r="54" spans="1:10" s="12" customFormat="1">
      <c r="A54" s="24">
        <v>48</v>
      </c>
      <c r="B54" s="24">
        <v>2545</v>
      </c>
      <c r="C54" s="32" t="s">
        <v>99</v>
      </c>
      <c r="D54" s="27" t="s">
        <v>100</v>
      </c>
      <c r="E54" s="24" t="s">
        <v>3</v>
      </c>
      <c r="F54" s="29">
        <v>1</v>
      </c>
      <c r="G54" s="33">
        <v>176550</v>
      </c>
      <c r="H54" s="30">
        <f t="shared" si="0"/>
        <v>176550</v>
      </c>
      <c r="I54" s="31"/>
      <c r="J54" s="11"/>
    </row>
    <row r="55" spans="1:10" s="12" customFormat="1">
      <c r="A55" s="24">
        <v>49</v>
      </c>
      <c r="B55" s="24">
        <v>2545</v>
      </c>
      <c r="C55" s="32" t="s">
        <v>101</v>
      </c>
      <c r="D55" s="27" t="s">
        <v>102</v>
      </c>
      <c r="E55" s="24" t="s">
        <v>3</v>
      </c>
      <c r="F55" s="64">
        <v>1</v>
      </c>
      <c r="G55" s="65">
        <v>131182</v>
      </c>
      <c r="H55" s="30">
        <f t="shared" si="0"/>
        <v>131182</v>
      </c>
      <c r="I55" s="31"/>
      <c r="J55" s="11"/>
    </row>
    <row r="56" spans="1:10" s="12" customFormat="1">
      <c r="A56" s="24">
        <v>50</v>
      </c>
      <c r="B56" s="24">
        <v>2545</v>
      </c>
      <c r="C56" s="32" t="s">
        <v>103</v>
      </c>
      <c r="D56" s="27" t="s">
        <v>11</v>
      </c>
      <c r="E56" s="24" t="s">
        <v>3</v>
      </c>
      <c r="F56" s="29">
        <v>10</v>
      </c>
      <c r="G56" s="65">
        <v>1605</v>
      </c>
      <c r="H56" s="30">
        <f t="shared" si="0"/>
        <v>16050</v>
      </c>
      <c r="I56" s="31"/>
      <c r="J56" s="11"/>
    </row>
    <row r="57" spans="1:10">
      <c r="A57" s="34">
        <v>51</v>
      </c>
      <c r="B57" s="34">
        <v>2545</v>
      </c>
      <c r="C57" s="36" t="s">
        <v>104</v>
      </c>
      <c r="D57" s="66" t="s">
        <v>105</v>
      </c>
      <c r="E57" s="47" t="s">
        <v>3</v>
      </c>
      <c r="F57" s="39">
        <v>1</v>
      </c>
      <c r="G57" s="67">
        <v>219350</v>
      </c>
      <c r="H57" s="41">
        <f t="shared" si="0"/>
        <v>219350</v>
      </c>
      <c r="I57" s="42"/>
      <c r="J57" s="5"/>
    </row>
    <row r="58" spans="1:10">
      <c r="A58" s="34">
        <v>52</v>
      </c>
      <c r="B58" s="34">
        <v>2545</v>
      </c>
      <c r="C58" s="36" t="s">
        <v>106</v>
      </c>
      <c r="D58" s="37" t="s">
        <v>107</v>
      </c>
      <c r="E58" s="47" t="s">
        <v>3</v>
      </c>
      <c r="F58" s="39">
        <v>1</v>
      </c>
      <c r="G58" s="67">
        <v>119305</v>
      </c>
      <c r="H58" s="41">
        <f t="shared" si="0"/>
        <v>119305</v>
      </c>
      <c r="I58" s="42"/>
      <c r="J58" s="5"/>
    </row>
    <row r="59" spans="1:10">
      <c r="A59" s="34">
        <v>53</v>
      </c>
      <c r="B59" s="34">
        <v>2545</v>
      </c>
      <c r="C59" s="36" t="s">
        <v>108</v>
      </c>
      <c r="D59" s="37" t="s">
        <v>109</v>
      </c>
      <c r="E59" s="47" t="s">
        <v>3</v>
      </c>
      <c r="F59" s="39">
        <v>1</v>
      </c>
      <c r="G59" s="67">
        <v>4900</v>
      </c>
      <c r="H59" s="41">
        <f t="shared" si="0"/>
        <v>4900</v>
      </c>
      <c r="I59" s="42"/>
    </row>
    <row r="60" spans="1:10">
      <c r="A60" s="34">
        <v>54</v>
      </c>
      <c r="B60" s="68" t="s">
        <v>129</v>
      </c>
      <c r="C60" s="36" t="s">
        <v>110</v>
      </c>
      <c r="D60" s="37" t="s">
        <v>111</v>
      </c>
      <c r="E60" s="47" t="s">
        <v>3</v>
      </c>
      <c r="F60" s="39">
        <v>15</v>
      </c>
      <c r="G60" s="67">
        <v>2490</v>
      </c>
      <c r="H60" s="41">
        <f t="shared" si="0"/>
        <v>37350</v>
      </c>
      <c r="I60" s="42"/>
    </row>
    <row r="61" spans="1:10">
      <c r="A61" s="34">
        <v>55</v>
      </c>
      <c r="B61" s="68" t="s">
        <v>129</v>
      </c>
      <c r="C61" s="36" t="s">
        <v>112</v>
      </c>
      <c r="D61" s="37" t="s">
        <v>111</v>
      </c>
      <c r="E61" s="47" t="s">
        <v>3</v>
      </c>
      <c r="F61" s="39">
        <v>10</v>
      </c>
      <c r="G61" s="67">
        <v>2490</v>
      </c>
      <c r="H61" s="41">
        <f t="shared" si="0"/>
        <v>24900</v>
      </c>
      <c r="I61" s="42"/>
    </row>
    <row r="62" spans="1:10">
      <c r="A62" s="34">
        <v>56</v>
      </c>
      <c r="B62" s="69" t="s">
        <v>131</v>
      </c>
      <c r="C62" s="36" t="s">
        <v>113</v>
      </c>
      <c r="D62" s="37" t="s">
        <v>114</v>
      </c>
      <c r="E62" s="47" t="s">
        <v>3</v>
      </c>
      <c r="F62" s="39">
        <v>1</v>
      </c>
      <c r="G62" s="67">
        <v>5684.5</v>
      </c>
      <c r="H62" s="41">
        <f t="shared" ref="H62:H65" si="2">SUM(F62*G62)</f>
        <v>5684.5</v>
      </c>
      <c r="I62" s="42"/>
    </row>
    <row r="63" spans="1:10">
      <c r="A63" s="34">
        <v>57</v>
      </c>
      <c r="B63" s="70">
        <v>23536</v>
      </c>
      <c r="C63" s="36" t="s">
        <v>126</v>
      </c>
      <c r="D63" s="37" t="s">
        <v>125</v>
      </c>
      <c r="E63" s="47" t="s">
        <v>4</v>
      </c>
      <c r="F63" s="39">
        <v>1</v>
      </c>
      <c r="G63" s="67">
        <v>2690</v>
      </c>
      <c r="H63" s="41">
        <f t="shared" si="2"/>
        <v>2690</v>
      </c>
      <c r="I63" s="42"/>
    </row>
    <row r="64" spans="1:10">
      <c r="A64" s="34">
        <v>58</v>
      </c>
      <c r="B64" s="71">
        <v>23983</v>
      </c>
      <c r="C64" s="72" t="s">
        <v>137</v>
      </c>
      <c r="D64" s="73" t="s">
        <v>136</v>
      </c>
      <c r="E64" s="74" t="s">
        <v>4</v>
      </c>
      <c r="F64" s="75">
        <v>10</v>
      </c>
      <c r="G64" s="76">
        <v>550</v>
      </c>
      <c r="H64" s="41">
        <f t="shared" si="2"/>
        <v>5500</v>
      </c>
      <c r="I64" s="77"/>
    </row>
    <row r="65" spans="1:10">
      <c r="A65" s="34">
        <v>59</v>
      </c>
      <c r="B65" s="71">
        <v>243417</v>
      </c>
      <c r="C65" s="72" t="s">
        <v>139</v>
      </c>
      <c r="D65" s="81" t="s">
        <v>140</v>
      </c>
      <c r="E65" s="74" t="s">
        <v>4</v>
      </c>
      <c r="F65" s="75">
        <v>3</v>
      </c>
      <c r="G65" s="76">
        <v>30000</v>
      </c>
      <c r="H65" s="80">
        <f t="shared" si="2"/>
        <v>90000</v>
      </c>
      <c r="I65" s="77"/>
    </row>
    <row r="66" spans="1:10">
      <c r="A66" s="19" t="s">
        <v>6</v>
      </c>
      <c r="B66" s="20"/>
      <c r="C66" s="20"/>
      <c r="D66" s="20"/>
      <c r="E66" s="21"/>
      <c r="F66" s="38"/>
      <c r="G66" s="78" t="s">
        <v>116</v>
      </c>
      <c r="H66" s="79">
        <f>SUM(H45:H65)</f>
        <v>8426895.8000000007</v>
      </c>
      <c r="I66" s="10"/>
    </row>
    <row r="67" spans="1:10">
      <c r="A67" s="7"/>
      <c r="B67" s="7"/>
      <c r="C67" s="7"/>
      <c r="D67" s="7"/>
      <c r="E67" s="7"/>
      <c r="F67" s="9"/>
      <c r="G67" s="4"/>
      <c r="H67" s="4"/>
    </row>
    <row r="68" spans="1:10">
      <c r="F68" s="9"/>
    </row>
    <row r="69" spans="1:10">
      <c r="F69" s="15" t="s">
        <v>135</v>
      </c>
      <c r="G69" s="15"/>
      <c r="H69" s="15"/>
      <c r="I69" s="15"/>
      <c r="J69" s="6"/>
    </row>
    <row r="70" spans="1:10">
      <c r="F70" s="16" t="s">
        <v>138</v>
      </c>
      <c r="G70" s="16"/>
      <c r="H70" s="16"/>
      <c r="I70" s="16"/>
      <c r="J70" s="6"/>
    </row>
    <row r="71" spans="1:10">
      <c r="F71" s="16" t="s">
        <v>5</v>
      </c>
      <c r="G71" s="16"/>
      <c r="H71" s="16"/>
      <c r="I71" s="16"/>
      <c r="J71" s="6"/>
    </row>
    <row r="72" spans="1:10">
      <c r="F72" s="6"/>
      <c r="G72" s="6"/>
      <c r="H72" s="6"/>
      <c r="J72" s="6"/>
    </row>
  </sheetData>
  <mergeCells count="9">
    <mergeCell ref="A45:D45"/>
    <mergeCell ref="F71:I71"/>
    <mergeCell ref="A1:I1"/>
    <mergeCell ref="A2:I2"/>
    <mergeCell ref="A3:I3"/>
    <mergeCell ref="A66:E66"/>
    <mergeCell ref="F69:I69"/>
    <mergeCell ref="F70:I70"/>
    <mergeCell ref="A44:D44"/>
  </mergeCells>
  <printOptions horizontalCentered="1"/>
  <pageMargins left="0.19685039370078741" right="0" top="0.59055118110236227" bottom="0.19685039370078741" header="0" footer="0"/>
  <pageSetup paperSize="9" scale="73" orientation="portrait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แผนกช่างไฟฟ้ากำลัง</vt:lpstr>
      <vt:lpstr>แผนกช่างไฟฟ้ากำลัง!Print_Titles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2023-01-31T06:47:41Z</cp:lastPrinted>
  <dcterms:created xsi:type="dcterms:W3CDTF">2017-11-14T01:32:33Z</dcterms:created>
  <dcterms:modified xsi:type="dcterms:W3CDTF">2023-10-18T06:49:10Z</dcterms:modified>
</cp:coreProperties>
</file>