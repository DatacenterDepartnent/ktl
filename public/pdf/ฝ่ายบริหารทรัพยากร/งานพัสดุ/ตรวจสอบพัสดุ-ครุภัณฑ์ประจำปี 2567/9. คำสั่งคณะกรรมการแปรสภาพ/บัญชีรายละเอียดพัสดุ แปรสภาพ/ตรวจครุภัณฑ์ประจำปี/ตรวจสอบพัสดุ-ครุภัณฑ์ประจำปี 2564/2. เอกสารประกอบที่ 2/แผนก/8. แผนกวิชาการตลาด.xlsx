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2\แผนก\"/>
    </mc:Choice>
  </mc:AlternateContent>
  <xr:revisionPtr revIDLastSave="0" documentId="13_ncr:1_{C124EA7E-1015-44A5-A9FE-9A5D6BBC4EDC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ารตลาด" sheetId="3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3" i="33" l="1"/>
  <c r="H6" i="33" l="1"/>
  <c r="H7" i="33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5" i="33"/>
  <c r="H34" i="33" l="1"/>
</calcChain>
</file>

<file path=xl/sharedStrings.xml><?xml version="1.0" encoding="utf-8"?>
<sst xmlns="http://schemas.openxmlformats.org/spreadsheetml/2006/main" count="111" uniqueCount="79">
  <si>
    <t>รายการ ขนาด ลักษณะ</t>
  </si>
  <si>
    <t>จำนวน</t>
  </si>
  <si>
    <t>หมายเหตุ</t>
  </si>
  <si>
    <t>โต๊ะพิมพ์ดีด</t>
  </si>
  <si>
    <t>งปม.</t>
  </si>
  <si>
    <t>บกศ.</t>
  </si>
  <si>
    <t>เครื่องสำรองไฟฟ้า</t>
  </si>
  <si>
    <t>เครื่องคอมพิวเตอร์พร้อมโต๊ะเก้าอี้</t>
  </si>
  <si>
    <t>เครื่องคอมพิวเตอร์</t>
  </si>
  <si>
    <t>7430-008-0002/531-020</t>
  </si>
  <si>
    <t>เก้าอี้สำนักงาน  (ขาเหล็ก)</t>
  </si>
  <si>
    <t>....................................................</t>
  </si>
  <si>
    <t>หัวหน้าหน่วยจ่าย/หน่วยเบิก</t>
  </si>
  <si>
    <t>เครื่องโปรเจคเตอร์พร้อมจอรับภาพ</t>
  </si>
  <si>
    <t>โต๊ะเหล็ก  4  ฟุต</t>
  </si>
  <si>
    <t>รวมเป็นเงิน</t>
  </si>
  <si>
    <t xml:space="preserve"> สถานศึกษา วิทยาลัยเทคนิคกันทรลักษ์</t>
  </si>
  <si>
    <t>7430-001-0001/501-026-065</t>
  </si>
  <si>
    <t>เครื่องพิมพ์ดีดภาษาอังกฤษแคร่  15"</t>
  </si>
  <si>
    <t>7430-001-0005/501-028-067</t>
  </si>
  <si>
    <t>เครื่องพิมพ์ดีดแบบธรรมดาภาษาไทย15"</t>
  </si>
  <si>
    <t>7440-008-0001/501-057</t>
  </si>
  <si>
    <t>7110-007-0004/514-001-080</t>
  </si>
  <si>
    <t>7110-006-0006/514-001-080</t>
  </si>
  <si>
    <t>เก้าอี้พิมพ์ดีด</t>
  </si>
  <si>
    <t>7110-002-0006/521-019-020</t>
  </si>
  <si>
    <t>ตู้บานเลื่อนกระจก 4 ฟุต Smart Form</t>
  </si>
  <si>
    <t>7430-008-0002/531-026</t>
  </si>
  <si>
    <t>Printer HP Officejet j4660</t>
  </si>
  <si>
    <t>เครื่องปริ้นเตอร์  Hp Laserjet P1102</t>
  </si>
  <si>
    <t>7110-007-0020/531-001</t>
  </si>
  <si>
    <t>โต๊ะวางโปรเจคเตอร์</t>
  </si>
  <si>
    <t>7110-007-0004/531-012-015</t>
  </si>
  <si>
    <t>7110-006-0006/531-019-022</t>
  </si>
  <si>
    <t>7110-002-0006/531-034-038</t>
  </si>
  <si>
    <t>ตู้เหล็ก  2 บานเลื่อนกระจก</t>
  </si>
  <si>
    <t>6730-001-0003/531-006</t>
  </si>
  <si>
    <t>6130-001-0001/531-001</t>
  </si>
  <si>
    <t>7440-001-0001/531-123</t>
  </si>
  <si>
    <t>7430-001-0001/531-066-075</t>
  </si>
  <si>
    <t>5440-003-0001/531-001-002</t>
  </si>
  <si>
    <t>โต๊ะม้าหินอ่อนพร้อมเก้าอี้</t>
  </si>
  <si>
    <t>5150-002-0001/531-001</t>
  </si>
  <si>
    <t>ซุ้มกาแฟ</t>
  </si>
  <si>
    <t>7320-012-0001/531-001</t>
  </si>
  <si>
    <t>เครื่องปัน panasonic -799N</t>
  </si>
  <si>
    <t>เครื่องทำแซนวิส  Philips -2415</t>
  </si>
  <si>
    <t>7320-007-0001/531-001</t>
  </si>
  <si>
    <t>Saeco Nina Plus White color</t>
  </si>
  <si>
    <t>7320-007-0002/531-001</t>
  </si>
  <si>
    <t>Saeco Grinder MC 2002</t>
  </si>
  <si>
    <t>7730-005-0001/531-001</t>
  </si>
  <si>
    <t>TV LCD 42"  panasonic</t>
  </si>
  <si>
    <t>5815-004-001/531-001</t>
  </si>
  <si>
    <t>เครื่องขยาย  POWER MIX</t>
  </si>
  <si>
    <t>5965-002-0001/531-001-004</t>
  </si>
  <si>
    <t>ตู้ลำโพง</t>
  </si>
  <si>
    <t>5965-001-0001/531-001</t>
  </si>
  <si>
    <t>Microphne (ไมโครโฟน)</t>
  </si>
  <si>
    <t>7430-003-0002/561-001</t>
  </si>
  <si>
    <t>เครื่องถ่ายเอกสารระบบดิจิตอล</t>
  </si>
  <si>
    <t>7440-001-0003/561-001-020</t>
  </si>
  <si>
    <t>(นางนงลักษณ์   ศรีชา)</t>
  </si>
  <si>
    <t>เครื่องคอมพิวเตอร์สำหรับประมวลผล แบบที่ 2
(จอขนาดไม่น้อยกว่า 18 นิ้ว)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</si>
  <si>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</si>
  <si>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</si>
  <si>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</si>
  <si>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</si>
  <si>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</si>
  <si>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</si>
  <si>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</si>
  <si>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แผนกวิชาการตลาด คงเหลือ</t>
  </si>
  <si>
    <t>ประจำปี 2564  ณ วันที่ 30 กันยายน 2564</t>
  </si>
  <si>
    <t>7440-010-0002/642-002(13)</t>
  </si>
  <si>
    <t xml:space="preserve"> 8 มิ.ย.64</t>
  </si>
  <si>
    <t>2550</t>
  </si>
  <si>
    <t>2551</t>
  </si>
  <si>
    <t>2552</t>
  </si>
  <si>
    <t>เครื่องพิมพ์เลเซอร์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</si>
</sst>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62">
    <xf numFmtId="0" fontId="0" fillId="0" borderId="0" xfId="0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0" borderId="0" xfId="0" applyFont="1" applyBorder="1"/>
    <xf numFmtId="0" fontId="5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/>
    </xf>
    <xf numFmtId="43" fontId="4" fillId="0" borderId="1" xfId="12" applyNumberFormat="1" applyFont="1" applyFill="1" applyBorder="1" applyAlignment="1">
      <alignment horizontal="center"/>
    </xf>
    <xf numFmtId="43" fontId="4" fillId="0" borderId="1" xfId="12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0" fontId="4" fillId="0" borderId="1" xfId="6" applyFont="1" applyFill="1" applyBorder="1" applyAlignment="1">
      <alignment horizontal="center"/>
    </xf>
    <xf numFmtId="43" fontId="4" fillId="0" borderId="1" xfId="1" applyFont="1" applyFill="1" applyBorder="1"/>
    <xf numFmtId="0" fontId="5" fillId="0" borderId="1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4" fillId="0" borderId="1" xfId="6" applyFont="1" applyFill="1" applyBorder="1"/>
    <xf numFmtId="0" fontId="4" fillId="0" borderId="1" xfId="6" applyFont="1" applyBorder="1" applyAlignment="1">
      <alignment vertical="top" wrapText="1"/>
    </xf>
    <xf numFmtId="0" fontId="4" fillId="0" borderId="1" xfId="6" applyFont="1" applyBorder="1" applyAlignment="1">
      <alignment horizontal="left" vertical="top"/>
    </xf>
    <xf numFmtId="43" fontId="2" fillId="0" borderId="1" xfId="12" applyNumberFormat="1" applyFont="1" applyFill="1" applyBorder="1" applyAlignment="1">
      <alignment horizontal="center"/>
    </xf>
    <xf numFmtId="43" fontId="4" fillId="0" borderId="1" xfId="1" applyFont="1" applyBorder="1" applyAlignment="1">
      <alignment vertical="top"/>
    </xf>
    <xf numFmtId="0" fontId="4" fillId="0" borderId="1" xfId="0" applyNumberFormat="1" applyFont="1" applyBorder="1" applyAlignment="1">
      <alignment horizontal="center"/>
    </xf>
    <xf numFmtId="0" fontId="4" fillId="0" borderId="1" xfId="6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3" fontId="5" fillId="0" borderId="0" xfId="0" applyNumberFormat="1" applyFont="1" applyBorder="1" applyAlignment="1">
      <alignment horizontal="center"/>
    </xf>
    <xf numFmtId="43" fontId="5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43" fontId="4" fillId="0" borderId="0" xfId="12" applyNumberFormat="1" applyFont="1" applyBorder="1" applyAlignment="1"/>
    <xf numFmtId="43" fontId="5" fillId="0" borderId="1" xfId="0" applyNumberFormat="1" applyFont="1" applyBorder="1" applyAlignment="1"/>
    <xf numFmtId="43" fontId="5" fillId="0" borderId="4" xfId="0" applyNumberFormat="1" applyFont="1" applyBorder="1" applyAlignment="1"/>
    <xf numFmtId="0" fontId="4" fillId="0" borderId="6" xfId="2" applyFont="1" applyBorder="1" applyAlignment="1">
      <alignment horizontal="center"/>
    </xf>
    <xf numFmtId="43" fontId="5" fillId="0" borderId="0" xfId="0" applyNumberFormat="1" applyFont="1" applyBorder="1"/>
    <xf numFmtId="43" fontId="4" fillId="0" borderId="0" xfId="12" applyFont="1" applyBorder="1"/>
    <xf numFmtId="0" fontId="4" fillId="2" borderId="1" xfId="0" applyFont="1" applyFill="1" applyBorder="1" applyAlignment="1">
      <alignment horizontal="center" vertical="top"/>
    </xf>
    <xf numFmtId="0" fontId="4" fillId="0" borderId="1" xfId="6" applyFont="1" applyFill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4" fillId="0" borderId="0" xfId="9" applyFont="1" applyAlignment="1">
      <alignment horizontal="center" vertical="center"/>
    </xf>
    <xf numFmtId="43" fontId="5" fillId="0" borderId="0" xfId="0" applyNumberFormat="1" applyFont="1" applyBorder="1" applyAlignment="1">
      <alignment vertical="top"/>
    </xf>
    <xf numFmtId="43" fontId="5" fillId="0" borderId="0" xfId="0" applyNumberFormat="1" applyFont="1" applyAlignment="1">
      <alignment vertical="top"/>
    </xf>
    <xf numFmtId="43" fontId="4" fillId="0" borderId="1" xfId="1" applyFont="1" applyFill="1" applyBorder="1" applyAlignment="1">
      <alignment horizontal="center" vertical="top"/>
    </xf>
    <xf numFmtId="0" fontId="4" fillId="0" borderId="5" xfId="6" applyFont="1" applyBorder="1" applyAlignment="1">
      <alignment horizontal="center" vertical="top"/>
    </xf>
    <xf numFmtId="43" fontId="4" fillId="0" borderId="4" xfId="1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76200</xdr:rowOff>
    </xdr:from>
    <xdr:to>
      <xdr:col>8</xdr:col>
      <xdr:colOff>723900</xdr:colOff>
      <xdr:row>1</xdr:row>
      <xdr:rowOff>85725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8991600" y="76200"/>
          <a:ext cx="17526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M38"/>
  <sheetViews>
    <sheetView tabSelected="1" topLeftCell="A28" zoomScaleNormal="100" workbookViewId="0">
      <selection activeCell="C32" sqref="C32"/>
    </sheetView>
  </sheetViews>
  <sheetFormatPr defaultColWidth="9" defaultRowHeight="24"/>
  <cols>
    <col min="1" max="1" width="5.42578125" style="2" customWidth="1"/>
    <col min="2" max="2" width="12.7109375" style="2" customWidth="1"/>
    <col min="3" max="3" width="31" style="2" customWidth="1"/>
    <col min="4" max="4" width="38.28515625" style="2" customWidth="1"/>
    <col min="5" max="5" width="8.42578125" style="2" customWidth="1"/>
    <col min="6" max="6" width="7.28515625" style="2" customWidth="1"/>
    <col min="7" max="7" width="12.7109375" style="2" customWidth="1"/>
    <col min="8" max="8" width="14.28515625" style="2" customWidth="1"/>
    <col min="9" max="9" width="12.140625" style="10" customWidth="1"/>
    <col min="10" max="10" width="18.28515625" style="2" customWidth="1"/>
    <col min="11" max="11" width="12.7109375" style="2" customWidth="1"/>
    <col min="12" max="12" width="9" style="2"/>
    <col min="13" max="13" width="12.42578125" style="2" bestFit="1" customWidth="1"/>
    <col min="14" max="16384" width="9" style="2"/>
  </cols>
  <sheetData>
    <row r="1" spans="1:13">
      <c r="A1" s="55" t="s">
        <v>16</v>
      </c>
      <c r="B1" s="55"/>
      <c r="C1" s="55"/>
      <c r="D1" s="55"/>
      <c r="E1" s="55"/>
      <c r="F1" s="55"/>
      <c r="G1" s="55"/>
      <c r="H1" s="55"/>
      <c r="I1" s="55"/>
      <c r="J1" s="46"/>
    </row>
    <row r="2" spans="1:13">
      <c r="A2" s="56" t="s">
        <v>71</v>
      </c>
      <c r="B2" s="56"/>
      <c r="C2" s="56"/>
      <c r="D2" s="56"/>
      <c r="E2" s="56"/>
      <c r="F2" s="56"/>
      <c r="G2" s="56"/>
      <c r="H2" s="56"/>
      <c r="I2" s="56"/>
      <c r="J2" s="48"/>
    </row>
    <row r="3" spans="1:13">
      <c r="A3" s="57" t="s">
        <v>72</v>
      </c>
      <c r="B3" s="57"/>
      <c r="C3" s="57"/>
      <c r="D3" s="57"/>
      <c r="E3" s="57"/>
      <c r="F3" s="57"/>
      <c r="G3" s="57"/>
      <c r="H3" s="57"/>
      <c r="I3" s="57"/>
      <c r="J3" s="45"/>
    </row>
    <row r="4" spans="1:13" ht="45" customHeight="1">
      <c r="A4" s="31" t="s">
        <v>65</v>
      </c>
      <c r="B4" s="31" t="s">
        <v>68</v>
      </c>
      <c r="C4" s="31" t="s">
        <v>69</v>
      </c>
      <c r="D4" s="17" t="s">
        <v>0</v>
      </c>
      <c r="E4" s="31" t="s">
        <v>66</v>
      </c>
      <c r="F4" s="17" t="s">
        <v>1</v>
      </c>
      <c r="G4" s="31" t="s">
        <v>67</v>
      </c>
      <c r="H4" s="31" t="s">
        <v>70</v>
      </c>
      <c r="I4" s="31" t="s">
        <v>2</v>
      </c>
      <c r="J4" s="47"/>
    </row>
    <row r="5" spans="1:13">
      <c r="A5" s="18">
        <v>1</v>
      </c>
      <c r="B5" s="7" t="s">
        <v>75</v>
      </c>
      <c r="C5" s="44" t="s">
        <v>17</v>
      </c>
      <c r="D5" s="24" t="s">
        <v>18</v>
      </c>
      <c r="E5" s="4" t="s">
        <v>4</v>
      </c>
      <c r="F5" s="20">
        <v>40</v>
      </c>
      <c r="G5" s="19">
        <v>8500</v>
      </c>
      <c r="H5" s="19">
        <f>SUM(F5*G5)</f>
        <v>340000</v>
      </c>
      <c r="I5" s="12"/>
      <c r="J5" s="37"/>
      <c r="K5" s="35"/>
    </row>
    <row r="6" spans="1:13">
      <c r="A6" s="36">
        <v>2</v>
      </c>
      <c r="B6" s="7" t="s">
        <v>75</v>
      </c>
      <c r="C6" s="44" t="s">
        <v>19</v>
      </c>
      <c r="D6" s="24" t="s">
        <v>20</v>
      </c>
      <c r="E6" s="4" t="s">
        <v>4</v>
      </c>
      <c r="F6" s="20">
        <v>40</v>
      </c>
      <c r="G6" s="21">
        <v>8500</v>
      </c>
      <c r="H6" s="19">
        <f t="shared" ref="H6:H33" si="0">SUM(F6*G6)</f>
        <v>340000</v>
      </c>
      <c r="I6" s="12"/>
      <c r="J6" s="37"/>
      <c r="K6" s="35"/>
    </row>
    <row r="7" spans="1:13">
      <c r="A7" s="18">
        <v>3</v>
      </c>
      <c r="B7" s="7" t="s">
        <v>75</v>
      </c>
      <c r="C7" s="44" t="s">
        <v>21</v>
      </c>
      <c r="D7" s="24" t="s">
        <v>8</v>
      </c>
      <c r="E7" s="4" t="s">
        <v>4</v>
      </c>
      <c r="F7" s="20">
        <v>1</v>
      </c>
      <c r="G7" s="19">
        <v>24000</v>
      </c>
      <c r="H7" s="19">
        <f t="shared" si="0"/>
        <v>24000</v>
      </c>
      <c r="I7" s="12"/>
      <c r="J7" s="37"/>
      <c r="K7" s="35"/>
    </row>
    <row r="8" spans="1:13">
      <c r="A8" s="36">
        <v>4</v>
      </c>
      <c r="B8" s="7" t="s">
        <v>76</v>
      </c>
      <c r="C8" s="44" t="s">
        <v>22</v>
      </c>
      <c r="D8" s="24" t="s">
        <v>3</v>
      </c>
      <c r="E8" s="4" t="s">
        <v>5</v>
      </c>
      <c r="F8" s="20">
        <v>80</v>
      </c>
      <c r="G8" s="19">
        <v>800</v>
      </c>
      <c r="H8" s="19">
        <f t="shared" si="0"/>
        <v>64000</v>
      </c>
      <c r="I8" s="27"/>
      <c r="J8" s="37"/>
      <c r="K8" s="35"/>
    </row>
    <row r="9" spans="1:13">
      <c r="A9" s="18">
        <v>5</v>
      </c>
      <c r="B9" s="7" t="s">
        <v>76</v>
      </c>
      <c r="C9" s="44" t="s">
        <v>23</v>
      </c>
      <c r="D9" s="24" t="s">
        <v>24</v>
      </c>
      <c r="E9" s="4" t="s">
        <v>5</v>
      </c>
      <c r="F9" s="20">
        <v>80</v>
      </c>
      <c r="G9" s="19">
        <v>536</v>
      </c>
      <c r="H9" s="19">
        <f t="shared" si="0"/>
        <v>42880</v>
      </c>
      <c r="I9" s="27"/>
      <c r="J9" s="37"/>
      <c r="K9" s="35"/>
      <c r="M9" s="35"/>
    </row>
    <row r="10" spans="1:13">
      <c r="A10" s="36">
        <v>6</v>
      </c>
      <c r="B10" s="7" t="s">
        <v>77</v>
      </c>
      <c r="C10" s="44" t="s">
        <v>25</v>
      </c>
      <c r="D10" s="24" t="s">
        <v>26</v>
      </c>
      <c r="E10" s="4" t="s">
        <v>4</v>
      </c>
      <c r="F10" s="20">
        <v>2</v>
      </c>
      <c r="G10" s="19">
        <v>3000</v>
      </c>
      <c r="H10" s="19">
        <f t="shared" si="0"/>
        <v>6000</v>
      </c>
      <c r="I10" s="12"/>
      <c r="J10" s="37"/>
      <c r="K10" s="35"/>
    </row>
    <row r="11" spans="1:13">
      <c r="A11" s="18">
        <v>7</v>
      </c>
      <c r="B11" s="18">
        <v>2553</v>
      </c>
      <c r="C11" s="44" t="s">
        <v>27</v>
      </c>
      <c r="D11" s="24" t="s">
        <v>28</v>
      </c>
      <c r="E11" s="4" t="s">
        <v>4</v>
      </c>
      <c r="F11" s="20">
        <v>1</v>
      </c>
      <c r="G11" s="19">
        <v>4310</v>
      </c>
      <c r="H11" s="19">
        <f t="shared" si="0"/>
        <v>4310</v>
      </c>
      <c r="I11" s="12"/>
      <c r="J11" s="37"/>
      <c r="K11" s="35"/>
    </row>
    <row r="12" spans="1:13">
      <c r="A12" s="36">
        <v>8</v>
      </c>
      <c r="B12" s="18">
        <v>2553</v>
      </c>
      <c r="C12" s="44" t="s">
        <v>9</v>
      </c>
      <c r="D12" s="24" t="s">
        <v>29</v>
      </c>
      <c r="E12" s="4" t="s">
        <v>4</v>
      </c>
      <c r="F12" s="20">
        <v>1</v>
      </c>
      <c r="G12" s="19">
        <v>3950</v>
      </c>
      <c r="H12" s="19">
        <f t="shared" si="0"/>
        <v>3950</v>
      </c>
      <c r="I12" s="12"/>
      <c r="J12" s="37"/>
      <c r="K12" s="35"/>
    </row>
    <row r="13" spans="1:13">
      <c r="A13" s="18">
        <v>9</v>
      </c>
      <c r="B13" s="18">
        <v>2553</v>
      </c>
      <c r="C13" s="44" t="s">
        <v>30</v>
      </c>
      <c r="D13" s="24" t="s">
        <v>31</v>
      </c>
      <c r="E13" s="4" t="s">
        <v>4</v>
      </c>
      <c r="F13" s="20">
        <v>1</v>
      </c>
      <c r="G13" s="19">
        <v>3500</v>
      </c>
      <c r="H13" s="19">
        <f t="shared" si="0"/>
        <v>3500</v>
      </c>
      <c r="I13" s="12"/>
      <c r="J13" s="37"/>
      <c r="K13" s="35"/>
    </row>
    <row r="14" spans="1:13">
      <c r="A14" s="36">
        <v>10</v>
      </c>
      <c r="B14" s="18">
        <v>2553</v>
      </c>
      <c r="C14" s="44" t="s">
        <v>32</v>
      </c>
      <c r="D14" s="24" t="s">
        <v>14</v>
      </c>
      <c r="E14" s="4" t="s">
        <v>4</v>
      </c>
      <c r="F14" s="20">
        <v>4</v>
      </c>
      <c r="G14" s="19">
        <v>3750</v>
      </c>
      <c r="H14" s="19">
        <f t="shared" si="0"/>
        <v>15000</v>
      </c>
      <c r="I14" s="13"/>
      <c r="J14" s="42"/>
      <c r="K14" s="35"/>
    </row>
    <row r="15" spans="1:13">
      <c r="A15" s="18">
        <v>11</v>
      </c>
      <c r="B15" s="18">
        <v>2553</v>
      </c>
      <c r="C15" s="44" t="s">
        <v>33</v>
      </c>
      <c r="D15" s="24" t="s">
        <v>10</v>
      </c>
      <c r="E15" s="4" t="s">
        <v>4</v>
      </c>
      <c r="F15" s="20">
        <v>4</v>
      </c>
      <c r="G15" s="19">
        <v>1150</v>
      </c>
      <c r="H15" s="19">
        <f t="shared" si="0"/>
        <v>4600</v>
      </c>
      <c r="I15" s="13"/>
      <c r="J15" s="42"/>
      <c r="K15" s="35"/>
    </row>
    <row r="16" spans="1:13">
      <c r="A16" s="36">
        <v>12</v>
      </c>
      <c r="B16" s="18">
        <v>2553</v>
      </c>
      <c r="C16" s="44" t="s">
        <v>34</v>
      </c>
      <c r="D16" s="24" t="s">
        <v>35</v>
      </c>
      <c r="E16" s="4" t="s">
        <v>4</v>
      </c>
      <c r="F16" s="20">
        <v>5</v>
      </c>
      <c r="G16" s="19">
        <v>3000</v>
      </c>
      <c r="H16" s="19">
        <f t="shared" si="0"/>
        <v>15000</v>
      </c>
      <c r="I16" s="11"/>
      <c r="J16" s="9"/>
      <c r="K16" s="35"/>
    </row>
    <row r="17" spans="1:11">
      <c r="A17" s="18">
        <v>13</v>
      </c>
      <c r="B17" s="18">
        <v>2553</v>
      </c>
      <c r="C17" s="3" t="s">
        <v>36</v>
      </c>
      <c r="D17" s="1" t="s">
        <v>13</v>
      </c>
      <c r="E17" s="4" t="s">
        <v>4</v>
      </c>
      <c r="F17" s="5">
        <v>1</v>
      </c>
      <c r="G17" s="19">
        <v>32000</v>
      </c>
      <c r="H17" s="19">
        <f t="shared" si="0"/>
        <v>32000</v>
      </c>
      <c r="I17" s="11"/>
      <c r="J17" s="9"/>
      <c r="K17" s="35"/>
    </row>
    <row r="18" spans="1:11">
      <c r="A18" s="36">
        <v>14</v>
      </c>
      <c r="B18" s="18">
        <v>2553</v>
      </c>
      <c r="C18" s="8" t="s">
        <v>37</v>
      </c>
      <c r="D18" s="8" t="s">
        <v>6</v>
      </c>
      <c r="E18" s="4" t="s">
        <v>4</v>
      </c>
      <c r="F18" s="29">
        <v>1</v>
      </c>
      <c r="G18" s="19">
        <v>2590</v>
      </c>
      <c r="H18" s="19">
        <f t="shared" si="0"/>
        <v>2590</v>
      </c>
      <c r="I18" s="11"/>
      <c r="J18" s="9"/>
      <c r="K18" s="35"/>
    </row>
    <row r="19" spans="1:11">
      <c r="A19" s="18">
        <v>15</v>
      </c>
      <c r="B19" s="18">
        <v>2553</v>
      </c>
      <c r="C19" s="3" t="s">
        <v>38</v>
      </c>
      <c r="D19" s="1" t="s">
        <v>7</v>
      </c>
      <c r="E19" s="4" t="s">
        <v>4</v>
      </c>
      <c r="F19" s="5">
        <v>1</v>
      </c>
      <c r="G19" s="19">
        <v>17000</v>
      </c>
      <c r="H19" s="19">
        <f t="shared" si="0"/>
        <v>17000</v>
      </c>
      <c r="I19" s="11"/>
      <c r="J19" s="41"/>
      <c r="K19" s="35"/>
    </row>
    <row r="20" spans="1:11">
      <c r="A20" s="36">
        <v>16</v>
      </c>
      <c r="B20" s="18">
        <v>2553</v>
      </c>
      <c r="C20" s="44" t="s">
        <v>39</v>
      </c>
      <c r="D20" s="24" t="s">
        <v>18</v>
      </c>
      <c r="E20" s="4" t="s">
        <v>4</v>
      </c>
      <c r="F20" s="20">
        <v>10</v>
      </c>
      <c r="G20" s="19">
        <v>12000</v>
      </c>
      <c r="H20" s="19">
        <f t="shared" si="0"/>
        <v>120000</v>
      </c>
      <c r="I20" s="11"/>
      <c r="J20" s="41"/>
      <c r="K20" s="35"/>
    </row>
    <row r="21" spans="1:11">
      <c r="A21" s="18">
        <v>17</v>
      </c>
      <c r="B21" s="18">
        <v>2553</v>
      </c>
      <c r="C21" s="44" t="s">
        <v>40</v>
      </c>
      <c r="D21" s="24" t="s">
        <v>41</v>
      </c>
      <c r="E21" s="4" t="s">
        <v>4</v>
      </c>
      <c r="F21" s="20">
        <v>2</v>
      </c>
      <c r="G21" s="19">
        <v>2500</v>
      </c>
      <c r="H21" s="19">
        <f t="shared" si="0"/>
        <v>5000</v>
      </c>
      <c r="I21" s="11"/>
      <c r="J21" s="41"/>
      <c r="K21" s="35"/>
    </row>
    <row r="22" spans="1:11">
      <c r="A22" s="36">
        <v>18</v>
      </c>
      <c r="B22" s="18">
        <v>2553</v>
      </c>
      <c r="C22" s="44" t="s">
        <v>42</v>
      </c>
      <c r="D22" s="24" t="s">
        <v>43</v>
      </c>
      <c r="E22" s="4" t="s">
        <v>4</v>
      </c>
      <c r="F22" s="20">
        <v>1</v>
      </c>
      <c r="G22" s="19">
        <v>20000</v>
      </c>
      <c r="H22" s="19">
        <f t="shared" si="0"/>
        <v>20000</v>
      </c>
      <c r="I22" s="11"/>
      <c r="J22" s="41"/>
      <c r="K22" s="35"/>
    </row>
    <row r="23" spans="1:11">
      <c r="A23" s="18">
        <v>19</v>
      </c>
      <c r="B23" s="18">
        <v>2553</v>
      </c>
      <c r="C23" s="44" t="s">
        <v>44</v>
      </c>
      <c r="D23" s="24" t="s">
        <v>45</v>
      </c>
      <c r="E23" s="4" t="s">
        <v>4</v>
      </c>
      <c r="F23" s="20">
        <v>1</v>
      </c>
      <c r="G23" s="19">
        <v>2000</v>
      </c>
      <c r="H23" s="19">
        <f t="shared" si="0"/>
        <v>2000</v>
      </c>
      <c r="I23" s="11"/>
      <c r="J23" s="41"/>
      <c r="K23" s="35"/>
    </row>
    <row r="24" spans="1:11">
      <c r="A24" s="36">
        <v>20</v>
      </c>
      <c r="B24" s="18">
        <v>2553</v>
      </c>
      <c r="C24" s="44" t="s">
        <v>44</v>
      </c>
      <c r="D24" s="24" t="s">
        <v>46</v>
      </c>
      <c r="E24" s="33" t="s">
        <v>4</v>
      </c>
      <c r="F24" s="20">
        <v>1</v>
      </c>
      <c r="G24" s="19">
        <v>500</v>
      </c>
      <c r="H24" s="19">
        <f t="shared" si="0"/>
        <v>500</v>
      </c>
      <c r="I24" s="11"/>
      <c r="J24" s="41"/>
      <c r="K24" s="35"/>
    </row>
    <row r="25" spans="1:11">
      <c r="A25" s="18">
        <v>21</v>
      </c>
      <c r="B25" s="18">
        <v>2553</v>
      </c>
      <c r="C25" s="44" t="s">
        <v>47</v>
      </c>
      <c r="D25" s="24" t="s">
        <v>48</v>
      </c>
      <c r="E25" s="33" t="s">
        <v>4</v>
      </c>
      <c r="F25" s="20">
        <v>1</v>
      </c>
      <c r="G25" s="19">
        <v>11214.95</v>
      </c>
      <c r="H25" s="19">
        <f t="shared" si="0"/>
        <v>11214.95</v>
      </c>
      <c r="I25" s="11"/>
      <c r="J25" s="41"/>
      <c r="K25" s="35"/>
    </row>
    <row r="26" spans="1:11">
      <c r="A26" s="36">
        <v>22</v>
      </c>
      <c r="B26" s="18">
        <v>2553</v>
      </c>
      <c r="C26" s="44" t="s">
        <v>49</v>
      </c>
      <c r="D26" s="24" t="s">
        <v>50</v>
      </c>
      <c r="E26" s="33" t="s">
        <v>4</v>
      </c>
      <c r="F26" s="20">
        <v>1</v>
      </c>
      <c r="G26" s="19">
        <v>7009.35</v>
      </c>
      <c r="H26" s="19">
        <f t="shared" si="0"/>
        <v>7009.35</v>
      </c>
      <c r="I26" s="11"/>
      <c r="J26" s="41"/>
      <c r="K26" s="35"/>
    </row>
    <row r="27" spans="1:11">
      <c r="A27" s="18">
        <v>23</v>
      </c>
      <c r="B27" s="18">
        <v>2553</v>
      </c>
      <c r="C27" s="44" t="s">
        <v>51</v>
      </c>
      <c r="D27" s="24" t="s">
        <v>52</v>
      </c>
      <c r="E27" s="33" t="s">
        <v>4</v>
      </c>
      <c r="F27" s="20">
        <v>1</v>
      </c>
      <c r="G27" s="19">
        <v>34900</v>
      </c>
      <c r="H27" s="19">
        <f t="shared" si="0"/>
        <v>34900</v>
      </c>
      <c r="I27" s="11"/>
      <c r="J27" s="41"/>
      <c r="K27" s="35"/>
    </row>
    <row r="28" spans="1:11">
      <c r="A28" s="36">
        <v>24</v>
      </c>
      <c r="B28" s="18">
        <v>2553</v>
      </c>
      <c r="C28" s="44" t="s">
        <v>53</v>
      </c>
      <c r="D28" s="24" t="s">
        <v>54</v>
      </c>
      <c r="E28" s="33" t="s">
        <v>4</v>
      </c>
      <c r="F28" s="20">
        <v>1</v>
      </c>
      <c r="G28" s="19">
        <v>6500</v>
      </c>
      <c r="H28" s="19">
        <f t="shared" si="0"/>
        <v>6500</v>
      </c>
      <c r="I28" s="11"/>
      <c r="J28" s="9"/>
      <c r="K28" s="35"/>
    </row>
    <row r="29" spans="1:11">
      <c r="A29" s="18">
        <v>25</v>
      </c>
      <c r="B29" s="18">
        <v>2553</v>
      </c>
      <c r="C29" s="44" t="s">
        <v>55</v>
      </c>
      <c r="D29" s="24" t="s">
        <v>56</v>
      </c>
      <c r="E29" s="33" t="s">
        <v>4</v>
      </c>
      <c r="F29" s="20">
        <v>4</v>
      </c>
      <c r="G29" s="19">
        <v>1675</v>
      </c>
      <c r="H29" s="19">
        <f t="shared" si="0"/>
        <v>6700</v>
      </c>
      <c r="I29" s="11"/>
      <c r="J29" s="9"/>
      <c r="K29" s="35"/>
    </row>
    <row r="30" spans="1:11">
      <c r="A30" s="36">
        <v>26</v>
      </c>
      <c r="B30" s="18">
        <v>2553</v>
      </c>
      <c r="C30" s="44" t="s">
        <v>57</v>
      </c>
      <c r="D30" s="24" t="s">
        <v>58</v>
      </c>
      <c r="E30" s="33" t="s">
        <v>4</v>
      </c>
      <c r="F30" s="20">
        <v>1</v>
      </c>
      <c r="G30" s="19">
        <v>1850</v>
      </c>
      <c r="H30" s="19">
        <f t="shared" si="0"/>
        <v>1850</v>
      </c>
      <c r="I30" s="11"/>
      <c r="J30" s="9"/>
      <c r="K30" s="35"/>
    </row>
    <row r="31" spans="1:11">
      <c r="A31" s="18">
        <v>27</v>
      </c>
      <c r="B31" s="33">
        <v>2556</v>
      </c>
      <c r="C31" s="3" t="s">
        <v>59</v>
      </c>
      <c r="D31" s="1" t="s">
        <v>60</v>
      </c>
      <c r="E31" s="33" t="s">
        <v>4</v>
      </c>
      <c r="F31" s="5">
        <v>1</v>
      </c>
      <c r="G31" s="6">
        <v>129000</v>
      </c>
      <c r="H31" s="19">
        <f t="shared" si="0"/>
        <v>129000</v>
      </c>
      <c r="I31" s="11"/>
      <c r="J31" s="9"/>
      <c r="K31" s="35"/>
    </row>
    <row r="32" spans="1:11" s="23" customFormat="1" ht="46.5" customHeight="1">
      <c r="A32" s="43">
        <v>28</v>
      </c>
      <c r="B32" s="22">
        <v>2556</v>
      </c>
      <c r="C32" s="26" t="s">
        <v>61</v>
      </c>
      <c r="D32" s="25" t="s">
        <v>63</v>
      </c>
      <c r="E32" s="22" t="s">
        <v>4</v>
      </c>
      <c r="F32" s="30">
        <v>20</v>
      </c>
      <c r="G32" s="28">
        <v>26450</v>
      </c>
      <c r="H32" s="51">
        <f t="shared" si="0"/>
        <v>529000</v>
      </c>
      <c r="I32" s="14"/>
      <c r="J32" s="49"/>
      <c r="K32" s="50"/>
    </row>
    <row r="33" spans="1:13" s="23" customFormat="1" ht="24" customHeight="1">
      <c r="A33" s="43">
        <v>29</v>
      </c>
      <c r="B33" s="22" t="s">
        <v>74</v>
      </c>
      <c r="C33" s="26" t="s">
        <v>73</v>
      </c>
      <c r="D33" s="25" t="s">
        <v>78</v>
      </c>
      <c r="E33" s="22" t="s">
        <v>5</v>
      </c>
      <c r="F33" s="52">
        <v>1</v>
      </c>
      <c r="G33" s="28">
        <v>2690</v>
      </c>
      <c r="H33" s="53">
        <f t="shared" si="0"/>
        <v>2690</v>
      </c>
      <c r="I33" s="54"/>
      <c r="J33" s="49"/>
      <c r="K33" s="50"/>
    </row>
    <row r="34" spans="1:13">
      <c r="A34" s="59" t="s">
        <v>15</v>
      </c>
      <c r="B34" s="60"/>
      <c r="C34" s="60"/>
      <c r="D34" s="60"/>
      <c r="E34" s="61"/>
      <c r="F34" s="32"/>
      <c r="G34" s="38" t="s">
        <v>64</v>
      </c>
      <c r="H34" s="39">
        <f>SUM(H5:H33)</f>
        <v>1791194.3</v>
      </c>
      <c r="I34" s="15"/>
      <c r="J34" s="34"/>
      <c r="K34" s="35"/>
      <c r="M34" s="35"/>
    </row>
    <row r="35" spans="1:13" ht="36" customHeight="1">
      <c r="A35" s="9"/>
      <c r="B35" s="9"/>
      <c r="C35" s="9"/>
      <c r="D35" s="9"/>
      <c r="E35" s="9"/>
      <c r="F35" s="40"/>
      <c r="G35" s="9"/>
      <c r="H35" s="9"/>
      <c r="I35" s="16"/>
      <c r="J35" s="9"/>
    </row>
    <row r="36" spans="1:13">
      <c r="A36" s="9"/>
      <c r="B36" s="9"/>
      <c r="C36" s="9"/>
      <c r="D36" s="9"/>
      <c r="E36" s="9"/>
      <c r="F36" s="58" t="s">
        <v>11</v>
      </c>
      <c r="G36" s="58"/>
      <c r="H36" s="58"/>
      <c r="I36" s="58"/>
      <c r="J36" s="45"/>
    </row>
    <row r="37" spans="1:13">
      <c r="A37" s="9"/>
      <c r="B37" s="9"/>
      <c r="C37" s="9"/>
      <c r="D37" s="9"/>
      <c r="E37" s="9"/>
      <c r="F37" s="58" t="s">
        <v>62</v>
      </c>
      <c r="G37" s="58"/>
      <c r="H37" s="58"/>
      <c r="I37" s="58"/>
      <c r="J37" s="45"/>
      <c r="M37" s="35"/>
    </row>
    <row r="38" spans="1:13">
      <c r="A38" s="9"/>
      <c r="B38" s="9"/>
      <c r="C38" s="9"/>
      <c r="D38" s="9"/>
      <c r="E38" s="9"/>
      <c r="F38" s="58" t="s">
        <v>12</v>
      </c>
      <c r="G38" s="58"/>
      <c r="H38" s="58"/>
      <c r="I38" s="58"/>
      <c r="J38" s="45"/>
    </row>
  </sheetData>
  <mergeCells count="7">
    <mergeCell ref="A1:I1"/>
    <mergeCell ref="A2:I2"/>
    <mergeCell ref="A3:I3"/>
    <mergeCell ref="F38:I38"/>
    <mergeCell ref="F37:I37"/>
    <mergeCell ref="A34:E34"/>
    <mergeCell ref="F36:I36"/>
  </mergeCells>
  <printOptions horizontalCentered="1"/>
  <pageMargins left="0.19685039370078741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แผนกการตลาด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2022-04-28T07:23:17Z</cp:lastPrinted>
  <dcterms:created xsi:type="dcterms:W3CDTF">2017-11-14T01:32:33Z</dcterms:created>
  <dcterms:modified xsi:type="dcterms:W3CDTF">2022-06-07T03:17:11Z</dcterms:modified>
</cp:coreProperties>
</file>