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6B5DEA68-D8F9-423A-A0E9-17E299C26B01}" xr6:coauthVersionLast="47" xr6:coauthVersionMax="47" xr10:uidLastSave="{00000000-0000-0000-0000-000000000000}"/>
  <bookViews>
    <workbookView xWindow="-120" yWindow="-120" windowWidth="24240" windowHeight="13140" tabRatio="897" activeTab="1" xr2:uid="{00000000-000D-0000-FFFF-FFFF00000000}"/>
  </bookViews>
  <sheets>
    <sheet name="แผนกช่างยนต์" sheetId="45" r:id="rId1"/>
    <sheet name="สาขาเครื่องกลอุตสาหกรรม" sheetId="46" r:id="rId2"/>
  </sheets>
  <definedNames>
    <definedName name="_xlnm.Print_Titles" localSheetId="0">แผนกช่างยนต์!$1:$4</definedName>
    <definedName name="_xlnm.Print_Titles" localSheetId="1">สาขาเครื่องกลอุตสาหกรรม!#REF!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0" i="45" l="1"/>
  <c r="H93" i="45" l="1"/>
  <c r="H92" i="45"/>
  <c r="H89" i="45"/>
  <c r="H88" i="45"/>
  <c r="H87" i="45"/>
  <c r="H86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H61" i="45"/>
  <c r="H60" i="45"/>
  <c r="H59" i="45"/>
  <c r="H58" i="45"/>
  <c r="H57" i="45"/>
  <c r="H56" i="45"/>
  <c r="H55" i="45"/>
  <c r="H54" i="45"/>
  <c r="H53" i="45"/>
  <c r="H52" i="45"/>
  <c r="H51" i="45"/>
  <c r="H50" i="45"/>
  <c r="H49" i="45"/>
  <c r="H46" i="45"/>
  <c r="H45" i="45"/>
  <c r="H44" i="45"/>
  <c r="H43" i="45"/>
  <c r="H42" i="45"/>
  <c r="H41" i="45"/>
  <c r="H40" i="45"/>
  <c r="H39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  <c r="H47" i="45" l="1"/>
  <c r="H48" i="45" s="1"/>
  <c r="H90" i="45" s="1"/>
  <c r="H91" i="45" s="1"/>
  <c r="H101" i="45" s="1"/>
</calcChain>
</file>

<file path=xl/sharedStrings.xml><?xml version="1.0" encoding="utf-8"?>
<sst xmlns="http://schemas.openxmlformats.org/spreadsheetml/2006/main" count="436" uniqueCount="243">
  <si>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</si>
  <si>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</si>
  <si>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</si>
  <si>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</si>
  <si>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</si>
  <si>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</si>
  <si>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หัวหน้าหน่วยจ่าย/หน่วยเบิก</t>
  </si>
  <si>
    <t>รวมเป็นเงิน</t>
  </si>
  <si>
    <t>ปกอ.</t>
  </si>
  <si>
    <t>ชุดเครื่องคอมพิวเตอร์</t>
  </si>
  <si>
    <t xml:space="preserve"> สถานศึกษา วิทยาลัยเทคนิคกันทรลักษ์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</si>
  <si>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</si>
  <si>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</si>
  <si>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</si>
  <si>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</si>
  <si>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</si>
  <si>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</si>
  <si>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</si>
  <si>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</si>
  <si>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</si>
  <si>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</si>
  <si>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</si>
  <si>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</si>
  <si>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</si>
  <si>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</si>
  <si>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</si>
  <si>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</si>
  <si>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</si>
  <si>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</si>
  <si>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</si>
  <si>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</si>
  <si>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</si>
  <si>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</si>
  <si>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</si>
  <si>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</si>
  <si>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</si>
  <si>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</si>
  <si>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</si>
  <si>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</si>
  <si>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</si>
  <si>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</si>
  <si>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</si>
  <si>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</si>
  <si>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</si>
  <si>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</si>
  <si>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</si>
  <si>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</si>
  <si>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</si>
  <si>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</si>
  <si>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</si>
  <si>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</si>
  <si>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</si>
  <si>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</si>
  <si>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</si>
  <si>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</si>
  <si>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</si>
  <si>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</si>
  <si>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</si>
  <si>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</si>
  <si>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</si>
  <si>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</si>
  <si>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</si>
  <si>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</si>
  <si>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</si>
  <si>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</si>
  <si>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</si>
  <si>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</si>
  <si>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</si>
  <si>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</si>
  <si>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</si>
  <si>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</si>
  <si>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</si>
  <si>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</si>
  <si>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</si>
  <si>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</si>
  <si>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</si>
  <si>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</si>
  <si>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</si>
  <si>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</si>
  <si>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</si>
  <si>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</si>
  <si>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</si>
  <si>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</si>
  <si>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</si>
  <si>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</si>
  <si>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</si>
  <si>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</si>
  <si>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</si>
  <si>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</si>
  <si>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</si>
  <si>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</si>
  <si>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</si>
  <si>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</si>
  <si>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</si>
  <si>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</si>
  <si>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</si>
  <si>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7440-001-0001/462-002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</si>
  <si>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</si>
  <si>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</si>
  <si>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</si>
  <si>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</si>
  <si>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4910-033-0001/461-001</t>
  </si>
  <si>
    <t>เครื่องสมดุลล้อรถยนต์แบบนอกรถ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</si>
  <si>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</si>
  <si>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</si>
  <si>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</si>
  <si>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</si>
  <si>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6910-001-0008/461-001</t>
  </si>
  <si>
    <t>ชุดฝึกจักรยานยนต์ 4 จังหวะ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</si>
  <si>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</si>
  <si>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</si>
  <si>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</si>
  <si>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</si>
  <si>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</si>
  <si>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</si>
  <si>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</si>
  <si>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</si>
  <si>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ชุดฝึกวงจรอิเล็กทรอนิกส์เบื้องต้น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</si>
  <si>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</si>
  <si>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</si>
  <si>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</si>
  <si>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</si>
  <si>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</si>
  <si>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</si>
  <si>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</si>
  <si>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</si>
  <si>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</si>
  <si>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</si>
  <si>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4140-001-0003/482-013-018</t>
  </si>
  <si>
    <t>พัดลมโคจร 16  นิ้ว</t>
  </si>
  <si>
    <t>2815-001-0004/493-001</t>
  </si>
  <si>
    <t>เครื่องยนต์ TOYOTA 2 L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</si>
  <si>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</si>
  <si>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</si>
  <si>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</si>
  <si>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</si>
  <si>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</si>
  <si>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</si>
  <si>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</si>
  <si>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6910-001-0020/491-001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</si>
  <si>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</si>
  <si>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</si>
  <si>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</si>
  <si>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</si>
  <si>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</si>
  <si>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</si>
  <si>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</si>
  <si>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</si>
  <si>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</si>
  <si>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3940-005-0001/521-001</t>
  </si>
  <si>
    <t>เครนยกเครื่องยนต์ ขนาด 1 ตัน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</si>
  <si>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</si>
  <si>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</si>
  <si>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</si>
  <si>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</si>
  <si>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</si>
  <si>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</si>
  <si>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</si>
  <si>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</si>
  <si>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</si>
  <si>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</si>
  <si>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</si>
  <si>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</si>
  <si>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</si>
  <si>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</si>
  <si>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</si>
  <si>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</si>
  <si>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</si>
  <si>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</si>
  <si>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</si>
  <si>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</si>
  <si>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</si>
  <si>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(นายวัฒนา  ทองเทพ)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</si>
  <si>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</si>
  <si>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</si>
  <si>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</si>
  <si>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</si>
  <si>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</si>
  <si>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</si>
  <si>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>ชุดโปรแกรมการวัดและการทดลองแบบ  CBT พร้อมแหล่งจ่ายไฟ</t>
  </si>
  <si>
    <t xml:space="preserve">เครื่องยนต์ดีเซลเล็กไม่ต่ำกว่า 9.5 แรง พร้อมชุดเกียร์ </t>
  </si>
  <si>
    <t>เครื่องมือถอดประกอบชุดระบบส่งกำลัง และเครื่องล่างรถยนต์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</si>
  <si>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</si>
  <si>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</si>
  <si>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</si>
  <si>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</si>
  <si>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</si>
  <si>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</si>
  <si>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</si>
  <si>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</si>
  <si>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 xml:space="preserve"> ....................................................</t>
  </si>
  <si>
    <t>ชุดปฏิบัติการช่วงล่างรถยนต์แบบกล้อง 3D ประกอบด้วย</t>
  </si>
  <si>
    <t>ประจำปี 2564  ณ วันที่ 30 กันยายน 2564</t>
  </si>
  <si>
    <t>เครื่องพิมพ์เลเซอร์</t>
  </si>
  <si>
    <t>7440-010-0002/642-011(13)</t>
  </si>
  <si>
    <t>2539</t>
  </si>
  <si>
    <t>2540</t>
  </si>
  <si>
    <t>2545</t>
  </si>
  <si>
    <t>2546</t>
  </si>
  <si>
    <t>2552</t>
  </si>
  <si>
    <t>2553</t>
  </si>
  <si>
    <t>บัญชีรายการ แผนกวิชาช่างยนต์  คงเหลือ</t>
  </si>
  <si>
    <t>6910-001-0014/461-001-461-002</t>
  </si>
  <si>
    <t>บัญชีรายการ แผนกวิชาช่างยนต์ สาขาเครื่องกลอุตสาหกรรม คงเหลือ</t>
  </si>
  <si>
    <t>7110-007-0009.3/391-024-027</t>
  </si>
  <si>
    <t>7125-004-0007/391-006-010</t>
  </si>
  <si>
    <t>4910-016-0001/391-003</t>
  </si>
  <si>
    <t>2340-005-002/401-006</t>
  </si>
  <si>
    <t>เครื่องจักรยานยนต์ 1 สูบ 4 จังหวะ ขนาด 90-125 cc</t>
  </si>
  <si>
    <t>2340-005-001/401-006</t>
  </si>
  <si>
    <t>เครื่องจักรยานยนต์ 1 สูบ 4 จังหวะ ขนาด 80-125 cc</t>
  </si>
  <si>
    <t>6910-001-0009/461-003-004</t>
  </si>
  <si>
    <t>ชุดฝึกเครื่องยนต์แก๊สโซลีน</t>
  </si>
  <si>
    <t>3470-002-0002/461-001</t>
  </si>
  <si>
    <t>ชุดเชื่อมแก๊สพร้อมอุปกรณ์เคลื่อนที่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</si>
  <si>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</si>
  <si>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</si>
  <si>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</si>
  <si>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</si>
  <si>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</si>
  <si>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7440-001-0001/531-101-102</t>
  </si>
  <si>
    <t>เครื่องคอมพิวเตอร์พร้อมโต๊ะ</t>
  </si>
  <si>
    <t>6730-001-0003/531-005</t>
  </si>
  <si>
    <t>เครื่องฉายมัลติมีเดียโปรเจกเตอร์</t>
  </si>
  <si>
    <t>7430-008-0002/531-029</t>
  </si>
  <si>
    <t>เครื่องปริ้นเตอร์</t>
  </si>
  <si>
    <t>7440-001-0014/551-001</t>
  </si>
  <si>
    <t>ชุดครุภัณฑ์ปฏิบัติการสาขางานออกแบบ</t>
  </si>
  <si>
    <t>5130-007-0003/641-001</t>
  </si>
  <si>
    <t>สว่านโรตารี่</t>
  </si>
  <si>
    <t>5120-024-0001/641-001</t>
  </si>
  <si>
    <t>หินเจียร์ 4  นิ้ว</t>
  </si>
  <si>
    <t>5120-024-0002/641-001</t>
  </si>
  <si>
    <t>หินเจียร์ 7 นิ้ว</t>
  </si>
  <si>
    <t>5120-024-0003/641-001</t>
  </si>
  <si>
    <t>บล็อกแบตเตอรี่ไร้สาย</t>
  </si>
  <si>
    <t>5130-007-0002/641-001</t>
  </si>
  <si>
    <t>สว่านแบตเตอรี่ไร้สาย</t>
  </si>
  <si>
    <t>....................................................</t>
  </si>
  <si>
    <t>2548</t>
  </si>
  <si>
    <t>2550</t>
  </si>
  <si>
    <t>2555</t>
  </si>
  <si>
    <t>30 ก.ย.64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</si>
</sst>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2">
    <xf numFmtId="0" fontId="0" fillId="0" borderId="0" xfId="0"/>
    <xf numFmtId="0" fontId="2" fillId="0" borderId="1" xfId="6" applyFont="1" applyBorder="1" applyAlignment="1">
      <alignment horizontal="left"/>
    </xf>
    <xf numFmtId="0" fontId="2" fillId="0" borderId="1" xfId="6" applyFont="1" applyBorder="1"/>
    <xf numFmtId="0" fontId="2" fillId="2" borderId="1" xfId="6" applyFont="1" applyFill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15" fontId="5" fillId="0" borderId="1" xfId="0" applyNumberFormat="1" applyFont="1" applyBorder="1" applyAlignment="1">
      <alignment horizontal="center"/>
    </xf>
    <xf numFmtId="43" fontId="4" fillId="2" borderId="1" xfId="1" applyFont="1" applyFill="1" applyBorder="1"/>
    <xf numFmtId="0" fontId="5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right"/>
    </xf>
    <xf numFmtId="15" fontId="5" fillId="2" borderId="1" xfId="0" applyNumberFormat="1" applyFont="1" applyFill="1" applyBorder="1" applyAlignment="1">
      <alignment horizontal="center"/>
    </xf>
    <xf numFmtId="0" fontId="4" fillId="2" borderId="1" xfId="6" applyFont="1" applyFill="1" applyBorder="1"/>
    <xf numFmtId="0" fontId="5" fillId="2" borderId="1" xfId="0" applyFont="1" applyFill="1" applyBorder="1" applyAlignment="1">
      <alignment horizont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9" fontId="4" fillId="0" borderId="1" xfId="6" applyNumberFormat="1" applyFont="1" applyBorder="1" applyAlignment="1">
      <alignment horizontal="left"/>
    </xf>
    <xf numFmtId="43" fontId="4" fillId="0" borderId="1" xfId="12" applyFont="1" applyBorder="1" applyAlignment="1">
      <alignment horizontal="center"/>
    </xf>
    <xf numFmtId="0" fontId="4" fillId="0" borderId="1" xfId="6" applyFont="1" applyFill="1" applyBorder="1"/>
    <xf numFmtId="0" fontId="4" fillId="0" borderId="1" xfId="8" applyFont="1" applyBorder="1"/>
    <xf numFmtId="0" fontId="4" fillId="0" borderId="1" xfId="8" applyFont="1" applyBorder="1" applyAlignment="1">
      <alignment horizontal="left"/>
    </xf>
    <xf numFmtId="0" fontId="4" fillId="2" borderId="1" xfId="6" applyFont="1" applyFill="1" applyBorder="1" applyAlignment="1">
      <alignment horizontal="center"/>
    </xf>
    <xf numFmtId="0" fontId="4" fillId="0" borderId="1" xfId="8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6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43" fontId="5" fillId="0" borderId="1" xfId="0" applyNumberFormat="1" applyFont="1" applyBorder="1" applyAlignment="1"/>
    <xf numFmtId="43" fontId="5" fillId="0" borderId="0" xfId="0" applyNumberFormat="1" applyFont="1" applyBorder="1" applyAlignment="1"/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6" applyFont="1" applyFill="1" applyBorder="1"/>
    <xf numFmtId="0" fontId="4" fillId="0" borderId="0" xfId="2" applyFont="1" applyBorder="1" applyAlignment="1">
      <alignment horizontal="center"/>
    </xf>
    <xf numFmtId="0" fontId="4" fillId="2" borderId="1" xfId="6" applyFont="1" applyFill="1" applyBorder="1" applyAlignment="1">
      <alignment horizontal="left" indent="1"/>
    </xf>
    <xf numFmtId="0" fontId="4" fillId="2" borderId="1" xfId="6" applyFont="1" applyFill="1" applyBorder="1" applyAlignment="1">
      <alignment horizontal="left" indent="3"/>
    </xf>
    <xf numFmtId="0" fontId="7" fillId="0" borderId="0" xfId="0" applyFont="1" applyBorder="1" applyAlignment="1">
      <alignment horizontal="center"/>
    </xf>
    <xf numFmtId="0" fontId="5" fillId="0" borderId="0" xfId="0" applyFont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3" fontId="4" fillId="0" borderId="1" xfId="15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3" fontId="4" fillId="0" borderId="1" xfId="14" applyFont="1" applyFill="1" applyBorder="1"/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Alignment="1">
      <alignment horizontal="left"/>
    </xf>
    <xf numFmtId="43" fontId="5" fillId="0" borderId="1" xfId="0" applyNumberFormat="1" applyFont="1" applyFill="1" applyBorder="1" applyAlignment="1"/>
    <xf numFmtId="0" fontId="5" fillId="0" borderId="4" xfId="0" applyFont="1" applyFill="1" applyBorder="1" applyAlignment="1"/>
    <xf numFmtId="0" fontId="4" fillId="0" borderId="6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43" fontId="4" fillId="0" borderId="1" xfId="14" applyFont="1" applyBorder="1"/>
    <xf numFmtId="49" fontId="4" fillId="0" borderId="5" xfId="6" applyNumberFormat="1" applyFont="1" applyBorder="1" applyAlignment="1">
      <alignment horizontal="left" vertical="center"/>
    </xf>
    <xf numFmtId="49" fontId="4" fillId="0" borderId="7" xfId="6" applyNumberFormat="1" applyFont="1" applyBorder="1" applyAlignment="1">
      <alignment horizontal="left" vertical="center"/>
    </xf>
    <xf numFmtId="0" fontId="4" fillId="0" borderId="7" xfId="6" applyNumberFormat="1" applyFont="1" applyBorder="1" applyAlignment="1">
      <alignment horizontal="center" vertical="center"/>
    </xf>
    <xf numFmtId="43" fontId="4" fillId="0" borderId="5" xfId="14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2" fillId="0" borderId="7" xfId="6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center"/>
    </xf>
    <xf numFmtId="0" fontId="4" fillId="0" borderId="1" xfId="8" applyFont="1" applyBorder="1" applyAlignment="1">
      <alignment horizontal="left"/>
    </xf>
    <xf numFmtId="49" fontId="4" fillId="0" borderId="1" xfId="6" applyNumberFormat="1" applyFont="1" applyBorder="1" applyAlignment="1">
      <alignment horizontal="left" vertical="center"/>
    </xf>
    <xf numFmtId="0" fontId="4" fillId="0" borderId="1" xfId="8" applyFont="1" applyBorder="1" applyAlignment="1">
      <alignment horizontal="center"/>
    </xf>
    <xf numFmtId="49" fontId="4" fillId="0" borderId="1" xfId="6" applyNumberFormat="1" applyFont="1" applyBorder="1" applyAlignment="1">
      <alignment horizontal="left"/>
    </xf>
    <xf numFmtId="0" fontId="4" fillId="0" borderId="1" xfId="6" applyNumberFormat="1" applyFont="1" applyBorder="1" applyAlignment="1">
      <alignment horizontal="center"/>
    </xf>
    <xf numFmtId="43" fontId="4" fillId="0" borderId="1" xfId="14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14" applyFont="1" applyBorder="1"/>
    <xf numFmtId="0" fontId="4" fillId="3" borderId="1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82F02599-9511-4392-91AC-555A1A635690}"/>
    <cellStyle name="จุลภาค" xfId="1" builtinId="3"/>
    <cellStyle name="จุลภาค 2" xfId="14" xr:uid="{87E4A67C-9A24-4592-BF24-D0CAA3C7E894}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57150</xdr:rowOff>
    </xdr:from>
    <xdr:to>
      <xdr:col>8</xdr:col>
      <xdr:colOff>581025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29550" y="5715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0</xdr:row>
      <xdr:rowOff>104775</xdr:rowOff>
    </xdr:from>
    <xdr:to>
      <xdr:col>8</xdr:col>
      <xdr:colOff>552450</xdr:colOff>
      <xdr:row>1</xdr:row>
      <xdr:rowOff>123825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E8DE28A-1D80-444C-952B-48EA4CC5814B}"/>
            </a:ext>
          </a:extLst>
        </xdr:cNvPr>
        <xdr:cNvSpPr txBox="1"/>
      </xdr:nvSpPr>
      <xdr:spPr>
        <a:xfrm>
          <a:off x="8362950" y="104775"/>
          <a:ext cx="1781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106"/>
  <sheetViews>
    <sheetView topLeftCell="A64" zoomScaleNormal="100" workbookViewId="0">
      <selection activeCell="C40" sqref="C40"/>
    </sheetView>
  </sheetViews>
  <sheetFormatPr defaultColWidth="9" defaultRowHeight="24"/>
  <cols>
    <col min="1" max="1" width="5.28515625" style="5" customWidth="1"/>
    <col min="2" max="2" width="11.5703125" style="42" customWidth="1"/>
    <col min="3" max="3" width="33.28515625" style="37" customWidth="1"/>
    <col min="4" max="4" width="45.140625" style="5" customWidth="1"/>
    <col min="5" max="5" width="6.5703125" style="5" customWidth="1"/>
    <col min="6" max="6" width="6.42578125" style="5" customWidth="1"/>
    <col min="7" max="7" width="12.7109375" style="5" customWidth="1"/>
    <col min="8" max="8" width="14" style="5" customWidth="1"/>
    <col min="9" max="9" width="8.42578125" style="42" customWidth="1"/>
    <col min="10" max="16384" width="9" style="5"/>
  </cols>
  <sheetData>
    <row r="1" spans="1:9">
      <c r="A1" s="86" t="s">
        <v>10</v>
      </c>
      <c r="B1" s="86"/>
      <c r="C1" s="86"/>
      <c r="D1" s="86"/>
      <c r="E1" s="86"/>
      <c r="F1" s="86"/>
      <c r="G1" s="86"/>
      <c r="H1" s="86"/>
      <c r="I1" s="86"/>
    </row>
    <row r="2" spans="1:9">
      <c r="A2" s="87" t="s">
        <v>201</v>
      </c>
      <c r="B2" s="87"/>
      <c r="C2" s="87"/>
      <c r="D2" s="87"/>
      <c r="E2" s="87"/>
      <c r="F2" s="87"/>
      <c r="G2" s="87"/>
      <c r="H2" s="87"/>
      <c r="I2" s="87"/>
    </row>
    <row r="3" spans="1:9">
      <c r="A3" s="88" t="s">
        <v>192</v>
      </c>
      <c r="B3" s="88"/>
      <c r="C3" s="88"/>
      <c r="D3" s="88"/>
      <c r="E3" s="88"/>
      <c r="F3" s="88"/>
      <c r="G3" s="88"/>
      <c r="H3" s="88"/>
      <c r="I3" s="88"/>
    </row>
    <row r="4" spans="1:9" ht="42.75" customHeight="1">
      <c r="A4" s="32" t="s">
        <v>182</v>
      </c>
      <c r="B4" s="32" t="s">
        <v>185</v>
      </c>
      <c r="C4" s="32" t="s">
        <v>186</v>
      </c>
      <c r="D4" s="15" t="s">
        <v>0</v>
      </c>
      <c r="E4" s="32" t="s">
        <v>183</v>
      </c>
      <c r="F4" s="15" t="s">
        <v>1</v>
      </c>
      <c r="G4" s="32" t="s">
        <v>184</v>
      </c>
      <c r="H4" s="32" t="s">
        <v>187</v>
      </c>
      <c r="I4" s="32" t="s">
        <v>2</v>
      </c>
    </row>
    <row r="5" spans="1:9">
      <c r="A5" s="35">
        <v>1</v>
      </c>
      <c r="B5" s="23" t="s">
        <v>195</v>
      </c>
      <c r="C5" s="6" t="s">
        <v>11</v>
      </c>
      <c r="D5" s="4" t="s">
        <v>12</v>
      </c>
      <c r="E5" s="7" t="s">
        <v>4</v>
      </c>
      <c r="F5" s="8">
        <v>1</v>
      </c>
      <c r="G5" s="10">
        <v>478800</v>
      </c>
      <c r="H5" s="10">
        <f>SUM(F5*G5)</f>
        <v>478800</v>
      </c>
      <c r="I5" s="22"/>
    </row>
    <row r="6" spans="1:9">
      <c r="A6" s="21">
        <v>2</v>
      </c>
      <c r="B6" s="23" t="s">
        <v>195</v>
      </c>
      <c r="C6" s="6" t="s">
        <v>13</v>
      </c>
      <c r="D6" s="4" t="s">
        <v>174</v>
      </c>
      <c r="E6" s="7" t="s">
        <v>4</v>
      </c>
      <c r="F6" s="8">
        <v>1</v>
      </c>
      <c r="G6" s="10">
        <v>30000</v>
      </c>
      <c r="H6" s="10">
        <f>SUM(F6*G6)</f>
        <v>30000</v>
      </c>
      <c r="I6" s="22"/>
    </row>
    <row r="7" spans="1:9">
      <c r="A7" s="35">
        <v>3</v>
      </c>
      <c r="B7" s="23" t="s">
        <v>195</v>
      </c>
      <c r="C7" s="6" t="s">
        <v>14</v>
      </c>
      <c r="D7" s="4" t="s">
        <v>15</v>
      </c>
      <c r="E7" s="7" t="s">
        <v>4</v>
      </c>
      <c r="F7" s="8">
        <v>1</v>
      </c>
      <c r="G7" s="10">
        <v>158800</v>
      </c>
      <c r="H7" s="10">
        <f t="shared" ref="H7:H72" si="0">SUM(F7*G7)</f>
        <v>158800</v>
      </c>
      <c r="I7" s="22"/>
    </row>
    <row r="8" spans="1:9">
      <c r="A8" s="21">
        <v>4</v>
      </c>
      <c r="B8" s="23" t="s">
        <v>195</v>
      </c>
      <c r="C8" s="6" t="s">
        <v>16</v>
      </c>
      <c r="D8" s="4" t="s">
        <v>17</v>
      </c>
      <c r="E8" s="7" t="s">
        <v>4</v>
      </c>
      <c r="F8" s="8">
        <v>1</v>
      </c>
      <c r="G8" s="10">
        <v>498800</v>
      </c>
      <c r="H8" s="10">
        <f t="shared" si="0"/>
        <v>498800</v>
      </c>
      <c r="I8" s="22"/>
    </row>
    <row r="9" spans="1:9">
      <c r="A9" s="35">
        <v>5</v>
      </c>
      <c r="B9" s="23" t="s">
        <v>195</v>
      </c>
      <c r="C9" s="6" t="s">
        <v>18</v>
      </c>
      <c r="D9" s="4" t="s">
        <v>19</v>
      </c>
      <c r="E9" s="7" t="s">
        <v>4</v>
      </c>
      <c r="F9" s="8">
        <v>2</v>
      </c>
      <c r="G9" s="10">
        <v>18500</v>
      </c>
      <c r="H9" s="10">
        <f t="shared" si="0"/>
        <v>37000</v>
      </c>
      <c r="I9" s="22"/>
    </row>
    <row r="10" spans="1:9">
      <c r="A10" s="21">
        <v>6</v>
      </c>
      <c r="B10" s="23" t="s">
        <v>195</v>
      </c>
      <c r="C10" s="6" t="s">
        <v>20</v>
      </c>
      <c r="D10" s="4" t="s">
        <v>21</v>
      </c>
      <c r="E10" s="7" t="s">
        <v>4</v>
      </c>
      <c r="F10" s="8">
        <v>8</v>
      </c>
      <c r="G10" s="10">
        <v>4850</v>
      </c>
      <c r="H10" s="10">
        <f t="shared" si="0"/>
        <v>38800</v>
      </c>
      <c r="I10" s="26"/>
    </row>
    <row r="11" spans="1:9">
      <c r="A11" s="35">
        <v>7</v>
      </c>
      <c r="B11" s="23" t="s">
        <v>195</v>
      </c>
      <c r="C11" s="6" t="s">
        <v>22</v>
      </c>
      <c r="D11" s="6" t="s">
        <v>23</v>
      </c>
      <c r="E11" s="7" t="s">
        <v>4</v>
      </c>
      <c r="F11" s="8">
        <v>5</v>
      </c>
      <c r="G11" s="10">
        <v>5000</v>
      </c>
      <c r="H11" s="10">
        <f t="shared" si="0"/>
        <v>25000</v>
      </c>
      <c r="I11" s="26"/>
    </row>
    <row r="12" spans="1:9">
      <c r="A12" s="21">
        <v>8</v>
      </c>
      <c r="B12" s="23" t="s">
        <v>195</v>
      </c>
      <c r="C12" s="6" t="s">
        <v>24</v>
      </c>
      <c r="D12" s="6" t="s">
        <v>25</v>
      </c>
      <c r="E12" s="7" t="s">
        <v>4</v>
      </c>
      <c r="F12" s="8">
        <v>1</v>
      </c>
      <c r="G12" s="10">
        <v>78000</v>
      </c>
      <c r="H12" s="10">
        <f t="shared" si="0"/>
        <v>78000</v>
      </c>
      <c r="I12" s="34"/>
    </row>
    <row r="13" spans="1:9">
      <c r="A13" s="35">
        <v>9</v>
      </c>
      <c r="B13" s="23" t="s">
        <v>195</v>
      </c>
      <c r="C13" s="6" t="s">
        <v>26</v>
      </c>
      <c r="D13" s="6" t="s">
        <v>27</v>
      </c>
      <c r="E13" s="7" t="s">
        <v>4</v>
      </c>
      <c r="F13" s="8">
        <v>1</v>
      </c>
      <c r="G13" s="10">
        <v>24000</v>
      </c>
      <c r="H13" s="10">
        <f t="shared" si="0"/>
        <v>24000</v>
      </c>
      <c r="I13" s="34"/>
    </row>
    <row r="14" spans="1:9">
      <c r="A14" s="21">
        <v>10</v>
      </c>
      <c r="B14" s="23" t="s">
        <v>195</v>
      </c>
      <c r="C14" s="6" t="s">
        <v>28</v>
      </c>
      <c r="D14" s="6" t="s">
        <v>29</v>
      </c>
      <c r="E14" s="7" t="s">
        <v>4</v>
      </c>
      <c r="F14" s="8">
        <v>1</v>
      </c>
      <c r="G14" s="10">
        <v>24000</v>
      </c>
      <c r="H14" s="10">
        <f t="shared" si="0"/>
        <v>24000</v>
      </c>
      <c r="I14" s="34"/>
    </row>
    <row r="15" spans="1:9">
      <c r="A15" s="35">
        <v>11</v>
      </c>
      <c r="B15" s="23" t="s">
        <v>195</v>
      </c>
      <c r="C15" s="6" t="s">
        <v>30</v>
      </c>
      <c r="D15" s="6" t="s">
        <v>31</v>
      </c>
      <c r="E15" s="7" t="s">
        <v>4</v>
      </c>
      <c r="F15" s="8">
        <v>1</v>
      </c>
      <c r="G15" s="10">
        <v>82000</v>
      </c>
      <c r="H15" s="10">
        <f t="shared" si="0"/>
        <v>82000</v>
      </c>
      <c r="I15" s="34"/>
    </row>
    <row r="16" spans="1:9">
      <c r="A16" s="21">
        <v>12</v>
      </c>
      <c r="B16" s="23" t="s">
        <v>195</v>
      </c>
      <c r="C16" s="6" t="s">
        <v>32</v>
      </c>
      <c r="D16" s="6" t="s">
        <v>33</v>
      </c>
      <c r="E16" s="7" t="s">
        <v>4</v>
      </c>
      <c r="F16" s="8">
        <v>1</v>
      </c>
      <c r="G16" s="10">
        <v>98000</v>
      </c>
      <c r="H16" s="10">
        <f t="shared" si="0"/>
        <v>98000</v>
      </c>
      <c r="I16" s="34"/>
    </row>
    <row r="17" spans="1:9">
      <c r="A17" s="35">
        <v>13</v>
      </c>
      <c r="B17" s="20" t="s">
        <v>196</v>
      </c>
      <c r="C17" s="6" t="s">
        <v>34</v>
      </c>
      <c r="D17" s="1" t="s">
        <v>181</v>
      </c>
      <c r="E17" s="7" t="s">
        <v>4</v>
      </c>
      <c r="F17" s="8">
        <v>1</v>
      </c>
      <c r="G17" s="10">
        <v>178000</v>
      </c>
      <c r="H17" s="10">
        <f t="shared" si="0"/>
        <v>178000</v>
      </c>
      <c r="I17" s="34"/>
    </row>
    <row r="18" spans="1:9">
      <c r="A18" s="21">
        <v>14</v>
      </c>
      <c r="B18" s="20" t="s">
        <v>196</v>
      </c>
      <c r="C18" s="6" t="s">
        <v>35</v>
      </c>
      <c r="D18" s="6" t="s">
        <v>36</v>
      </c>
      <c r="E18" s="34" t="s">
        <v>4</v>
      </c>
      <c r="F18" s="8">
        <v>2</v>
      </c>
      <c r="G18" s="10">
        <v>46500</v>
      </c>
      <c r="H18" s="10">
        <f t="shared" si="0"/>
        <v>93000</v>
      </c>
      <c r="I18" s="34"/>
    </row>
    <row r="19" spans="1:9">
      <c r="A19" s="35">
        <v>15</v>
      </c>
      <c r="B19" s="20" t="s">
        <v>196</v>
      </c>
      <c r="C19" s="6" t="s">
        <v>37</v>
      </c>
      <c r="D19" s="6" t="s">
        <v>38</v>
      </c>
      <c r="E19" s="34" t="s">
        <v>4</v>
      </c>
      <c r="F19" s="8">
        <v>1</v>
      </c>
      <c r="G19" s="10">
        <v>72000</v>
      </c>
      <c r="H19" s="10">
        <f t="shared" si="0"/>
        <v>72000</v>
      </c>
      <c r="I19" s="34"/>
    </row>
    <row r="20" spans="1:9">
      <c r="A20" s="21">
        <v>16</v>
      </c>
      <c r="B20" s="20" t="s">
        <v>196</v>
      </c>
      <c r="C20" s="6" t="s">
        <v>39</v>
      </c>
      <c r="D20" s="6" t="s">
        <v>40</v>
      </c>
      <c r="E20" s="34" t="s">
        <v>4</v>
      </c>
      <c r="F20" s="8">
        <v>1</v>
      </c>
      <c r="G20" s="10">
        <v>480000</v>
      </c>
      <c r="H20" s="10">
        <f t="shared" si="0"/>
        <v>480000</v>
      </c>
      <c r="I20" s="34"/>
    </row>
    <row r="21" spans="1:9">
      <c r="A21" s="35">
        <v>17</v>
      </c>
      <c r="B21" s="20" t="s">
        <v>196</v>
      </c>
      <c r="C21" s="6" t="s">
        <v>41</v>
      </c>
      <c r="D21" s="6" t="s">
        <v>42</v>
      </c>
      <c r="E21" s="34" t="s">
        <v>4</v>
      </c>
      <c r="F21" s="8">
        <v>1</v>
      </c>
      <c r="G21" s="10">
        <v>96000</v>
      </c>
      <c r="H21" s="10">
        <f t="shared" si="0"/>
        <v>96000</v>
      </c>
      <c r="I21" s="34"/>
    </row>
    <row r="22" spans="1:9">
      <c r="A22" s="21">
        <v>18</v>
      </c>
      <c r="B22" s="20" t="s">
        <v>196</v>
      </c>
      <c r="C22" s="6" t="s">
        <v>43</v>
      </c>
      <c r="D22" s="6" t="s">
        <v>44</v>
      </c>
      <c r="E22" s="34" t="s">
        <v>4</v>
      </c>
      <c r="F22" s="8">
        <v>1</v>
      </c>
      <c r="G22" s="10">
        <v>39000</v>
      </c>
      <c r="H22" s="10">
        <f t="shared" si="0"/>
        <v>39000</v>
      </c>
      <c r="I22" s="34"/>
    </row>
    <row r="23" spans="1:9">
      <c r="A23" s="35">
        <v>19</v>
      </c>
      <c r="B23" s="20" t="s">
        <v>196</v>
      </c>
      <c r="C23" s="6" t="s">
        <v>45</v>
      </c>
      <c r="D23" s="6" t="s">
        <v>160</v>
      </c>
      <c r="E23" s="34" t="s">
        <v>4</v>
      </c>
      <c r="F23" s="8">
        <v>1</v>
      </c>
      <c r="G23" s="10">
        <v>142000</v>
      </c>
      <c r="H23" s="10">
        <f t="shared" si="0"/>
        <v>142000</v>
      </c>
      <c r="I23" s="34"/>
    </row>
    <row r="24" spans="1:9">
      <c r="A24" s="21">
        <v>20</v>
      </c>
      <c r="B24" s="20" t="s">
        <v>196</v>
      </c>
      <c r="C24" s="6" t="s">
        <v>46</v>
      </c>
      <c r="D24" s="4" t="s">
        <v>47</v>
      </c>
      <c r="E24" s="34" t="s">
        <v>4</v>
      </c>
      <c r="F24" s="8">
        <v>1</v>
      </c>
      <c r="G24" s="10">
        <v>41800</v>
      </c>
      <c r="H24" s="10">
        <f t="shared" si="0"/>
        <v>41800</v>
      </c>
      <c r="I24" s="34"/>
    </row>
    <row r="25" spans="1:9">
      <c r="A25" s="35">
        <v>21</v>
      </c>
      <c r="B25" s="20" t="s">
        <v>196</v>
      </c>
      <c r="C25" s="6" t="s">
        <v>48</v>
      </c>
      <c r="D25" s="4" t="s">
        <v>49</v>
      </c>
      <c r="E25" s="34" t="s">
        <v>4</v>
      </c>
      <c r="F25" s="7">
        <v>1</v>
      </c>
      <c r="G25" s="10">
        <v>95000</v>
      </c>
      <c r="H25" s="10">
        <f t="shared" si="0"/>
        <v>95000</v>
      </c>
      <c r="I25" s="34"/>
    </row>
    <row r="26" spans="1:9">
      <c r="A26" s="21">
        <v>22</v>
      </c>
      <c r="B26" s="20" t="s">
        <v>196</v>
      </c>
      <c r="C26" s="6" t="s">
        <v>50</v>
      </c>
      <c r="D26" s="4" t="s">
        <v>51</v>
      </c>
      <c r="E26" s="34" t="s">
        <v>4</v>
      </c>
      <c r="F26" s="7">
        <v>1</v>
      </c>
      <c r="G26" s="10">
        <v>43800</v>
      </c>
      <c r="H26" s="10">
        <f t="shared" si="0"/>
        <v>43800</v>
      </c>
      <c r="I26" s="34"/>
    </row>
    <row r="27" spans="1:9">
      <c r="A27" s="35">
        <v>23</v>
      </c>
      <c r="B27" s="20" t="s">
        <v>196</v>
      </c>
      <c r="C27" s="6" t="s">
        <v>52</v>
      </c>
      <c r="D27" s="4" t="s">
        <v>53</v>
      </c>
      <c r="E27" s="34" t="s">
        <v>4</v>
      </c>
      <c r="F27" s="7">
        <v>1</v>
      </c>
      <c r="G27" s="10">
        <v>14500</v>
      </c>
      <c r="H27" s="10">
        <f t="shared" si="0"/>
        <v>14500</v>
      </c>
      <c r="I27" s="34"/>
    </row>
    <row r="28" spans="1:9">
      <c r="A28" s="21">
        <v>24</v>
      </c>
      <c r="B28" s="20" t="s">
        <v>196</v>
      </c>
      <c r="C28" s="6" t="s">
        <v>54</v>
      </c>
      <c r="D28" s="4" t="s">
        <v>55</v>
      </c>
      <c r="E28" s="34" t="s">
        <v>4</v>
      </c>
      <c r="F28" s="8">
        <v>1</v>
      </c>
      <c r="G28" s="10">
        <v>95000</v>
      </c>
      <c r="H28" s="10">
        <f t="shared" si="0"/>
        <v>95000</v>
      </c>
      <c r="I28" s="22"/>
    </row>
    <row r="29" spans="1:9">
      <c r="A29" s="35">
        <v>25</v>
      </c>
      <c r="B29" s="20" t="s">
        <v>196</v>
      </c>
      <c r="C29" s="6" t="s">
        <v>56</v>
      </c>
      <c r="D29" s="4" t="s">
        <v>175</v>
      </c>
      <c r="E29" s="7" t="s">
        <v>4</v>
      </c>
      <c r="F29" s="8">
        <v>1</v>
      </c>
      <c r="G29" s="10">
        <v>43800</v>
      </c>
      <c r="H29" s="10">
        <f t="shared" si="0"/>
        <v>43800</v>
      </c>
      <c r="I29" s="22"/>
    </row>
    <row r="30" spans="1:9">
      <c r="A30" s="21">
        <v>26</v>
      </c>
      <c r="B30" s="20" t="s">
        <v>196</v>
      </c>
      <c r="C30" s="6" t="s">
        <v>57</v>
      </c>
      <c r="D30" s="4" t="s">
        <v>58</v>
      </c>
      <c r="E30" s="7" t="s">
        <v>4</v>
      </c>
      <c r="F30" s="8">
        <v>1</v>
      </c>
      <c r="G30" s="10">
        <v>62000</v>
      </c>
      <c r="H30" s="10">
        <f t="shared" si="0"/>
        <v>62000</v>
      </c>
      <c r="I30" s="22"/>
    </row>
    <row r="31" spans="1:9">
      <c r="A31" s="35">
        <v>27</v>
      </c>
      <c r="B31" s="20" t="s">
        <v>196</v>
      </c>
      <c r="C31" s="6" t="s">
        <v>59</v>
      </c>
      <c r="D31" s="4" t="s">
        <v>60</v>
      </c>
      <c r="E31" s="7" t="s">
        <v>4</v>
      </c>
      <c r="F31" s="8">
        <v>1</v>
      </c>
      <c r="G31" s="10">
        <v>84000</v>
      </c>
      <c r="H31" s="10">
        <f t="shared" si="0"/>
        <v>84000</v>
      </c>
      <c r="I31" s="22"/>
    </row>
    <row r="32" spans="1:9">
      <c r="A32" s="21">
        <v>28</v>
      </c>
      <c r="B32" s="20" t="s">
        <v>196</v>
      </c>
      <c r="C32" s="6" t="s">
        <v>61</v>
      </c>
      <c r="D32" s="4" t="s">
        <v>62</v>
      </c>
      <c r="E32" s="7" t="s">
        <v>4</v>
      </c>
      <c r="F32" s="8">
        <v>1</v>
      </c>
      <c r="G32" s="10">
        <v>84000</v>
      </c>
      <c r="H32" s="10">
        <f t="shared" si="0"/>
        <v>84000</v>
      </c>
      <c r="I32" s="22"/>
    </row>
    <row r="33" spans="1:9">
      <c r="A33" s="35">
        <v>29</v>
      </c>
      <c r="B33" s="20" t="s">
        <v>196</v>
      </c>
      <c r="C33" s="6" t="s">
        <v>63</v>
      </c>
      <c r="D33" s="4" t="s">
        <v>64</v>
      </c>
      <c r="E33" s="7" t="s">
        <v>4</v>
      </c>
      <c r="F33" s="8">
        <v>1</v>
      </c>
      <c r="G33" s="10">
        <v>28500</v>
      </c>
      <c r="H33" s="10">
        <f t="shared" si="0"/>
        <v>28500</v>
      </c>
      <c r="I33" s="22"/>
    </row>
    <row r="34" spans="1:9">
      <c r="A34" s="21">
        <v>30</v>
      </c>
      <c r="B34" s="20" t="s">
        <v>196</v>
      </c>
      <c r="C34" s="6" t="s">
        <v>65</v>
      </c>
      <c r="D34" s="4" t="s">
        <v>66</v>
      </c>
      <c r="E34" s="7" t="s">
        <v>4</v>
      </c>
      <c r="F34" s="8">
        <v>1</v>
      </c>
      <c r="G34" s="10">
        <v>56000</v>
      </c>
      <c r="H34" s="10">
        <f t="shared" si="0"/>
        <v>56000</v>
      </c>
      <c r="I34" s="22"/>
    </row>
    <row r="35" spans="1:9">
      <c r="A35" s="35">
        <v>31</v>
      </c>
      <c r="B35" s="20" t="s">
        <v>196</v>
      </c>
      <c r="C35" s="6" t="s">
        <v>67</v>
      </c>
      <c r="D35" s="4" t="s">
        <v>68</v>
      </c>
      <c r="E35" s="7" t="s">
        <v>4</v>
      </c>
      <c r="F35" s="8">
        <v>1</v>
      </c>
      <c r="G35" s="10">
        <v>94000</v>
      </c>
      <c r="H35" s="10">
        <f t="shared" si="0"/>
        <v>94000</v>
      </c>
      <c r="I35" s="22"/>
    </row>
    <row r="36" spans="1:9">
      <c r="A36" s="21">
        <v>32</v>
      </c>
      <c r="B36" s="20" t="s">
        <v>196</v>
      </c>
      <c r="C36" s="6" t="s">
        <v>69</v>
      </c>
      <c r="D36" s="4" t="s">
        <v>70</v>
      </c>
      <c r="E36" s="7" t="s">
        <v>4</v>
      </c>
      <c r="F36" s="8">
        <v>1</v>
      </c>
      <c r="G36" s="10">
        <v>22500</v>
      </c>
      <c r="H36" s="10">
        <f t="shared" si="0"/>
        <v>22500</v>
      </c>
      <c r="I36" s="26"/>
    </row>
    <row r="37" spans="1:9">
      <c r="A37" s="35">
        <v>33</v>
      </c>
      <c r="B37" s="20" t="s">
        <v>196</v>
      </c>
      <c r="C37" s="6" t="s">
        <v>71</v>
      </c>
      <c r="D37" s="2" t="s">
        <v>176</v>
      </c>
      <c r="E37" s="7" t="s">
        <v>4</v>
      </c>
      <c r="F37" s="8">
        <v>1</v>
      </c>
      <c r="G37" s="10">
        <v>65000</v>
      </c>
      <c r="H37" s="10">
        <f t="shared" si="0"/>
        <v>65000</v>
      </c>
      <c r="I37" s="34"/>
    </row>
    <row r="38" spans="1:9">
      <c r="A38" s="21">
        <v>34</v>
      </c>
      <c r="B38" s="20" t="s">
        <v>196</v>
      </c>
      <c r="C38" s="6" t="s">
        <v>72</v>
      </c>
      <c r="D38" s="4" t="s">
        <v>73</v>
      </c>
      <c r="E38" s="7" t="s">
        <v>4</v>
      </c>
      <c r="F38" s="8">
        <v>1</v>
      </c>
      <c r="G38" s="10">
        <v>12000</v>
      </c>
      <c r="H38" s="10">
        <f t="shared" si="0"/>
        <v>12000</v>
      </c>
      <c r="I38" s="34"/>
    </row>
    <row r="39" spans="1:9">
      <c r="A39" s="35">
        <v>35</v>
      </c>
      <c r="B39" s="20" t="s">
        <v>196</v>
      </c>
      <c r="C39" s="6" t="s">
        <v>74</v>
      </c>
      <c r="D39" s="4" t="s">
        <v>75</v>
      </c>
      <c r="E39" s="7" t="s">
        <v>4</v>
      </c>
      <c r="F39" s="8">
        <v>3</v>
      </c>
      <c r="G39" s="10">
        <v>17800</v>
      </c>
      <c r="H39" s="10">
        <f t="shared" si="0"/>
        <v>53400</v>
      </c>
      <c r="I39" s="34"/>
    </row>
    <row r="40" spans="1:9">
      <c r="A40" s="21">
        <v>36</v>
      </c>
      <c r="B40" s="20" t="s">
        <v>196</v>
      </c>
      <c r="C40" s="6" t="s">
        <v>76</v>
      </c>
      <c r="D40" s="4" t="s">
        <v>77</v>
      </c>
      <c r="E40" s="7" t="s">
        <v>4</v>
      </c>
      <c r="F40" s="8">
        <v>3</v>
      </c>
      <c r="G40" s="10">
        <v>12800</v>
      </c>
      <c r="H40" s="10">
        <f t="shared" si="0"/>
        <v>38400</v>
      </c>
      <c r="I40" s="34"/>
    </row>
    <row r="41" spans="1:9">
      <c r="A41" s="35">
        <v>37</v>
      </c>
      <c r="B41" s="20" t="s">
        <v>196</v>
      </c>
      <c r="C41" s="6" t="s">
        <v>78</v>
      </c>
      <c r="D41" s="4" t="s">
        <v>161</v>
      </c>
      <c r="E41" s="7" t="s">
        <v>4</v>
      </c>
      <c r="F41" s="8">
        <v>5</v>
      </c>
      <c r="G41" s="10">
        <v>8400</v>
      </c>
      <c r="H41" s="10">
        <f t="shared" si="0"/>
        <v>42000</v>
      </c>
      <c r="I41" s="34"/>
    </row>
    <row r="42" spans="1:9">
      <c r="A42" s="21">
        <v>38</v>
      </c>
      <c r="B42" s="20" t="s">
        <v>196</v>
      </c>
      <c r="C42" s="6" t="s">
        <v>79</v>
      </c>
      <c r="D42" s="4" t="s">
        <v>162</v>
      </c>
      <c r="E42" s="7" t="s">
        <v>4</v>
      </c>
      <c r="F42" s="8">
        <v>5</v>
      </c>
      <c r="G42" s="10">
        <v>8400</v>
      </c>
      <c r="H42" s="10">
        <f t="shared" si="0"/>
        <v>42000</v>
      </c>
      <c r="I42" s="34"/>
    </row>
    <row r="43" spans="1:9">
      <c r="A43" s="35">
        <v>39</v>
      </c>
      <c r="B43" s="20" t="s">
        <v>196</v>
      </c>
      <c r="C43" s="6" t="s">
        <v>80</v>
      </c>
      <c r="D43" s="4" t="s">
        <v>81</v>
      </c>
      <c r="E43" s="34" t="s">
        <v>4</v>
      </c>
      <c r="F43" s="8">
        <v>3</v>
      </c>
      <c r="G43" s="10">
        <v>36500</v>
      </c>
      <c r="H43" s="10">
        <f t="shared" si="0"/>
        <v>109500</v>
      </c>
      <c r="I43" s="34"/>
    </row>
    <row r="44" spans="1:9">
      <c r="A44" s="21">
        <v>40</v>
      </c>
      <c r="B44" s="34">
        <v>2541</v>
      </c>
      <c r="C44" s="6" t="s">
        <v>82</v>
      </c>
      <c r="D44" s="4" t="s">
        <v>83</v>
      </c>
      <c r="E44" s="34" t="s">
        <v>4</v>
      </c>
      <c r="F44" s="8">
        <v>1</v>
      </c>
      <c r="G44" s="10">
        <v>29700</v>
      </c>
      <c r="H44" s="10">
        <f t="shared" si="0"/>
        <v>29700</v>
      </c>
      <c r="I44" s="34"/>
    </row>
    <row r="45" spans="1:9">
      <c r="A45" s="35">
        <v>41</v>
      </c>
      <c r="B45" s="34">
        <v>2541</v>
      </c>
      <c r="C45" s="6" t="s">
        <v>84</v>
      </c>
      <c r="D45" s="4" t="s">
        <v>85</v>
      </c>
      <c r="E45" s="34" t="s">
        <v>4</v>
      </c>
      <c r="F45" s="8">
        <v>1</v>
      </c>
      <c r="G45" s="10">
        <v>49800</v>
      </c>
      <c r="H45" s="10">
        <f t="shared" si="0"/>
        <v>49800</v>
      </c>
      <c r="I45" s="34"/>
    </row>
    <row r="46" spans="1:9">
      <c r="A46" s="21">
        <v>42</v>
      </c>
      <c r="B46" s="34">
        <v>2544</v>
      </c>
      <c r="C46" s="6" t="s">
        <v>86</v>
      </c>
      <c r="D46" s="25" t="s">
        <v>87</v>
      </c>
      <c r="E46" s="34" t="s">
        <v>4</v>
      </c>
      <c r="F46" s="8">
        <v>1</v>
      </c>
      <c r="G46" s="16">
        <v>50900</v>
      </c>
      <c r="H46" s="10">
        <f>SUM(F46*G46)</f>
        <v>50900</v>
      </c>
      <c r="I46" s="34"/>
    </row>
    <row r="47" spans="1:9">
      <c r="A47" s="84" t="s">
        <v>188</v>
      </c>
      <c r="B47" s="84"/>
      <c r="C47" s="84"/>
      <c r="D47" s="84"/>
      <c r="E47" s="34"/>
      <c r="F47" s="8"/>
      <c r="G47" s="10"/>
      <c r="H47" s="10">
        <f>SUM(H5:H46)</f>
        <v>3930800</v>
      </c>
      <c r="I47" s="34"/>
    </row>
    <row r="48" spans="1:9">
      <c r="A48" s="84" t="s">
        <v>189</v>
      </c>
      <c r="B48" s="84"/>
      <c r="C48" s="84"/>
      <c r="D48" s="84"/>
      <c r="E48" s="34"/>
      <c r="F48" s="8"/>
      <c r="G48" s="10"/>
      <c r="H48" s="10">
        <f>SUM(H47)</f>
        <v>3930800</v>
      </c>
      <c r="I48" s="34"/>
    </row>
    <row r="49" spans="1:9">
      <c r="A49" s="35">
        <v>43</v>
      </c>
      <c r="B49" s="34">
        <v>2544</v>
      </c>
      <c r="C49" s="6" t="s">
        <v>88</v>
      </c>
      <c r="D49" s="6" t="s">
        <v>89</v>
      </c>
      <c r="E49" s="34" t="s">
        <v>4</v>
      </c>
      <c r="F49" s="8">
        <v>1</v>
      </c>
      <c r="G49" s="16">
        <v>68900</v>
      </c>
      <c r="H49" s="10">
        <f t="shared" si="0"/>
        <v>68900</v>
      </c>
      <c r="I49" s="34"/>
    </row>
    <row r="50" spans="1:9">
      <c r="A50" s="21">
        <v>44</v>
      </c>
      <c r="B50" s="34">
        <v>2544</v>
      </c>
      <c r="C50" s="6" t="s">
        <v>90</v>
      </c>
      <c r="D50" s="6" t="s">
        <v>91</v>
      </c>
      <c r="E50" s="34" t="s">
        <v>4</v>
      </c>
      <c r="F50" s="8">
        <v>1</v>
      </c>
      <c r="G50" s="16">
        <v>880000</v>
      </c>
      <c r="H50" s="10">
        <f t="shared" si="0"/>
        <v>880000</v>
      </c>
      <c r="I50" s="34"/>
    </row>
    <row r="51" spans="1:9">
      <c r="A51" s="35">
        <v>45</v>
      </c>
      <c r="B51" s="11" t="s">
        <v>197</v>
      </c>
      <c r="C51" s="6" t="s">
        <v>92</v>
      </c>
      <c r="D51" s="6" t="s">
        <v>93</v>
      </c>
      <c r="E51" s="34" t="s">
        <v>4</v>
      </c>
      <c r="F51" s="8">
        <v>1</v>
      </c>
      <c r="G51" s="16">
        <v>159500</v>
      </c>
      <c r="H51" s="10">
        <f t="shared" si="0"/>
        <v>159500</v>
      </c>
      <c r="I51" s="22"/>
    </row>
    <row r="52" spans="1:9">
      <c r="A52" s="21">
        <v>46</v>
      </c>
      <c r="B52" s="23" t="s">
        <v>197</v>
      </c>
      <c r="C52" s="6" t="s">
        <v>94</v>
      </c>
      <c r="D52" s="6" t="s">
        <v>95</v>
      </c>
      <c r="E52" s="7" t="s">
        <v>5</v>
      </c>
      <c r="F52" s="8">
        <v>1</v>
      </c>
      <c r="G52" s="16">
        <v>30000</v>
      </c>
      <c r="H52" s="10">
        <f t="shared" si="0"/>
        <v>30000</v>
      </c>
      <c r="I52" s="22"/>
    </row>
    <row r="53" spans="1:9">
      <c r="A53" s="35">
        <v>47</v>
      </c>
      <c r="B53" s="11" t="s">
        <v>198</v>
      </c>
      <c r="C53" s="6" t="s">
        <v>96</v>
      </c>
      <c r="D53" s="6" t="s">
        <v>9</v>
      </c>
      <c r="E53" s="7" t="s">
        <v>4</v>
      </c>
      <c r="F53" s="8">
        <v>1</v>
      </c>
      <c r="G53" s="16">
        <v>33000</v>
      </c>
      <c r="H53" s="10">
        <f t="shared" si="0"/>
        <v>33000</v>
      </c>
      <c r="I53" s="22"/>
    </row>
    <row r="54" spans="1:9">
      <c r="A54" s="21">
        <v>48</v>
      </c>
      <c r="B54" s="11" t="s">
        <v>198</v>
      </c>
      <c r="C54" s="6" t="s">
        <v>97</v>
      </c>
      <c r="D54" s="25" t="s">
        <v>98</v>
      </c>
      <c r="E54" s="7" t="s">
        <v>4</v>
      </c>
      <c r="F54" s="8">
        <v>1</v>
      </c>
      <c r="G54" s="9">
        <v>79000</v>
      </c>
      <c r="H54" s="10">
        <f t="shared" si="0"/>
        <v>79000</v>
      </c>
      <c r="I54" s="22"/>
    </row>
    <row r="55" spans="1:9">
      <c r="A55" s="35">
        <v>49</v>
      </c>
      <c r="B55" s="11" t="s">
        <v>198</v>
      </c>
      <c r="C55" s="6" t="s">
        <v>99</v>
      </c>
      <c r="D55" s="4" t="s">
        <v>100</v>
      </c>
      <c r="E55" s="7" t="s">
        <v>4</v>
      </c>
      <c r="F55" s="8">
        <v>1</v>
      </c>
      <c r="G55" s="10">
        <v>9309</v>
      </c>
      <c r="H55" s="10">
        <f t="shared" si="0"/>
        <v>9309</v>
      </c>
      <c r="I55" s="22"/>
    </row>
    <row r="56" spans="1:9">
      <c r="A56" s="21">
        <v>50</v>
      </c>
      <c r="B56" s="11" t="s">
        <v>198</v>
      </c>
      <c r="C56" s="6" t="s">
        <v>101</v>
      </c>
      <c r="D56" s="25" t="s">
        <v>102</v>
      </c>
      <c r="E56" s="7" t="s">
        <v>4</v>
      </c>
      <c r="F56" s="8">
        <v>1</v>
      </c>
      <c r="G56" s="9">
        <v>234490</v>
      </c>
      <c r="H56" s="10">
        <f t="shared" si="0"/>
        <v>234490</v>
      </c>
      <c r="I56" s="22"/>
    </row>
    <row r="57" spans="1:9">
      <c r="A57" s="35">
        <v>51</v>
      </c>
      <c r="B57" s="11" t="s">
        <v>198</v>
      </c>
      <c r="C57" s="6" t="s">
        <v>103</v>
      </c>
      <c r="D57" s="25" t="s">
        <v>104</v>
      </c>
      <c r="E57" s="7" t="s">
        <v>4</v>
      </c>
      <c r="F57" s="8">
        <v>1</v>
      </c>
      <c r="G57" s="9">
        <v>36490</v>
      </c>
      <c r="H57" s="10">
        <f t="shared" si="0"/>
        <v>36490</v>
      </c>
      <c r="I57" s="22"/>
    </row>
    <row r="58" spans="1:9">
      <c r="A58" s="21">
        <v>52</v>
      </c>
      <c r="B58" s="11" t="s">
        <v>198</v>
      </c>
      <c r="C58" s="6" t="s">
        <v>105</v>
      </c>
      <c r="D58" s="25" t="s">
        <v>106</v>
      </c>
      <c r="E58" s="7" t="s">
        <v>4</v>
      </c>
      <c r="F58" s="8">
        <v>1</v>
      </c>
      <c r="G58" s="10">
        <v>9309</v>
      </c>
      <c r="H58" s="10">
        <f t="shared" si="0"/>
        <v>9309</v>
      </c>
      <c r="I58" s="22"/>
    </row>
    <row r="59" spans="1:9">
      <c r="A59" s="35">
        <v>53</v>
      </c>
      <c r="B59" s="11" t="s">
        <v>198</v>
      </c>
      <c r="C59" s="6" t="s">
        <v>107</v>
      </c>
      <c r="D59" s="4" t="s">
        <v>108</v>
      </c>
      <c r="E59" s="7" t="s">
        <v>4</v>
      </c>
      <c r="F59" s="8">
        <v>1</v>
      </c>
      <c r="G59" s="10">
        <v>45903</v>
      </c>
      <c r="H59" s="10">
        <f t="shared" si="0"/>
        <v>45903</v>
      </c>
      <c r="I59" s="26"/>
    </row>
    <row r="60" spans="1:9">
      <c r="A60" s="21">
        <v>54</v>
      </c>
      <c r="B60" s="11" t="s">
        <v>198</v>
      </c>
      <c r="C60" s="6" t="s">
        <v>109</v>
      </c>
      <c r="D60" s="4" t="s">
        <v>110</v>
      </c>
      <c r="E60" s="7" t="s">
        <v>4</v>
      </c>
      <c r="F60" s="8">
        <v>4</v>
      </c>
      <c r="G60" s="10">
        <v>55961</v>
      </c>
      <c r="H60" s="10">
        <f t="shared" si="0"/>
        <v>223844</v>
      </c>
      <c r="I60" s="26"/>
    </row>
    <row r="61" spans="1:9">
      <c r="A61" s="35">
        <v>55</v>
      </c>
      <c r="B61" s="11" t="s">
        <v>198</v>
      </c>
      <c r="C61" s="6" t="s">
        <v>111</v>
      </c>
      <c r="D61" s="4" t="s">
        <v>112</v>
      </c>
      <c r="E61" s="7" t="s">
        <v>4</v>
      </c>
      <c r="F61" s="8">
        <v>4</v>
      </c>
      <c r="G61" s="10">
        <v>70000</v>
      </c>
      <c r="H61" s="10">
        <f t="shared" si="0"/>
        <v>280000</v>
      </c>
      <c r="I61" s="34"/>
    </row>
    <row r="62" spans="1:9">
      <c r="A62" s="21">
        <v>56</v>
      </c>
      <c r="B62" s="11" t="s">
        <v>198</v>
      </c>
      <c r="C62" s="6" t="s">
        <v>113</v>
      </c>
      <c r="D62" s="4" t="s">
        <v>112</v>
      </c>
      <c r="E62" s="7" t="s">
        <v>4</v>
      </c>
      <c r="F62" s="8">
        <v>1</v>
      </c>
      <c r="G62" s="10">
        <v>80000</v>
      </c>
      <c r="H62" s="10">
        <f t="shared" si="0"/>
        <v>80000</v>
      </c>
      <c r="I62" s="34"/>
    </row>
    <row r="63" spans="1:9">
      <c r="A63" s="35">
        <v>57</v>
      </c>
      <c r="B63" s="11" t="s">
        <v>198</v>
      </c>
      <c r="C63" s="6" t="s">
        <v>114</v>
      </c>
      <c r="D63" s="4" t="s">
        <v>177</v>
      </c>
      <c r="E63" s="7" t="s">
        <v>4</v>
      </c>
      <c r="F63" s="8">
        <v>1</v>
      </c>
      <c r="G63" s="10">
        <v>95000</v>
      </c>
      <c r="H63" s="10">
        <f t="shared" si="0"/>
        <v>95000</v>
      </c>
      <c r="I63" s="34"/>
    </row>
    <row r="64" spans="1:9">
      <c r="A64" s="21">
        <v>58</v>
      </c>
      <c r="B64" s="11" t="s">
        <v>198</v>
      </c>
      <c r="C64" s="6" t="s">
        <v>115</v>
      </c>
      <c r="D64" s="4" t="s">
        <v>116</v>
      </c>
      <c r="E64" s="7" t="s">
        <v>4</v>
      </c>
      <c r="F64" s="8">
        <v>1</v>
      </c>
      <c r="G64" s="10">
        <v>147490</v>
      </c>
      <c r="H64" s="10">
        <f t="shared" si="0"/>
        <v>147490</v>
      </c>
      <c r="I64" s="34"/>
    </row>
    <row r="65" spans="1:9">
      <c r="A65" s="35">
        <v>59</v>
      </c>
      <c r="B65" s="11" t="s">
        <v>198</v>
      </c>
      <c r="C65" s="6" t="s">
        <v>202</v>
      </c>
      <c r="D65" s="4" t="s">
        <v>117</v>
      </c>
      <c r="E65" s="7" t="s">
        <v>4</v>
      </c>
      <c r="F65" s="8">
        <v>2</v>
      </c>
      <c r="G65" s="10">
        <v>28490</v>
      </c>
      <c r="H65" s="10">
        <f t="shared" si="0"/>
        <v>56980</v>
      </c>
      <c r="I65" s="34"/>
    </row>
    <row r="66" spans="1:9">
      <c r="A66" s="21">
        <v>60</v>
      </c>
      <c r="B66" s="11" t="s">
        <v>198</v>
      </c>
      <c r="C66" s="6" t="s">
        <v>118</v>
      </c>
      <c r="D66" s="4" t="s">
        <v>119</v>
      </c>
      <c r="E66" s="7" t="s">
        <v>4</v>
      </c>
      <c r="F66" s="8">
        <v>1</v>
      </c>
      <c r="G66" s="10">
        <v>40000</v>
      </c>
      <c r="H66" s="10">
        <f t="shared" si="0"/>
        <v>40000</v>
      </c>
      <c r="I66" s="34"/>
    </row>
    <row r="67" spans="1:9">
      <c r="A67" s="35">
        <v>61</v>
      </c>
      <c r="B67" s="34">
        <v>2547</v>
      </c>
      <c r="C67" s="6" t="s">
        <v>120</v>
      </c>
      <c r="D67" s="4" t="s">
        <v>121</v>
      </c>
      <c r="E67" s="34" t="s">
        <v>4</v>
      </c>
      <c r="F67" s="8">
        <v>1</v>
      </c>
      <c r="G67" s="10">
        <v>27300</v>
      </c>
      <c r="H67" s="10">
        <f t="shared" si="0"/>
        <v>27300</v>
      </c>
      <c r="I67" s="34"/>
    </row>
    <row r="68" spans="1:9">
      <c r="A68" s="21">
        <v>62</v>
      </c>
      <c r="B68" s="34">
        <v>2548</v>
      </c>
      <c r="C68" s="6" t="s">
        <v>122</v>
      </c>
      <c r="D68" s="4" t="s">
        <v>123</v>
      </c>
      <c r="E68" s="34" t="s">
        <v>5</v>
      </c>
      <c r="F68" s="8">
        <v>3</v>
      </c>
      <c r="G68" s="10">
        <v>3478</v>
      </c>
      <c r="H68" s="10">
        <f t="shared" si="0"/>
        <v>10434</v>
      </c>
      <c r="I68" s="34"/>
    </row>
    <row r="69" spans="1:9">
      <c r="A69" s="35">
        <v>63</v>
      </c>
      <c r="B69" s="34">
        <v>2548</v>
      </c>
      <c r="C69" s="6" t="s">
        <v>124</v>
      </c>
      <c r="D69" s="4" t="s">
        <v>125</v>
      </c>
      <c r="E69" s="34" t="s">
        <v>5</v>
      </c>
      <c r="F69" s="8">
        <v>3</v>
      </c>
      <c r="G69" s="10">
        <v>6440</v>
      </c>
      <c r="H69" s="10">
        <f t="shared" si="0"/>
        <v>19320</v>
      </c>
      <c r="I69" s="34"/>
    </row>
    <row r="70" spans="1:9">
      <c r="A70" s="21">
        <v>64</v>
      </c>
      <c r="B70" s="34">
        <v>2548</v>
      </c>
      <c r="C70" s="6" t="s">
        <v>126</v>
      </c>
      <c r="D70" s="4" t="s">
        <v>127</v>
      </c>
      <c r="E70" s="34" t="s">
        <v>5</v>
      </c>
      <c r="F70" s="8">
        <v>3</v>
      </c>
      <c r="G70" s="10">
        <v>4466</v>
      </c>
      <c r="H70" s="10">
        <f t="shared" si="0"/>
        <v>13398</v>
      </c>
      <c r="I70" s="34"/>
    </row>
    <row r="71" spans="1:9">
      <c r="A71" s="35">
        <v>65</v>
      </c>
      <c r="B71" s="34">
        <v>2548</v>
      </c>
      <c r="C71" s="6" t="s">
        <v>128</v>
      </c>
      <c r="D71" s="4" t="s">
        <v>129</v>
      </c>
      <c r="E71" s="34" t="s">
        <v>5</v>
      </c>
      <c r="F71" s="8">
        <v>6</v>
      </c>
      <c r="G71" s="10">
        <v>1175</v>
      </c>
      <c r="H71" s="10">
        <f t="shared" si="0"/>
        <v>7050</v>
      </c>
      <c r="I71" s="34"/>
    </row>
    <row r="72" spans="1:9">
      <c r="A72" s="21">
        <v>66</v>
      </c>
      <c r="B72" s="34">
        <v>2549</v>
      </c>
      <c r="C72" s="6" t="s">
        <v>130</v>
      </c>
      <c r="D72" s="27" t="s">
        <v>131</v>
      </c>
      <c r="E72" s="7" t="s">
        <v>173</v>
      </c>
      <c r="F72" s="8">
        <v>1</v>
      </c>
      <c r="G72" s="10">
        <v>45000</v>
      </c>
      <c r="H72" s="10">
        <f t="shared" si="0"/>
        <v>45000</v>
      </c>
      <c r="I72" s="34"/>
    </row>
    <row r="73" spans="1:9">
      <c r="A73" s="35">
        <v>67</v>
      </c>
      <c r="B73" s="34">
        <v>2549</v>
      </c>
      <c r="C73" s="6" t="s">
        <v>132</v>
      </c>
      <c r="D73" s="27" t="s">
        <v>133</v>
      </c>
      <c r="E73" s="34" t="s">
        <v>4</v>
      </c>
      <c r="F73" s="8">
        <v>1</v>
      </c>
      <c r="G73" s="10">
        <v>16332</v>
      </c>
      <c r="H73" s="10">
        <f t="shared" ref="H73:H93" si="1">SUM(F73*G73)</f>
        <v>16332</v>
      </c>
      <c r="I73" s="34"/>
    </row>
    <row r="74" spans="1:9">
      <c r="A74" s="21">
        <v>68</v>
      </c>
      <c r="B74" s="34">
        <v>2549</v>
      </c>
      <c r="C74" s="6" t="s">
        <v>134</v>
      </c>
      <c r="D74" s="27" t="s">
        <v>135</v>
      </c>
      <c r="E74" s="34" t="s">
        <v>4</v>
      </c>
      <c r="F74" s="8">
        <v>1</v>
      </c>
      <c r="G74" s="10">
        <v>16355</v>
      </c>
      <c r="H74" s="10">
        <f t="shared" si="1"/>
        <v>16355</v>
      </c>
      <c r="I74" s="34"/>
    </row>
    <row r="75" spans="1:9">
      <c r="A75" s="35">
        <v>69</v>
      </c>
      <c r="B75" s="34">
        <v>2549</v>
      </c>
      <c r="C75" s="6" t="s">
        <v>136</v>
      </c>
      <c r="D75" s="27" t="s">
        <v>137</v>
      </c>
      <c r="E75" s="34" t="s">
        <v>4</v>
      </c>
      <c r="F75" s="8">
        <v>1</v>
      </c>
      <c r="G75" s="10">
        <v>797000</v>
      </c>
      <c r="H75" s="10">
        <f t="shared" si="1"/>
        <v>797000</v>
      </c>
      <c r="I75" s="34"/>
    </row>
    <row r="76" spans="1:9">
      <c r="A76" s="21">
        <v>70</v>
      </c>
      <c r="B76" s="34">
        <v>2549</v>
      </c>
      <c r="C76" s="6" t="s">
        <v>138</v>
      </c>
      <c r="D76" s="27" t="s">
        <v>178</v>
      </c>
      <c r="E76" s="7" t="s">
        <v>4</v>
      </c>
      <c r="F76" s="8">
        <v>1</v>
      </c>
      <c r="G76" s="10">
        <v>995000</v>
      </c>
      <c r="H76" s="10">
        <f t="shared" si="1"/>
        <v>995000</v>
      </c>
      <c r="I76" s="22"/>
    </row>
    <row r="77" spans="1:9">
      <c r="A77" s="35">
        <v>71</v>
      </c>
      <c r="B77" s="34">
        <v>2549</v>
      </c>
      <c r="C77" s="6" t="s">
        <v>139</v>
      </c>
      <c r="D77" s="44" t="s">
        <v>179</v>
      </c>
      <c r="E77" s="7" t="s">
        <v>4</v>
      </c>
      <c r="F77" s="8">
        <v>1</v>
      </c>
      <c r="G77" s="10">
        <v>498000</v>
      </c>
      <c r="H77" s="10">
        <f t="shared" si="1"/>
        <v>498000</v>
      </c>
      <c r="I77" s="22"/>
    </row>
    <row r="78" spans="1:9">
      <c r="A78" s="21">
        <v>72</v>
      </c>
      <c r="B78" s="34">
        <v>2549</v>
      </c>
      <c r="C78" s="6" t="s">
        <v>140</v>
      </c>
      <c r="D78" s="27" t="s">
        <v>180</v>
      </c>
      <c r="E78" s="7" t="s">
        <v>5</v>
      </c>
      <c r="F78" s="8">
        <v>1</v>
      </c>
      <c r="G78" s="10">
        <v>56400</v>
      </c>
      <c r="H78" s="10">
        <f t="shared" si="1"/>
        <v>56400</v>
      </c>
      <c r="I78" s="22"/>
    </row>
    <row r="79" spans="1:9">
      <c r="A79" s="35">
        <v>73</v>
      </c>
      <c r="B79" s="21">
        <v>2550</v>
      </c>
      <c r="C79" s="6" t="s">
        <v>141</v>
      </c>
      <c r="D79" s="27" t="s">
        <v>3</v>
      </c>
      <c r="E79" s="7" t="s">
        <v>5</v>
      </c>
      <c r="F79" s="8">
        <v>2</v>
      </c>
      <c r="G79" s="10">
        <v>3000</v>
      </c>
      <c r="H79" s="10">
        <f t="shared" si="1"/>
        <v>6000</v>
      </c>
      <c r="I79" s="22"/>
    </row>
    <row r="80" spans="1:9">
      <c r="A80" s="21">
        <v>74</v>
      </c>
      <c r="B80" s="21">
        <v>2550</v>
      </c>
      <c r="C80" s="6" t="s">
        <v>142</v>
      </c>
      <c r="D80" s="25" t="s">
        <v>143</v>
      </c>
      <c r="E80" s="7" t="s">
        <v>5</v>
      </c>
      <c r="F80" s="8">
        <v>1</v>
      </c>
      <c r="G80" s="16">
        <v>60000</v>
      </c>
      <c r="H80" s="10">
        <f t="shared" si="1"/>
        <v>60000</v>
      </c>
      <c r="I80" s="22"/>
    </row>
    <row r="81" spans="1:9">
      <c r="A81" s="35">
        <v>75</v>
      </c>
      <c r="B81" s="21">
        <v>2550</v>
      </c>
      <c r="C81" s="6" t="s">
        <v>144</v>
      </c>
      <c r="D81" s="4" t="s">
        <v>145</v>
      </c>
      <c r="E81" s="7" t="s">
        <v>5</v>
      </c>
      <c r="F81" s="8">
        <v>2</v>
      </c>
      <c r="G81" s="10">
        <v>3000</v>
      </c>
      <c r="H81" s="10">
        <f t="shared" si="1"/>
        <v>6000</v>
      </c>
      <c r="I81" s="22"/>
    </row>
    <row r="82" spans="1:9">
      <c r="A82" s="21">
        <v>76</v>
      </c>
      <c r="B82" s="11" t="s">
        <v>199</v>
      </c>
      <c r="C82" s="6" t="s">
        <v>146</v>
      </c>
      <c r="D82" s="44" t="s">
        <v>163</v>
      </c>
      <c r="E82" s="7" t="s">
        <v>173</v>
      </c>
      <c r="F82" s="8">
        <v>1</v>
      </c>
      <c r="G82" s="10">
        <v>200000</v>
      </c>
      <c r="H82" s="10">
        <f t="shared" si="1"/>
        <v>200000</v>
      </c>
      <c r="I82" s="26"/>
    </row>
    <row r="83" spans="1:9">
      <c r="A83" s="35">
        <v>77</v>
      </c>
      <c r="B83" s="24" t="s">
        <v>199</v>
      </c>
      <c r="C83" s="6" t="s">
        <v>147</v>
      </c>
      <c r="D83" s="27" t="s">
        <v>148</v>
      </c>
      <c r="E83" s="7" t="s">
        <v>173</v>
      </c>
      <c r="F83" s="8">
        <v>1</v>
      </c>
      <c r="G83" s="10">
        <v>31796</v>
      </c>
      <c r="H83" s="10">
        <f t="shared" si="1"/>
        <v>31796</v>
      </c>
      <c r="I83" s="34"/>
    </row>
    <row r="84" spans="1:9">
      <c r="A84" s="21">
        <v>78</v>
      </c>
      <c r="B84" s="24" t="s">
        <v>199</v>
      </c>
      <c r="C84" s="6" t="s">
        <v>149</v>
      </c>
      <c r="D84" s="4" t="s">
        <v>150</v>
      </c>
      <c r="E84" s="7" t="s">
        <v>4</v>
      </c>
      <c r="F84" s="8">
        <v>1</v>
      </c>
      <c r="G84" s="10">
        <v>59100</v>
      </c>
      <c r="H84" s="10">
        <f t="shared" si="1"/>
        <v>59100</v>
      </c>
      <c r="I84" s="34"/>
    </row>
    <row r="85" spans="1:9">
      <c r="A85" s="35">
        <v>79</v>
      </c>
      <c r="B85" s="20" t="s">
        <v>200</v>
      </c>
      <c r="C85" s="29" t="s">
        <v>151</v>
      </c>
      <c r="D85" s="28" t="s">
        <v>152</v>
      </c>
      <c r="E85" s="7" t="s">
        <v>4</v>
      </c>
      <c r="F85" s="31">
        <v>11</v>
      </c>
      <c r="G85" s="10">
        <v>77000</v>
      </c>
      <c r="H85" s="10">
        <f t="shared" si="1"/>
        <v>847000</v>
      </c>
      <c r="I85" s="34"/>
    </row>
    <row r="86" spans="1:9">
      <c r="A86" s="21">
        <v>80</v>
      </c>
      <c r="B86" s="20" t="s">
        <v>200</v>
      </c>
      <c r="C86" s="29" t="s">
        <v>153</v>
      </c>
      <c r="D86" s="28" t="s">
        <v>154</v>
      </c>
      <c r="E86" s="7" t="s">
        <v>4</v>
      </c>
      <c r="F86" s="31">
        <v>1</v>
      </c>
      <c r="G86" s="10">
        <v>157000</v>
      </c>
      <c r="H86" s="10">
        <f t="shared" si="1"/>
        <v>157000</v>
      </c>
      <c r="I86" s="34"/>
    </row>
    <row r="87" spans="1:9">
      <c r="A87" s="35">
        <v>81</v>
      </c>
      <c r="B87" s="20" t="s">
        <v>200</v>
      </c>
      <c r="C87" s="6" t="s">
        <v>155</v>
      </c>
      <c r="D87" s="4" t="s">
        <v>164</v>
      </c>
      <c r="E87" s="7" t="s">
        <v>4</v>
      </c>
      <c r="F87" s="8">
        <v>1</v>
      </c>
      <c r="G87" s="10">
        <v>370000</v>
      </c>
      <c r="H87" s="10">
        <f t="shared" si="1"/>
        <v>370000</v>
      </c>
      <c r="I87" s="34"/>
    </row>
    <row r="88" spans="1:9">
      <c r="A88" s="21">
        <v>82</v>
      </c>
      <c r="B88" s="20" t="s">
        <v>200</v>
      </c>
      <c r="C88" s="6" t="s">
        <v>156</v>
      </c>
      <c r="D88" s="4" t="s">
        <v>157</v>
      </c>
      <c r="E88" s="7" t="s">
        <v>4</v>
      </c>
      <c r="F88" s="8">
        <v>1</v>
      </c>
      <c r="G88" s="10">
        <v>199800</v>
      </c>
      <c r="H88" s="10">
        <f t="shared" si="1"/>
        <v>199800</v>
      </c>
      <c r="I88" s="34"/>
    </row>
    <row r="89" spans="1:9">
      <c r="A89" s="35">
        <v>83</v>
      </c>
      <c r="B89" s="17">
        <v>22114</v>
      </c>
      <c r="C89" s="33"/>
      <c r="D89" s="18" t="s">
        <v>158</v>
      </c>
      <c r="E89" s="7" t="s">
        <v>4</v>
      </c>
      <c r="F89" s="30">
        <v>1</v>
      </c>
      <c r="G89" s="14">
        <v>6200</v>
      </c>
      <c r="H89" s="10">
        <f t="shared" si="1"/>
        <v>6200</v>
      </c>
      <c r="I89" s="19"/>
    </row>
    <row r="90" spans="1:9">
      <c r="A90" s="84" t="s">
        <v>188</v>
      </c>
      <c r="B90" s="84"/>
      <c r="C90" s="84"/>
      <c r="D90" s="84"/>
      <c r="E90" s="7"/>
      <c r="F90" s="30"/>
      <c r="G90" s="14"/>
      <c r="H90" s="10">
        <f>SUM(H48:H89)</f>
        <v>10884500</v>
      </c>
      <c r="I90" s="19"/>
    </row>
    <row r="91" spans="1:9">
      <c r="A91" s="84" t="s">
        <v>189</v>
      </c>
      <c r="B91" s="84"/>
      <c r="C91" s="84"/>
      <c r="D91" s="84"/>
      <c r="E91" s="7"/>
      <c r="F91" s="30"/>
      <c r="G91" s="14"/>
      <c r="H91" s="10">
        <f>SUM(H90)</f>
        <v>10884500</v>
      </c>
      <c r="I91" s="19"/>
    </row>
    <row r="92" spans="1:9">
      <c r="A92" s="21">
        <v>84</v>
      </c>
      <c r="B92" s="13">
        <v>22189</v>
      </c>
      <c r="C92" s="33"/>
      <c r="D92" s="4" t="s">
        <v>159</v>
      </c>
      <c r="E92" s="34" t="s">
        <v>8</v>
      </c>
      <c r="F92" s="8">
        <v>2</v>
      </c>
      <c r="G92" s="10">
        <v>16217.5</v>
      </c>
      <c r="H92" s="10">
        <f t="shared" si="1"/>
        <v>32435</v>
      </c>
      <c r="I92" s="19"/>
    </row>
    <row r="93" spans="1:9">
      <c r="A93" s="35">
        <v>85</v>
      </c>
      <c r="B93" s="17">
        <v>22327</v>
      </c>
      <c r="C93" s="33" t="s">
        <v>165</v>
      </c>
      <c r="D93" s="3" t="s">
        <v>191</v>
      </c>
      <c r="E93" s="19" t="s">
        <v>4</v>
      </c>
      <c r="F93" s="30">
        <v>1</v>
      </c>
      <c r="G93" s="14">
        <v>1429940</v>
      </c>
      <c r="H93" s="10">
        <f t="shared" si="1"/>
        <v>1429940</v>
      </c>
      <c r="I93" s="19"/>
    </row>
    <row r="94" spans="1:9">
      <c r="A94" s="43"/>
      <c r="B94" s="17"/>
      <c r="C94" s="33"/>
      <c r="D94" s="46" t="s">
        <v>167</v>
      </c>
      <c r="E94" s="19"/>
      <c r="F94" s="30"/>
      <c r="G94" s="14"/>
      <c r="H94" s="14"/>
      <c r="I94" s="19"/>
    </row>
    <row r="95" spans="1:9">
      <c r="A95" s="43"/>
      <c r="B95" s="17"/>
      <c r="C95" s="33"/>
      <c r="D95" s="47" t="s">
        <v>166</v>
      </c>
      <c r="E95" s="19"/>
      <c r="F95" s="30"/>
      <c r="G95" s="14"/>
      <c r="H95" s="14"/>
      <c r="I95" s="19"/>
    </row>
    <row r="96" spans="1:9">
      <c r="A96" s="43"/>
      <c r="B96" s="17"/>
      <c r="C96" s="33"/>
      <c r="D96" s="46" t="s">
        <v>168</v>
      </c>
      <c r="E96" s="19"/>
      <c r="F96" s="30"/>
      <c r="G96" s="14"/>
      <c r="H96" s="14"/>
      <c r="I96" s="19"/>
    </row>
    <row r="97" spans="1:9">
      <c r="A97" s="43"/>
      <c r="B97" s="17"/>
      <c r="C97" s="33"/>
      <c r="D97" s="46" t="s">
        <v>169</v>
      </c>
      <c r="E97" s="19"/>
      <c r="F97" s="30"/>
      <c r="G97" s="14"/>
      <c r="H97" s="14"/>
      <c r="I97" s="19"/>
    </row>
    <row r="98" spans="1:9">
      <c r="A98" s="43"/>
      <c r="B98" s="17"/>
      <c r="C98" s="33"/>
      <c r="D98" s="46" t="s">
        <v>170</v>
      </c>
      <c r="E98" s="19"/>
      <c r="F98" s="30"/>
      <c r="G98" s="14"/>
      <c r="H98" s="14"/>
      <c r="I98" s="19"/>
    </row>
    <row r="99" spans="1:9">
      <c r="A99" s="43"/>
      <c r="B99" s="17"/>
      <c r="C99" s="33"/>
      <c r="D99" s="46" t="s">
        <v>171</v>
      </c>
      <c r="E99" s="19"/>
      <c r="F99" s="30"/>
      <c r="G99" s="14"/>
      <c r="H99" s="14"/>
      <c r="I99" s="19"/>
    </row>
    <row r="100" spans="1:9">
      <c r="A100" s="43">
        <v>86</v>
      </c>
      <c r="B100" s="17">
        <v>23536</v>
      </c>
      <c r="C100" s="33" t="s">
        <v>194</v>
      </c>
      <c r="D100" s="5" t="s">
        <v>193</v>
      </c>
      <c r="E100" s="19" t="s">
        <v>5</v>
      </c>
      <c r="F100" s="30">
        <v>1</v>
      </c>
      <c r="G100" s="14">
        <v>2690</v>
      </c>
      <c r="H100" s="14">
        <f>SUM(F100*G100)</f>
        <v>2690</v>
      </c>
      <c r="I100" s="19"/>
    </row>
    <row r="101" spans="1:9">
      <c r="A101" s="89" t="s">
        <v>7</v>
      </c>
      <c r="B101" s="89"/>
      <c r="C101" s="89"/>
      <c r="D101" s="89"/>
      <c r="E101" s="89"/>
      <c r="F101" s="7"/>
      <c r="G101" s="38"/>
      <c r="H101" s="38">
        <f>SUM(H91:H100)</f>
        <v>12349565</v>
      </c>
      <c r="I101" s="34"/>
    </row>
    <row r="102" spans="1:9">
      <c r="A102" s="48"/>
      <c r="B102" s="41"/>
      <c r="C102" s="41"/>
      <c r="D102" s="41"/>
      <c r="E102" s="41"/>
      <c r="F102" s="45"/>
      <c r="G102" s="39"/>
      <c r="H102" s="39"/>
      <c r="I102" s="40"/>
    </row>
    <row r="103" spans="1:9">
      <c r="A103" s="12"/>
      <c r="B103" s="40"/>
      <c r="C103" s="36"/>
      <c r="D103" s="12"/>
      <c r="E103" s="12"/>
      <c r="F103" s="45"/>
      <c r="G103" s="12"/>
      <c r="H103" s="12"/>
      <c r="I103" s="40"/>
    </row>
    <row r="104" spans="1:9">
      <c r="A104" s="12"/>
      <c r="B104" s="40"/>
      <c r="C104" s="36"/>
      <c r="D104" s="12"/>
      <c r="E104" s="12"/>
      <c r="F104" s="85" t="s">
        <v>190</v>
      </c>
      <c r="G104" s="85"/>
      <c r="H104" s="85"/>
      <c r="I104" s="85"/>
    </row>
    <row r="105" spans="1:9">
      <c r="A105" s="12"/>
      <c r="B105" s="40"/>
      <c r="C105" s="36"/>
      <c r="D105" s="12"/>
      <c r="E105" s="12"/>
      <c r="F105" s="85" t="s">
        <v>172</v>
      </c>
      <c r="G105" s="85"/>
      <c r="H105" s="85"/>
      <c r="I105" s="85"/>
    </row>
    <row r="106" spans="1:9">
      <c r="A106" s="12"/>
      <c r="B106" s="40"/>
      <c r="C106" s="36"/>
      <c r="D106" s="12"/>
      <c r="E106" s="12"/>
      <c r="F106" s="85" t="s">
        <v>6</v>
      </c>
      <c r="G106" s="85"/>
      <c r="H106" s="85"/>
      <c r="I106" s="85"/>
    </row>
  </sheetData>
  <mergeCells count="11">
    <mergeCell ref="A90:D90"/>
    <mergeCell ref="A91:D91"/>
    <mergeCell ref="F106:I106"/>
    <mergeCell ref="A1:I1"/>
    <mergeCell ref="A2:I2"/>
    <mergeCell ref="A3:I3"/>
    <mergeCell ref="A101:E101"/>
    <mergeCell ref="F104:I104"/>
    <mergeCell ref="F105:I105"/>
    <mergeCell ref="A47:D47"/>
    <mergeCell ref="A48:D48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rowBreaks count="2" manualBreakCount="2">
    <brk id="47" max="16383" man="1"/>
    <brk id="9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C823-EF69-43AC-ADAF-73040BEA2B4E}">
  <sheetPr>
    <tabColor rgb="FF0070C0"/>
  </sheetPr>
  <dimension ref="A1:I28"/>
  <sheetViews>
    <sheetView tabSelected="1" zoomScaleNormal="100" workbookViewId="0">
      <selection activeCell="C9" sqref="C9"/>
    </sheetView>
  </sheetViews>
  <sheetFormatPr defaultColWidth="9" defaultRowHeight="24"/>
  <cols>
    <col min="1" max="1" width="5.28515625" style="49" customWidth="1"/>
    <col min="2" max="2" width="11.5703125" style="42" customWidth="1"/>
    <col min="3" max="3" width="29.85546875" style="61" customWidth="1"/>
    <col min="4" max="4" width="39.5703125" style="49" customWidth="1"/>
    <col min="5" max="5" width="6.5703125" style="49" customWidth="1"/>
    <col min="6" max="6" width="6.42578125" style="49" customWidth="1"/>
    <col min="7" max="7" width="12.7109375" style="49" customWidth="1"/>
    <col min="8" max="8" width="14.28515625" style="49" customWidth="1"/>
    <col min="9" max="9" width="8.42578125" style="42" customWidth="1"/>
    <col min="10" max="16384" width="9" style="49"/>
  </cols>
  <sheetData>
    <row r="1" spans="1:9">
      <c r="A1" s="86" t="s">
        <v>10</v>
      </c>
      <c r="B1" s="86"/>
      <c r="C1" s="86"/>
      <c r="D1" s="86"/>
      <c r="E1" s="86"/>
      <c r="F1" s="86"/>
      <c r="G1" s="86"/>
      <c r="H1" s="86"/>
      <c r="I1" s="86"/>
    </row>
    <row r="2" spans="1:9">
      <c r="A2" s="87" t="s">
        <v>203</v>
      </c>
      <c r="B2" s="87"/>
      <c r="C2" s="87"/>
      <c r="D2" s="87"/>
      <c r="E2" s="87"/>
      <c r="F2" s="87"/>
      <c r="G2" s="87"/>
      <c r="H2" s="87"/>
      <c r="I2" s="87"/>
    </row>
    <row r="3" spans="1:9">
      <c r="A3" s="88" t="s">
        <v>192</v>
      </c>
      <c r="B3" s="88"/>
      <c r="C3" s="88"/>
      <c r="D3" s="88"/>
      <c r="E3" s="88"/>
      <c r="F3" s="88"/>
      <c r="G3" s="88"/>
      <c r="H3" s="88"/>
      <c r="I3" s="88"/>
    </row>
    <row r="4" spans="1:9" ht="72">
      <c r="A4" s="57" t="s">
        <v>182</v>
      </c>
      <c r="B4" s="57" t="s">
        <v>185</v>
      </c>
      <c r="C4" s="57" t="s">
        <v>186</v>
      </c>
      <c r="D4" s="54" t="s">
        <v>0</v>
      </c>
      <c r="E4" s="57" t="s">
        <v>183</v>
      </c>
      <c r="F4" s="54" t="s">
        <v>1</v>
      </c>
      <c r="G4" s="57" t="s">
        <v>184</v>
      </c>
      <c r="H4" s="57" t="s">
        <v>187</v>
      </c>
      <c r="I4" s="57" t="s">
        <v>2</v>
      </c>
    </row>
    <row r="5" spans="1:9">
      <c r="A5" s="55">
        <v>1</v>
      </c>
      <c r="B5" s="50" t="s">
        <v>195</v>
      </c>
      <c r="C5" s="67" t="s">
        <v>204</v>
      </c>
      <c r="D5" s="68" t="s">
        <v>21</v>
      </c>
      <c r="E5" s="65" t="s">
        <v>4</v>
      </c>
      <c r="F5" s="69">
        <v>4</v>
      </c>
      <c r="G5" s="70">
        <v>4850</v>
      </c>
      <c r="H5" s="56">
        <v>19400</v>
      </c>
      <c r="I5" s="52"/>
    </row>
    <row r="6" spans="1:9">
      <c r="A6" s="58">
        <v>2</v>
      </c>
      <c r="B6" s="71" t="s">
        <v>195</v>
      </c>
      <c r="C6" s="67" t="s">
        <v>205</v>
      </c>
      <c r="D6" s="68" t="s">
        <v>23</v>
      </c>
      <c r="E6" s="65" t="s">
        <v>4</v>
      </c>
      <c r="F6" s="69">
        <v>5</v>
      </c>
      <c r="G6" s="70">
        <v>5000</v>
      </c>
      <c r="H6" s="56">
        <v>25000</v>
      </c>
      <c r="I6" s="52"/>
    </row>
    <row r="7" spans="1:9">
      <c r="A7" s="55">
        <v>3</v>
      </c>
      <c r="B7" s="50" t="s">
        <v>195</v>
      </c>
      <c r="C7" s="67" t="s">
        <v>206</v>
      </c>
      <c r="D7" s="68" t="s">
        <v>19</v>
      </c>
      <c r="E7" s="65" t="s">
        <v>4</v>
      </c>
      <c r="F7" s="69">
        <v>1</v>
      </c>
      <c r="G7" s="70">
        <v>18500</v>
      </c>
      <c r="H7" s="56">
        <v>18500</v>
      </c>
      <c r="I7" s="52"/>
    </row>
    <row r="8" spans="1:9">
      <c r="A8" s="58">
        <v>4</v>
      </c>
      <c r="B8" s="50" t="s">
        <v>196</v>
      </c>
      <c r="C8" s="67" t="s">
        <v>207</v>
      </c>
      <c r="D8" s="72" t="s">
        <v>208</v>
      </c>
      <c r="E8" s="65" t="s">
        <v>4</v>
      </c>
      <c r="F8" s="69">
        <v>1</v>
      </c>
      <c r="G8" s="70">
        <v>8400</v>
      </c>
      <c r="H8" s="56">
        <v>8400</v>
      </c>
      <c r="I8" s="52"/>
    </row>
    <row r="9" spans="1:9">
      <c r="A9" s="55">
        <v>5</v>
      </c>
      <c r="B9" s="50" t="s">
        <v>196</v>
      </c>
      <c r="C9" s="73" t="s">
        <v>209</v>
      </c>
      <c r="D9" s="72" t="s">
        <v>210</v>
      </c>
      <c r="E9" s="65" t="s">
        <v>4</v>
      </c>
      <c r="F9" s="74">
        <v>1</v>
      </c>
      <c r="G9" s="70">
        <v>8400</v>
      </c>
      <c r="H9" s="56">
        <v>8400</v>
      </c>
      <c r="I9" s="52"/>
    </row>
    <row r="10" spans="1:9">
      <c r="A10" s="58">
        <v>6</v>
      </c>
      <c r="B10" s="50" t="s">
        <v>198</v>
      </c>
      <c r="C10" s="67" t="s">
        <v>211</v>
      </c>
      <c r="D10" s="68" t="s">
        <v>212</v>
      </c>
      <c r="E10" s="65" t="s">
        <v>4</v>
      </c>
      <c r="F10" s="69">
        <v>1</v>
      </c>
      <c r="G10" s="70">
        <v>55961</v>
      </c>
      <c r="H10" s="56">
        <v>55961</v>
      </c>
      <c r="I10" s="52"/>
    </row>
    <row r="11" spans="1:9">
      <c r="A11" s="55">
        <v>7</v>
      </c>
      <c r="B11" s="50" t="s">
        <v>198</v>
      </c>
      <c r="C11" s="67" t="s">
        <v>213</v>
      </c>
      <c r="D11" s="68" t="s">
        <v>214</v>
      </c>
      <c r="E11" s="65" t="s">
        <v>4</v>
      </c>
      <c r="F11" s="69">
        <v>1</v>
      </c>
      <c r="G11" s="70">
        <v>19795</v>
      </c>
      <c r="H11" s="56">
        <v>19795</v>
      </c>
      <c r="I11" s="52"/>
    </row>
    <row r="12" spans="1:9">
      <c r="A12" s="58">
        <v>8</v>
      </c>
      <c r="B12" s="50" t="s">
        <v>198</v>
      </c>
      <c r="C12" s="67" t="s">
        <v>215</v>
      </c>
      <c r="D12" s="68" t="s">
        <v>112</v>
      </c>
      <c r="E12" s="65" t="s">
        <v>4</v>
      </c>
      <c r="F12" s="69">
        <v>3</v>
      </c>
      <c r="G12" s="70">
        <v>70000</v>
      </c>
      <c r="H12" s="56">
        <v>210000</v>
      </c>
      <c r="I12" s="52"/>
    </row>
    <row r="13" spans="1:9">
      <c r="A13" s="55">
        <v>9</v>
      </c>
      <c r="B13" s="50" t="s">
        <v>239</v>
      </c>
      <c r="C13" s="67" t="s">
        <v>216</v>
      </c>
      <c r="D13" s="68" t="s">
        <v>217</v>
      </c>
      <c r="E13" s="65" t="s">
        <v>5</v>
      </c>
      <c r="F13" s="69">
        <v>1</v>
      </c>
      <c r="G13" s="70">
        <v>3478</v>
      </c>
      <c r="H13" s="56">
        <v>3478</v>
      </c>
      <c r="I13" s="52"/>
    </row>
    <row r="14" spans="1:9">
      <c r="A14" s="58">
        <v>10</v>
      </c>
      <c r="B14" s="50" t="s">
        <v>240</v>
      </c>
      <c r="C14" s="67" t="s">
        <v>218</v>
      </c>
      <c r="D14" s="68" t="s">
        <v>219</v>
      </c>
      <c r="E14" s="65" t="s">
        <v>5</v>
      </c>
      <c r="F14" s="69">
        <v>2</v>
      </c>
      <c r="G14" s="70">
        <v>3000</v>
      </c>
      <c r="H14" s="56">
        <v>6000</v>
      </c>
      <c r="I14" s="52"/>
    </row>
    <row r="15" spans="1:9">
      <c r="A15" s="55">
        <v>11</v>
      </c>
      <c r="B15" s="50" t="s">
        <v>200</v>
      </c>
      <c r="C15" s="75" t="s">
        <v>220</v>
      </c>
      <c r="D15" s="76" t="s">
        <v>221</v>
      </c>
      <c r="E15" s="65" t="s">
        <v>4</v>
      </c>
      <c r="F15" s="77">
        <v>2</v>
      </c>
      <c r="G15" s="66">
        <v>15000</v>
      </c>
      <c r="H15" s="56">
        <v>30000</v>
      </c>
      <c r="I15" s="52"/>
    </row>
    <row r="16" spans="1:9">
      <c r="A16" s="58">
        <v>12</v>
      </c>
      <c r="B16" s="50" t="s">
        <v>200</v>
      </c>
      <c r="C16" s="75" t="s">
        <v>222</v>
      </c>
      <c r="D16" s="76" t="s">
        <v>223</v>
      </c>
      <c r="E16" s="65" t="s">
        <v>4</v>
      </c>
      <c r="F16" s="77">
        <v>1</v>
      </c>
      <c r="G16" s="66">
        <v>25000</v>
      </c>
      <c r="H16" s="56">
        <v>25000</v>
      </c>
      <c r="I16" s="52"/>
    </row>
    <row r="17" spans="1:9">
      <c r="A17" s="55">
        <v>13</v>
      </c>
      <c r="B17" s="50" t="s">
        <v>200</v>
      </c>
      <c r="C17" s="75" t="s">
        <v>224</v>
      </c>
      <c r="D17" s="76" t="s">
        <v>225</v>
      </c>
      <c r="E17" s="65" t="s">
        <v>4</v>
      </c>
      <c r="F17" s="77">
        <v>1</v>
      </c>
      <c r="G17" s="66">
        <v>4000</v>
      </c>
      <c r="H17" s="56">
        <v>4000</v>
      </c>
      <c r="I17" s="52"/>
    </row>
    <row r="18" spans="1:9">
      <c r="A18" s="58">
        <v>14</v>
      </c>
      <c r="B18" s="50" t="s">
        <v>241</v>
      </c>
      <c r="C18" s="78" t="s">
        <v>226</v>
      </c>
      <c r="D18" s="78" t="s">
        <v>227</v>
      </c>
      <c r="E18" s="65" t="s">
        <v>4</v>
      </c>
      <c r="F18" s="79">
        <v>1</v>
      </c>
      <c r="G18" s="80">
        <v>588000</v>
      </c>
      <c r="H18" s="56">
        <v>588000</v>
      </c>
      <c r="I18" s="52"/>
    </row>
    <row r="19" spans="1:9">
      <c r="A19" s="55">
        <v>15</v>
      </c>
      <c r="B19" s="50" t="s">
        <v>242</v>
      </c>
      <c r="C19" s="78" t="s">
        <v>228</v>
      </c>
      <c r="D19" s="78" t="s">
        <v>229</v>
      </c>
      <c r="E19" s="65" t="s">
        <v>4</v>
      </c>
      <c r="F19" s="79">
        <v>1</v>
      </c>
      <c r="G19" s="80">
        <v>3500</v>
      </c>
      <c r="H19" s="56">
        <v>3500</v>
      </c>
      <c r="I19" s="52"/>
    </row>
    <row r="20" spans="1:9">
      <c r="A20" s="58">
        <v>16</v>
      </c>
      <c r="B20" s="50" t="s">
        <v>242</v>
      </c>
      <c r="C20" s="78" t="s">
        <v>230</v>
      </c>
      <c r="D20" s="78" t="s">
        <v>231</v>
      </c>
      <c r="E20" s="65" t="s">
        <v>4</v>
      </c>
      <c r="F20" s="79">
        <v>1</v>
      </c>
      <c r="G20" s="80">
        <v>1500</v>
      </c>
      <c r="H20" s="56">
        <v>1500</v>
      </c>
      <c r="I20" s="52"/>
    </row>
    <row r="21" spans="1:9">
      <c r="A21" s="55">
        <v>17</v>
      </c>
      <c r="B21" s="50" t="s">
        <v>242</v>
      </c>
      <c r="C21" s="78" t="s">
        <v>232</v>
      </c>
      <c r="D21" s="78" t="s">
        <v>233</v>
      </c>
      <c r="E21" s="65" t="s">
        <v>4</v>
      </c>
      <c r="F21" s="79">
        <v>1</v>
      </c>
      <c r="G21" s="80">
        <v>4000</v>
      </c>
      <c r="H21" s="56">
        <v>4000</v>
      </c>
      <c r="I21" s="52"/>
    </row>
    <row r="22" spans="1:9">
      <c r="A22" s="58">
        <v>18</v>
      </c>
      <c r="B22" s="50" t="s">
        <v>242</v>
      </c>
      <c r="C22" s="78" t="s">
        <v>234</v>
      </c>
      <c r="D22" s="78" t="s">
        <v>235</v>
      </c>
      <c r="E22" s="65" t="s">
        <v>4</v>
      </c>
      <c r="F22" s="79">
        <v>1</v>
      </c>
      <c r="G22" s="80">
        <v>3500</v>
      </c>
      <c r="H22" s="56">
        <v>3500</v>
      </c>
      <c r="I22" s="52"/>
    </row>
    <row r="23" spans="1:9">
      <c r="A23" s="55">
        <v>19</v>
      </c>
      <c r="B23" s="50" t="s">
        <v>242</v>
      </c>
      <c r="C23" s="81" t="s">
        <v>236</v>
      </c>
      <c r="D23" s="81" t="s">
        <v>237</v>
      </c>
      <c r="E23" s="65" t="s">
        <v>4</v>
      </c>
      <c r="F23" s="82">
        <v>1</v>
      </c>
      <c r="G23" s="83">
        <v>2000</v>
      </c>
      <c r="H23" s="83">
        <v>2000</v>
      </c>
      <c r="I23" s="52"/>
    </row>
    <row r="24" spans="1:9">
      <c r="A24" s="90" t="s">
        <v>7</v>
      </c>
      <c r="B24" s="91"/>
      <c r="C24" s="91"/>
      <c r="D24" s="91"/>
      <c r="E24" s="91"/>
      <c r="F24" s="91"/>
      <c r="G24" s="91"/>
      <c r="H24" s="62">
        <v>1036434</v>
      </c>
      <c r="I24" s="63"/>
    </row>
    <row r="25" spans="1:9">
      <c r="A25" s="51"/>
      <c r="B25" s="51"/>
      <c r="C25" s="51"/>
      <c r="D25" s="59"/>
      <c r="E25" s="60"/>
      <c r="F25" s="64"/>
      <c r="G25" s="60"/>
      <c r="H25" s="60"/>
      <c r="I25" s="53"/>
    </row>
    <row r="26" spans="1:9">
      <c r="A26" s="51"/>
      <c r="B26" s="51"/>
      <c r="C26" s="51"/>
      <c r="D26" s="59"/>
      <c r="E26" s="60"/>
      <c r="F26" s="85" t="s">
        <v>238</v>
      </c>
      <c r="G26" s="85"/>
      <c r="H26" s="85"/>
      <c r="I26" s="85"/>
    </row>
    <row r="27" spans="1:9">
      <c r="A27" s="51"/>
      <c r="B27" s="51"/>
      <c r="C27" s="51"/>
      <c r="D27" s="59"/>
      <c r="E27" s="60"/>
      <c r="F27" s="85" t="s">
        <v>172</v>
      </c>
      <c r="G27" s="85"/>
      <c r="H27" s="85"/>
      <c r="I27" s="85"/>
    </row>
    <row r="28" spans="1:9">
      <c r="A28" s="51"/>
      <c r="B28" s="51"/>
      <c r="C28" s="51"/>
      <c r="D28" s="59"/>
      <c r="E28" s="60"/>
      <c r="F28" s="85" t="s">
        <v>6</v>
      </c>
      <c r="G28" s="85"/>
      <c r="H28" s="85"/>
      <c r="I28" s="85"/>
    </row>
  </sheetData>
  <mergeCells count="7">
    <mergeCell ref="F28:I28"/>
    <mergeCell ref="A1:I1"/>
    <mergeCell ref="A2:I2"/>
    <mergeCell ref="A3:I3"/>
    <mergeCell ref="A24:G24"/>
    <mergeCell ref="F26:I26"/>
    <mergeCell ref="F27:I27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แผนกช่างยนต์</vt:lpstr>
      <vt:lpstr>สาขาเครื่องกลอุตสาหกรรม</vt:lpstr>
      <vt:lpstr>แผนกช่างยนต์!Print_Titles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2022-08-29T02:57:32Z</cp:lastPrinted>
  <dcterms:created xsi:type="dcterms:W3CDTF">2017-11-14T01:32:33Z</dcterms:created>
  <dcterms:modified xsi:type="dcterms:W3CDTF">2022-08-29T02:57:34Z</dcterms:modified>
</cp:coreProperties>
</file>