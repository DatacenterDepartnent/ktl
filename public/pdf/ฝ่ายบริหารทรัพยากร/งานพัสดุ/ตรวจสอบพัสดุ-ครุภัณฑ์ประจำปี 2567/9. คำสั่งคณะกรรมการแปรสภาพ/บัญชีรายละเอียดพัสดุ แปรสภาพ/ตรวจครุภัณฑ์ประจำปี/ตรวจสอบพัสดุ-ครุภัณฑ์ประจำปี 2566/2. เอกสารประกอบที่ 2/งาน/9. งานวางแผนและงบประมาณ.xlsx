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CCEACCA0-FBD2-465B-B5E6-301DE573CEC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างแผน" sheetId="17" r:id="rId1"/>
  </sheets>
  <calcPr calcId="191029"/>
</workbook>
</file>

<file path=xl/calcChain.xml><?xml version="1.0" encoding="utf-8"?>
<calcChain xmlns="http://schemas.openxmlformats.org/spreadsheetml/2006/main">
  <c r="H28" i="17" l="1"/>
  <c r="H29" i="17" s="1"/>
  <c r="H27" i="17"/>
  <c r="H26" i="17"/>
  <c r="H25" i="17"/>
  <c r="H24" i="17"/>
  <c r="H6" i="17" l="1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5" i="17"/>
</calcChain>
</file>

<file path=xl/sharedStrings.xml><?xml version="1.0" encoding="utf-8"?>
<sst xmlns="http://schemas.openxmlformats.org/spreadsheetml/2006/main" count="92" uniqueCount="69">
  <si>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</si>
  <si>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</si>
  <si>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</si>
  <si>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</si>
  <si>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กล้องดิจิตอล</t>
  </si>
  <si>
    <t>เครื่องคอมพิวเตอร์ GVIEW</t>
  </si>
  <si>
    <t>งปม.</t>
  </si>
  <si>
    <t>บกศ.</t>
  </si>
  <si>
    <t>เครื่องสำรองไฟฟ้า</t>
  </si>
  <si>
    <t>เครื่องคอมพิวเตอร์พร้อมโต๊ะเก้าอี้</t>
  </si>
  <si>
    <t>ตู้เหล็ก 2  บานเลื่อน</t>
  </si>
  <si>
    <t>ตู้เหล็ก 2 บานเลื่อน</t>
  </si>
  <si>
    <t>FLASH DRIVE 512 MB</t>
  </si>
  <si>
    <t>....................................................</t>
  </si>
  <si>
    <t>หัวหน้าหน่วยจ่าย/หน่วยเบิก</t>
  </si>
  <si>
    <t>7110-002-0006/401-004-005</t>
  </si>
  <si>
    <t>7110-007-0001/452-001</t>
  </si>
  <si>
    <t>6720-005-0002/472-005</t>
  </si>
  <si>
    <t>7440-009-0001/492-001</t>
  </si>
  <si>
    <t>7440-001-0001/492-048</t>
  </si>
  <si>
    <t>7430-008-0002/492-011</t>
  </si>
  <si>
    <t>7110-002-0006/502-085</t>
  </si>
  <si>
    <t>7110-002-0005/502-011</t>
  </si>
  <si>
    <t>7110-007-0002/502-002</t>
  </si>
  <si>
    <t>7440-001-0001/502-048</t>
  </si>
  <si>
    <t>7430-008-0005/513-005</t>
  </si>
  <si>
    <t>7110-006-0007/512-001</t>
  </si>
  <si>
    <t>7110-001-0003/512-002</t>
  </si>
  <si>
    <t>7440-001-0002/521-002</t>
  </si>
  <si>
    <t>7110-002-0002/531-005</t>
  </si>
  <si>
    <t>6130-001-0001/531-002</t>
  </si>
  <si>
    <t>7440-001-0001/531-139</t>
  </si>
  <si>
    <t>7440-001-0001/551-168-172</t>
  </si>
  <si>
    <t>4120-001-0001/582-001</t>
  </si>
  <si>
    <t>โต๊ะคอมพิวเตอร์ + เก้าอี้</t>
  </si>
  <si>
    <t>เครื่องปริ้นเตอร์  HP1022</t>
  </si>
  <si>
    <t>ตู้เหล็ก 2  บานเปิด</t>
  </si>
  <si>
    <t>เครื่องคอมพิวเตอร์ ASUS</t>
  </si>
  <si>
    <t>เก้าอี้สำนักงาน  S -35  หนัง</t>
  </si>
  <si>
    <t>โต๊ะเหล็ก  5  ฟุต  TC-3060  BESTER</t>
  </si>
  <si>
    <t>ตู้เอกสาร  15  ลิ้นชัก</t>
  </si>
  <si>
    <t>เครื่องคอมพิวเตอร์ DMA</t>
  </si>
  <si>
    <t>เครื่องปรับอากาศ 12,000 บีซียู</t>
  </si>
  <si>
    <t>เครื่องปริ้นเตอร์  HP COLOR LASER JET 1600</t>
  </si>
  <si>
    <t>เครื่องคอมพิวเตอร์แบบพกพา ACER A15</t>
  </si>
  <si>
    <t>รวมเป็นเงิน</t>
  </si>
  <si>
    <t>7430-003-0001/632-002</t>
  </si>
  <si>
    <t>เครื่องปรื้นเตอร์ brother DCP-T510W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</si>
  <si>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</si>
  <si>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</si>
  <si>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</si>
  <si>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</si>
  <si>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</si>
  <si>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</si>
  <si>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</si>
  <si>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งานวางแผนและงบประมาณ คงเหลือ</t>
  </si>
  <si>
    <t>2550</t>
  </si>
  <si>
    <t>2551</t>
  </si>
  <si>
    <t xml:space="preserve"> 8 มิ.ย.64</t>
  </si>
  <si>
    <t xml:space="preserve"> 8 ก.ค.63</t>
  </si>
  <si>
    <t>7440-010-0002/642-006(13)</t>
  </si>
  <si>
    <t>เครื่องพิมพ์เลเซอร์</t>
  </si>
  <si>
    <t>7440-001-0002/652-001</t>
  </si>
  <si>
    <t>เครื่องคอมพิวเตอร์ All In One</t>
  </si>
  <si>
    <t>(นางศิริรัตน์ คำเพราะ)</t>
  </si>
  <si>
    <t>7110-006-0002/662-001(2)</t>
  </si>
  <si>
    <t>เก้าอี้สำนักงาน พนักพิงเบาะผ้า</t>
  </si>
  <si>
    <t>7110-006-0007/662-001(3)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</si>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</sst>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6" xfId="6" applyFont="1" applyBorder="1" applyAlignment="1">
      <alignment horizontal="left" vertical="center"/>
    </xf>
    <xf numFmtId="0" fontId="6" fillId="0" borderId="7" xfId="6" applyFont="1" applyBorder="1" applyAlignment="1">
      <alignment horizontal="left" vertical="center"/>
    </xf>
    <xf numFmtId="0" fontId="6" fillId="0" borderId="1" xfId="2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0" fontId="6" fillId="0" borderId="5" xfId="6" applyFont="1" applyBorder="1" applyAlignment="1">
      <alignment horizontal="left"/>
    </xf>
    <xf numFmtId="0" fontId="6" fillId="0" borderId="5" xfId="6" applyFont="1" applyBorder="1"/>
    <xf numFmtId="43" fontId="6" fillId="0" borderId="9" xfId="1" applyFont="1" applyBorder="1"/>
    <xf numFmtId="0" fontId="6" fillId="0" borderId="1" xfId="6" applyFont="1" applyBorder="1" applyAlignment="1">
      <alignment horizontal="left"/>
    </xf>
    <xf numFmtId="43" fontId="6" fillId="0" borderId="2" xfId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3" fontId="6" fillId="0" borderId="9" xfId="1" applyFont="1" applyBorder="1" applyAlignment="1">
      <alignment horizontal="center"/>
    </xf>
    <xf numFmtId="0" fontId="6" fillId="0" borderId="1" xfId="6" applyFont="1" applyBorder="1"/>
    <xf numFmtId="43" fontId="6" fillId="0" borderId="2" xfId="1" applyFont="1" applyBorder="1"/>
    <xf numFmtId="43" fontId="6" fillId="0" borderId="1" xfId="1" applyFont="1" applyBorder="1"/>
    <xf numFmtId="49" fontId="6" fillId="0" borderId="1" xfId="0" applyNumberFormat="1" applyFont="1" applyBorder="1" applyAlignment="1">
      <alignment horizontal="left"/>
    </xf>
    <xf numFmtId="43" fontId="6" fillId="0" borderId="1" xfId="1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43" fontId="5" fillId="0" borderId="2" xfId="0" applyNumberFormat="1" applyFont="1" applyBorder="1"/>
    <xf numFmtId="43" fontId="5" fillId="0" borderId="1" xfId="0" applyNumberFormat="1" applyFont="1" applyBorder="1"/>
    <xf numFmtId="0" fontId="5" fillId="0" borderId="4" xfId="0" applyFont="1" applyBorder="1"/>
    <xf numFmtId="0" fontId="5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142875</xdr:rowOff>
    </xdr:from>
    <xdr:to>
      <xdr:col>8</xdr:col>
      <xdr:colOff>609600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8448675" y="142875"/>
          <a:ext cx="17145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3300"/>
  </sheetPr>
  <dimension ref="A1:J34"/>
  <sheetViews>
    <sheetView tabSelected="1" topLeftCell="A7" zoomScaleNormal="100" workbookViewId="0">
      <selection activeCell="D6" sqref="D6"/>
    </sheetView>
  </sheetViews>
  <sheetFormatPr defaultColWidth="9" defaultRowHeight="24"/>
  <cols>
    <col min="1" max="1" width="5.42578125" style="1" customWidth="1"/>
    <col min="2" max="2" width="12.28515625" style="3" customWidth="1"/>
    <col min="3" max="3" width="28.5703125" style="1" customWidth="1"/>
    <col min="4" max="4" width="40" style="1" customWidth="1"/>
    <col min="5" max="6" width="7" style="1" customWidth="1"/>
    <col min="7" max="7" width="12.140625" style="1" customWidth="1"/>
    <col min="8" max="8" width="13" style="1" customWidth="1"/>
    <col min="9" max="9" width="10.42578125" style="1" customWidth="1"/>
    <col min="10" max="10" width="16.140625" style="1" customWidth="1"/>
    <col min="11" max="16384" width="9" style="1"/>
  </cols>
  <sheetData>
    <row r="1" spans="1:10" ht="26.25" customHeight="1">
      <c r="A1" s="9" t="s">
        <v>3</v>
      </c>
      <c r="B1" s="9"/>
      <c r="C1" s="9"/>
      <c r="D1" s="9"/>
      <c r="E1" s="9"/>
      <c r="F1" s="9"/>
      <c r="G1" s="9"/>
      <c r="H1" s="9"/>
      <c r="I1" s="9"/>
    </row>
    <row r="2" spans="1:10" ht="26.25" customHeight="1">
      <c r="A2" s="9" t="s">
        <v>55</v>
      </c>
      <c r="B2" s="9"/>
      <c r="C2" s="9"/>
      <c r="D2" s="9"/>
      <c r="E2" s="9"/>
      <c r="F2" s="9"/>
      <c r="G2" s="9"/>
      <c r="H2" s="9"/>
      <c r="I2" s="9"/>
    </row>
    <row r="3" spans="1:10" ht="26.25" customHeight="1">
      <c r="A3" s="10" t="s">
        <v>68</v>
      </c>
      <c r="B3" s="10"/>
      <c r="C3" s="10"/>
      <c r="D3" s="10"/>
      <c r="E3" s="10"/>
      <c r="F3" s="10"/>
      <c r="G3" s="10"/>
      <c r="H3" s="10"/>
      <c r="I3" s="10"/>
    </row>
    <row r="4" spans="1:10" ht="44.25" customHeight="1">
      <c r="A4" s="11" t="s">
        <v>49</v>
      </c>
      <c r="B4" s="11" t="s">
        <v>52</v>
      </c>
      <c r="C4" s="11" t="s">
        <v>53</v>
      </c>
      <c r="D4" s="12" t="s">
        <v>0</v>
      </c>
      <c r="E4" s="11" t="s">
        <v>50</v>
      </c>
      <c r="F4" s="12" t="s">
        <v>1</v>
      </c>
      <c r="G4" s="11" t="s">
        <v>51</v>
      </c>
      <c r="H4" s="11" t="s">
        <v>54</v>
      </c>
      <c r="I4" s="12" t="s">
        <v>2</v>
      </c>
      <c r="J4" s="2"/>
    </row>
    <row r="5" spans="1:10">
      <c r="A5" s="13">
        <v>1</v>
      </c>
      <c r="B5" s="13">
        <v>2540</v>
      </c>
      <c r="C5" s="14" t="s">
        <v>15</v>
      </c>
      <c r="D5" s="15" t="s">
        <v>10</v>
      </c>
      <c r="E5" s="16" t="s">
        <v>6</v>
      </c>
      <c r="F5" s="16">
        <v>2</v>
      </c>
      <c r="G5" s="17">
        <v>2250</v>
      </c>
      <c r="H5" s="17">
        <f>SUM(F5*G5)</f>
        <v>4500</v>
      </c>
      <c r="I5" s="13"/>
    </row>
    <row r="6" spans="1:10">
      <c r="A6" s="13">
        <v>2</v>
      </c>
      <c r="B6" s="13">
        <v>2545</v>
      </c>
      <c r="C6" s="18" t="s">
        <v>16</v>
      </c>
      <c r="D6" s="19" t="s">
        <v>34</v>
      </c>
      <c r="E6" s="16" t="s">
        <v>7</v>
      </c>
      <c r="F6" s="16">
        <v>1</v>
      </c>
      <c r="G6" s="20">
        <v>3100</v>
      </c>
      <c r="H6" s="17">
        <f t="shared" ref="H6:H23" si="0">SUM(F6*G6)</f>
        <v>3100</v>
      </c>
      <c r="I6" s="13"/>
    </row>
    <row r="7" spans="1:10">
      <c r="A7" s="13">
        <v>3</v>
      </c>
      <c r="B7" s="13">
        <v>2547</v>
      </c>
      <c r="C7" s="21" t="s">
        <v>17</v>
      </c>
      <c r="D7" s="21" t="s">
        <v>4</v>
      </c>
      <c r="E7" s="16" t="s">
        <v>7</v>
      </c>
      <c r="F7" s="16">
        <v>1</v>
      </c>
      <c r="G7" s="22">
        <v>6900</v>
      </c>
      <c r="H7" s="17">
        <f t="shared" si="0"/>
        <v>6900</v>
      </c>
      <c r="I7" s="13"/>
    </row>
    <row r="8" spans="1:10">
      <c r="A8" s="13">
        <v>4</v>
      </c>
      <c r="B8" s="13">
        <v>2549</v>
      </c>
      <c r="C8" s="21" t="s">
        <v>18</v>
      </c>
      <c r="D8" s="21" t="s">
        <v>12</v>
      </c>
      <c r="E8" s="16" t="s">
        <v>7</v>
      </c>
      <c r="F8" s="16">
        <v>1</v>
      </c>
      <c r="G8" s="22">
        <v>695.5</v>
      </c>
      <c r="H8" s="17">
        <f t="shared" si="0"/>
        <v>695.5</v>
      </c>
      <c r="I8" s="13"/>
    </row>
    <row r="9" spans="1:10">
      <c r="A9" s="13">
        <v>5</v>
      </c>
      <c r="B9" s="13">
        <v>2549</v>
      </c>
      <c r="C9" s="21" t="s">
        <v>19</v>
      </c>
      <c r="D9" s="21" t="s">
        <v>5</v>
      </c>
      <c r="E9" s="16" t="s">
        <v>7</v>
      </c>
      <c r="F9" s="16">
        <v>1</v>
      </c>
      <c r="G9" s="22">
        <v>19088.8</v>
      </c>
      <c r="H9" s="17">
        <f t="shared" si="0"/>
        <v>19088.8</v>
      </c>
      <c r="I9" s="13"/>
    </row>
    <row r="10" spans="1:10">
      <c r="A10" s="13">
        <v>6</v>
      </c>
      <c r="B10" s="13">
        <v>2549</v>
      </c>
      <c r="C10" s="21" t="s">
        <v>20</v>
      </c>
      <c r="D10" s="21" t="s">
        <v>35</v>
      </c>
      <c r="E10" s="16" t="s">
        <v>7</v>
      </c>
      <c r="F10" s="16">
        <v>1</v>
      </c>
      <c r="G10" s="22">
        <v>12000</v>
      </c>
      <c r="H10" s="17">
        <f t="shared" si="0"/>
        <v>12000</v>
      </c>
      <c r="I10" s="13"/>
    </row>
    <row r="11" spans="1:10">
      <c r="A11" s="13">
        <v>7</v>
      </c>
      <c r="B11" s="23" t="s">
        <v>56</v>
      </c>
      <c r="C11" s="18" t="s">
        <v>21</v>
      </c>
      <c r="D11" s="18" t="s">
        <v>11</v>
      </c>
      <c r="E11" s="16" t="s">
        <v>7</v>
      </c>
      <c r="F11" s="16">
        <v>1</v>
      </c>
      <c r="G11" s="24">
        <v>2800</v>
      </c>
      <c r="H11" s="17">
        <f t="shared" si="0"/>
        <v>2800</v>
      </c>
      <c r="I11" s="13"/>
    </row>
    <row r="12" spans="1:10">
      <c r="A12" s="13">
        <v>8</v>
      </c>
      <c r="B12" s="13">
        <v>2550</v>
      </c>
      <c r="C12" s="18" t="s">
        <v>22</v>
      </c>
      <c r="D12" s="18" t="s">
        <v>36</v>
      </c>
      <c r="E12" s="16" t="s">
        <v>7</v>
      </c>
      <c r="F12" s="16">
        <v>1</v>
      </c>
      <c r="G12" s="24">
        <v>3000</v>
      </c>
      <c r="H12" s="17">
        <f t="shared" si="0"/>
        <v>3000</v>
      </c>
      <c r="I12" s="13"/>
    </row>
    <row r="13" spans="1:10">
      <c r="A13" s="13">
        <v>9</v>
      </c>
      <c r="B13" s="13">
        <v>2550</v>
      </c>
      <c r="C13" s="18" t="s">
        <v>23</v>
      </c>
      <c r="D13" s="19" t="s">
        <v>34</v>
      </c>
      <c r="E13" s="16" t="s">
        <v>7</v>
      </c>
      <c r="F13" s="16">
        <v>1</v>
      </c>
      <c r="G13" s="20">
        <v>1700</v>
      </c>
      <c r="H13" s="17">
        <f t="shared" si="0"/>
        <v>1700</v>
      </c>
      <c r="I13" s="13"/>
    </row>
    <row r="14" spans="1:10">
      <c r="A14" s="13">
        <v>10</v>
      </c>
      <c r="B14" s="13">
        <v>2550</v>
      </c>
      <c r="C14" s="21" t="s">
        <v>24</v>
      </c>
      <c r="D14" s="21" t="s">
        <v>37</v>
      </c>
      <c r="E14" s="16" t="s">
        <v>7</v>
      </c>
      <c r="F14" s="16">
        <v>1</v>
      </c>
      <c r="G14" s="22">
        <v>17300</v>
      </c>
      <c r="H14" s="17">
        <f t="shared" si="0"/>
        <v>17300</v>
      </c>
      <c r="I14" s="13"/>
    </row>
    <row r="15" spans="1:10">
      <c r="A15" s="13">
        <v>11</v>
      </c>
      <c r="B15" s="13">
        <v>2551</v>
      </c>
      <c r="C15" s="21" t="s">
        <v>25</v>
      </c>
      <c r="D15" s="21" t="s">
        <v>43</v>
      </c>
      <c r="E15" s="16" t="s">
        <v>48</v>
      </c>
      <c r="F15" s="16">
        <v>1</v>
      </c>
      <c r="G15" s="22">
        <v>14500</v>
      </c>
      <c r="H15" s="17">
        <f t="shared" si="0"/>
        <v>14500</v>
      </c>
      <c r="I15" s="13"/>
    </row>
    <row r="16" spans="1:10">
      <c r="A16" s="13">
        <v>12</v>
      </c>
      <c r="B16" s="13">
        <v>2551</v>
      </c>
      <c r="C16" s="21" t="s">
        <v>26</v>
      </c>
      <c r="D16" s="25" t="s">
        <v>38</v>
      </c>
      <c r="E16" s="16" t="s">
        <v>7</v>
      </c>
      <c r="F16" s="16">
        <v>1</v>
      </c>
      <c r="G16" s="26">
        <v>1006.25</v>
      </c>
      <c r="H16" s="17">
        <f t="shared" si="0"/>
        <v>1006.25</v>
      </c>
      <c r="I16" s="13"/>
    </row>
    <row r="17" spans="1:10">
      <c r="A17" s="13">
        <v>13</v>
      </c>
      <c r="B17" s="23" t="s">
        <v>57</v>
      </c>
      <c r="C17" s="21" t="s">
        <v>27</v>
      </c>
      <c r="D17" s="25" t="s">
        <v>39</v>
      </c>
      <c r="E17" s="16" t="s">
        <v>7</v>
      </c>
      <c r="F17" s="16">
        <v>1</v>
      </c>
      <c r="G17" s="26">
        <v>5684.5</v>
      </c>
      <c r="H17" s="17">
        <f t="shared" si="0"/>
        <v>5684.5</v>
      </c>
      <c r="I17" s="13"/>
    </row>
    <row r="18" spans="1:10">
      <c r="A18" s="13">
        <v>14</v>
      </c>
      <c r="B18" s="13">
        <v>2552</v>
      </c>
      <c r="C18" s="21" t="s">
        <v>28</v>
      </c>
      <c r="D18" s="25" t="s">
        <v>44</v>
      </c>
      <c r="E18" s="16" t="s">
        <v>6</v>
      </c>
      <c r="F18" s="16">
        <v>1</v>
      </c>
      <c r="G18" s="26">
        <v>22000</v>
      </c>
      <c r="H18" s="17">
        <f t="shared" si="0"/>
        <v>22000</v>
      </c>
      <c r="I18" s="13"/>
    </row>
    <row r="19" spans="1:10">
      <c r="A19" s="13">
        <v>15</v>
      </c>
      <c r="B19" s="13">
        <v>2553</v>
      </c>
      <c r="C19" s="21" t="s">
        <v>29</v>
      </c>
      <c r="D19" s="25" t="s">
        <v>40</v>
      </c>
      <c r="E19" s="16" t="s">
        <v>6</v>
      </c>
      <c r="F19" s="16">
        <v>1</v>
      </c>
      <c r="G19" s="27">
        <v>3450</v>
      </c>
      <c r="H19" s="17">
        <f t="shared" si="0"/>
        <v>3450</v>
      </c>
      <c r="I19" s="13"/>
    </row>
    <row r="20" spans="1:10">
      <c r="A20" s="13">
        <v>16</v>
      </c>
      <c r="B20" s="13">
        <v>2553</v>
      </c>
      <c r="C20" s="28" t="s">
        <v>30</v>
      </c>
      <c r="D20" s="28" t="s">
        <v>8</v>
      </c>
      <c r="E20" s="16" t="s">
        <v>6</v>
      </c>
      <c r="F20" s="16">
        <v>1</v>
      </c>
      <c r="G20" s="29">
        <v>2590</v>
      </c>
      <c r="H20" s="17">
        <f t="shared" si="0"/>
        <v>2590</v>
      </c>
      <c r="I20" s="13"/>
    </row>
    <row r="21" spans="1:10">
      <c r="A21" s="13">
        <v>17</v>
      </c>
      <c r="B21" s="13">
        <v>2553</v>
      </c>
      <c r="C21" s="21" t="s">
        <v>31</v>
      </c>
      <c r="D21" s="25" t="s">
        <v>9</v>
      </c>
      <c r="E21" s="16" t="s">
        <v>6</v>
      </c>
      <c r="F21" s="16">
        <v>1</v>
      </c>
      <c r="G21" s="27">
        <v>17000</v>
      </c>
      <c r="H21" s="17">
        <f t="shared" si="0"/>
        <v>17000</v>
      </c>
      <c r="I21" s="13"/>
    </row>
    <row r="22" spans="1:10">
      <c r="A22" s="13">
        <v>18</v>
      </c>
      <c r="B22" s="13">
        <v>2555</v>
      </c>
      <c r="C22" s="21" t="s">
        <v>32</v>
      </c>
      <c r="D22" s="25" t="s">
        <v>41</v>
      </c>
      <c r="E22" s="16" t="s">
        <v>6</v>
      </c>
      <c r="F22" s="16">
        <v>5</v>
      </c>
      <c r="G22" s="27">
        <v>21000</v>
      </c>
      <c r="H22" s="17">
        <f t="shared" si="0"/>
        <v>105000</v>
      </c>
      <c r="I22" s="13"/>
    </row>
    <row r="23" spans="1:10">
      <c r="A23" s="13">
        <v>19</v>
      </c>
      <c r="B23" s="13">
        <v>2558</v>
      </c>
      <c r="C23" s="21" t="s">
        <v>33</v>
      </c>
      <c r="D23" s="25" t="s">
        <v>42</v>
      </c>
      <c r="E23" s="16" t="s">
        <v>7</v>
      </c>
      <c r="F23" s="16">
        <v>1</v>
      </c>
      <c r="G23" s="27">
        <v>15700</v>
      </c>
      <c r="H23" s="17">
        <f t="shared" si="0"/>
        <v>15700</v>
      </c>
      <c r="I23" s="13"/>
    </row>
    <row r="24" spans="1:10">
      <c r="A24" s="13">
        <v>20</v>
      </c>
      <c r="B24" s="30" t="s">
        <v>59</v>
      </c>
      <c r="C24" s="21" t="s">
        <v>46</v>
      </c>
      <c r="D24" s="25" t="s">
        <v>47</v>
      </c>
      <c r="E24" s="16" t="s">
        <v>7</v>
      </c>
      <c r="F24" s="16">
        <v>1</v>
      </c>
      <c r="G24" s="27">
        <v>4990</v>
      </c>
      <c r="H24" s="17">
        <f t="shared" ref="H24:H28" si="1">SUM(F24*G24)</f>
        <v>4990</v>
      </c>
      <c r="I24" s="13"/>
    </row>
    <row r="25" spans="1:10">
      <c r="A25" s="13">
        <v>21</v>
      </c>
      <c r="B25" s="30" t="s">
        <v>58</v>
      </c>
      <c r="C25" s="21" t="s">
        <v>60</v>
      </c>
      <c r="D25" s="25" t="s">
        <v>61</v>
      </c>
      <c r="E25" s="16" t="s">
        <v>7</v>
      </c>
      <c r="F25" s="16">
        <v>1</v>
      </c>
      <c r="G25" s="27">
        <v>2690</v>
      </c>
      <c r="H25" s="17">
        <f t="shared" si="1"/>
        <v>2690</v>
      </c>
      <c r="I25" s="13"/>
    </row>
    <row r="26" spans="1:10">
      <c r="A26" s="13">
        <v>22</v>
      </c>
      <c r="B26" s="30">
        <v>23983</v>
      </c>
      <c r="C26" s="21" t="s">
        <v>62</v>
      </c>
      <c r="D26" s="25" t="s">
        <v>63</v>
      </c>
      <c r="E26" s="16" t="s">
        <v>7</v>
      </c>
      <c r="F26" s="16">
        <v>1</v>
      </c>
      <c r="G26" s="26">
        <v>17000</v>
      </c>
      <c r="H26" s="29">
        <f t="shared" si="1"/>
        <v>17000</v>
      </c>
      <c r="I26" s="4"/>
    </row>
    <row r="27" spans="1:10">
      <c r="A27" s="13">
        <v>23</v>
      </c>
      <c r="B27" s="30">
        <v>243391</v>
      </c>
      <c r="C27" s="21" t="s">
        <v>65</v>
      </c>
      <c r="D27" s="25" t="s">
        <v>66</v>
      </c>
      <c r="E27" s="16" t="s">
        <v>7</v>
      </c>
      <c r="F27" s="16">
        <v>2</v>
      </c>
      <c r="G27" s="27">
        <v>1590</v>
      </c>
      <c r="H27" s="29">
        <f t="shared" si="1"/>
        <v>3180</v>
      </c>
      <c r="I27" s="4"/>
    </row>
    <row r="28" spans="1:10">
      <c r="A28" s="13">
        <v>24</v>
      </c>
      <c r="B28" s="30">
        <v>243391</v>
      </c>
      <c r="C28" s="21" t="s">
        <v>67</v>
      </c>
      <c r="D28" s="25" t="s">
        <v>66</v>
      </c>
      <c r="E28" s="16" t="s">
        <v>7</v>
      </c>
      <c r="F28" s="16">
        <v>3</v>
      </c>
      <c r="G28" s="27">
        <v>1545</v>
      </c>
      <c r="H28" s="29">
        <f t="shared" si="1"/>
        <v>4635</v>
      </c>
      <c r="I28" s="4"/>
    </row>
    <row r="29" spans="1:10">
      <c r="A29" s="6" t="s">
        <v>45</v>
      </c>
      <c r="B29" s="7"/>
      <c r="C29" s="7"/>
      <c r="D29" s="7"/>
      <c r="E29" s="8"/>
      <c r="F29" s="31"/>
      <c r="G29" s="32"/>
      <c r="H29" s="33">
        <f>SUM(H5:H28)</f>
        <v>290510.05</v>
      </c>
      <c r="I29" s="34"/>
    </row>
    <row r="30" spans="1:10" ht="37.5" customHeight="1">
      <c r="A30" s="35"/>
      <c r="B30" s="5"/>
      <c r="C30" s="35"/>
      <c r="D30" s="35"/>
      <c r="E30" s="35"/>
      <c r="F30" s="35"/>
      <c r="G30" s="35"/>
      <c r="H30" s="35"/>
      <c r="I30" s="35"/>
    </row>
    <row r="31" spans="1:10">
      <c r="A31" s="35"/>
      <c r="B31" s="5"/>
      <c r="C31" s="35"/>
      <c r="D31" s="35"/>
      <c r="E31" s="35"/>
      <c r="F31" s="9" t="s">
        <v>13</v>
      </c>
      <c r="G31" s="9"/>
      <c r="H31" s="9"/>
      <c r="I31" s="9"/>
      <c r="J31" s="3"/>
    </row>
    <row r="32" spans="1:10">
      <c r="A32" s="35"/>
      <c r="B32" s="5"/>
      <c r="C32" s="35"/>
      <c r="D32" s="35"/>
      <c r="E32" s="35"/>
      <c r="F32" s="9" t="s">
        <v>64</v>
      </c>
      <c r="G32" s="9"/>
      <c r="H32" s="9"/>
      <c r="I32" s="9"/>
      <c r="J32" s="3"/>
    </row>
    <row r="33" spans="1:10">
      <c r="A33" s="35"/>
      <c r="B33" s="5"/>
      <c r="C33" s="35"/>
      <c r="D33" s="35"/>
      <c r="E33" s="35"/>
      <c r="F33" s="9" t="s">
        <v>14</v>
      </c>
      <c r="G33" s="9"/>
      <c r="H33" s="9"/>
      <c r="I33" s="9"/>
      <c r="J33" s="3"/>
    </row>
    <row r="34" spans="1:10">
      <c r="F34" s="3"/>
      <c r="G34" s="3"/>
      <c r="H34" s="3"/>
      <c r="I34" s="3"/>
      <c r="J34" s="3"/>
    </row>
  </sheetData>
  <mergeCells count="7">
    <mergeCell ref="F31:I31"/>
    <mergeCell ref="F32:I32"/>
    <mergeCell ref="F33:I33"/>
    <mergeCell ref="A29:E29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งานวางแผน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2022-10-07T07:26:27Z</cp:lastPrinted>
  <dcterms:created xsi:type="dcterms:W3CDTF">2017-11-14T01:32:33Z</dcterms:created>
  <dcterms:modified xsi:type="dcterms:W3CDTF">2023-10-18T03:26:33Z</dcterms:modified>
</cp:coreProperties>
</file>