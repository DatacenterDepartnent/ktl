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F4BD65FB-2E40-417E-8240-F74DB3B4CEE3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<sst xmlns="http://schemas.openxmlformats.org/spreadsheetml/2006/main" count="69" uniqueCount="46">
  <si>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</si>
  <si>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</si>
  <si>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</si>
  <si>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</si>
  <si>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</si>
  <si>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</si>
  <si>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</si>
  <si>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</si>
  <si>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</si>
  <si>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</si>
  <si>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</si>
  <si>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</si>
  <si>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</si>
  <si>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</si>
  <si>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</si>
  <si>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</si>
  <si>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</si>
  <si>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</si>
  <si>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</si>
  <si>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ของแผนกวิชาช่างกลโรงงาน</t>
  </si>
  <si>
    <t xml:space="preserve"> 2546</t>
  </si>
  <si>
    <t>3416-001-0001/463-001</t>
  </si>
  <si>
    <t>เครื่องกลึงขนาดยันศูนย์เหนือแท่น 125 มม.</t>
  </si>
  <si>
    <t>2546</t>
  </si>
  <si>
    <t>3416-001-0001/463-002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</si>
  <si>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</si>
  <si>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</si>
  <si>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</si>
  <si>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</si>
  <si>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</si>
  <si>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</si>
  <si>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</si>
  <si>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</si>
  <si>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บริจาค</t>
  </si>
  <si>
    <t>ระบบไฟฟ้าชำรุด,ระบบแมคคานิคชำรุด</t>
  </si>
  <si>
    <t>-</t>
  </si>
  <si>
    <t xml:space="preserve"> 25 ก.ย.62</t>
  </si>
  <si>
    <t>ลงชื่อ</t>
  </si>
  <si>
    <t>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</si>
  <si>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</si>
  <si>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</si>
  <si>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</si>
  <si>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>(นายวัฒนา  ทองเทพ)</t>
  </si>
  <si>
    <t>(นายภูดิศ  สุวรรณวงค์)</t>
  </si>
  <si>
    <t>(นายไกรศร  ผิวผัน)</t>
  </si>
  <si>
    <t>เอกสารหมายเลข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</si>
</sst>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49" fontId="4" fillId="0" borderId="1" xfId="13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10" fillId="0" borderId="1" xfId="0" applyFont="1" applyBorder="1"/>
    <xf numFmtId="43" fontId="4" fillId="0" borderId="1" xfId="1" applyFont="1" applyFill="1" applyBorder="1"/>
    <xf numFmtId="43" fontId="2" fillId="0" borderId="1" xfId="12" applyNumberFormat="1" applyFont="1" applyBorder="1" applyAlignment="1">
      <alignment horizontal="left"/>
    </xf>
    <xf numFmtId="0" fontId="4" fillId="0" borderId="1" xfId="2" quotePrefix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/>
    </xf>
    <xf numFmtId="0" fontId="4" fillId="0" borderId="6" xfId="6" applyFont="1" applyBorder="1" applyAlignment="1">
      <alignment horizontal="left"/>
    </xf>
    <xf numFmtId="0" fontId="10" fillId="0" borderId="4" xfId="0" applyFont="1" applyBorder="1"/>
    <xf numFmtId="0" fontId="4" fillId="0" borderId="4" xfId="2" applyFont="1" applyBorder="1" applyAlignment="1">
      <alignment horizontal="center"/>
    </xf>
    <xf numFmtId="0" fontId="4" fillId="0" borderId="4" xfId="2" quotePrefix="1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43" fontId="4" fillId="0" borderId="4" xfId="1" applyFont="1" applyBorder="1"/>
    <xf numFmtId="43" fontId="2" fillId="0" borderId="4" xfId="12" applyNumberFormat="1" applyFont="1" applyBorder="1" applyAlignment="1">
      <alignment horizontal="left"/>
    </xf>
    <xf numFmtId="0" fontId="5" fillId="0" borderId="7" xfId="0" applyFont="1" applyBorder="1"/>
    <xf numFmtId="0" fontId="7" fillId="0" borderId="7" xfId="0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3" fontId="7" fillId="0" borderId="7" xfId="0" applyNumberFormat="1" applyFont="1" applyBorder="1" applyAlignment="1"/>
    <xf numFmtId="0" fontId="5" fillId="0" borderId="0" xfId="0" applyFont="1" applyBorder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1552575</xdr:colOff>
      <xdr:row>14</xdr:row>
      <xdr:rowOff>19054</xdr:rowOff>
    </xdr:from>
    <xdr:to>
      <xdr:col>11</xdr:col>
      <xdr:colOff>1876425</xdr:colOff>
      <xdr:row>18</xdr:row>
      <xdr:rowOff>219080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15749" y="5229230"/>
          <a:ext cx="152400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1"/>
  <sheetViews>
    <sheetView tabSelected="1" zoomScaleNormal="100" workbookViewId="0">
      <selection activeCell="D24" sqref="D24"/>
    </sheetView>
  </sheetViews>
  <sheetFormatPr defaultColWidth="9" defaultRowHeight="24" x14ac:dyDescent="0.55000000000000004"/>
  <cols>
    <col min="1" max="1" width="5.25" style="2" customWidth="1"/>
    <col min="2" max="2" width="12" style="18" customWidth="1"/>
    <col min="3" max="3" width="27.25" style="13" customWidth="1"/>
    <col min="4" max="4" width="51.75" style="2" customWidth="1"/>
    <col min="5" max="5" width="8.375" style="2" customWidth="1"/>
    <col min="6" max="6" width="8.625" style="2" customWidth="1"/>
    <col min="7" max="7" width="6.625" style="2" customWidth="1"/>
    <col min="8" max="9" width="7.625" style="2" customWidth="1"/>
    <col min="10" max="10" width="13.625" style="2" customWidth="1"/>
    <col min="11" max="11" width="13.875" style="2" customWidth="1"/>
    <col min="12" max="12" width="30.875" style="18" customWidth="1"/>
    <col min="13" max="16384" width="9" style="2"/>
  </cols>
  <sheetData>
    <row r="1" spans="1:12" x14ac:dyDescent="0.55000000000000004">
      <c r="L1" s="18" t="s">
        <v>45</v>
      </c>
    </row>
    <row r="2" spans="1:12" x14ac:dyDescent="0.55000000000000004">
      <c r="A2" s="43" t="s">
        <v>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55000000000000004">
      <c r="A3" s="44" t="s">
        <v>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x14ac:dyDescent="0.55000000000000004">
      <c r="A4" s="45" t="s">
        <v>19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8.5" customHeight="1" x14ac:dyDescent="0.55000000000000004">
      <c r="A5" s="41" t="s">
        <v>7</v>
      </c>
      <c r="B5" s="41" t="s">
        <v>18</v>
      </c>
      <c r="C5" s="41" t="s">
        <v>15</v>
      </c>
      <c r="D5" s="46" t="s">
        <v>0</v>
      </c>
      <c r="E5" s="41" t="s">
        <v>10</v>
      </c>
      <c r="F5" s="41" t="s">
        <v>9</v>
      </c>
      <c r="G5" s="48" t="s">
        <v>11</v>
      </c>
      <c r="H5" s="50" t="s">
        <v>1</v>
      </c>
      <c r="I5" s="51"/>
      <c r="J5" s="41" t="s">
        <v>14</v>
      </c>
      <c r="K5" s="41" t="s">
        <v>8</v>
      </c>
      <c r="L5" s="41" t="s">
        <v>13</v>
      </c>
    </row>
    <row r="6" spans="1:12" ht="45" customHeight="1" x14ac:dyDescent="0.55000000000000004">
      <c r="A6" s="42"/>
      <c r="B6" s="42"/>
      <c r="C6" s="42"/>
      <c r="D6" s="47"/>
      <c r="E6" s="42"/>
      <c r="F6" s="42"/>
      <c r="G6" s="49"/>
      <c r="H6" s="10" t="s">
        <v>12</v>
      </c>
      <c r="I6" s="9" t="s">
        <v>3</v>
      </c>
      <c r="J6" s="42"/>
      <c r="K6" s="42"/>
      <c r="L6" s="42"/>
    </row>
    <row r="7" spans="1:12" x14ac:dyDescent="0.55000000000000004">
      <c r="A7" s="11">
        <v>1</v>
      </c>
      <c r="B7" s="8" t="s">
        <v>20</v>
      </c>
      <c r="C7" s="3" t="s">
        <v>21</v>
      </c>
      <c r="D7" s="1" t="s">
        <v>22</v>
      </c>
      <c r="E7" s="4" t="s">
        <v>33</v>
      </c>
      <c r="F7" s="24">
        <v>18</v>
      </c>
      <c r="G7" s="24" t="s">
        <v>35</v>
      </c>
      <c r="H7" s="5">
        <v>1</v>
      </c>
      <c r="I7" s="5">
        <v>1</v>
      </c>
      <c r="J7" s="6">
        <v>69950</v>
      </c>
      <c r="K7" s="22">
        <f>SUM(I7*J7)</f>
        <v>69950</v>
      </c>
      <c r="L7" s="23" t="s">
        <v>34</v>
      </c>
    </row>
    <row r="8" spans="1:12" x14ac:dyDescent="0.55000000000000004">
      <c r="A8" s="11">
        <v>2</v>
      </c>
      <c r="B8" s="8" t="s">
        <v>23</v>
      </c>
      <c r="C8" s="3" t="s">
        <v>24</v>
      </c>
      <c r="D8" s="1" t="s">
        <v>22</v>
      </c>
      <c r="E8" s="4" t="s">
        <v>33</v>
      </c>
      <c r="F8" s="24">
        <v>18</v>
      </c>
      <c r="G8" s="24" t="s">
        <v>35</v>
      </c>
      <c r="H8" s="5">
        <v>1</v>
      </c>
      <c r="I8" s="5">
        <v>1</v>
      </c>
      <c r="J8" s="6">
        <v>86000</v>
      </c>
      <c r="K8" s="22">
        <f t="shared" ref="K8:K12" si="0">SUM(I8*J8)</f>
        <v>86000</v>
      </c>
      <c r="L8" s="23" t="s">
        <v>34</v>
      </c>
    </row>
    <row r="9" spans="1:12" x14ac:dyDescent="0.55000000000000004">
      <c r="A9" s="11">
        <v>3</v>
      </c>
      <c r="B9" s="19" t="s">
        <v>36</v>
      </c>
      <c r="C9" s="20" t="s">
        <v>25</v>
      </c>
      <c r="D9" s="21" t="s">
        <v>26</v>
      </c>
      <c r="E9" s="4" t="s">
        <v>33</v>
      </c>
      <c r="F9" s="24">
        <v>2</v>
      </c>
      <c r="G9" s="24" t="s">
        <v>35</v>
      </c>
      <c r="H9" s="5">
        <v>6</v>
      </c>
      <c r="I9" s="5">
        <v>6</v>
      </c>
      <c r="J9" s="6">
        <v>38000</v>
      </c>
      <c r="K9" s="22">
        <f t="shared" si="0"/>
        <v>228000</v>
      </c>
      <c r="L9" s="23" t="s">
        <v>34</v>
      </c>
    </row>
    <row r="10" spans="1:12" x14ac:dyDescent="0.55000000000000004">
      <c r="A10" s="11">
        <v>4</v>
      </c>
      <c r="B10" s="19" t="s">
        <v>36</v>
      </c>
      <c r="C10" s="20" t="s">
        <v>27</v>
      </c>
      <c r="D10" s="21" t="s">
        <v>28</v>
      </c>
      <c r="E10" s="4" t="s">
        <v>33</v>
      </c>
      <c r="F10" s="24">
        <v>2</v>
      </c>
      <c r="G10" s="24" t="s">
        <v>35</v>
      </c>
      <c r="H10" s="5">
        <v>2</v>
      </c>
      <c r="I10" s="5">
        <v>2</v>
      </c>
      <c r="J10" s="6">
        <v>31000</v>
      </c>
      <c r="K10" s="22">
        <f t="shared" si="0"/>
        <v>62000</v>
      </c>
      <c r="L10" s="23" t="s">
        <v>34</v>
      </c>
    </row>
    <row r="11" spans="1:12" x14ac:dyDescent="0.55000000000000004">
      <c r="A11" s="11">
        <v>5</v>
      </c>
      <c r="B11" s="19" t="s">
        <v>36</v>
      </c>
      <c r="C11" s="20" t="s">
        <v>29</v>
      </c>
      <c r="D11" s="21" t="s">
        <v>30</v>
      </c>
      <c r="E11" s="4" t="s">
        <v>33</v>
      </c>
      <c r="F11" s="24">
        <v>2</v>
      </c>
      <c r="G11" s="24" t="s">
        <v>35</v>
      </c>
      <c r="H11" s="5">
        <v>1</v>
      </c>
      <c r="I11" s="5">
        <v>1</v>
      </c>
      <c r="J11" s="6">
        <v>35000</v>
      </c>
      <c r="K11" s="22">
        <f t="shared" si="0"/>
        <v>35000</v>
      </c>
      <c r="L11" s="23" t="s">
        <v>34</v>
      </c>
    </row>
    <row r="12" spans="1:12" x14ac:dyDescent="0.55000000000000004">
      <c r="A12" s="25">
        <v>6</v>
      </c>
      <c r="B12" s="26" t="s">
        <v>36</v>
      </c>
      <c r="C12" s="27" t="s">
        <v>31</v>
      </c>
      <c r="D12" s="28" t="s">
        <v>32</v>
      </c>
      <c r="E12" s="29" t="s">
        <v>33</v>
      </c>
      <c r="F12" s="30">
        <v>2</v>
      </c>
      <c r="G12" s="30" t="s">
        <v>35</v>
      </c>
      <c r="H12" s="31">
        <v>1</v>
      </c>
      <c r="I12" s="31">
        <v>1</v>
      </c>
      <c r="J12" s="32">
        <v>25000</v>
      </c>
      <c r="K12" s="22">
        <f t="shared" si="0"/>
        <v>25000</v>
      </c>
      <c r="L12" s="33" t="s">
        <v>34</v>
      </c>
    </row>
    <row r="13" spans="1:12" ht="24.75" thickBot="1" x14ac:dyDescent="0.6">
      <c r="A13" s="34"/>
      <c r="B13" s="35"/>
      <c r="C13" s="35"/>
      <c r="D13" s="35"/>
      <c r="E13" s="35"/>
      <c r="F13" s="35"/>
      <c r="G13" s="35"/>
      <c r="H13" s="35"/>
      <c r="I13" s="35"/>
      <c r="J13" s="38" t="s">
        <v>4</v>
      </c>
      <c r="K13" s="39">
        <f>SUM(K7:K12)</f>
        <v>505950</v>
      </c>
      <c r="L13" s="36"/>
    </row>
    <row r="14" spans="1:12" ht="24.75" thickTop="1" x14ac:dyDescent="0.55000000000000004">
      <c r="A14" s="7"/>
      <c r="B14" s="16" t="s">
        <v>2</v>
      </c>
      <c r="C14" s="12" t="s">
        <v>16</v>
      </c>
      <c r="D14" s="7"/>
      <c r="E14" s="7"/>
      <c r="F14" s="7"/>
      <c r="G14" s="7"/>
      <c r="H14" s="7"/>
      <c r="I14" s="15"/>
      <c r="J14" s="7"/>
      <c r="K14" s="7"/>
      <c r="L14" s="37"/>
    </row>
    <row r="15" spans="1:12" x14ac:dyDescent="0.55000000000000004">
      <c r="A15" s="7"/>
      <c r="B15" s="37"/>
      <c r="C15" s="12" t="s">
        <v>17</v>
      </c>
      <c r="D15" s="7"/>
      <c r="E15" s="7"/>
      <c r="F15" s="7"/>
      <c r="G15" s="7"/>
      <c r="H15" s="14"/>
      <c r="I15" s="14"/>
      <c r="J15" s="14"/>
      <c r="K15" s="14"/>
      <c r="L15" s="14"/>
    </row>
    <row r="16" spans="1:12" x14ac:dyDescent="0.55000000000000004">
      <c r="A16" s="7"/>
      <c r="B16" s="37"/>
      <c r="C16" s="12"/>
      <c r="D16" s="7"/>
      <c r="E16" s="7"/>
      <c r="F16" s="7"/>
      <c r="G16" s="40" t="s">
        <v>37</v>
      </c>
      <c r="H16" s="52" t="s">
        <v>38</v>
      </c>
      <c r="I16" s="52"/>
      <c r="J16" s="52"/>
      <c r="K16" s="12" t="s">
        <v>39</v>
      </c>
      <c r="L16" s="14"/>
    </row>
    <row r="17" spans="1:12" x14ac:dyDescent="0.55000000000000004">
      <c r="A17" s="7"/>
      <c r="B17" s="37"/>
      <c r="C17" s="12"/>
      <c r="D17" s="7"/>
      <c r="E17" s="7"/>
      <c r="F17" s="7"/>
      <c r="G17" s="40"/>
      <c r="H17" s="52" t="s">
        <v>42</v>
      </c>
      <c r="I17" s="52"/>
      <c r="J17" s="52"/>
      <c r="K17" s="37"/>
      <c r="L17" s="14"/>
    </row>
    <row r="18" spans="1:12" ht="32.25" customHeight="1" x14ac:dyDescent="0.55000000000000004">
      <c r="G18" s="17" t="s">
        <v>37</v>
      </c>
      <c r="H18" s="52" t="s">
        <v>38</v>
      </c>
      <c r="I18" s="52"/>
      <c r="J18" s="52"/>
      <c r="K18" s="12" t="s">
        <v>40</v>
      </c>
    </row>
    <row r="19" spans="1:12" x14ac:dyDescent="0.55000000000000004">
      <c r="G19" s="17"/>
      <c r="H19" s="52" t="s">
        <v>43</v>
      </c>
      <c r="I19" s="52"/>
      <c r="J19" s="52"/>
      <c r="K19" s="37"/>
    </row>
    <row r="20" spans="1:12" ht="36" customHeight="1" x14ac:dyDescent="0.55000000000000004">
      <c r="G20" s="17" t="s">
        <v>37</v>
      </c>
      <c r="H20" s="53" t="s">
        <v>38</v>
      </c>
      <c r="I20" s="53"/>
      <c r="J20" s="53"/>
      <c r="K20" s="2" t="s">
        <v>41</v>
      </c>
    </row>
    <row r="21" spans="1:12" x14ac:dyDescent="0.55000000000000004">
      <c r="H21" s="53" t="s">
        <v>44</v>
      </c>
      <c r="I21" s="53"/>
      <c r="J21" s="53"/>
    </row>
  </sheetData>
  <mergeCells count="20">
    <mergeCell ref="H18:J18"/>
    <mergeCell ref="H19:J19"/>
    <mergeCell ref="H20:J20"/>
    <mergeCell ref="H21:J21"/>
    <mergeCell ref="H16:J16"/>
    <mergeCell ref="H17:J17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19685039370078741" bottom="0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2021-11-19T03:19:54Z</cp:lastPrinted>
  <dcterms:created xsi:type="dcterms:W3CDTF">2017-11-14T01:32:33Z</dcterms:created>
  <dcterms:modified xsi:type="dcterms:W3CDTF">2022-03-16T03:49:41Z</dcterms:modified>
</cp:coreProperties>
</file>