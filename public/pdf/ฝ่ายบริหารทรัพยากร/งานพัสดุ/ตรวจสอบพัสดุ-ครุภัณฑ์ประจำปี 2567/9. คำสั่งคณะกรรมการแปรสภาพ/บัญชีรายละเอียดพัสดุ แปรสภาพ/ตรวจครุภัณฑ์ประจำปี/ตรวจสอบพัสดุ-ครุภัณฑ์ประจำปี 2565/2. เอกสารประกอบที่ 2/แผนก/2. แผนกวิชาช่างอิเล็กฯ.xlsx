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FE275582-13B2-42BA-9627-78B4CFE5208B}" xr6:coauthVersionLast="47" xr6:coauthVersionMax="47" xr10:uidLastSave="{00000000-0000-0000-0000-000000000000}"/>
  <bookViews>
    <workbookView xWindow="7890" yWindow="330" windowWidth="11715" windowHeight="9600" tabRatio="897" xr2:uid="{00000000-000D-0000-FFFF-FFFF00000000}"/>
  </bookViews>
  <sheets>
    <sheet name="แผนกช่างอิเล็กทรอนิกส์" sheetId="31" r:id="rId1"/>
  </sheets>
  <definedNames>
    <definedName name="_xlnm.Print_Titles" localSheetId="0">แผนกช่างอิเล็กทรอนิกส์!$1:$4</definedName>
  </definedNames>
  <calcPr calcId="191029"/>
</workbook>
</file>

<file path=xl/calcChain.xml><?xml version="1.0" encoding="utf-8"?>
<calcChain xmlns="http://schemas.openxmlformats.org/spreadsheetml/2006/main">
  <c r="H110" i="31" l="1"/>
  <c r="H111" i="31"/>
  <c r="H109" i="31"/>
  <c r="H108" i="31"/>
  <c r="H107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93" i="31"/>
  <c r="H92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91" i="31"/>
  <c r="H49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8" i="31"/>
  <c r="H5" i="31"/>
  <c r="H46" i="31" l="1"/>
  <c r="H47" i="31" s="1"/>
  <c r="H89" i="31" s="1"/>
  <c r="H90" i="31" s="1"/>
  <c r="H112" i="31" s="1"/>
</calcChain>
</file>

<file path=xl/sharedStrings.xml><?xml version="1.0" encoding="utf-8"?>
<sst xmlns="http://schemas.openxmlformats.org/spreadsheetml/2006/main" count="394" uniqueCount="235">
  <si>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</si>
  <si>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</si>
  <si>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</si>
  <si>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</si>
  <si>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</si>
  <si>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</si>
  <si>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</si>
  <si>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</si>
  <si>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</si>
  <si>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</si>
  <si>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</si>
  <si>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</si>
  <si>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</si>
  <si>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</si>
  <si>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</si>
  <si>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</si>
  <si>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บริจาค</t>
  </si>
  <si>
    <t>บัญชีรายการ แผนกวิชาช่างอิเล็กทรอนิกส์ คงเหลือ</t>
  </si>
  <si>
    <t>6150-003-0004/391-001-391-020</t>
  </si>
  <si>
    <t>เครื่องจ่ายไฟกระแสตรง</t>
  </si>
  <si>
    <t>มัลติมิเตอร์</t>
  </si>
  <si>
    <t>6625-002-0003/391-001-391-010</t>
  </si>
  <si>
    <t>ชุดทดลองวงจรไฟฟ้ากระแสตรงและกระแสสลับ</t>
  </si>
  <si>
    <t>6625-003-0008/391-001-391-020</t>
  </si>
  <si>
    <t>ดิจิตอลมัลติมิเตอร์</t>
  </si>
  <si>
    <t>6910-001-0010/391-001-391-009</t>
  </si>
  <si>
    <t>ชุดฝึกวงจรอิเล็กทรอนิกส์</t>
  </si>
  <si>
    <t>6120-003-0002/391-001-391-009</t>
  </si>
  <si>
    <t>หม้อแปลงไฟฟ้าแบบเปลี่ยนค่าได้</t>
  </si>
  <si>
    <t>6635-015-0004/391-001-391-010</t>
  </si>
  <si>
    <t>เครื่องฝึกเครื่องมือทดสอบไฟฟ้าและอิเล็กทรอนิกส์</t>
  </si>
  <si>
    <t>6910-001-0005/391-001-391-009</t>
  </si>
  <si>
    <t>ชุดฝึกอิเล็กทรอนิกส์เบื้องต้น</t>
  </si>
  <si>
    <t>5990-006-0002/391-001-391-015</t>
  </si>
  <si>
    <t>ฟังค์ชั่นเยนเนเรเตอร์</t>
  </si>
  <si>
    <t>5825-009-0001/391-001</t>
  </si>
  <si>
    <t>เครื่องกำเนิดสัญญาณเอเอ็มเอฟเอ็ม</t>
  </si>
  <si>
    <t>5130-007-0003/391-001</t>
  </si>
  <si>
    <t>สว่านเจาะปริ้นรอบสูง</t>
  </si>
  <si>
    <t>6625-003-0007/391-001</t>
  </si>
  <si>
    <t>คิวมิเตอร์</t>
  </si>
  <si>
    <t>5905-006-0002/391-001-391-010</t>
  </si>
  <si>
    <t>เครื่องวัดความต้านทานแบบดีเดลสำหรับฝึก</t>
  </si>
  <si>
    <t>5990-006-0001/391-001-391-004</t>
  </si>
  <si>
    <t>อาร์เอฟซิกแนลเจนเนอร์เรเตอร์</t>
  </si>
  <si>
    <t>6625-003-0006/391-001</t>
  </si>
  <si>
    <t>เฟอร์ เอ็ม ซี เคาน์เตอร์</t>
  </si>
  <si>
    <t>6625-003-0005/391-002-391-011</t>
  </si>
  <si>
    <t>R-L-C  แบบดิจิตอล</t>
  </si>
  <si>
    <t>7110-001-0001/391-006-009</t>
  </si>
  <si>
    <t>ตู้เอกสาร 2 บาน</t>
  </si>
  <si>
    <t>5825-009-0001/401-002-401-006</t>
  </si>
  <si>
    <t>5999-006-0002/401-002-005</t>
  </si>
  <si>
    <t>ชุดฝึกวงจรดิจิตอล</t>
  </si>
  <si>
    <t>5826-021-0001/401-001-401-002</t>
  </si>
  <si>
    <t>เครื่องวัดระบบความดังของเสียง</t>
  </si>
  <si>
    <t>5826-022-0001/401-001-401-002</t>
  </si>
  <si>
    <t>เอฟเอ็มสเตอริโอเยนเนอเนเตอร์</t>
  </si>
  <si>
    <t>5945-005-0001/401-001-401-002</t>
  </si>
  <si>
    <t>เครื่องวัดความเข้มสนามแม่เหล็ก</t>
  </si>
  <si>
    <t>5826-021-0002/401-001-401-002</t>
  </si>
  <si>
    <t>เครื่องวัดความแรงคลื่นวิทยุ</t>
  </si>
  <si>
    <t>58895-006-0001/401-001-401-005</t>
  </si>
  <si>
    <t>ออสซิลโลสโคป ขนาด 40  วัตต์</t>
  </si>
  <si>
    <t>5825-009-0002/401-001-401-002</t>
  </si>
  <si>
    <t>เครื่องกำเนิคสัญญาณทดสอบโทรทัศน์</t>
  </si>
  <si>
    <t>5825-020-0001/401-004-401-023</t>
  </si>
  <si>
    <t>เครื่องรับโทรทัศน์</t>
  </si>
  <si>
    <t>5835-013-0002/401-001</t>
  </si>
  <si>
    <t>ชุดฝึกระบบเสียงสาธารณะ</t>
  </si>
  <si>
    <t>5835-013-0001/401-001-401-002</t>
  </si>
  <si>
    <t>ชุดฝึกระบบเสียงในรถยนต์</t>
  </si>
  <si>
    <t>5955-005-0003/401-001-401-002</t>
  </si>
  <si>
    <t>ชุดฝึกวงจรพัลซ์เบื้องต้น</t>
  </si>
  <si>
    <t>5999-006-0001/401-001-401-010</t>
  </si>
  <si>
    <t>ชุดฝึกวงจรอิเล็กทรอนิกส์  2</t>
  </si>
  <si>
    <t>5950-008-0001/411-001-411-002</t>
  </si>
  <si>
    <t>เครื่องพันคอยล์</t>
  </si>
  <si>
    <t>5961-006-0001/411-001-411-004</t>
  </si>
  <si>
    <t>แผงสาธิตอิเล็กทรอนิกส์อุตสาหกรรม</t>
  </si>
  <si>
    <t>5962-004-0001/411-001-411-004</t>
  </si>
  <si>
    <t>ชุดฝึกไมรโครโปรเซสเซอร์และอินเตอร์เฟส</t>
  </si>
  <si>
    <t>5826-019-0001/411-001-411-002</t>
  </si>
  <si>
    <t>ชุดฝึกเครื่องส่งเอเอ็มเอฟเอ็มสเตอริโอ</t>
  </si>
  <si>
    <t>5820-003-0001/411-001-411-002</t>
  </si>
  <si>
    <t>เครื่องวัดความเข้มของแสง</t>
  </si>
  <si>
    <t>7730-004-0001/452-002</t>
  </si>
  <si>
    <t>เครื่องเล่นเทป พานาโซนิค</t>
  </si>
  <si>
    <t>7110-007-0011/451-029-451-038</t>
  </si>
  <si>
    <t>โต๊ะพับเอนกประสงค์ 6 ฟุต</t>
  </si>
  <si>
    <t>5820-015-0001/452-001</t>
  </si>
  <si>
    <t>เครื่องเล่นวีดีโอ  HIFI NV FJ8MK 2 AM PANASONIC</t>
  </si>
  <si>
    <t>5820-015-0001/452-003</t>
  </si>
  <si>
    <t>วีดีโอ 2 หัวเทปจูนเนอร์ NV-SJ 230AM PANASONIC</t>
  </si>
  <si>
    <t>5820-015-0002/452-001</t>
  </si>
  <si>
    <t>วีดีโอ ซีดี MRS- 999 SVCD</t>
  </si>
  <si>
    <t>5820-015-0013/452-001</t>
  </si>
  <si>
    <t>เครื่องเล่น  DVD -XV 10 GCSS</t>
  </si>
  <si>
    <t>5820-011-0001/451-001</t>
  </si>
  <si>
    <t>ชุดสาธิตโทรทัศน์ระบบ MATV , CATV</t>
  </si>
  <si>
    <t>ยอดยกไป</t>
  </si>
  <si>
    <t>ยอดยกมา</t>
  </si>
  <si>
    <t>5820-005-0001/451-001</t>
  </si>
  <si>
    <t>ชุดสาธิตโทรทัศน์วงจรปิด</t>
  </si>
  <si>
    <t>5825-020-0001/452-002</t>
  </si>
  <si>
    <t>เครื่องรับโทรทัศน์ สี 14" พานโซนิค</t>
  </si>
  <si>
    <t>6910-001-0016/461-001-005</t>
  </si>
  <si>
    <t>ชุดฝึกไฟเบอร์ออฟติก</t>
  </si>
  <si>
    <t>5915-005-0001/461-001</t>
  </si>
  <si>
    <t>เครื่องวิเคราะห์สายอากาศ</t>
  </si>
  <si>
    <t>6910-001-0017/461-001-461-002</t>
  </si>
  <si>
    <t>ชุดฝึกรับ-ส่งวิทยุสื่อสารสำหรับฝึก</t>
  </si>
  <si>
    <t>6625-003-0004/462-002,003,008,
010,011,012,029,030</t>
  </si>
  <si>
    <t>7440-001-0001/462-007</t>
  </si>
  <si>
    <t>ชุดเครื่องคอมพิวเตอร์</t>
  </si>
  <si>
    <t>711-002-0006/462-017-462-041</t>
  </si>
  <si>
    <t>ตู้ 2 บานเลื่อน</t>
  </si>
  <si>
    <t>7125-001-0002/462-001-462-003</t>
  </si>
  <si>
    <t>ตู้ล็อกเกอร์  18  ช่อง</t>
  </si>
  <si>
    <t>7125-001-0001/462-001</t>
  </si>
  <si>
    <t>ตู้ล็อกเกอร์  12  ช่อง</t>
  </si>
  <si>
    <t>การ์ดติดตั้งวีดีโอ</t>
  </si>
  <si>
    <t>5835-001-0001/462-001</t>
  </si>
  <si>
    <t>เครื่องขยายเสียงแบบเพาแอมป์</t>
  </si>
  <si>
    <t>4141-001-0001/462-012</t>
  </si>
  <si>
    <t>พัดลมตั้งพื้น 16 นิ้ว</t>
  </si>
  <si>
    <t>7740-004-0001/462-003</t>
  </si>
  <si>
    <t>เครื่อง  CD  RW</t>
  </si>
  <si>
    <t>7440-010-0001/462-002</t>
  </si>
  <si>
    <t>เครื่องสแกนเนอร์</t>
  </si>
  <si>
    <t>5895-004-0001/462-001</t>
  </si>
  <si>
    <t>เครื่องช่วยซาวด์กลอง  DM5</t>
  </si>
  <si>
    <t>6910-001-0015/461-001-05</t>
  </si>
  <si>
    <t>ชุดฝึกเครื่องขยายเสียง</t>
  </si>
  <si>
    <t>5965-007-0001/461-001-002</t>
  </si>
  <si>
    <t>ไมโครโฟนไร้สาย</t>
  </si>
  <si>
    <t>5825-020-0001/471-024</t>
  </si>
  <si>
    <t>โทรทัศน์สีชนิดจอแบนขนาด  29  นิ้ว</t>
  </si>
  <si>
    <t>5825-020-0001/473-001</t>
  </si>
  <si>
    <t>โทรทัศน์สีชนิดจอแบนขนาด  21  นิ้ว</t>
  </si>
  <si>
    <t>7440-001-0003/471-001</t>
  </si>
  <si>
    <t>ชุดออกแบบลายวงจรด้วยคอมพิวเตอร์</t>
  </si>
  <si>
    <t>6720-005-0002/472-002</t>
  </si>
  <si>
    <t>กล้องดิจิตอล</t>
  </si>
  <si>
    <t>4140-001-0001/483-020-025</t>
  </si>
  <si>
    <t>พัดลมติดผนัง 16 นิ้ว</t>
  </si>
  <si>
    <t>4140-001-0001/483-026-035</t>
  </si>
  <si>
    <t>พัดลมติดผนัง</t>
  </si>
  <si>
    <t>5965-007-0001/483-001-002</t>
  </si>
  <si>
    <t>ไมโครโฟนไร้สายชนิดคู่</t>
  </si>
  <si>
    <t>6310-002-0001/482-001</t>
  </si>
  <si>
    <t>ชุดรับสัญญาณดาวเทียม</t>
  </si>
  <si>
    <t>6730-001-0003/492-001</t>
  </si>
  <si>
    <t>เครื่องโปรเจคเตอร์พร้อมจอ 70 นิ้ว</t>
  </si>
  <si>
    <t>6730-001-0002/492-001</t>
  </si>
  <si>
    <t>เครื่องฉายภาพ 3 มิติ</t>
  </si>
  <si>
    <t>7440-010-0006/492-001</t>
  </si>
  <si>
    <t>RACK HUB 24 PORT 10/100</t>
  </si>
  <si>
    <t>7440-010-006/492-001-004</t>
  </si>
  <si>
    <t>RACK HUB 8 PORT 10/100</t>
  </si>
  <si>
    <t>7440-010-0007/492-001-004</t>
  </si>
  <si>
    <t>MCT RACK 19" WALL MOUNT 6 U-50 CM.</t>
  </si>
  <si>
    <t>7440-010-0007/492-001</t>
  </si>
  <si>
    <t>MCT RACK 19" ENCLOSED RACK 27U-60 CM.</t>
  </si>
  <si>
    <t>7440-009-0002/492-001-005</t>
  </si>
  <si>
    <t>LAN CARD 10/100/1000</t>
  </si>
  <si>
    <t>LAN CARD 10/100</t>
  </si>
  <si>
    <t>7440-009-0003/492-001</t>
  </si>
  <si>
    <t>ตัวแปลงสัญญาณไฟเบอร์</t>
  </si>
  <si>
    <t>5835-002-0003/492-001</t>
  </si>
  <si>
    <t>มิกเซอร์ 24 ช่อง</t>
  </si>
  <si>
    <t>7740-004-0001/502-008</t>
  </si>
  <si>
    <t>5835-001-0001/504-001-004</t>
  </si>
  <si>
    <t>เครื่องเสียง</t>
  </si>
  <si>
    <t>ปกอ.</t>
  </si>
  <si>
    <t>6710-004-0002/502-001</t>
  </si>
  <si>
    <t>กล้องวีดีโอ SONY DCR-SR40E</t>
  </si>
  <si>
    <t>7440-009-0003/502-002</t>
  </si>
  <si>
    <t>ฮาร์ดดิส 250 GB</t>
  </si>
  <si>
    <t>7440-010-0010/502-001</t>
  </si>
  <si>
    <t>เครื่องสำรองไฟ</t>
  </si>
  <si>
    <t>6720-008-0002/502-001-006</t>
  </si>
  <si>
    <t>กล้องวงจรปิด LYD 808</t>
  </si>
  <si>
    <t>7440-009-0001/502-001</t>
  </si>
  <si>
    <t>การ์ด SKY 8800</t>
  </si>
  <si>
    <t>7440-001-0004/501-001</t>
  </si>
  <si>
    <t xml:space="preserve">CASE SERVER </t>
  </si>
  <si>
    <t>5805-009-0001/512-001</t>
  </si>
  <si>
    <t>ตู้สาขาโทรศัพท์</t>
  </si>
  <si>
    <t>6730-001-0003/521-004</t>
  </si>
  <si>
    <t>เครื่องมัลติมีเดียโปรเจคเตอร์ ACER P1166P</t>
  </si>
  <si>
    <t>6720-005-0003/521-001</t>
  </si>
  <si>
    <t>กล้องถ่ายภาพนิ่ง NIKON รุ่น COOLPIX P90</t>
  </si>
  <si>
    <t>6710-004-0003/521-001</t>
  </si>
  <si>
    <t>กล้องวีดีโอ HARD DISH SONY DCR-SR67E</t>
  </si>
  <si>
    <t>5820-015-0005/521-001-002</t>
  </si>
  <si>
    <t>เครื่องบันทึก DVD /HDD SONY รุ่นHX 980</t>
  </si>
  <si>
    <t>6910-001-0022/531-001-010</t>
  </si>
  <si>
    <t>โต๊ะทดลองไฟฟ้าพร้อมคอนโซล</t>
  </si>
  <si>
    <t>6730-001-0003/531-018</t>
  </si>
  <si>
    <t>เครื่องฉายโปรเจ็กเตอร์</t>
  </si>
  <si>
    <t>7110-07-0001/531-005-021</t>
  </si>
  <si>
    <t>โต๊ะคอมพิวเตอร์  80*60*75  ขาเหล็ก</t>
  </si>
  <si>
    <t>7110-006-0007/531-001-050</t>
  </si>
  <si>
    <t>เก้าอี้ขาเหล็กไม้ยางพารา</t>
  </si>
  <si>
    <t>7110-006-020/531-001-020</t>
  </si>
  <si>
    <t>เก้าอี้นั่งโพลีโพลพิลีน</t>
  </si>
  <si>
    <t>6910-001-0032/531-001</t>
  </si>
  <si>
    <t xml:space="preserve">ชุดทดลองอาร์เอฟไอดี </t>
  </si>
  <si>
    <t>6910-001-0033/531-001</t>
  </si>
  <si>
    <t>ชุดทดลองวงจรอิเล็กทรอนิกส์</t>
  </si>
  <si>
    <t>6910-001-0034/531-001</t>
  </si>
  <si>
    <t>ชุดทดลองวงจรอิเล็กทรอนิกส์กำลัง</t>
  </si>
  <si>
    <t>25 ม.ค. 62</t>
  </si>
  <si>
    <t>3910-002-0001/621-001</t>
  </si>
  <si>
    <t xml:space="preserve">ชุดห้องเรียนอัฉริยะ  </t>
  </si>
  <si>
    <t>(นายสุวรรณ  บุษภาค)</t>
  </si>
  <si>
    <t>8 มิ.ย.64</t>
  </si>
  <si>
    <t>เครื่องพิมพ์เลเซอร์</t>
  </si>
  <si>
    <t>2539</t>
  </si>
  <si>
    <t>2541</t>
  </si>
  <si>
    <t>2545</t>
  </si>
  <si>
    <t>2547</t>
  </si>
  <si>
    <t>2548</t>
  </si>
  <si>
    <t>2549</t>
  </si>
  <si>
    <t>2551</t>
  </si>
  <si>
    <t>2552</t>
  </si>
  <si>
    <t>2553</t>
  </si>
  <si>
    <t>6625-003-0004/391-023,25,
26,28-31,33-37</t>
  </si>
  <si>
    <t>ประจำปี 2565  ณ วันที่ 30 กันยายน 2565</t>
  </si>
  <si>
    <t>เก้าอี้สแตนเลสหัวกลม</t>
  </si>
  <si>
    <t>7110-006-0005/652-021-030 (100)</t>
  </si>
  <si>
    <t>7440-010-0002/642-010 (13)</t>
  </si>
  <si>
    <t>เครื่องปรับอากาศขนาด 25,000 BTU</t>
  </si>
  <si>
    <t>4120-001-0001/652-002-003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</si>
</sst>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4"/>
      <name val="TH SarabunPSK"/>
      <family val="2"/>
    </font>
    <font>
      <sz val="8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6"/>
      <color rgb="FF0070C0"/>
      <name val="TH SarabunPSK"/>
      <family val="2"/>
    </font>
    <font>
      <sz val="14"/>
      <color rgb="FF0070C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0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0" xfId="6" applyFont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3" fontId="3" fillId="0" borderId="1" xfId="12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3" fontId="3" fillId="0" borderId="5" xfId="1" applyFont="1" applyBorder="1"/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3" fillId="0" borderId="0" xfId="12" applyFont="1" applyBorder="1" applyAlignment="1"/>
    <xf numFmtId="43" fontId="4" fillId="0" borderId="1" xfId="0" applyNumberFormat="1" applyFont="1" applyBorder="1"/>
    <xf numFmtId="43" fontId="4" fillId="0" borderId="4" xfId="0" applyNumberFormat="1" applyFont="1" applyBorder="1"/>
    <xf numFmtId="43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43" fontId="3" fillId="0" borderId="6" xfId="1" applyFont="1" applyBorder="1"/>
    <xf numFmtId="43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2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0" fontId="8" fillId="0" borderId="5" xfId="6" applyFont="1" applyBorder="1"/>
    <xf numFmtId="49" fontId="3" fillId="0" borderId="1" xfId="13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3" fillId="0" borderId="6" xfId="1" applyNumberFormat="1" applyFont="1" applyBorder="1" applyAlignment="1">
      <alignment horizontal="center"/>
    </xf>
    <xf numFmtId="49" fontId="3" fillId="0" borderId="1" xfId="7" applyNumberFormat="1" applyFont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8" fillId="0" borderId="1" xfId="6" applyFont="1" applyBorder="1"/>
    <xf numFmtId="0" fontId="3" fillId="2" borderId="5" xfId="0" applyFont="1" applyFill="1" applyBorder="1" applyAlignment="1">
      <alignment horizontal="center" vertical="top"/>
    </xf>
    <xf numFmtId="0" fontId="3" fillId="0" borderId="1" xfId="6" applyFont="1" applyBorder="1" applyAlignment="1">
      <alignment horizontal="left" vertical="top" wrapText="1"/>
    </xf>
    <xf numFmtId="0" fontId="3" fillId="0" borderId="1" xfId="6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43" fontId="3" fillId="0" borderId="1" xfId="1" applyFont="1" applyFill="1" applyBorder="1"/>
    <xf numFmtId="43" fontId="4" fillId="0" borderId="6" xfId="0" applyNumberFormat="1" applyFont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top"/>
    </xf>
    <xf numFmtId="0" fontId="3" fillId="0" borderId="5" xfId="6" applyFont="1" applyBorder="1" applyAlignment="1">
      <alignment horizontal="left" vertical="top" wrapText="1"/>
    </xf>
    <xf numFmtId="0" fontId="3" fillId="0" borderId="5" xfId="6" applyFont="1" applyBorder="1" applyAlignment="1">
      <alignment vertical="top"/>
    </xf>
    <xf numFmtId="0" fontId="3" fillId="0" borderId="5" xfId="2" applyFont="1" applyBorder="1" applyAlignment="1">
      <alignment horizontal="center" vertical="top"/>
    </xf>
    <xf numFmtId="0" fontId="3" fillId="0" borderId="5" xfId="6" applyFont="1" applyBorder="1" applyAlignment="1">
      <alignment horizontal="center" vertical="top"/>
    </xf>
    <xf numFmtId="43" fontId="3" fillId="0" borderId="5" xfId="1" applyFont="1" applyBorder="1" applyAlignment="1">
      <alignment vertical="top"/>
    </xf>
    <xf numFmtId="43" fontId="4" fillId="0" borderId="6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/>
    <xf numFmtId="0" fontId="3" fillId="3" borderId="1" xfId="2" applyFont="1" applyFill="1" applyBorder="1" applyAlignment="1">
      <alignment horizontal="center"/>
    </xf>
    <xf numFmtId="0" fontId="3" fillId="3" borderId="1" xfId="5" applyFont="1" applyFill="1" applyBorder="1" applyAlignment="1">
      <alignment horizontal="center"/>
    </xf>
    <xf numFmtId="43" fontId="3" fillId="3" borderId="1" xfId="1" applyFont="1" applyFill="1" applyBorder="1"/>
    <xf numFmtId="0" fontId="10" fillId="0" borderId="1" xfId="0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0" fontId="10" fillId="0" borderId="1" xfId="6" applyFont="1" applyBorder="1" applyAlignment="1">
      <alignment horizontal="center"/>
    </xf>
    <xf numFmtId="43" fontId="10" fillId="0" borderId="1" xfId="1" applyFont="1" applyBorder="1"/>
    <xf numFmtId="43" fontId="10" fillId="0" borderId="6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/>
    <xf numFmtId="0" fontId="10" fillId="2" borderId="5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49" fontId="10" fillId="0" borderId="1" xfId="13" applyNumberFormat="1" applyFont="1" applyBorder="1" applyAlignment="1">
      <alignment horizontal="center"/>
    </xf>
    <xf numFmtId="49" fontId="10" fillId="0" borderId="1" xfId="7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 wrapText="1"/>
    </xf>
    <xf numFmtId="43" fontId="10" fillId="0" borderId="1" xfId="12" applyFont="1" applyBorder="1" applyAlignment="1">
      <alignment horizontal="center"/>
    </xf>
    <xf numFmtId="43" fontId="10" fillId="0" borderId="0" xfId="12" applyFont="1" applyBorder="1" applyAlignment="1"/>
    <xf numFmtId="0" fontId="10" fillId="0" borderId="0" xfId="6" applyFont="1"/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43" fontId="11" fillId="0" borderId="1" xfId="1" applyFont="1" applyBorder="1"/>
    <xf numFmtId="43" fontId="11" fillId="0" borderId="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/>
    <xf numFmtId="0" fontId="11" fillId="0" borderId="5" xfId="6" applyFont="1" applyBorder="1" applyAlignment="1">
      <alignment horizontal="left"/>
    </xf>
    <xf numFmtId="0" fontId="12" fillId="0" borderId="5" xfId="6" applyFont="1" applyBorder="1"/>
    <xf numFmtId="0" fontId="11" fillId="0" borderId="5" xfId="2" applyFont="1" applyBorder="1" applyAlignment="1">
      <alignment horizontal="center"/>
    </xf>
    <xf numFmtId="0" fontId="11" fillId="0" borderId="5" xfId="6" applyFont="1" applyBorder="1" applyAlignment="1">
      <alignment horizontal="center"/>
    </xf>
    <xf numFmtId="43" fontId="11" fillId="0" borderId="5" xfId="1" applyFont="1" applyBorder="1"/>
    <xf numFmtId="0" fontId="11" fillId="2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/>
    </xf>
    <xf numFmtId="49" fontId="11" fillId="0" borderId="1" xfId="13" applyNumberFormat="1" applyFont="1" applyBorder="1" applyAlignment="1">
      <alignment horizontal="center"/>
    </xf>
    <xf numFmtId="49" fontId="11" fillId="0" borderId="1" xfId="7" applyNumberFormat="1" applyFont="1" applyBorder="1" applyAlignment="1">
      <alignment horizontal="center"/>
    </xf>
    <xf numFmtId="43" fontId="11" fillId="0" borderId="1" xfId="12" applyFont="1" applyBorder="1" applyAlignment="1">
      <alignment horizontal="center"/>
    </xf>
    <xf numFmtId="43" fontId="11" fillId="0" borderId="0" xfId="12" applyFont="1" applyBorder="1"/>
    <xf numFmtId="0" fontId="11" fillId="0" borderId="0" xfId="6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885826</xdr:colOff>
      <xdr:row>0</xdr:row>
      <xdr:rowOff>171450</xdr:rowOff>
    </xdr:from>
    <xdr:to>
      <xdr:col>8</xdr:col>
      <xdr:colOff>333375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10501" y="171450"/>
          <a:ext cx="1447799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118"/>
  <sheetViews>
    <sheetView tabSelected="1" topLeftCell="B106" zoomScaleNormal="100" workbookViewId="0">
      <selection activeCell="D115" sqref="D115"/>
    </sheetView>
  </sheetViews>
  <sheetFormatPr defaultColWidth="9" defaultRowHeight="24"/>
  <cols>
    <col min="1" max="1" width="5.5703125" style="2" customWidth="1"/>
    <col min="2" max="2" width="10.85546875" style="2" customWidth="1"/>
    <col min="3" max="3" width="32.85546875" style="2" customWidth="1"/>
    <col min="4" max="4" width="40.140625" style="2" customWidth="1"/>
    <col min="5" max="6" width="7.28515625" style="2" customWidth="1"/>
    <col min="7" max="7" width="13.85546875" style="2" customWidth="1"/>
    <col min="8" max="8" width="15.28515625" style="2" customWidth="1"/>
    <col min="9" max="9" width="12.85546875" style="18" customWidth="1"/>
    <col min="10" max="10" width="14.28515625" style="2" customWidth="1"/>
    <col min="11" max="16384" width="9" style="2"/>
  </cols>
  <sheetData>
    <row r="1" spans="1:10">
      <c r="A1" s="103" t="s">
        <v>8</v>
      </c>
      <c r="B1" s="103"/>
      <c r="C1" s="103"/>
      <c r="D1" s="103"/>
      <c r="E1" s="103"/>
      <c r="F1" s="103"/>
      <c r="G1" s="103"/>
      <c r="H1" s="103"/>
      <c r="I1" s="103"/>
      <c r="J1" s="18"/>
    </row>
    <row r="2" spans="1:10">
      <c r="A2" s="104" t="s">
        <v>17</v>
      </c>
      <c r="B2" s="104"/>
      <c r="C2" s="104"/>
      <c r="D2" s="104"/>
      <c r="E2" s="104"/>
      <c r="F2" s="104"/>
      <c r="G2" s="104"/>
      <c r="H2" s="104"/>
      <c r="I2" s="104"/>
      <c r="J2" s="21"/>
    </row>
    <row r="3" spans="1:10">
      <c r="A3" s="105" t="s">
        <v>229</v>
      </c>
      <c r="B3" s="105"/>
      <c r="C3" s="105"/>
      <c r="D3" s="105"/>
      <c r="E3" s="105"/>
      <c r="F3" s="105"/>
      <c r="G3" s="105"/>
      <c r="H3" s="105"/>
      <c r="I3" s="105"/>
      <c r="J3" s="18"/>
    </row>
    <row r="4" spans="1:10" ht="45.75" customHeight="1">
      <c r="A4" s="10" t="s">
        <v>10</v>
      </c>
      <c r="B4" s="10" t="s">
        <v>13</v>
      </c>
      <c r="C4" s="10" t="s">
        <v>14</v>
      </c>
      <c r="D4" s="8" t="s">
        <v>0</v>
      </c>
      <c r="E4" s="10" t="s">
        <v>11</v>
      </c>
      <c r="F4" s="8" t="s">
        <v>1</v>
      </c>
      <c r="G4" s="10" t="s">
        <v>12</v>
      </c>
      <c r="H4" s="10" t="s">
        <v>15</v>
      </c>
      <c r="I4" s="10" t="s">
        <v>2</v>
      </c>
    </row>
    <row r="5" spans="1:10" s="89" customFormat="1">
      <c r="A5" s="80">
        <v>1</v>
      </c>
      <c r="B5" s="81" t="s">
        <v>219</v>
      </c>
      <c r="C5" s="82" t="s">
        <v>18</v>
      </c>
      <c r="D5" s="83" t="s">
        <v>19</v>
      </c>
      <c r="E5" s="84" t="s">
        <v>3</v>
      </c>
      <c r="F5" s="85">
        <v>20</v>
      </c>
      <c r="G5" s="86">
        <v>9990</v>
      </c>
      <c r="H5" s="87">
        <f>SUM(F5*G5)</f>
        <v>199800</v>
      </c>
      <c r="I5" s="88"/>
    </row>
    <row r="6" spans="1:10" ht="48">
      <c r="A6" s="38">
        <v>2</v>
      </c>
      <c r="B6" s="46" t="s">
        <v>219</v>
      </c>
      <c r="C6" s="47" t="s">
        <v>228</v>
      </c>
      <c r="D6" s="48" t="s">
        <v>20</v>
      </c>
      <c r="E6" s="49" t="s">
        <v>3</v>
      </c>
      <c r="F6" s="50">
        <v>10</v>
      </c>
      <c r="G6" s="51">
        <v>4980</v>
      </c>
      <c r="H6" s="52">
        <f t="shared" ref="H6:H48" si="0">SUM(F6*G6)</f>
        <v>49800</v>
      </c>
      <c r="I6" s="53"/>
    </row>
    <row r="7" spans="1:10" s="89" customFormat="1">
      <c r="A7" s="80">
        <v>3</v>
      </c>
      <c r="B7" s="81" t="s">
        <v>219</v>
      </c>
      <c r="C7" s="90" t="s">
        <v>21</v>
      </c>
      <c r="D7" s="91" t="s">
        <v>22</v>
      </c>
      <c r="E7" s="92" t="s">
        <v>3</v>
      </c>
      <c r="F7" s="93">
        <v>10</v>
      </c>
      <c r="G7" s="94">
        <v>34970</v>
      </c>
      <c r="H7" s="87">
        <f t="shared" si="0"/>
        <v>349700</v>
      </c>
      <c r="I7" s="88"/>
    </row>
    <row r="8" spans="1:10" s="89" customFormat="1" ht="24" customHeight="1">
      <c r="A8" s="95">
        <v>4</v>
      </c>
      <c r="B8" s="81" t="s">
        <v>219</v>
      </c>
      <c r="C8" s="82" t="s">
        <v>23</v>
      </c>
      <c r="D8" s="83" t="s">
        <v>24</v>
      </c>
      <c r="E8" s="84" t="s">
        <v>3</v>
      </c>
      <c r="F8" s="85">
        <v>20</v>
      </c>
      <c r="G8" s="86">
        <v>14980</v>
      </c>
      <c r="H8" s="87">
        <f t="shared" si="0"/>
        <v>299600</v>
      </c>
      <c r="I8" s="88"/>
    </row>
    <row r="9" spans="1:10" s="89" customFormat="1" ht="24" customHeight="1">
      <c r="A9" s="80">
        <v>5</v>
      </c>
      <c r="B9" s="81" t="s">
        <v>219</v>
      </c>
      <c r="C9" s="82" t="s">
        <v>25</v>
      </c>
      <c r="D9" s="83" t="s">
        <v>26</v>
      </c>
      <c r="E9" s="84" t="s">
        <v>3</v>
      </c>
      <c r="F9" s="85">
        <v>9</v>
      </c>
      <c r="G9" s="86">
        <v>57950</v>
      </c>
      <c r="H9" s="87">
        <f t="shared" si="0"/>
        <v>521550</v>
      </c>
      <c r="I9" s="88"/>
    </row>
    <row r="10" spans="1:10" ht="24" customHeight="1">
      <c r="A10" s="27">
        <v>6</v>
      </c>
      <c r="B10" s="7" t="s">
        <v>219</v>
      </c>
      <c r="C10" s="3" t="s">
        <v>27</v>
      </c>
      <c r="D10" s="1" t="s">
        <v>28</v>
      </c>
      <c r="E10" s="4" t="s">
        <v>3</v>
      </c>
      <c r="F10" s="26">
        <v>9</v>
      </c>
      <c r="G10" s="6">
        <v>3450</v>
      </c>
      <c r="H10" s="45">
        <f t="shared" si="0"/>
        <v>31050</v>
      </c>
      <c r="I10" s="10"/>
    </row>
    <row r="11" spans="1:10" s="89" customFormat="1" ht="24" customHeight="1">
      <c r="A11" s="80">
        <v>7</v>
      </c>
      <c r="B11" s="81" t="s">
        <v>219</v>
      </c>
      <c r="C11" s="90" t="s">
        <v>29</v>
      </c>
      <c r="D11" s="91" t="s">
        <v>30</v>
      </c>
      <c r="E11" s="92" t="s">
        <v>3</v>
      </c>
      <c r="F11" s="93">
        <v>10</v>
      </c>
      <c r="G11" s="94">
        <v>57950</v>
      </c>
      <c r="H11" s="87">
        <f t="shared" si="0"/>
        <v>579500</v>
      </c>
      <c r="I11" s="88"/>
    </row>
    <row r="12" spans="1:10" s="89" customFormat="1" ht="24" customHeight="1">
      <c r="A12" s="95">
        <v>8</v>
      </c>
      <c r="B12" s="81" t="s">
        <v>219</v>
      </c>
      <c r="C12" s="82" t="s">
        <v>31</v>
      </c>
      <c r="D12" s="83" t="s">
        <v>32</v>
      </c>
      <c r="E12" s="84" t="s">
        <v>3</v>
      </c>
      <c r="F12" s="96">
        <v>9</v>
      </c>
      <c r="G12" s="86">
        <v>57950</v>
      </c>
      <c r="H12" s="87">
        <f t="shared" si="0"/>
        <v>521550</v>
      </c>
      <c r="I12" s="88"/>
    </row>
    <row r="13" spans="1:10" ht="24" customHeight="1">
      <c r="A13" s="25">
        <v>9</v>
      </c>
      <c r="B13" s="7" t="s">
        <v>219</v>
      </c>
      <c r="C13" s="3" t="s">
        <v>33</v>
      </c>
      <c r="D13" s="1" t="s">
        <v>34</v>
      </c>
      <c r="E13" s="4" t="s">
        <v>3</v>
      </c>
      <c r="F13" s="33">
        <v>15</v>
      </c>
      <c r="G13" s="23">
        <v>34980</v>
      </c>
      <c r="H13" s="45">
        <f t="shared" si="0"/>
        <v>524700</v>
      </c>
      <c r="I13" s="10"/>
    </row>
    <row r="14" spans="1:10" ht="24" customHeight="1">
      <c r="A14" s="27">
        <v>10</v>
      </c>
      <c r="B14" s="7" t="s">
        <v>219</v>
      </c>
      <c r="C14" s="3" t="s">
        <v>35</v>
      </c>
      <c r="D14" s="3" t="s">
        <v>36</v>
      </c>
      <c r="E14" s="4" t="s">
        <v>3</v>
      </c>
      <c r="F14" s="32">
        <v>1</v>
      </c>
      <c r="G14" s="6">
        <v>84700</v>
      </c>
      <c r="H14" s="45">
        <f t="shared" si="0"/>
        <v>84700</v>
      </c>
      <c r="I14" s="10"/>
    </row>
    <row r="15" spans="1:10" ht="24" customHeight="1">
      <c r="A15" s="25">
        <v>11</v>
      </c>
      <c r="B15" s="7" t="s">
        <v>219</v>
      </c>
      <c r="C15" s="3" t="s">
        <v>37</v>
      </c>
      <c r="D15" s="3" t="s">
        <v>38</v>
      </c>
      <c r="E15" s="4" t="s">
        <v>3</v>
      </c>
      <c r="F15" s="32">
        <v>1</v>
      </c>
      <c r="G15" s="6">
        <v>29700</v>
      </c>
      <c r="H15" s="45">
        <f t="shared" si="0"/>
        <v>29700</v>
      </c>
      <c r="I15" s="10"/>
    </row>
    <row r="16" spans="1:10" ht="24" customHeight="1">
      <c r="A16" s="27">
        <v>12</v>
      </c>
      <c r="B16" s="7" t="s">
        <v>219</v>
      </c>
      <c r="C16" s="3" t="s">
        <v>39</v>
      </c>
      <c r="D16" s="3" t="s">
        <v>40</v>
      </c>
      <c r="E16" s="4" t="s">
        <v>3</v>
      </c>
      <c r="F16" s="32">
        <v>1</v>
      </c>
      <c r="G16" s="6">
        <v>199800</v>
      </c>
      <c r="H16" s="45">
        <f t="shared" si="0"/>
        <v>199800</v>
      </c>
      <c r="I16" s="10"/>
    </row>
    <row r="17" spans="1:9" ht="24" customHeight="1">
      <c r="A17" s="25">
        <v>13</v>
      </c>
      <c r="B17" s="7" t="s">
        <v>219</v>
      </c>
      <c r="C17" s="13" t="s">
        <v>41</v>
      </c>
      <c r="D17" s="13" t="s">
        <v>42</v>
      </c>
      <c r="E17" s="28" t="s">
        <v>3</v>
      </c>
      <c r="F17" s="35">
        <v>10</v>
      </c>
      <c r="G17" s="11">
        <v>5950</v>
      </c>
      <c r="H17" s="45">
        <f t="shared" si="0"/>
        <v>59500</v>
      </c>
      <c r="I17" s="10"/>
    </row>
    <row r="18" spans="1:9" ht="24" customHeight="1">
      <c r="A18" s="27">
        <v>14</v>
      </c>
      <c r="B18" s="7" t="s">
        <v>219</v>
      </c>
      <c r="C18" s="3" t="s">
        <v>43</v>
      </c>
      <c r="D18" s="3" t="s">
        <v>44</v>
      </c>
      <c r="E18" s="4" t="s">
        <v>3</v>
      </c>
      <c r="F18" s="26">
        <v>4</v>
      </c>
      <c r="G18" s="6">
        <v>99950</v>
      </c>
      <c r="H18" s="45">
        <f t="shared" si="0"/>
        <v>399800</v>
      </c>
      <c r="I18" s="10"/>
    </row>
    <row r="19" spans="1:9" ht="24" customHeight="1">
      <c r="A19" s="25">
        <v>15</v>
      </c>
      <c r="B19" s="7" t="s">
        <v>219</v>
      </c>
      <c r="C19" s="3" t="s">
        <v>45</v>
      </c>
      <c r="D19" s="3" t="s">
        <v>46</v>
      </c>
      <c r="E19" s="12" t="s">
        <v>3</v>
      </c>
      <c r="F19" s="26">
        <v>1</v>
      </c>
      <c r="G19" s="6">
        <v>49700</v>
      </c>
      <c r="H19" s="45">
        <f t="shared" si="0"/>
        <v>49700</v>
      </c>
      <c r="I19" s="10"/>
    </row>
    <row r="20" spans="1:9" ht="24" customHeight="1">
      <c r="A20" s="27">
        <v>16</v>
      </c>
      <c r="B20" s="7" t="s">
        <v>219</v>
      </c>
      <c r="C20" s="3" t="s">
        <v>47</v>
      </c>
      <c r="D20" s="3" t="s">
        <v>48</v>
      </c>
      <c r="E20" s="12" t="s">
        <v>3</v>
      </c>
      <c r="F20" s="26">
        <v>10</v>
      </c>
      <c r="G20" s="6">
        <v>49980</v>
      </c>
      <c r="H20" s="45">
        <f t="shared" si="0"/>
        <v>499800</v>
      </c>
      <c r="I20" s="10"/>
    </row>
    <row r="21" spans="1:9" ht="24" customHeight="1">
      <c r="A21" s="25">
        <v>17</v>
      </c>
      <c r="B21" s="7" t="s">
        <v>219</v>
      </c>
      <c r="C21" s="3" t="s">
        <v>49</v>
      </c>
      <c r="D21" s="1" t="s">
        <v>50</v>
      </c>
      <c r="E21" s="12" t="s">
        <v>3</v>
      </c>
      <c r="F21" s="26">
        <v>4</v>
      </c>
      <c r="G21" s="6">
        <v>2300</v>
      </c>
      <c r="H21" s="45">
        <f t="shared" si="0"/>
        <v>9200</v>
      </c>
      <c r="I21" s="10"/>
    </row>
    <row r="22" spans="1:9" ht="24" customHeight="1">
      <c r="A22" s="27">
        <v>18</v>
      </c>
      <c r="B22" s="12">
        <v>2540</v>
      </c>
      <c r="C22" s="3" t="s">
        <v>51</v>
      </c>
      <c r="D22" s="3" t="s">
        <v>36</v>
      </c>
      <c r="E22" s="12" t="s">
        <v>3</v>
      </c>
      <c r="F22" s="26">
        <v>5</v>
      </c>
      <c r="G22" s="6">
        <v>74500</v>
      </c>
      <c r="H22" s="45">
        <f t="shared" si="0"/>
        <v>372500</v>
      </c>
      <c r="I22" s="10"/>
    </row>
    <row r="23" spans="1:9" ht="24" customHeight="1">
      <c r="A23" s="25">
        <v>19</v>
      </c>
      <c r="B23" s="12">
        <v>2540</v>
      </c>
      <c r="C23" s="3" t="s">
        <v>52</v>
      </c>
      <c r="D23" s="3" t="s">
        <v>53</v>
      </c>
      <c r="E23" s="12" t="s">
        <v>3</v>
      </c>
      <c r="F23" s="26">
        <v>4</v>
      </c>
      <c r="G23" s="6">
        <v>29853</v>
      </c>
      <c r="H23" s="45">
        <f t="shared" si="0"/>
        <v>119412</v>
      </c>
      <c r="I23" s="10"/>
    </row>
    <row r="24" spans="1:9" ht="24" customHeight="1">
      <c r="A24" s="27">
        <v>20</v>
      </c>
      <c r="B24" s="12">
        <v>2540</v>
      </c>
      <c r="C24" s="3" t="s">
        <v>54</v>
      </c>
      <c r="D24" s="3" t="s">
        <v>55</v>
      </c>
      <c r="E24" s="12" t="s">
        <v>3</v>
      </c>
      <c r="F24" s="26">
        <v>2</v>
      </c>
      <c r="G24" s="6">
        <v>50000</v>
      </c>
      <c r="H24" s="45">
        <f t="shared" si="0"/>
        <v>100000</v>
      </c>
      <c r="I24" s="10"/>
    </row>
    <row r="25" spans="1:9" ht="24" customHeight="1">
      <c r="A25" s="25">
        <v>21</v>
      </c>
      <c r="B25" s="12">
        <v>2540</v>
      </c>
      <c r="C25" s="3" t="s">
        <v>56</v>
      </c>
      <c r="D25" s="3" t="s">
        <v>57</v>
      </c>
      <c r="E25" s="12" t="s">
        <v>3</v>
      </c>
      <c r="F25" s="26">
        <v>2</v>
      </c>
      <c r="G25" s="6">
        <v>75000</v>
      </c>
      <c r="H25" s="45">
        <f t="shared" si="0"/>
        <v>150000</v>
      </c>
      <c r="I25" s="10"/>
    </row>
    <row r="26" spans="1:9" ht="24" customHeight="1">
      <c r="A26" s="27">
        <v>22</v>
      </c>
      <c r="B26" s="12">
        <v>2540</v>
      </c>
      <c r="C26" s="3" t="s">
        <v>58</v>
      </c>
      <c r="D26" s="3" t="s">
        <v>59</v>
      </c>
      <c r="E26" s="12" t="s">
        <v>3</v>
      </c>
      <c r="F26" s="26">
        <v>2</v>
      </c>
      <c r="G26" s="6">
        <v>50000</v>
      </c>
      <c r="H26" s="45">
        <f t="shared" si="0"/>
        <v>100000</v>
      </c>
      <c r="I26" s="10"/>
    </row>
    <row r="27" spans="1:9" ht="24" customHeight="1">
      <c r="A27" s="25">
        <v>23</v>
      </c>
      <c r="B27" s="12">
        <v>2540</v>
      </c>
      <c r="C27" s="3" t="s">
        <v>60</v>
      </c>
      <c r="D27" s="3" t="s">
        <v>61</v>
      </c>
      <c r="E27" s="12" t="s">
        <v>3</v>
      </c>
      <c r="F27" s="26">
        <v>2</v>
      </c>
      <c r="G27" s="6">
        <v>50000</v>
      </c>
      <c r="H27" s="45">
        <f t="shared" si="0"/>
        <v>100000</v>
      </c>
      <c r="I27" s="10"/>
    </row>
    <row r="28" spans="1:9" ht="24" customHeight="1">
      <c r="A28" s="27">
        <v>24</v>
      </c>
      <c r="B28" s="12">
        <v>2540</v>
      </c>
      <c r="C28" s="3" t="s">
        <v>62</v>
      </c>
      <c r="D28" s="3" t="s">
        <v>63</v>
      </c>
      <c r="E28" s="12" t="s">
        <v>3</v>
      </c>
      <c r="F28" s="26">
        <v>5</v>
      </c>
      <c r="G28" s="6">
        <v>67987.8</v>
      </c>
      <c r="H28" s="45">
        <f t="shared" si="0"/>
        <v>339939</v>
      </c>
      <c r="I28" s="10"/>
    </row>
    <row r="29" spans="1:9" ht="24" customHeight="1">
      <c r="A29" s="25">
        <v>25</v>
      </c>
      <c r="B29" s="12">
        <v>2540</v>
      </c>
      <c r="C29" s="3" t="s">
        <v>64</v>
      </c>
      <c r="D29" s="3" t="s">
        <v>65</v>
      </c>
      <c r="E29" s="12" t="s">
        <v>3</v>
      </c>
      <c r="F29" s="26">
        <v>2</v>
      </c>
      <c r="G29" s="6">
        <v>59385</v>
      </c>
      <c r="H29" s="45">
        <f t="shared" si="0"/>
        <v>118770</v>
      </c>
      <c r="I29" s="10"/>
    </row>
    <row r="30" spans="1:9" s="89" customFormat="1" ht="24" customHeight="1">
      <c r="A30" s="95">
        <v>26</v>
      </c>
      <c r="B30" s="80">
        <v>2540</v>
      </c>
      <c r="C30" s="82" t="s">
        <v>66</v>
      </c>
      <c r="D30" s="82" t="s">
        <v>67</v>
      </c>
      <c r="E30" s="84" t="s">
        <v>3</v>
      </c>
      <c r="F30" s="85">
        <v>20</v>
      </c>
      <c r="G30" s="86">
        <v>7918</v>
      </c>
      <c r="H30" s="87">
        <f t="shared" si="0"/>
        <v>158360</v>
      </c>
      <c r="I30" s="88"/>
    </row>
    <row r="31" spans="1:9" s="89" customFormat="1" ht="24" customHeight="1">
      <c r="A31" s="80">
        <v>27</v>
      </c>
      <c r="B31" s="80">
        <v>2540</v>
      </c>
      <c r="C31" s="82" t="s">
        <v>68</v>
      </c>
      <c r="D31" s="82" t="s">
        <v>69</v>
      </c>
      <c r="E31" s="84" t="s">
        <v>3</v>
      </c>
      <c r="F31" s="85">
        <v>1</v>
      </c>
      <c r="G31" s="86">
        <v>186700</v>
      </c>
      <c r="H31" s="87">
        <f t="shared" si="0"/>
        <v>186700</v>
      </c>
      <c r="I31" s="88"/>
    </row>
    <row r="32" spans="1:9" s="89" customFormat="1" ht="24" customHeight="1">
      <c r="A32" s="95">
        <v>28</v>
      </c>
      <c r="B32" s="80">
        <v>2540</v>
      </c>
      <c r="C32" s="82" t="s">
        <v>70</v>
      </c>
      <c r="D32" s="82" t="s">
        <v>71</v>
      </c>
      <c r="E32" s="84" t="s">
        <v>3</v>
      </c>
      <c r="F32" s="85">
        <v>2</v>
      </c>
      <c r="G32" s="86">
        <v>65000</v>
      </c>
      <c r="H32" s="87">
        <f t="shared" si="0"/>
        <v>130000</v>
      </c>
      <c r="I32" s="88"/>
    </row>
    <row r="33" spans="1:9" ht="24" customHeight="1">
      <c r="A33" s="25">
        <v>29</v>
      </c>
      <c r="B33" s="12">
        <v>2540</v>
      </c>
      <c r="C33" s="3" t="s">
        <v>72</v>
      </c>
      <c r="D33" s="1" t="s">
        <v>73</v>
      </c>
      <c r="E33" s="4" t="s">
        <v>3</v>
      </c>
      <c r="F33" s="26">
        <v>10</v>
      </c>
      <c r="G33" s="6">
        <v>57780</v>
      </c>
      <c r="H33" s="45">
        <f t="shared" si="0"/>
        <v>577800</v>
      </c>
      <c r="I33" s="10"/>
    </row>
    <row r="34" spans="1:9" ht="24" customHeight="1">
      <c r="A34" s="27">
        <v>30</v>
      </c>
      <c r="B34" s="12">
        <v>2540</v>
      </c>
      <c r="C34" s="3" t="s">
        <v>74</v>
      </c>
      <c r="D34" s="1" t="s">
        <v>75</v>
      </c>
      <c r="E34" s="4" t="s">
        <v>3</v>
      </c>
      <c r="F34" s="26">
        <v>10</v>
      </c>
      <c r="G34" s="6">
        <v>57780</v>
      </c>
      <c r="H34" s="45">
        <f t="shared" si="0"/>
        <v>577800</v>
      </c>
      <c r="I34" s="10"/>
    </row>
    <row r="35" spans="1:9" ht="24" customHeight="1">
      <c r="A35" s="25">
        <v>31</v>
      </c>
      <c r="B35" s="7" t="s">
        <v>220</v>
      </c>
      <c r="C35" s="3" t="s">
        <v>76</v>
      </c>
      <c r="D35" s="1" t="s">
        <v>77</v>
      </c>
      <c r="E35" s="4" t="s">
        <v>3</v>
      </c>
      <c r="F35" s="26">
        <v>2</v>
      </c>
      <c r="G35" s="6">
        <v>79400</v>
      </c>
      <c r="H35" s="45">
        <f t="shared" si="0"/>
        <v>158800</v>
      </c>
      <c r="I35" s="10"/>
    </row>
    <row r="36" spans="1:9" ht="24" customHeight="1">
      <c r="A36" s="27">
        <v>32</v>
      </c>
      <c r="B36" s="7" t="s">
        <v>220</v>
      </c>
      <c r="C36" s="3" t="s">
        <v>78</v>
      </c>
      <c r="D36" s="1" t="s">
        <v>79</v>
      </c>
      <c r="E36" s="4" t="s">
        <v>3</v>
      </c>
      <c r="F36" s="26">
        <v>4</v>
      </c>
      <c r="G36" s="6">
        <v>23500</v>
      </c>
      <c r="H36" s="45">
        <f t="shared" si="0"/>
        <v>94000</v>
      </c>
      <c r="I36" s="10"/>
    </row>
    <row r="37" spans="1:9" ht="24" customHeight="1">
      <c r="A37" s="25">
        <v>33</v>
      </c>
      <c r="B37" s="7" t="s">
        <v>220</v>
      </c>
      <c r="C37" s="3" t="s">
        <v>80</v>
      </c>
      <c r="D37" s="1" t="s">
        <v>81</v>
      </c>
      <c r="E37" s="4" t="s">
        <v>3</v>
      </c>
      <c r="F37" s="26">
        <v>4</v>
      </c>
      <c r="G37" s="6">
        <v>39550</v>
      </c>
      <c r="H37" s="45">
        <f t="shared" si="0"/>
        <v>158200</v>
      </c>
      <c r="I37" s="10"/>
    </row>
    <row r="38" spans="1:9" s="89" customFormat="1" ht="24" customHeight="1">
      <c r="A38" s="95">
        <v>34</v>
      </c>
      <c r="B38" s="81" t="s">
        <v>220</v>
      </c>
      <c r="C38" s="82" t="s">
        <v>82</v>
      </c>
      <c r="D38" s="83" t="s">
        <v>83</v>
      </c>
      <c r="E38" s="84" t="s">
        <v>3</v>
      </c>
      <c r="F38" s="85">
        <v>2</v>
      </c>
      <c r="G38" s="86">
        <v>14780</v>
      </c>
      <c r="H38" s="87">
        <f t="shared" si="0"/>
        <v>29560</v>
      </c>
      <c r="I38" s="88"/>
    </row>
    <row r="39" spans="1:9" ht="24" customHeight="1">
      <c r="A39" s="25">
        <v>35</v>
      </c>
      <c r="B39" s="7" t="s">
        <v>220</v>
      </c>
      <c r="C39" s="3" t="s">
        <v>84</v>
      </c>
      <c r="D39" s="1" t="s">
        <v>85</v>
      </c>
      <c r="E39" s="4" t="s">
        <v>3</v>
      </c>
      <c r="F39" s="26">
        <v>2</v>
      </c>
      <c r="G39" s="6">
        <v>12700</v>
      </c>
      <c r="H39" s="45">
        <f t="shared" si="0"/>
        <v>25400</v>
      </c>
      <c r="I39" s="10"/>
    </row>
    <row r="40" spans="1:9" ht="24" customHeight="1">
      <c r="A40" s="27">
        <v>36</v>
      </c>
      <c r="B40" s="31" t="s">
        <v>221</v>
      </c>
      <c r="C40" s="3" t="s">
        <v>86</v>
      </c>
      <c r="D40" s="1" t="s">
        <v>87</v>
      </c>
      <c r="E40" s="4" t="s">
        <v>4</v>
      </c>
      <c r="F40" s="26">
        <v>1</v>
      </c>
      <c r="G40" s="24">
        <v>4400</v>
      </c>
      <c r="H40" s="45">
        <f t="shared" si="0"/>
        <v>4400</v>
      </c>
      <c r="I40" s="10"/>
    </row>
    <row r="41" spans="1:9" ht="24" customHeight="1">
      <c r="A41" s="25">
        <v>37</v>
      </c>
      <c r="B41" s="31" t="s">
        <v>221</v>
      </c>
      <c r="C41" s="3" t="s">
        <v>88</v>
      </c>
      <c r="D41" s="1" t="s">
        <v>89</v>
      </c>
      <c r="E41" s="4" t="s">
        <v>3</v>
      </c>
      <c r="F41" s="26">
        <v>10</v>
      </c>
      <c r="G41" s="6">
        <v>1605</v>
      </c>
      <c r="H41" s="45">
        <f t="shared" si="0"/>
        <v>16050</v>
      </c>
      <c r="I41" s="10"/>
    </row>
    <row r="42" spans="1:9" ht="24" customHeight="1">
      <c r="A42" s="27">
        <v>38</v>
      </c>
      <c r="B42" s="31" t="s">
        <v>221</v>
      </c>
      <c r="C42" s="13" t="s">
        <v>90</v>
      </c>
      <c r="D42" s="30" t="s">
        <v>91</v>
      </c>
      <c r="E42" s="28" t="s">
        <v>4</v>
      </c>
      <c r="F42" s="29">
        <v>1</v>
      </c>
      <c r="G42" s="11">
        <v>7490</v>
      </c>
      <c r="H42" s="45">
        <f t="shared" si="0"/>
        <v>7490</v>
      </c>
      <c r="I42" s="10"/>
    </row>
    <row r="43" spans="1:9" ht="24" customHeight="1">
      <c r="A43" s="25">
        <v>39</v>
      </c>
      <c r="B43" s="31" t="s">
        <v>221</v>
      </c>
      <c r="C43" s="3" t="s">
        <v>92</v>
      </c>
      <c r="D43" s="37" t="s">
        <v>93</v>
      </c>
      <c r="E43" s="4" t="s">
        <v>4</v>
      </c>
      <c r="F43" s="26">
        <v>1</v>
      </c>
      <c r="G43" s="6">
        <v>5990</v>
      </c>
      <c r="H43" s="45">
        <f t="shared" si="0"/>
        <v>5990</v>
      </c>
      <c r="I43" s="10"/>
    </row>
    <row r="44" spans="1:9" ht="24" customHeight="1">
      <c r="A44" s="54">
        <v>40</v>
      </c>
      <c r="B44" s="31" t="s">
        <v>221</v>
      </c>
      <c r="C44" s="3" t="s">
        <v>94</v>
      </c>
      <c r="D44" s="1" t="s">
        <v>95</v>
      </c>
      <c r="E44" s="4" t="s">
        <v>4</v>
      </c>
      <c r="F44" s="26">
        <v>1</v>
      </c>
      <c r="G44" s="6">
        <v>3600</v>
      </c>
      <c r="H44" s="55">
        <f t="shared" si="0"/>
        <v>3600</v>
      </c>
      <c r="I44" s="10"/>
    </row>
    <row r="45" spans="1:9" ht="24" customHeight="1">
      <c r="A45" s="25">
        <v>41</v>
      </c>
      <c r="B45" s="31" t="s">
        <v>221</v>
      </c>
      <c r="C45" s="3" t="s">
        <v>96</v>
      </c>
      <c r="D45" s="1" t="s">
        <v>97</v>
      </c>
      <c r="E45" s="4" t="s">
        <v>4</v>
      </c>
      <c r="F45" s="26">
        <v>1</v>
      </c>
      <c r="G45" s="6">
        <v>10990</v>
      </c>
      <c r="H45" s="55">
        <f t="shared" si="0"/>
        <v>10990</v>
      </c>
      <c r="I45" s="10"/>
    </row>
    <row r="46" spans="1:9" ht="24" customHeight="1">
      <c r="A46" s="25"/>
      <c r="B46" s="34"/>
      <c r="C46" s="26" t="s">
        <v>100</v>
      </c>
      <c r="D46" s="1"/>
      <c r="E46" s="4"/>
      <c r="F46" s="26"/>
      <c r="G46" s="6"/>
      <c r="H46" s="55">
        <f>SUM(H5:H45)</f>
        <v>7955211</v>
      </c>
      <c r="I46" s="10"/>
    </row>
    <row r="47" spans="1:9" ht="24" customHeight="1">
      <c r="A47" s="25"/>
      <c r="B47" s="34"/>
      <c r="C47" s="26" t="s">
        <v>101</v>
      </c>
      <c r="D47" s="1"/>
      <c r="E47" s="4"/>
      <c r="F47" s="26"/>
      <c r="G47" s="6"/>
      <c r="H47" s="55">
        <f>SUM(H46)</f>
        <v>7955211</v>
      </c>
      <c r="I47" s="10"/>
    </row>
    <row r="48" spans="1:9" s="89" customFormat="1" ht="24" customHeight="1">
      <c r="A48" s="95">
        <v>42</v>
      </c>
      <c r="B48" s="97" t="s">
        <v>221</v>
      </c>
      <c r="C48" s="82" t="s">
        <v>98</v>
      </c>
      <c r="D48" s="83" t="s">
        <v>99</v>
      </c>
      <c r="E48" s="84" t="s">
        <v>3</v>
      </c>
      <c r="F48" s="85">
        <v>1</v>
      </c>
      <c r="G48" s="86">
        <v>149500</v>
      </c>
      <c r="H48" s="87">
        <f t="shared" si="0"/>
        <v>149500</v>
      </c>
      <c r="I48" s="88"/>
    </row>
    <row r="49" spans="1:9" s="89" customFormat="1" ht="24" customHeight="1">
      <c r="A49" s="80">
        <v>43</v>
      </c>
      <c r="B49" s="97" t="s">
        <v>221</v>
      </c>
      <c r="C49" s="82" t="s">
        <v>102</v>
      </c>
      <c r="D49" s="83" t="s">
        <v>103</v>
      </c>
      <c r="E49" s="80" t="s">
        <v>3</v>
      </c>
      <c r="F49" s="85">
        <v>1</v>
      </c>
      <c r="G49" s="86">
        <v>249500</v>
      </c>
      <c r="H49" s="87">
        <f t="shared" ref="H49:H91" si="1">SUM(F49*G49)</f>
        <v>249500</v>
      </c>
      <c r="I49" s="88"/>
    </row>
    <row r="50" spans="1:9" s="89" customFormat="1" ht="24" customHeight="1">
      <c r="A50" s="95">
        <v>44</v>
      </c>
      <c r="B50" s="97" t="s">
        <v>221</v>
      </c>
      <c r="C50" s="82" t="s">
        <v>104</v>
      </c>
      <c r="D50" s="83" t="s">
        <v>105</v>
      </c>
      <c r="E50" s="80" t="s">
        <v>4</v>
      </c>
      <c r="F50" s="85">
        <v>1</v>
      </c>
      <c r="G50" s="86">
        <v>6200</v>
      </c>
      <c r="H50" s="87">
        <f t="shared" si="1"/>
        <v>6200</v>
      </c>
      <c r="I50" s="88"/>
    </row>
    <row r="51" spans="1:9" s="89" customFormat="1" ht="24" customHeight="1">
      <c r="A51" s="80">
        <v>45</v>
      </c>
      <c r="B51" s="80">
        <v>2546</v>
      </c>
      <c r="C51" s="82" t="s">
        <v>106</v>
      </c>
      <c r="D51" s="83" t="s">
        <v>107</v>
      </c>
      <c r="E51" s="80" t="s">
        <v>3</v>
      </c>
      <c r="F51" s="85">
        <v>5</v>
      </c>
      <c r="G51" s="86">
        <v>20000</v>
      </c>
      <c r="H51" s="87">
        <f t="shared" si="1"/>
        <v>100000</v>
      </c>
      <c r="I51" s="88"/>
    </row>
    <row r="52" spans="1:9" ht="24" customHeight="1">
      <c r="A52" s="27">
        <v>46</v>
      </c>
      <c r="B52" s="12">
        <v>2546</v>
      </c>
      <c r="C52" s="3" t="s">
        <v>108</v>
      </c>
      <c r="D52" s="1" t="s">
        <v>109</v>
      </c>
      <c r="E52" s="12" t="s">
        <v>3</v>
      </c>
      <c r="F52" s="26">
        <v>1</v>
      </c>
      <c r="G52" s="6">
        <v>65000</v>
      </c>
      <c r="H52" s="45">
        <f t="shared" si="1"/>
        <v>65000</v>
      </c>
      <c r="I52" s="10"/>
    </row>
    <row r="53" spans="1:9" s="89" customFormat="1" ht="24" customHeight="1">
      <c r="A53" s="80">
        <v>47</v>
      </c>
      <c r="B53" s="80">
        <v>2546</v>
      </c>
      <c r="C53" s="82" t="s">
        <v>110</v>
      </c>
      <c r="D53" s="82" t="s">
        <v>111</v>
      </c>
      <c r="E53" s="80" t="s">
        <v>3</v>
      </c>
      <c r="F53" s="85">
        <v>2</v>
      </c>
      <c r="G53" s="86">
        <v>79850</v>
      </c>
      <c r="H53" s="87">
        <f t="shared" si="1"/>
        <v>159700</v>
      </c>
      <c r="I53" s="88"/>
    </row>
    <row r="54" spans="1:9" ht="24" customHeight="1">
      <c r="A54" s="38">
        <v>48</v>
      </c>
      <c r="B54" s="12">
        <v>2546</v>
      </c>
      <c r="C54" s="39" t="s">
        <v>112</v>
      </c>
      <c r="D54" s="40" t="s">
        <v>20</v>
      </c>
      <c r="E54" s="41" t="s">
        <v>4</v>
      </c>
      <c r="F54" s="42">
        <v>11</v>
      </c>
      <c r="G54" s="43">
        <v>350</v>
      </c>
      <c r="H54" s="45">
        <f t="shared" si="1"/>
        <v>3850</v>
      </c>
      <c r="I54" s="10"/>
    </row>
    <row r="55" spans="1:9" s="89" customFormat="1" ht="24" customHeight="1">
      <c r="A55" s="80">
        <v>49</v>
      </c>
      <c r="B55" s="80">
        <v>2546</v>
      </c>
      <c r="C55" s="82" t="s">
        <v>113</v>
      </c>
      <c r="D55" s="83" t="s">
        <v>114</v>
      </c>
      <c r="E55" s="80" t="s">
        <v>4</v>
      </c>
      <c r="F55" s="85">
        <v>1</v>
      </c>
      <c r="G55" s="86">
        <v>33000</v>
      </c>
      <c r="H55" s="87">
        <f t="shared" si="1"/>
        <v>33000</v>
      </c>
      <c r="I55" s="88"/>
    </row>
    <row r="56" spans="1:9" ht="24" customHeight="1">
      <c r="A56" s="27">
        <v>50</v>
      </c>
      <c r="B56" s="12">
        <v>2546</v>
      </c>
      <c r="C56" s="3" t="s">
        <v>115</v>
      </c>
      <c r="D56" s="1" t="s">
        <v>116</v>
      </c>
      <c r="E56" s="12" t="s">
        <v>4</v>
      </c>
      <c r="F56" s="26">
        <v>25</v>
      </c>
      <c r="G56" s="6">
        <v>2490</v>
      </c>
      <c r="H56" s="45">
        <f t="shared" si="1"/>
        <v>62250</v>
      </c>
      <c r="I56" s="10"/>
    </row>
    <row r="57" spans="1:9" ht="24" customHeight="1">
      <c r="A57" s="25">
        <v>51</v>
      </c>
      <c r="B57" s="12">
        <v>2546</v>
      </c>
      <c r="C57" s="3" t="s">
        <v>117</v>
      </c>
      <c r="D57" s="1" t="s">
        <v>118</v>
      </c>
      <c r="E57" s="12" t="s">
        <v>4</v>
      </c>
      <c r="F57" s="26">
        <v>3</v>
      </c>
      <c r="G57" s="6">
        <v>7080</v>
      </c>
      <c r="H57" s="45">
        <f t="shared" si="1"/>
        <v>21240</v>
      </c>
      <c r="I57" s="10"/>
    </row>
    <row r="58" spans="1:9" ht="24" customHeight="1">
      <c r="A58" s="27">
        <v>52</v>
      </c>
      <c r="B58" s="12">
        <v>2546</v>
      </c>
      <c r="C58" s="3" t="s">
        <v>119</v>
      </c>
      <c r="D58" s="1" t="s">
        <v>120</v>
      </c>
      <c r="E58" s="12" t="s">
        <v>4</v>
      </c>
      <c r="F58" s="26">
        <v>1</v>
      </c>
      <c r="G58" s="6">
        <v>5940</v>
      </c>
      <c r="H58" s="45">
        <f t="shared" si="1"/>
        <v>5940</v>
      </c>
      <c r="I58" s="10"/>
    </row>
    <row r="59" spans="1:9" s="89" customFormat="1" ht="24" customHeight="1">
      <c r="A59" s="80">
        <v>53</v>
      </c>
      <c r="B59" s="80">
        <v>2546</v>
      </c>
      <c r="C59" s="82" t="s">
        <v>119</v>
      </c>
      <c r="D59" s="83" t="s">
        <v>121</v>
      </c>
      <c r="E59" s="84" t="s">
        <v>4</v>
      </c>
      <c r="F59" s="85">
        <v>1</v>
      </c>
      <c r="G59" s="86">
        <v>8500</v>
      </c>
      <c r="H59" s="87">
        <f t="shared" si="1"/>
        <v>8500</v>
      </c>
      <c r="I59" s="88"/>
    </row>
    <row r="60" spans="1:9" s="89" customFormat="1" ht="24" customHeight="1">
      <c r="A60" s="95">
        <v>54</v>
      </c>
      <c r="B60" s="80">
        <v>2546</v>
      </c>
      <c r="C60" s="82" t="s">
        <v>122</v>
      </c>
      <c r="D60" s="83" t="s">
        <v>123</v>
      </c>
      <c r="E60" s="84" t="s">
        <v>4</v>
      </c>
      <c r="F60" s="85">
        <v>1</v>
      </c>
      <c r="G60" s="86">
        <v>22000</v>
      </c>
      <c r="H60" s="87">
        <f t="shared" si="1"/>
        <v>22000</v>
      </c>
      <c r="I60" s="88"/>
    </row>
    <row r="61" spans="1:9" s="89" customFormat="1" ht="24" customHeight="1">
      <c r="A61" s="80">
        <v>55</v>
      </c>
      <c r="B61" s="80">
        <v>2546</v>
      </c>
      <c r="C61" s="82" t="s">
        <v>124</v>
      </c>
      <c r="D61" s="83" t="s">
        <v>125</v>
      </c>
      <c r="E61" s="84" t="s">
        <v>4</v>
      </c>
      <c r="F61" s="85">
        <v>1</v>
      </c>
      <c r="G61" s="86">
        <v>1400</v>
      </c>
      <c r="H61" s="87">
        <f t="shared" si="1"/>
        <v>1400</v>
      </c>
      <c r="I61" s="88"/>
    </row>
    <row r="62" spans="1:9" s="70" customFormat="1" ht="24" customHeight="1">
      <c r="A62" s="71">
        <v>56</v>
      </c>
      <c r="B62" s="62">
        <v>2546</v>
      </c>
      <c r="C62" s="63" t="s">
        <v>126</v>
      </c>
      <c r="D62" s="64" t="s">
        <v>127</v>
      </c>
      <c r="E62" s="65" t="s">
        <v>4</v>
      </c>
      <c r="F62" s="66">
        <v>1</v>
      </c>
      <c r="G62" s="67">
        <v>2400</v>
      </c>
      <c r="H62" s="68">
        <f t="shared" si="1"/>
        <v>2400</v>
      </c>
      <c r="I62" s="69"/>
    </row>
    <row r="63" spans="1:9" s="70" customFormat="1" ht="24" customHeight="1">
      <c r="A63" s="62">
        <v>57</v>
      </c>
      <c r="B63" s="62">
        <v>2546</v>
      </c>
      <c r="C63" s="63" t="s">
        <v>128</v>
      </c>
      <c r="D63" s="64" t="s">
        <v>129</v>
      </c>
      <c r="E63" s="65" t="s">
        <v>4</v>
      </c>
      <c r="F63" s="66">
        <v>1</v>
      </c>
      <c r="G63" s="67">
        <v>3400</v>
      </c>
      <c r="H63" s="68">
        <f t="shared" si="1"/>
        <v>3400</v>
      </c>
      <c r="I63" s="69"/>
    </row>
    <row r="64" spans="1:9" s="89" customFormat="1" ht="24" customHeight="1">
      <c r="A64" s="95">
        <v>58</v>
      </c>
      <c r="B64" s="80">
        <v>2546</v>
      </c>
      <c r="C64" s="82" t="s">
        <v>130</v>
      </c>
      <c r="D64" s="83" t="s">
        <v>131</v>
      </c>
      <c r="E64" s="84" t="s">
        <v>4</v>
      </c>
      <c r="F64" s="85">
        <v>1</v>
      </c>
      <c r="G64" s="86">
        <v>13589</v>
      </c>
      <c r="H64" s="87">
        <f t="shared" si="1"/>
        <v>13589</v>
      </c>
      <c r="I64" s="88"/>
    </row>
    <row r="65" spans="1:9" s="89" customFormat="1" ht="24" customHeight="1">
      <c r="A65" s="80">
        <v>59</v>
      </c>
      <c r="B65" s="80">
        <v>2546</v>
      </c>
      <c r="C65" s="82" t="s">
        <v>132</v>
      </c>
      <c r="D65" s="83" t="s">
        <v>133</v>
      </c>
      <c r="E65" s="84" t="s">
        <v>3</v>
      </c>
      <c r="F65" s="85">
        <v>5</v>
      </c>
      <c r="G65" s="86">
        <v>14970</v>
      </c>
      <c r="H65" s="87">
        <f t="shared" si="1"/>
        <v>74850</v>
      </c>
      <c r="I65" s="88"/>
    </row>
    <row r="66" spans="1:9" s="89" customFormat="1" ht="24" customHeight="1">
      <c r="A66" s="95">
        <v>60</v>
      </c>
      <c r="B66" s="80">
        <v>2546</v>
      </c>
      <c r="C66" s="82" t="s">
        <v>134</v>
      </c>
      <c r="D66" s="83" t="s">
        <v>135</v>
      </c>
      <c r="E66" s="84" t="s">
        <v>3</v>
      </c>
      <c r="F66" s="85">
        <v>2</v>
      </c>
      <c r="G66" s="86">
        <v>44900</v>
      </c>
      <c r="H66" s="87">
        <f t="shared" si="1"/>
        <v>89800</v>
      </c>
      <c r="I66" s="88"/>
    </row>
    <row r="67" spans="1:9" s="89" customFormat="1" ht="24" customHeight="1">
      <c r="A67" s="80">
        <v>61</v>
      </c>
      <c r="B67" s="81" t="s">
        <v>222</v>
      </c>
      <c r="C67" s="82" t="s">
        <v>136</v>
      </c>
      <c r="D67" s="82" t="s">
        <v>137</v>
      </c>
      <c r="E67" s="84" t="s">
        <v>3</v>
      </c>
      <c r="F67" s="85">
        <v>1</v>
      </c>
      <c r="G67" s="86">
        <v>22500</v>
      </c>
      <c r="H67" s="87">
        <f t="shared" si="1"/>
        <v>22500</v>
      </c>
      <c r="I67" s="88"/>
    </row>
    <row r="68" spans="1:9" s="70" customFormat="1" ht="24" customHeight="1">
      <c r="A68" s="71">
        <v>62</v>
      </c>
      <c r="B68" s="72" t="s">
        <v>222</v>
      </c>
      <c r="C68" s="63" t="s">
        <v>138</v>
      </c>
      <c r="D68" s="63" t="s">
        <v>139</v>
      </c>
      <c r="E68" s="65" t="s">
        <v>16</v>
      </c>
      <c r="F68" s="66">
        <v>1</v>
      </c>
      <c r="G68" s="67">
        <v>3990</v>
      </c>
      <c r="H68" s="68">
        <f t="shared" si="1"/>
        <v>3990</v>
      </c>
      <c r="I68" s="69"/>
    </row>
    <row r="69" spans="1:9" ht="24" customHeight="1">
      <c r="A69" s="25">
        <v>63</v>
      </c>
      <c r="B69" s="7" t="s">
        <v>222</v>
      </c>
      <c r="C69" s="3" t="s">
        <v>140</v>
      </c>
      <c r="D69" s="1" t="s">
        <v>141</v>
      </c>
      <c r="E69" s="4" t="s">
        <v>3</v>
      </c>
      <c r="F69" s="26">
        <v>1</v>
      </c>
      <c r="G69" s="6">
        <v>149500</v>
      </c>
      <c r="H69" s="45">
        <f t="shared" si="1"/>
        <v>149500</v>
      </c>
      <c r="I69" s="10"/>
    </row>
    <row r="70" spans="1:9" s="89" customFormat="1" ht="24" customHeight="1">
      <c r="A70" s="95">
        <v>64</v>
      </c>
      <c r="B70" s="81" t="s">
        <v>222</v>
      </c>
      <c r="C70" s="82" t="s">
        <v>142</v>
      </c>
      <c r="D70" s="83" t="s">
        <v>143</v>
      </c>
      <c r="E70" s="84" t="s">
        <v>4</v>
      </c>
      <c r="F70" s="85">
        <v>1</v>
      </c>
      <c r="G70" s="86">
        <v>6990</v>
      </c>
      <c r="H70" s="87">
        <f t="shared" si="1"/>
        <v>6990</v>
      </c>
      <c r="I70" s="88"/>
    </row>
    <row r="71" spans="1:9" s="70" customFormat="1" ht="24" customHeight="1">
      <c r="A71" s="62">
        <v>65</v>
      </c>
      <c r="B71" s="73" t="s">
        <v>223</v>
      </c>
      <c r="C71" s="63" t="s">
        <v>144</v>
      </c>
      <c r="D71" s="64" t="s">
        <v>145</v>
      </c>
      <c r="E71" s="65" t="s">
        <v>16</v>
      </c>
      <c r="F71" s="66">
        <v>6</v>
      </c>
      <c r="G71" s="67">
        <v>1333.33</v>
      </c>
      <c r="H71" s="68">
        <f t="shared" si="1"/>
        <v>7999.98</v>
      </c>
      <c r="I71" s="69"/>
    </row>
    <row r="72" spans="1:9" s="70" customFormat="1" ht="24" customHeight="1">
      <c r="A72" s="71">
        <v>66</v>
      </c>
      <c r="B72" s="73" t="s">
        <v>223</v>
      </c>
      <c r="C72" s="63" t="s">
        <v>146</v>
      </c>
      <c r="D72" s="64" t="s">
        <v>147</v>
      </c>
      <c r="E72" s="65" t="s">
        <v>16</v>
      </c>
      <c r="F72" s="66">
        <v>10</v>
      </c>
      <c r="G72" s="67">
        <v>1020</v>
      </c>
      <c r="H72" s="68">
        <f t="shared" si="1"/>
        <v>10200</v>
      </c>
      <c r="I72" s="69"/>
    </row>
    <row r="73" spans="1:9" s="89" customFormat="1" ht="24" customHeight="1">
      <c r="A73" s="80">
        <v>67</v>
      </c>
      <c r="B73" s="97" t="s">
        <v>223</v>
      </c>
      <c r="C73" s="82" t="s">
        <v>148</v>
      </c>
      <c r="D73" s="83" t="s">
        <v>149</v>
      </c>
      <c r="E73" s="84" t="s">
        <v>16</v>
      </c>
      <c r="F73" s="85">
        <v>2</v>
      </c>
      <c r="G73" s="86">
        <v>10250</v>
      </c>
      <c r="H73" s="87">
        <f t="shared" si="1"/>
        <v>20500</v>
      </c>
      <c r="I73" s="88"/>
    </row>
    <row r="74" spans="1:9" s="89" customFormat="1" ht="24" customHeight="1">
      <c r="A74" s="95">
        <v>68</v>
      </c>
      <c r="B74" s="97" t="s">
        <v>223</v>
      </c>
      <c r="C74" s="82" t="s">
        <v>150</v>
      </c>
      <c r="D74" s="83" t="s">
        <v>151</v>
      </c>
      <c r="E74" s="84" t="s">
        <v>4</v>
      </c>
      <c r="F74" s="85">
        <v>1</v>
      </c>
      <c r="G74" s="86">
        <v>37000</v>
      </c>
      <c r="H74" s="87">
        <f t="shared" si="1"/>
        <v>37000</v>
      </c>
      <c r="I74" s="88"/>
    </row>
    <row r="75" spans="1:9" s="89" customFormat="1" ht="24" customHeight="1">
      <c r="A75" s="80">
        <v>69</v>
      </c>
      <c r="B75" s="98" t="s">
        <v>224</v>
      </c>
      <c r="C75" s="82" t="s">
        <v>152</v>
      </c>
      <c r="D75" s="83" t="s">
        <v>153</v>
      </c>
      <c r="E75" s="84" t="s">
        <v>4</v>
      </c>
      <c r="F75" s="85">
        <v>1</v>
      </c>
      <c r="G75" s="86">
        <v>43870</v>
      </c>
      <c r="H75" s="87">
        <f t="shared" si="1"/>
        <v>43870</v>
      </c>
      <c r="I75" s="88"/>
    </row>
    <row r="76" spans="1:9" s="89" customFormat="1" ht="24" customHeight="1">
      <c r="A76" s="95">
        <v>70</v>
      </c>
      <c r="B76" s="98" t="s">
        <v>224</v>
      </c>
      <c r="C76" s="82" t="s">
        <v>154</v>
      </c>
      <c r="D76" s="83" t="s">
        <v>155</v>
      </c>
      <c r="E76" s="84" t="s">
        <v>4</v>
      </c>
      <c r="F76" s="85">
        <v>1</v>
      </c>
      <c r="G76" s="86">
        <v>50290</v>
      </c>
      <c r="H76" s="87">
        <f t="shared" si="1"/>
        <v>50290</v>
      </c>
      <c r="I76" s="88"/>
    </row>
    <row r="77" spans="1:9" ht="24" customHeight="1">
      <c r="A77" s="25">
        <v>71</v>
      </c>
      <c r="B77" s="34" t="s">
        <v>224</v>
      </c>
      <c r="C77" s="3" t="s">
        <v>156</v>
      </c>
      <c r="D77" s="1" t="s">
        <v>157</v>
      </c>
      <c r="E77" s="4" t="s">
        <v>4</v>
      </c>
      <c r="F77" s="26">
        <v>1</v>
      </c>
      <c r="G77" s="6">
        <v>7383</v>
      </c>
      <c r="H77" s="45">
        <f t="shared" si="1"/>
        <v>7383</v>
      </c>
      <c r="I77" s="10"/>
    </row>
    <row r="78" spans="1:9" ht="24" customHeight="1">
      <c r="A78" s="27">
        <v>72</v>
      </c>
      <c r="B78" s="34" t="s">
        <v>224</v>
      </c>
      <c r="C78" s="3" t="s">
        <v>158</v>
      </c>
      <c r="D78" s="1" t="s">
        <v>159</v>
      </c>
      <c r="E78" s="12" t="s">
        <v>4</v>
      </c>
      <c r="F78" s="26">
        <v>4</v>
      </c>
      <c r="G78" s="6">
        <v>2075.8000000000002</v>
      </c>
      <c r="H78" s="45">
        <f t="shared" si="1"/>
        <v>8303.2000000000007</v>
      </c>
      <c r="I78" s="10"/>
    </row>
    <row r="79" spans="1:9" ht="24" customHeight="1">
      <c r="A79" s="25">
        <v>73</v>
      </c>
      <c r="B79" s="34" t="s">
        <v>224</v>
      </c>
      <c r="C79" s="3" t="s">
        <v>160</v>
      </c>
      <c r="D79" s="37" t="s">
        <v>161</v>
      </c>
      <c r="E79" s="12" t="s">
        <v>4</v>
      </c>
      <c r="F79" s="26">
        <v>4</v>
      </c>
      <c r="G79" s="6">
        <v>5917.1</v>
      </c>
      <c r="H79" s="45">
        <f t="shared" si="1"/>
        <v>23668.400000000001</v>
      </c>
      <c r="I79" s="10"/>
    </row>
    <row r="80" spans="1:9" ht="24" customHeight="1">
      <c r="A80" s="27">
        <v>74</v>
      </c>
      <c r="B80" s="34" t="s">
        <v>224</v>
      </c>
      <c r="C80" s="3" t="s">
        <v>162</v>
      </c>
      <c r="D80" s="37" t="s">
        <v>163</v>
      </c>
      <c r="E80" s="12" t="s">
        <v>4</v>
      </c>
      <c r="F80" s="26">
        <v>1</v>
      </c>
      <c r="G80" s="6">
        <v>16050</v>
      </c>
      <c r="H80" s="45">
        <f t="shared" si="1"/>
        <v>16050</v>
      </c>
      <c r="I80" s="10"/>
    </row>
    <row r="81" spans="1:11" s="70" customFormat="1" ht="24" customHeight="1">
      <c r="A81" s="62">
        <v>75</v>
      </c>
      <c r="B81" s="74" t="s">
        <v>224</v>
      </c>
      <c r="C81" s="63" t="s">
        <v>164</v>
      </c>
      <c r="D81" s="64" t="s">
        <v>165</v>
      </c>
      <c r="E81" s="62" t="s">
        <v>4</v>
      </c>
      <c r="F81" s="66">
        <v>5</v>
      </c>
      <c r="G81" s="67">
        <v>1284</v>
      </c>
      <c r="H81" s="68">
        <f t="shared" si="1"/>
        <v>6420</v>
      </c>
      <c r="I81" s="69"/>
    </row>
    <row r="82" spans="1:11" s="70" customFormat="1" ht="24" customHeight="1">
      <c r="A82" s="71">
        <v>76</v>
      </c>
      <c r="B82" s="74" t="s">
        <v>224</v>
      </c>
      <c r="C82" s="63" t="s">
        <v>164</v>
      </c>
      <c r="D82" s="64" t="s">
        <v>166</v>
      </c>
      <c r="E82" s="62" t="s">
        <v>4</v>
      </c>
      <c r="F82" s="66">
        <v>5</v>
      </c>
      <c r="G82" s="67">
        <v>841.5</v>
      </c>
      <c r="H82" s="68">
        <f t="shared" si="1"/>
        <v>4207.5</v>
      </c>
      <c r="I82" s="69"/>
    </row>
    <row r="83" spans="1:11" s="89" customFormat="1" ht="24" customHeight="1">
      <c r="A83" s="80">
        <v>77</v>
      </c>
      <c r="B83" s="98" t="s">
        <v>224</v>
      </c>
      <c r="C83" s="82" t="s">
        <v>167</v>
      </c>
      <c r="D83" s="83" t="s">
        <v>168</v>
      </c>
      <c r="E83" s="80" t="s">
        <v>4</v>
      </c>
      <c r="F83" s="85">
        <v>10</v>
      </c>
      <c r="G83" s="86">
        <v>8185.5</v>
      </c>
      <c r="H83" s="87">
        <f t="shared" si="1"/>
        <v>81855</v>
      </c>
      <c r="I83" s="88"/>
    </row>
    <row r="84" spans="1:11" s="89" customFormat="1" ht="24" customHeight="1">
      <c r="A84" s="95">
        <v>78</v>
      </c>
      <c r="B84" s="98" t="s">
        <v>224</v>
      </c>
      <c r="C84" s="82" t="s">
        <v>169</v>
      </c>
      <c r="D84" s="83" t="s">
        <v>170</v>
      </c>
      <c r="E84" s="80" t="s">
        <v>4</v>
      </c>
      <c r="F84" s="85">
        <v>1</v>
      </c>
      <c r="G84" s="86">
        <v>29000</v>
      </c>
      <c r="H84" s="87">
        <f t="shared" si="1"/>
        <v>29000</v>
      </c>
      <c r="I84" s="88"/>
    </row>
    <row r="85" spans="1:11" s="70" customFormat="1" ht="24" customHeight="1">
      <c r="A85" s="62">
        <v>79</v>
      </c>
      <c r="B85" s="62">
        <v>2550</v>
      </c>
      <c r="C85" s="63" t="s">
        <v>171</v>
      </c>
      <c r="D85" s="64" t="s">
        <v>127</v>
      </c>
      <c r="E85" s="62" t="s">
        <v>4</v>
      </c>
      <c r="F85" s="66">
        <v>1</v>
      </c>
      <c r="G85" s="67">
        <v>1450</v>
      </c>
      <c r="H85" s="68">
        <f t="shared" si="1"/>
        <v>1450</v>
      </c>
      <c r="I85" s="77"/>
      <c r="J85" s="78"/>
    </row>
    <row r="86" spans="1:11" ht="24" customHeight="1">
      <c r="A86" s="27">
        <v>80</v>
      </c>
      <c r="B86" s="12">
        <v>2550</v>
      </c>
      <c r="C86" s="3" t="s">
        <v>172</v>
      </c>
      <c r="D86" s="1" t="s">
        <v>173</v>
      </c>
      <c r="E86" s="12" t="s">
        <v>174</v>
      </c>
      <c r="F86" s="26">
        <v>4</v>
      </c>
      <c r="G86" s="6">
        <v>3400</v>
      </c>
      <c r="H86" s="45">
        <f t="shared" si="1"/>
        <v>13600</v>
      </c>
      <c r="I86" s="9"/>
      <c r="J86" s="14"/>
    </row>
    <row r="87" spans="1:11" ht="24" customHeight="1">
      <c r="A87" s="25">
        <v>81</v>
      </c>
      <c r="B87" s="12">
        <v>2550</v>
      </c>
      <c r="C87" s="3" t="s">
        <v>175</v>
      </c>
      <c r="D87" s="1" t="s">
        <v>176</v>
      </c>
      <c r="E87" s="12" t="s">
        <v>4</v>
      </c>
      <c r="F87" s="26">
        <v>1</v>
      </c>
      <c r="G87" s="44">
        <v>21000</v>
      </c>
      <c r="H87" s="55">
        <f t="shared" si="1"/>
        <v>21000</v>
      </c>
      <c r="I87" s="9"/>
      <c r="J87" s="14"/>
    </row>
    <row r="88" spans="1:11" s="70" customFormat="1" ht="24" customHeight="1">
      <c r="A88" s="75">
        <v>82</v>
      </c>
      <c r="B88" s="62">
        <v>2550</v>
      </c>
      <c r="C88" s="63" t="s">
        <v>177</v>
      </c>
      <c r="D88" s="64" t="s">
        <v>178</v>
      </c>
      <c r="E88" s="62" t="s">
        <v>4</v>
      </c>
      <c r="F88" s="66">
        <v>1</v>
      </c>
      <c r="G88" s="67">
        <v>2990</v>
      </c>
      <c r="H88" s="76">
        <f t="shared" si="1"/>
        <v>2990</v>
      </c>
      <c r="I88" s="77"/>
      <c r="J88" s="78"/>
    </row>
    <row r="89" spans="1:11" ht="24" customHeight="1">
      <c r="A89" s="54"/>
      <c r="B89" s="36"/>
      <c r="C89" s="26" t="s">
        <v>100</v>
      </c>
      <c r="D89" s="1"/>
      <c r="E89" s="12"/>
      <c r="F89" s="26"/>
      <c r="G89" s="6"/>
      <c r="H89" s="55">
        <f>SUM(H47:H88)</f>
        <v>9596097.0800000001</v>
      </c>
      <c r="I89" s="9"/>
      <c r="J89" s="14"/>
    </row>
    <row r="90" spans="1:11" ht="24" customHeight="1">
      <c r="A90" s="54"/>
      <c r="B90" s="36"/>
      <c r="C90" s="26" t="s">
        <v>101</v>
      </c>
      <c r="D90" s="1"/>
      <c r="E90" s="12"/>
      <c r="F90" s="26"/>
      <c r="G90" s="6"/>
      <c r="H90" s="55">
        <f>SUM(H89)</f>
        <v>9596097.0800000001</v>
      </c>
      <c r="I90" s="9"/>
      <c r="J90" s="14"/>
    </row>
    <row r="91" spans="1:11" s="70" customFormat="1" ht="24" customHeight="1">
      <c r="A91" s="62">
        <v>83</v>
      </c>
      <c r="B91" s="62">
        <v>2550</v>
      </c>
      <c r="C91" s="63" t="s">
        <v>179</v>
      </c>
      <c r="D91" s="64" t="s">
        <v>180</v>
      </c>
      <c r="E91" s="65" t="s">
        <v>4</v>
      </c>
      <c r="F91" s="66">
        <v>1</v>
      </c>
      <c r="G91" s="67">
        <v>1990</v>
      </c>
      <c r="H91" s="76">
        <f t="shared" si="1"/>
        <v>1990</v>
      </c>
      <c r="I91" s="77"/>
      <c r="J91" s="78"/>
    </row>
    <row r="92" spans="1:11" ht="24" customHeight="1">
      <c r="A92" s="27">
        <v>84</v>
      </c>
      <c r="B92" s="12">
        <v>2550</v>
      </c>
      <c r="C92" s="3" t="s">
        <v>181</v>
      </c>
      <c r="D92" s="1" t="s">
        <v>182</v>
      </c>
      <c r="E92" s="4" t="s">
        <v>4</v>
      </c>
      <c r="F92" s="26">
        <v>6</v>
      </c>
      <c r="G92" s="6">
        <v>2354</v>
      </c>
      <c r="H92" s="45">
        <f t="shared" ref="H92:H107" si="2">SUM(F92*G92)</f>
        <v>14124</v>
      </c>
      <c r="I92" s="9"/>
    </row>
    <row r="93" spans="1:11" s="89" customFormat="1" ht="24" customHeight="1">
      <c r="A93" s="80">
        <v>85</v>
      </c>
      <c r="B93" s="80">
        <v>2550</v>
      </c>
      <c r="C93" s="82" t="s">
        <v>183</v>
      </c>
      <c r="D93" s="83" t="s">
        <v>184</v>
      </c>
      <c r="E93" s="84" t="s">
        <v>4</v>
      </c>
      <c r="F93" s="85">
        <v>1</v>
      </c>
      <c r="G93" s="86">
        <v>7383</v>
      </c>
      <c r="H93" s="87">
        <f t="shared" si="2"/>
        <v>7383</v>
      </c>
      <c r="I93" s="99"/>
    </row>
    <row r="94" spans="1:11" s="89" customFormat="1" ht="24" customHeight="1">
      <c r="A94" s="95">
        <v>86</v>
      </c>
      <c r="B94" s="80">
        <v>2550</v>
      </c>
      <c r="C94" s="82" t="s">
        <v>185</v>
      </c>
      <c r="D94" s="83" t="s">
        <v>186</v>
      </c>
      <c r="E94" s="84" t="s">
        <v>3</v>
      </c>
      <c r="F94" s="85">
        <v>1</v>
      </c>
      <c r="G94" s="86">
        <v>44960</v>
      </c>
      <c r="H94" s="87">
        <f t="shared" si="2"/>
        <v>44960</v>
      </c>
      <c r="I94" s="99"/>
    </row>
    <row r="95" spans="1:11" s="89" customFormat="1" ht="24" customHeight="1">
      <c r="A95" s="80">
        <v>87</v>
      </c>
      <c r="B95" s="81" t="s">
        <v>225</v>
      </c>
      <c r="C95" s="82" t="s">
        <v>187</v>
      </c>
      <c r="D95" s="83" t="s">
        <v>188</v>
      </c>
      <c r="E95" s="84" t="s">
        <v>4</v>
      </c>
      <c r="F95" s="85">
        <v>1</v>
      </c>
      <c r="G95" s="86">
        <v>44800</v>
      </c>
      <c r="H95" s="87">
        <f t="shared" si="2"/>
        <v>44800</v>
      </c>
      <c r="I95" s="99"/>
      <c r="J95" s="100"/>
      <c r="K95" s="101"/>
    </row>
    <row r="96" spans="1:11" s="89" customFormat="1" ht="24" customHeight="1">
      <c r="A96" s="95">
        <v>88</v>
      </c>
      <c r="B96" s="81" t="s">
        <v>226</v>
      </c>
      <c r="C96" s="82" t="s">
        <v>189</v>
      </c>
      <c r="D96" s="83" t="s">
        <v>190</v>
      </c>
      <c r="E96" s="84" t="s">
        <v>3</v>
      </c>
      <c r="F96" s="85">
        <v>1</v>
      </c>
      <c r="G96" s="86">
        <v>25000</v>
      </c>
      <c r="H96" s="87">
        <f t="shared" si="2"/>
        <v>25000</v>
      </c>
      <c r="I96" s="99"/>
      <c r="J96" s="100"/>
      <c r="K96" s="101"/>
    </row>
    <row r="97" spans="1:11" s="89" customFormat="1" ht="24" customHeight="1">
      <c r="A97" s="80">
        <v>89</v>
      </c>
      <c r="B97" s="81" t="s">
        <v>226</v>
      </c>
      <c r="C97" s="82" t="s">
        <v>191</v>
      </c>
      <c r="D97" s="83" t="s">
        <v>192</v>
      </c>
      <c r="E97" s="84" t="s">
        <v>3</v>
      </c>
      <c r="F97" s="85">
        <v>1</v>
      </c>
      <c r="G97" s="86">
        <v>14990</v>
      </c>
      <c r="H97" s="87">
        <f t="shared" si="2"/>
        <v>14990</v>
      </c>
      <c r="I97" s="99"/>
      <c r="K97" s="101"/>
    </row>
    <row r="98" spans="1:11" ht="24" customHeight="1">
      <c r="A98" s="27">
        <v>90</v>
      </c>
      <c r="B98" s="7" t="s">
        <v>226</v>
      </c>
      <c r="C98" s="3" t="s">
        <v>193</v>
      </c>
      <c r="D98" s="1" t="s">
        <v>194</v>
      </c>
      <c r="E98" s="4" t="s">
        <v>3</v>
      </c>
      <c r="F98" s="26">
        <v>1</v>
      </c>
      <c r="G98" s="6">
        <v>29900</v>
      </c>
      <c r="H98" s="45">
        <f t="shared" si="2"/>
        <v>29900</v>
      </c>
      <c r="I98" s="9"/>
      <c r="K98" s="5"/>
    </row>
    <row r="99" spans="1:11" ht="24" customHeight="1">
      <c r="A99" s="25">
        <v>91</v>
      </c>
      <c r="B99" s="7" t="s">
        <v>226</v>
      </c>
      <c r="C99" s="3" t="s">
        <v>195</v>
      </c>
      <c r="D99" s="1" t="s">
        <v>196</v>
      </c>
      <c r="E99" s="4" t="s">
        <v>3</v>
      </c>
      <c r="F99" s="26">
        <v>2</v>
      </c>
      <c r="G99" s="6">
        <v>16900</v>
      </c>
      <c r="H99" s="45">
        <f t="shared" si="2"/>
        <v>33800</v>
      </c>
      <c r="I99" s="9"/>
      <c r="K99" s="5"/>
    </row>
    <row r="100" spans="1:11" ht="24" customHeight="1">
      <c r="A100" s="27">
        <v>92</v>
      </c>
      <c r="B100" s="7" t="s">
        <v>227</v>
      </c>
      <c r="C100" s="3" t="s">
        <v>197</v>
      </c>
      <c r="D100" s="1" t="s">
        <v>198</v>
      </c>
      <c r="E100" s="4" t="s">
        <v>3</v>
      </c>
      <c r="F100" s="26">
        <v>10</v>
      </c>
      <c r="G100" s="6">
        <v>34775</v>
      </c>
      <c r="H100" s="45">
        <f t="shared" si="2"/>
        <v>347750</v>
      </c>
      <c r="I100" s="12"/>
      <c r="K100" s="5"/>
    </row>
    <row r="101" spans="1:11" ht="24" customHeight="1">
      <c r="A101" s="25">
        <v>93</v>
      </c>
      <c r="B101" s="7" t="s">
        <v>227</v>
      </c>
      <c r="C101" s="3" t="s">
        <v>199</v>
      </c>
      <c r="D101" s="1" t="s">
        <v>200</v>
      </c>
      <c r="E101" s="4" t="s">
        <v>3</v>
      </c>
      <c r="F101" s="26">
        <v>1</v>
      </c>
      <c r="G101" s="6">
        <v>25000</v>
      </c>
      <c r="H101" s="45">
        <f t="shared" si="2"/>
        <v>25000</v>
      </c>
      <c r="I101" s="12"/>
      <c r="K101" s="5"/>
    </row>
    <row r="102" spans="1:11" s="70" customFormat="1" ht="24" customHeight="1">
      <c r="A102" s="71">
        <v>94</v>
      </c>
      <c r="B102" s="72" t="s">
        <v>227</v>
      </c>
      <c r="C102" s="63" t="s">
        <v>201</v>
      </c>
      <c r="D102" s="64" t="s">
        <v>202</v>
      </c>
      <c r="E102" s="65" t="s">
        <v>3</v>
      </c>
      <c r="F102" s="66">
        <v>17</v>
      </c>
      <c r="G102" s="67">
        <v>1350</v>
      </c>
      <c r="H102" s="68">
        <f t="shared" si="2"/>
        <v>22950</v>
      </c>
      <c r="I102" s="62"/>
      <c r="K102" s="79"/>
    </row>
    <row r="103" spans="1:11" s="70" customFormat="1" ht="24" customHeight="1">
      <c r="A103" s="62">
        <v>95</v>
      </c>
      <c r="B103" s="72" t="s">
        <v>227</v>
      </c>
      <c r="C103" s="63" t="s">
        <v>203</v>
      </c>
      <c r="D103" s="64" t="s">
        <v>204</v>
      </c>
      <c r="E103" s="65" t="s">
        <v>3</v>
      </c>
      <c r="F103" s="66">
        <v>50</v>
      </c>
      <c r="G103" s="67">
        <v>230</v>
      </c>
      <c r="H103" s="68">
        <f t="shared" si="2"/>
        <v>11500</v>
      </c>
      <c r="I103" s="62"/>
      <c r="K103" s="79"/>
    </row>
    <row r="104" spans="1:11" s="70" customFormat="1" ht="24" customHeight="1">
      <c r="A104" s="71">
        <v>96</v>
      </c>
      <c r="B104" s="72" t="s">
        <v>227</v>
      </c>
      <c r="C104" s="63" t="s">
        <v>205</v>
      </c>
      <c r="D104" s="64" t="s">
        <v>206</v>
      </c>
      <c r="E104" s="65" t="s">
        <v>3</v>
      </c>
      <c r="F104" s="66">
        <v>20</v>
      </c>
      <c r="G104" s="67">
        <v>760</v>
      </c>
      <c r="H104" s="68">
        <f t="shared" si="2"/>
        <v>15200</v>
      </c>
      <c r="I104" s="62"/>
      <c r="K104" s="79"/>
    </row>
    <row r="105" spans="1:11" ht="24" customHeight="1">
      <c r="A105" s="25">
        <v>97</v>
      </c>
      <c r="B105" s="7" t="s">
        <v>227</v>
      </c>
      <c r="C105" s="3" t="s">
        <v>207</v>
      </c>
      <c r="D105" s="1" t="s">
        <v>208</v>
      </c>
      <c r="E105" s="4" t="s">
        <v>3</v>
      </c>
      <c r="F105" s="26">
        <v>1</v>
      </c>
      <c r="G105" s="6">
        <v>300000</v>
      </c>
      <c r="H105" s="45">
        <f t="shared" si="2"/>
        <v>300000</v>
      </c>
      <c r="I105" s="12"/>
      <c r="K105" s="5"/>
    </row>
    <row r="106" spans="1:11" ht="24" customHeight="1">
      <c r="A106" s="27">
        <v>98</v>
      </c>
      <c r="B106" s="7" t="s">
        <v>227</v>
      </c>
      <c r="C106" s="3" t="s">
        <v>209</v>
      </c>
      <c r="D106" s="1" t="s">
        <v>210</v>
      </c>
      <c r="E106" s="4" t="s">
        <v>3</v>
      </c>
      <c r="F106" s="26">
        <v>1</v>
      </c>
      <c r="G106" s="6">
        <v>64000</v>
      </c>
      <c r="H106" s="45">
        <f t="shared" si="2"/>
        <v>64000</v>
      </c>
      <c r="I106" s="12"/>
    </row>
    <row r="107" spans="1:11" ht="24" customHeight="1">
      <c r="A107" s="25">
        <v>99</v>
      </c>
      <c r="B107" s="7" t="s">
        <v>227</v>
      </c>
      <c r="C107" s="3" t="s">
        <v>211</v>
      </c>
      <c r="D107" s="1" t="s">
        <v>212</v>
      </c>
      <c r="E107" s="4" t="s">
        <v>3</v>
      </c>
      <c r="F107" s="26">
        <v>1</v>
      </c>
      <c r="G107" s="6">
        <v>300000</v>
      </c>
      <c r="H107" s="45">
        <f t="shared" si="2"/>
        <v>300000</v>
      </c>
      <c r="I107" s="12"/>
    </row>
    <row r="108" spans="1:11" ht="24" customHeight="1">
      <c r="A108" s="27">
        <v>100</v>
      </c>
      <c r="B108" s="34" t="s">
        <v>213</v>
      </c>
      <c r="C108" s="3" t="s">
        <v>214</v>
      </c>
      <c r="D108" s="1" t="s">
        <v>215</v>
      </c>
      <c r="E108" s="4" t="s">
        <v>3</v>
      </c>
      <c r="F108" s="26">
        <v>1</v>
      </c>
      <c r="G108" s="44">
        <v>1494500</v>
      </c>
      <c r="H108" s="45">
        <f t="shared" ref="H108:H111" si="3">SUM(F108*G108)</f>
        <v>1494500</v>
      </c>
      <c r="I108" s="12"/>
    </row>
    <row r="109" spans="1:11" ht="24" customHeight="1">
      <c r="A109" s="25">
        <v>101</v>
      </c>
      <c r="B109" s="34" t="s">
        <v>217</v>
      </c>
      <c r="C109" s="3" t="s">
        <v>232</v>
      </c>
      <c r="D109" s="1" t="s">
        <v>218</v>
      </c>
      <c r="E109" s="4" t="s">
        <v>4</v>
      </c>
      <c r="F109" s="26">
        <v>1</v>
      </c>
      <c r="G109" s="44">
        <v>2690</v>
      </c>
      <c r="H109" s="45">
        <f t="shared" si="3"/>
        <v>2690</v>
      </c>
      <c r="I109" s="12"/>
    </row>
    <row r="110" spans="1:11" ht="24" customHeight="1">
      <c r="A110" s="25">
        <v>103</v>
      </c>
      <c r="B110" s="56">
        <v>23941</v>
      </c>
      <c r="C110" s="57" t="s">
        <v>234</v>
      </c>
      <c r="D110" s="58" t="s">
        <v>233</v>
      </c>
      <c r="E110" s="59" t="s">
        <v>4</v>
      </c>
      <c r="F110" s="60">
        <v>2</v>
      </c>
      <c r="G110" s="61">
        <v>29500</v>
      </c>
      <c r="H110" s="55">
        <f>SUM(F110*G110)</f>
        <v>59000</v>
      </c>
      <c r="I110" s="12"/>
    </row>
    <row r="111" spans="1:11" ht="24" customHeight="1">
      <c r="A111" s="27">
        <v>102</v>
      </c>
      <c r="B111" s="56">
        <v>23983</v>
      </c>
      <c r="C111" s="57" t="s">
        <v>231</v>
      </c>
      <c r="D111" s="58" t="s">
        <v>230</v>
      </c>
      <c r="E111" s="59" t="s">
        <v>4</v>
      </c>
      <c r="F111" s="60">
        <v>10</v>
      </c>
      <c r="G111" s="61">
        <v>550</v>
      </c>
      <c r="H111" s="55">
        <f t="shared" si="3"/>
        <v>5500</v>
      </c>
      <c r="I111" s="12"/>
    </row>
    <row r="112" spans="1:11">
      <c r="A112" s="106" t="s">
        <v>7</v>
      </c>
      <c r="B112" s="107"/>
      <c r="C112" s="107"/>
      <c r="D112" s="107"/>
      <c r="E112" s="108"/>
      <c r="F112" s="4"/>
      <c r="G112" s="15" t="s">
        <v>9</v>
      </c>
      <c r="H112" s="16">
        <f>SUM(H90:H111)</f>
        <v>12461134.08</v>
      </c>
      <c r="I112" s="19"/>
    </row>
    <row r="113" spans="1:10">
      <c r="A113" s="20"/>
      <c r="B113" s="20"/>
      <c r="C113" s="20"/>
      <c r="D113" s="20"/>
      <c r="E113" s="20"/>
      <c r="F113" s="22"/>
      <c r="G113" s="17"/>
      <c r="H113" s="17"/>
    </row>
    <row r="114" spans="1:10">
      <c r="F114" s="22"/>
    </row>
    <row r="115" spans="1:10">
      <c r="F115" s="102" t="s">
        <v>5</v>
      </c>
      <c r="G115" s="102"/>
      <c r="H115" s="102"/>
      <c r="I115" s="102"/>
      <c r="J115" s="18"/>
    </row>
    <row r="116" spans="1:10">
      <c r="F116" s="102" t="s">
        <v>216</v>
      </c>
      <c r="G116" s="102"/>
      <c r="H116" s="102"/>
      <c r="I116" s="102"/>
      <c r="J116" s="18"/>
    </row>
    <row r="117" spans="1:10">
      <c r="F117" s="102" t="s">
        <v>6</v>
      </c>
      <c r="G117" s="102"/>
      <c r="H117" s="102"/>
      <c r="I117" s="102"/>
      <c r="J117" s="18"/>
    </row>
    <row r="118" spans="1:10">
      <c r="F118" s="18"/>
      <c r="G118" s="18"/>
      <c r="H118" s="18"/>
      <c r="J118" s="18"/>
    </row>
  </sheetData>
  <mergeCells count="7">
    <mergeCell ref="F117:I117"/>
    <mergeCell ref="A1:I1"/>
    <mergeCell ref="A2:I2"/>
    <mergeCell ref="A3:I3"/>
    <mergeCell ref="A112:E112"/>
    <mergeCell ref="F115:I115"/>
    <mergeCell ref="F116:I116"/>
  </mergeCells>
  <phoneticPr fontId="9" type="noConversion"/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แผนกช่างอิเล็กทรอนิกส์</vt:lpstr>
      <vt:lpstr>แผนกช่างอิเล็กทรอนิกส์!Print_Titles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2022-10-10T04:02:01Z</cp:lastPrinted>
  <dcterms:created xsi:type="dcterms:W3CDTF">2017-11-14T01:32:33Z</dcterms:created>
  <dcterms:modified xsi:type="dcterms:W3CDTF">2023-02-01T06:12:21Z</dcterms:modified>
</cp:coreProperties>
</file>