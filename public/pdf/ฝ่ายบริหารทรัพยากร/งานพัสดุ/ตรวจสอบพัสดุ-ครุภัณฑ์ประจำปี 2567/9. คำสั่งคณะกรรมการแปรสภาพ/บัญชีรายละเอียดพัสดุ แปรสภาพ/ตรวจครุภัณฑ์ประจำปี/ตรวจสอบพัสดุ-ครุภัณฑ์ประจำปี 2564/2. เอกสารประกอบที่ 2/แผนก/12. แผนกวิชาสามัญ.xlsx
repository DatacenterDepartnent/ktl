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9B90C09E-45BC-4DCA-8065-32575435554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สามัญสัมพันธ์" sheetId="31" r:id="rId1"/>
  </sheets>
  <definedNames>
    <definedName name="_xlnm.Print_Titles" localSheetId="0">แผนกสามัญสัมพันธ์!$1:$4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31" l="1"/>
  <c r="H7" i="31"/>
  <c r="H8" i="31"/>
  <c r="H9" i="31"/>
  <c r="H10" i="31"/>
  <c r="H11" i="31"/>
  <c r="H12" i="31"/>
  <c r="H14" i="31"/>
  <c r="H15" i="31"/>
  <c r="H16" i="31"/>
  <c r="H17" i="31"/>
  <c r="H13" i="31"/>
  <c r="H18" i="31"/>
  <c r="H19" i="31"/>
  <c r="H20" i="31"/>
  <c r="H21" i="31"/>
  <c r="H22" i="31"/>
  <c r="H5" i="31"/>
  <c r="H40" i="31" l="1"/>
</calcChain>
</file>

<file path=xl/sharedStrings.xml><?xml version="1.0" encoding="utf-8"?>
<sst xmlns="http://schemas.openxmlformats.org/spreadsheetml/2006/main" count="92" uniqueCount="73">
  <si>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</si>
  <si>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</si>
  <si>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</si>
  <si>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</si>
  <si>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</si>
  <si>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</si>
  <si>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</si>
  <si>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</si>
  <si>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</si>
  <si>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</si>
  <si>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</si>
  <si>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</si>
  <si>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</si>
  <si>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</si>
  <si>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</si>
  <si>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</si>
  <si>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ประจำปี 2564  ณ วันที่ 30 กันยายน 2564</t>
  </si>
  <si>
    <t>บัญชีรายการ แผนกวิชาสามัญสัมพันธ์ คงเหลือ</t>
  </si>
  <si>
    <t>7440-001-0001/462-006</t>
  </si>
  <si>
    <t>ชุดคอมพิวเตอร์</t>
  </si>
  <si>
    <t>7810-012-0001/463-001-463-005</t>
  </si>
  <si>
    <t>โต๊ะปิงปอง</t>
  </si>
  <si>
    <t>บริจาค</t>
  </si>
  <si>
    <t>7810-002-0001/481-001</t>
  </si>
  <si>
    <t>แป้นบาสพลาสติกทึบพร้อมห่วงตาข่าย</t>
  </si>
  <si>
    <t>7110-002-0007/482-003</t>
  </si>
  <si>
    <t>ตู้บานเลื่อนทึบ 4 ฟุต</t>
  </si>
  <si>
    <t>4140-001-0001/482-001</t>
  </si>
  <si>
    <t>พัดลมเพดาน 48 นิ้ว</t>
  </si>
  <si>
    <t>7110-002-0006/482-065-482-066</t>
  </si>
  <si>
    <t>ตู้บานเลื่อนกระจก  4 ฟุต</t>
  </si>
  <si>
    <t>7110-002-0006/501-015-016</t>
  </si>
  <si>
    <t>7730-006-0003/501-001</t>
  </si>
  <si>
    <t xml:space="preserve">เครื่องเล่นเทป VCD </t>
  </si>
  <si>
    <t>7110-002-0006/531-031-033</t>
  </si>
  <si>
    <t>ตู้เหล็ก  2 บานเลื่อน  กระจก</t>
  </si>
  <si>
    <t>6730-001-0003/531-014-015</t>
  </si>
  <si>
    <t>เครื่องโปรเจคเตอร์พร้อมจอรับภาพ</t>
  </si>
  <si>
    <t>7440-001-0001/531-154-155</t>
  </si>
  <si>
    <t>เครื่องคอมพิวเตอร์พร้อมโต๊ะเก้าอี้</t>
  </si>
  <si>
    <t>7730-001-0001/531-001-002</t>
  </si>
  <si>
    <t>เครื่องเล่น  DVD</t>
  </si>
  <si>
    <t>7730-003-0002/501-025-026</t>
  </si>
  <si>
    <t>TV29W  LG</t>
  </si>
  <si>
    <t>6730-001-0003/531-019</t>
  </si>
  <si>
    <t>เครื่องฉายโปรเจกเตอร์  Acer</t>
  </si>
  <si>
    <t>7440-001-0001/531-156</t>
  </si>
  <si>
    <t>7125-002-0002/531-002-007</t>
  </si>
  <si>
    <t>ตู้บานเลื่อนกระจกสูง</t>
  </si>
  <si>
    <t>7110-002-0006/531-031</t>
  </si>
  <si>
    <t>ตู้บานเลื่อนกระจก 4 ฟุต</t>
  </si>
  <si>
    <t>8350-001-0001/531-022-028</t>
  </si>
  <si>
    <t>ผ้าม่านพร้อมอุปกรณ์และติดตั้ง</t>
  </si>
  <si>
    <t>7440-010-0001/581-001</t>
  </si>
  <si>
    <t>ครุภัณฑ์ห้องปฏิบัติการทางภาษา ประกอบด้วย</t>
  </si>
  <si>
    <t>1.ระบบควบคุมการปฏิบัติการสำหรับผู้สอน</t>
  </si>
  <si>
    <t>2.โปรแกรมชุดปฏิบัติการสำหรับผู้เขียน</t>
  </si>
  <si>
    <t>3.โปรแกรมสื่อการเรียนภาษาอังกฤษ</t>
  </si>
  <si>
    <t>4.เครื่องคอมพิวเตอร์สำหรับแม่ข่าย</t>
  </si>
  <si>
    <t>5.เครื่องคอมพิวเตอร์สำหรับผู้สอนและผู้เรียน</t>
  </si>
  <si>
    <t>6.อุปกรณ์กระจายสัญญาณ</t>
  </si>
  <si>
    <t>7.เครื่องมัลติมิเดียโปรเจ็คเตอร์</t>
  </si>
  <si>
    <t>8.โต๊ะสำหรับผู้สอนพร้อมเก้าอี้</t>
  </si>
  <si>
    <t>9.โต๊ะสำหรับผู้เรียนพร้อมเก้าอี้</t>
  </si>
  <si>
    <t>10.เครื่องขยายสัญญาณเสียง</t>
  </si>
  <si>
    <t>11.ลำโพงประจำห้อง</t>
  </si>
  <si>
    <t>12.ชุดไมโครโฟนมือถือแบบมีสายพร้อมขาตั้งแบบตั้งโต๊ะ</t>
  </si>
  <si>
    <t>13.ตู้เก็บอุปกรณ์กระจ่ายสัญญาณ</t>
  </si>
  <si>
    <t>14.พจนานุกรมอัจฉริยะภาพ</t>
  </si>
  <si>
    <t>15.โต๊ะสำหรับวางเครื่องคอมพิวเตอร์แม่ข่าย พร้อมเก้าอี้</t>
  </si>
  <si>
    <t>16.ระบบติดตั้ง</t>
  </si>
  <si>
    <t>2550</t>
  </si>
  <si>
    <t>(นางวีนัส  สุวรรณ)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</si>
</sst>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theme="1"/>
      <name val="Calibri"/>
      <family val="2"/>
      <charset val="222"/>
      <scheme val="minor"/>
    </font>
    <font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5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0" xfId="6" applyFont="1"/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43" fontId="3" fillId="0" borderId="1" xfId="12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3" fontId="3" fillId="0" borderId="5" xfId="1" applyFont="1" applyBorder="1"/>
    <xf numFmtId="0" fontId="4" fillId="0" borderId="1" xfId="0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43" fontId="3" fillId="0" borderId="0" xfId="12" applyNumberFormat="1" applyFont="1" applyBorder="1" applyAlignment="1"/>
    <xf numFmtId="43" fontId="4" fillId="0" borderId="1" xfId="0" applyNumberFormat="1" applyFont="1" applyBorder="1" applyAlignment="1"/>
    <xf numFmtId="43" fontId="4" fillId="0" borderId="4" xfId="0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 applyAlignment="1"/>
    <xf numFmtId="43" fontId="3" fillId="0" borderId="0" xfId="12" applyFont="1" applyBorder="1"/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2" applyFont="1" applyBorder="1" applyAlignment="1">
      <alignment horizontal="center"/>
    </xf>
    <xf numFmtId="43" fontId="3" fillId="0" borderId="6" xfId="1" applyFont="1" applyBorder="1"/>
    <xf numFmtId="0" fontId="3" fillId="0" borderId="6" xfId="6" applyFont="1" applyBorder="1" applyAlignment="1">
      <alignment horizontal="left" vertical="center"/>
    </xf>
    <xf numFmtId="0" fontId="3" fillId="0" borderId="7" xfId="6" applyFont="1" applyBorder="1" applyAlignment="1">
      <alignment horizontal="left" vertical="center"/>
    </xf>
    <xf numFmtId="43" fontId="3" fillId="0" borderId="1" xfId="1" applyFont="1" applyBorder="1" applyAlignment="1">
      <alignment horizontal="center"/>
    </xf>
    <xf numFmtId="0" fontId="3" fillId="0" borderId="5" xfId="6" applyFont="1" applyBorder="1"/>
    <xf numFmtId="0" fontId="3" fillId="0" borderId="1" xfId="8" applyFont="1" applyBorder="1" applyAlignment="1">
      <alignment horizontal="left"/>
    </xf>
    <xf numFmtId="0" fontId="3" fillId="0" borderId="1" xfId="8" applyFont="1" applyBorder="1"/>
    <xf numFmtId="0" fontId="3" fillId="0" borderId="5" xfId="8" applyFont="1" applyBorder="1" applyAlignment="1">
      <alignment horizontal="left"/>
    </xf>
    <xf numFmtId="0" fontId="3" fillId="0" borderId="5" xfId="8" applyFont="1" applyBorder="1"/>
    <xf numFmtId="15" fontId="3" fillId="2" borderId="1" xfId="0" applyNumberFormat="1" applyFont="1" applyFill="1" applyBorder="1" applyAlignment="1">
      <alignment horizontal="center"/>
    </xf>
    <xf numFmtId="0" fontId="3" fillId="2" borderId="1" xfId="6" applyFont="1" applyFill="1" applyBorder="1" applyAlignment="1">
      <alignment horizontal="left"/>
    </xf>
    <xf numFmtId="0" fontId="3" fillId="2" borderId="1" xfId="6" applyFont="1" applyFill="1" applyBorder="1"/>
    <xf numFmtId="0" fontId="3" fillId="2" borderId="2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3" fillId="2" borderId="1" xfId="6" applyFont="1" applyFill="1" applyBorder="1" applyAlignment="1">
      <alignment horizontal="left" indent="1"/>
    </xf>
    <xf numFmtId="0" fontId="3" fillId="2" borderId="1" xfId="5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indent="1"/>
    </xf>
    <xf numFmtId="0" fontId="3" fillId="2" borderId="5" xfId="6" applyFont="1" applyFill="1" applyBorder="1" applyAlignment="1">
      <alignment horizontal="left" indent="1"/>
    </xf>
    <xf numFmtId="0" fontId="9" fillId="2" borderId="1" xfId="6" applyFont="1" applyFill="1" applyBorder="1" applyAlignment="1">
      <alignment horizontal="left" indent="1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0</xdr:row>
      <xdr:rowOff>161925</xdr:rowOff>
    </xdr:from>
    <xdr:to>
      <xdr:col>8</xdr:col>
      <xdr:colOff>676275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15350" y="161925"/>
          <a:ext cx="15525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46"/>
  <sheetViews>
    <sheetView tabSelected="1" zoomScaleNormal="100" workbookViewId="0">
      <selection activeCell="L4" sqref="L4"/>
    </sheetView>
  </sheetViews>
  <sheetFormatPr defaultColWidth="9" defaultRowHeight="24"/>
  <cols>
    <col min="1" max="1" width="5.5703125" style="2" customWidth="1"/>
    <col min="2" max="2" width="10.85546875" style="2" customWidth="1"/>
    <col min="3" max="3" width="32.85546875" style="2" customWidth="1"/>
    <col min="4" max="4" width="43.28515625" style="2" customWidth="1"/>
    <col min="5" max="5" width="6.7109375" style="2" customWidth="1"/>
    <col min="6" max="6" width="6.28515625" style="2" customWidth="1"/>
    <col min="7" max="7" width="12" style="2" customWidth="1"/>
    <col min="8" max="8" width="13.28515625" style="2" customWidth="1"/>
    <col min="9" max="9" width="10.5703125" style="24" customWidth="1"/>
    <col min="10" max="10" width="14.28515625" style="2" customWidth="1"/>
    <col min="11" max="16384" width="9" style="2"/>
  </cols>
  <sheetData>
    <row r="1" spans="1:11">
      <c r="A1" s="49" t="s">
        <v>8</v>
      </c>
      <c r="B1" s="49"/>
      <c r="C1" s="49"/>
      <c r="D1" s="49"/>
      <c r="E1" s="49"/>
      <c r="F1" s="49"/>
      <c r="G1" s="49"/>
      <c r="H1" s="49"/>
      <c r="I1" s="49"/>
      <c r="J1" s="24"/>
    </row>
    <row r="2" spans="1:11">
      <c r="A2" s="50" t="s">
        <v>17</v>
      </c>
      <c r="B2" s="50"/>
      <c r="C2" s="50"/>
      <c r="D2" s="50"/>
      <c r="E2" s="50"/>
      <c r="F2" s="50"/>
      <c r="G2" s="50"/>
      <c r="H2" s="50"/>
      <c r="I2" s="50"/>
      <c r="J2" s="25"/>
    </row>
    <row r="3" spans="1:11">
      <c r="A3" s="51" t="s">
        <v>16</v>
      </c>
      <c r="B3" s="51"/>
      <c r="C3" s="51"/>
      <c r="D3" s="51"/>
      <c r="E3" s="51"/>
      <c r="F3" s="51"/>
      <c r="G3" s="51"/>
      <c r="H3" s="51"/>
      <c r="I3" s="51"/>
      <c r="J3" s="21"/>
    </row>
    <row r="4" spans="1:11" ht="45.75" customHeight="1">
      <c r="A4" s="11" t="s">
        <v>10</v>
      </c>
      <c r="B4" s="11" t="s">
        <v>13</v>
      </c>
      <c r="C4" s="11" t="s">
        <v>14</v>
      </c>
      <c r="D4" s="9" t="s">
        <v>0</v>
      </c>
      <c r="E4" s="11" t="s">
        <v>11</v>
      </c>
      <c r="F4" s="9" t="s">
        <v>1</v>
      </c>
      <c r="G4" s="11" t="s">
        <v>12</v>
      </c>
      <c r="H4" s="11" t="s">
        <v>15</v>
      </c>
      <c r="I4" s="11" t="s">
        <v>2</v>
      </c>
    </row>
    <row r="5" spans="1:11">
      <c r="A5" s="13">
        <v>1</v>
      </c>
      <c r="B5" s="13">
        <v>2546</v>
      </c>
      <c r="C5" s="28" t="s">
        <v>18</v>
      </c>
      <c r="D5" s="29" t="s">
        <v>19</v>
      </c>
      <c r="E5" s="4" t="s">
        <v>4</v>
      </c>
      <c r="F5" s="4">
        <v>1</v>
      </c>
      <c r="G5" s="30">
        <v>33000</v>
      </c>
      <c r="H5" s="27">
        <f>SUM(F5*G5)</f>
        <v>33000</v>
      </c>
      <c r="I5" s="10"/>
      <c r="J5" s="15"/>
    </row>
    <row r="6" spans="1:11">
      <c r="A6" s="13">
        <v>2</v>
      </c>
      <c r="B6" s="13">
        <v>2546</v>
      </c>
      <c r="C6" s="14" t="s">
        <v>20</v>
      </c>
      <c r="D6" s="31" t="s">
        <v>21</v>
      </c>
      <c r="E6" s="4" t="s">
        <v>22</v>
      </c>
      <c r="F6" s="4">
        <v>5</v>
      </c>
      <c r="G6" s="6">
        <v>3970</v>
      </c>
      <c r="H6" s="27">
        <f t="shared" ref="H6:H22" si="0">SUM(F6*G6)</f>
        <v>19850</v>
      </c>
      <c r="I6" s="10"/>
      <c r="J6" s="15"/>
    </row>
    <row r="7" spans="1:11">
      <c r="A7" s="13">
        <v>3</v>
      </c>
      <c r="B7" s="13">
        <v>2548</v>
      </c>
      <c r="C7" s="3" t="s">
        <v>23</v>
      </c>
      <c r="D7" s="1" t="s">
        <v>24</v>
      </c>
      <c r="E7" s="4" t="s">
        <v>3</v>
      </c>
      <c r="F7" s="4">
        <v>1</v>
      </c>
      <c r="G7" s="6">
        <v>22000</v>
      </c>
      <c r="H7" s="27">
        <f t="shared" si="0"/>
        <v>22000</v>
      </c>
      <c r="I7" s="10"/>
      <c r="J7" s="15"/>
    </row>
    <row r="8" spans="1:11">
      <c r="A8" s="13">
        <v>4</v>
      </c>
      <c r="B8" s="13">
        <v>2548</v>
      </c>
      <c r="C8" s="3" t="s">
        <v>25</v>
      </c>
      <c r="D8" s="1" t="s">
        <v>26</v>
      </c>
      <c r="E8" s="4" t="s">
        <v>4</v>
      </c>
      <c r="F8" s="4">
        <v>1</v>
      </c>
      <c r="G8" s="6">
        <v>3350</v>
      </c>
      <c r="H8" s="27">
        <f t="shared" si="0"/>
        <v>3350</v>
      </c>
      <c r="I8" s="10"/>
      <c r="J8" s="15"/>
    </row>
    <row r="9" spans="1:11">
      <c r="A9" s="13">
        <v>5</v>
      </c>
      <c r="B9" s="13">
        <v>2548</v>
      </c>
      <c r="C9" s="3" t="s">
        <v>27</v>
      </c>
      <c r="D9" s="1" t="s">
        <v>28</v>
      </c>
      <c r="E9" s="4" t="s">
        <v>4</v>
      </c>
      <c r="F9" s="4">
        <v>1</v>
      </c>
      <c r="G9" s="6">
        <v>690</v>
      </c>
      <c r="H9" s="27">
        <f t="shared" si="0"/>
        <v>690</v>
      </c>
      <c r="I9" s="10"/>
      <c r="J9" s="15"/>
    </row>
    <row r="10" spans="1:11">
      <c r="A10" s="13">
        <v>6</v>
      </c>
      <c r="B10" s="13">
        <v>2548</v>
      </c>
      <c r="C10" s="3" t="s">
        <v>29</v>
      </c>
      <c r="D10" s="1" t="s">
        <v>30</v>
      </c>
      <c r="E10" s="4" t="s">
        <v>4</v>
      </c>
      <c r="F10" s="4">
        <v>2</v>
      </c>
      <c r="G10" s="6">
        <v>3350</v>
      </c>
      <c r="H10" s="27">
        <f t="shared" si="0"/>
        <v>6700</v>
      </c>
      <c r="I10" s="10"/>
      <c r="J10" s="20"/>
    </row>
    <row r="11" spans="1:11">
      <c r="A11" s="13">
        <v>7</v>
      </c>
      <c r="B11" s="7" t="s">
        <v>71</v>
      </c>
      <c r="C11" s="3" t="s">
        <v>31</v>
      </c>
      <c r="D11" s="1" t="s">
        <v>30</v>
      </c>
      <c r="E11" s="4" t="s">
        <v>3</v>
      </c>
      <c r="F11" s="4">
        <v>2</v>
      </c>
      <c r="G11" s="6">
        <v>2685.25</v>
      </c>
      <c r="H11" s="27">
        <f t="shared" si="0"/>
        <v>5370.5</v>
      </c>
      <c r="I11" s="10"/>
      <c r="J11" s="8"/>
    </row>
    <row r="12" spans="1:11">
      <c r="A12" s="13">
        <v>8</v>
      </c>
      <c r="B12" s="13">
        <v>2550</v>
      </c>
      <c r="C12" s="3" t="s">
        <v>32</v>
      </c>
      <c r="D12" s="1" t="s">
        <v>33</v>
      </c>
      <c r="E12" s="4" t="s">
        <v>3</v>
      </c>
      <c r="F12" s="4">
        <v>1</v>
      </c>
      <c r="G12" s="6">
        <v>3350</v>
      </c>
      <c r="H12" s="27">
        <f t="shared" si="0"/>
        <v>3350</v>
      </c>
      <c r="I12" s="10"/>
      <c r="J12" s="8"/>
    </row>
    <row r="13" spans="1:11">
      <c r="A13" s="13">
        <v>9</v>
      </c>
      <c r="B13" s="7" t="s">
        <v>71</v>
      </c>
      <c r="C13" s="32" t="s">
        <v>42</v>
      </c>
      <c r="D13" s="33" t="s">
        <v>43</v>
      </c>
      <c r="E13" s="4" t="s">
        <v>3</v>
      </c>
      <c r="F13" s="4">
        <v>2</v>
      </c>
      <c r="G13" s="6">
        <v>8500</v>
      </c>
      <c r="H13" s="27">
        <f>SUM(F13*G13)</f>
        <v>17000</v>
      </c>
      <c r="I13" s="10"/>
      <c r="J13" s="8"/>
    </row>
    <row r="14" spans="1:11">
      <c r="A14" s="13">
        <v>10</v>
      </c>
      <c r="B14" s="13">
        <v>2553</v>
      </c>
      <c r="C14" s="3" t="s">
        <v>34</v>
      </c>
      <c r="D14" s="1" t="s">
        <v>35</v>
      </c>
      <c r="E14" s="4" t="s">
        <v>3</v>
      </c>
      <c r="F14" s="4">
        <v>3</v>
      </c>
      <c r="G14" s="6">
        <v>3000</v>
      </c>
      <c r="H14" s="27">
        <f t="shared" si="0"/>
        <v>9000</v>
      </c>
      <c r="I14" s="10"/>
      <c r="J14" s="8"/>
    </row>
    <row r="15" spans="1:11">
      <c r="A15" s="13">
        <v>11</v>
      </c>
      <c r="B15" s="13">
        <v>2553</v>
      </c>
      <c r="C15" s="3" t="s">
        <v>36</v>
      </c>
      <c r="D15" s="1" t="s">
        <v>37</v>
      </c>
      <c r="E15" s="4" t="s">
        <v>3</v>
      </c>
      <c r="F15" s="4">
        <v>2</v>
      </c>
      <c r="G15" s="6">
        <v>32000</v>
      </c>
      <c r="H15" s="27">
        <f t="shared" si="0"/>
        <v>64000</v>
      </c>
      <c r="I15" s="10"/>
      <c r="J15" s="20"/>
      <c r="K15" s="5"/>
    </row>
    <row r="16" spans="1:11">
      <c r="A16" s="13">
        <v>12</v>
      </c>
      <c r="B16" s="13">
        <v>2553</v>
      </c>
      <c r="C16" s="3" t="s">
        <v>38</v>
      </c>
      <c r="D16" s="1" t="s">
        <v>39</v>
      </c>
      <c r="E16" s="4" t="s">
        <v>3</v>
      </c>
      <c r="F16" s="4">
        <v>2</v>
      </c>
      <c r="G16" s="6">
        <v>17000</v>
      </c>
      <c r="H16" s="27">
        <f t="shared" si="0"/>
        <v>34000</v>
      </c>
      <c r="I16" s="10"/>
      <c r="J16" s="20"/>
      <c r="K16" s="5"/>
    </row>
    <row r="17" spans="1:11">
      <c r="A17" s="13">
        <v>13</v>
      </c>
      <c r="B17" s="13">
        <v>2553</v>
      </c>
      <c r="C17" s="32" t="s">
        <v>40</v>
      </c>
      <c r="D17" s="33" t="s">
        <v>41</v>
      </c>
      <c r="E17" s="4" t="s">
        <v>3</v>
      </c>
      <c r="F17" s="4">
        <v>2</v>
      </c>
      <c r="G17" s="6">
        <v>1950</v>
      </c>
      <c r="H17" s="27">
        <f t="shared" si="0"/>
        <v>3900</v>
      </c>
      <c r="I17" s="10"/>
      <c r="J17" s="8"/>
      <c r="K17" s="5"/>
    </row>
    <row r="18" spans="1:11">
      <c r="A18" s="13">
        <v>14</v>
      </c>
      <c r="B18" s="13">
        <v>2553</v>
      </c>
      <c r="C18" s="32" t="s">
        <v>44</v>
      </c>
      <c r="D18" s="33" t="s">
        <v>45</v>
      </c>
      <c r="E18" s="4" t="s">
        <v>3</v>
      </c>
      <c r="F18" s="4">
        <v>1</v>
      </c>
      <c r="G18" s="6">
        <v>30000</v>
      </c>
      <c r="H18" s="27">
        <f t="shared" si="0"/>
        <v>30000</v>
      </c>
      <c r="I18" s="10"/>
      <c r="J18" s="8"/>
      <c r="K18" s="5"/>
    </row>
    <row r="19" spans="1:11">
      <c r="A19" s="13">
        <v>15</v>
      </c>
      <c r="B19" s="13">
        <v>2553</v>
      </c>
      <c r="C19" s="34" t="s">
        <v>46</v>
      </c>
      <c r="D19" s="35" t="s">
        <v>39</v>
      </c>
      <c r="E19" s="4" t="s">
        <v>3</v>
      </c>
      <c r="F19" s="4">
        <v>1</v>
      </c>
      <c r="G19" s="12">
        <v>20000</v>
      </c>
      <c r="H19" s="27">
        <f t="shared" si="0"/>
        <v>20000</v>
      </c>
      <c r="I19" s="10"/>
      <c r="J19" s="8"/>
      <c r="K19" s="5"/>
    </row>
    <row r="20" spans="1:11">
      <c r="A20" s="13">
        <v>16</v>
      </c>
      <c r="B20" s="13">
        <v>2553</v>
      </c>
      <c r="C20" s="32" t="s">
        <v>47</v>
      </c>
      <c r="D20" s="33" t="s">
        <v>48</v>
      </c>
      <c r="E20" s="4" t="s">
        <v>3</v>
      </c>
      <c r="F20" s="4">
        <v>6</v>
      </c>
      <c r="G20" s="6">
        <v>4450</v>
      </c>
      <c r="H20" s="27">
        <f t="shared" si="0"/>
        <v>26700</v>
      </c>
      <c r="I20" s="13"/>
      <c r="J20" s="8"/>
      <c r="K20" s="5"/>
    </row>
    <row r="21" spans="1:11">
      <c r="A21" s="13">
        <v>17</v>
      </c>
      <c r="B21" s="13">
        <v>2553</v>
      </c>
      <c r="C21" s="32" t="s">
        <v>49</v>
      </c>
      <c r="D21" s="33" t="s">
        <v>50</v>
      </c>
      <c r="E21" s="4" t="s">
        <v>3</v>
      </c>
      <c r="F21" s="4">
        <v>1</v>
      </c>
      <c r="G21" s="6">
        <v>3000</v>
      </c>
      <c r="H21" s="27">
        <f t="shared" si="0"/>
        <v>3000</v>
      </c>
      <c r="I21" s="13"/>
      <c r="J21" s="8"/>
      <c r="K21" s="5"/>
    </row>
    <row r="22" spans="1:11">
      <c r="A22" s="13">
        <v>18</v>
      </c>
      <c r="B22" s="13">
        <v>2553</v>
      </c>
      <c r="C22" s="32" t="s">
        <v>51</v>
      </c>
      <c r="D22" s="33" t="s">
        <v>52</v>
      </c>
      <c r="E22" s="4" t="s">
        <v>3</v>
      </c>
      <c r="F22" s="4">
        <v>7</v>
      </c>
      <c r="G22" s="6">
        <v>3350</v>
      </c>
      <c r="H22" s="27">
        <f t="shared" si="0"/>
        <v>23450</v>
      </c>
      <c r="I22" s="13"/>
      <c r="J22" s="8"/>
      <c r="K22" s="5"/>
    </row>
    <row r="23" spans="1:11">
      <c r="A23" s="13">
        <v>19</v>
      </c>
      <c r="B23" s="36">
        <v>21274</v>
      </c>
      <c r="C23" s="37" t="s">
        <v>53</v>
      </c>
      <c r="D23" s="38" t="s">
        <v>54</v>
      </c>
      <c r="E23" s="39" t="s">
        <v>3</v>
      </c>
      <c r="F23" s="40">
        <v>1</v>
      </c>
      <c r="G23" s="6"/>
      <c r="H23" s="27"/>
      <c r="I23" s="13"/>
      <c r="J23" s="8"/>
      <c r="K23" s="5"/>
    </row>
    <row r="24" spans="1:11">
      <c r="A24" s="41"/>
      <c r="B24" s="41"/>
      <c r="C24" s="42"/>
      <c r="D24" s="43" t="s">
        <v>55</v>
      </c>
      <c r="E24" s="41"/>
      <c r="F24" s="44">
        <v>1</v>
      </c>
      <c r="G24" s="6"/>
      <c r="H24" s="27"/>
      <c r="I24" s="13"/>
      <c r="J24" s="8"/>
      <c r="K24" s="5"/>
    </row>
    <row r="25" spans="1:11">
      <c r="A25" s="41"/>
      <c r="B25" s="41"/>
      <c r="C25" s="42"/>
      <c r="D25" s="43" t="s">
        <v>56</v>
      </c>
      <c r="E25" s="41"/>
      <c r="F25" s="44">
        <v>1</v>
      </c>
      <c r="G25" s="6"/>
      <c r="H25" s="27"/>
      <c r="I25" s="13"/>
      <c r="J25" s="8"/>
      <c r="K25" s="5"/>
    </row>
    <row r="26" spans="1:11">
      <c r="A26" s="41"/>
      <c r="B26" s="41"/>
      <c r="C26" s="42"/>
      <c r="D26" s="43" t="s">
        <v>57</v>
      </c>
      <c r="E26" s="41"/>
      <c r="F26" s="44">
        <v>1</v>
      </c>
      <c r="G26" s="6"/>
      <c r="H26" s="27"/>
      <c r="I26" s="13"/>
      <c r="J26" s="8"/>
    </row>
    <row r="27" spans="1:11">
      <c r="A27" s="41"/>
      <c r="B27" s="41"/>
      <c r="C27" s="42"/>
      <c r="D27" s="43" t="s">
        <v>58</v>
      </c>
      <c r="E27" s="41"/>
      <c r="F27" s="44">
        <v>1</v>
      </c>
      <c r="G27" s="6"/>
      <c r="H27" s="27"/>
      <c r="I27" s="13"/>
      <c r="J27" s="8"/>
    </row>
    <row r="28" spans="1:11">
      <c r="A28" s="41"/>
      <c r="B28" s="41"/>
      <c r="C28" s="42"/>
      <c r="D28" s="43" t="s">
        <v>59</v>
      </c>
      <c r="E28" s="41"/>
      <c r="F28" s="44">
        <v>41</v>
      </c>
      <c r="G28" s="6"/>
      <c r="H28" s="27"/>
      <c r="I28" s="13"/>
      <c r="J28" s="8"/>
    </row>
    <row r="29" spans="1:11">
      <c r="A29" s="41"/>
      <c r="B29" s="41"/>
      <c r="C29" s="42"/>
      <c r="D29" s="45" t="s">
        <v>60</v>
      </c>
      <c r="E29" s="41"/>
      <c r="F29" s="44">
        <v>1</v>
      </c>
      <c r="G29" s="6"/>
      <c r="H29" s="27"/>
      <c r="I29" s="13"/>
      <c r="J29" s="8"/>
    </row>
    <row r="30" spans="1:11">
      <c r="A30" s="41"/>
      <c r="B30" s="41"/>
      <c r="C30" s="42"/>
      <c r="D30" s="43" t="s">
        <v>61</v>
      </c>
      <c r="E30" s="41"/>
      <c r="F30" s="44">
        <v>1</v>
      </c>
      <c r="G30" s="27"/>
      <c r="H30" s="27"/>
      <c r="I30" s="13"/>
      <c r="J30" s="8"/>
    </row>
    <row r="31" spans="1:11">
      <c r="A31" s="41"/>
      <c r="B31" s="41"/>
      <c r="C31" s="42"/>
      <c r="D31" s="45" t="s">
        <v>62</v>
      </c>
      <c r="E31" s="41"/>
      <c r="F31" s="44">
        <v>1</v>
      </c>
      <c r="G31" s="6"/>
      <c r="H31" s="27"/>
      <c r="I31" s="13"/>
      <c r="J31" s="8"/>
    </row>
    <row r="32" spans="1:11">
      <c r="A32" s="41"/>
      <c r="B32" s="41"/>
      <c r="C32" s="42"/>
      <c r="D32" s="43" t="s">
        <v>63</v>
      </c>
      <c r="E32" s="41"/>
      <c r="F32" s="44">
        <v>40</v>
      </c>
      <c r="G32" s="6"/>
      <c r="H32" s="27"/>
      <c r="I32" s="13"/>
      <c r="J32" s="8"/>
    </row>
    <row r="33" spans="1:10">
      <c r="A33" s="41"/>
      <c r="B33" s="41"/>
      <c r="C33" s="42"/>
      <c r="D33" s="43" t="s">
        <v>64</v>
      </c>
      <c r="E33" s="41"/>
      <c r="F33" s="44">
        <v>1</v>
      </c>
      <c r="G33" s="6"/>
      <c r="H33" s="27"/>
      <c r="I33" s="13"/>
      <c r="J33" s="8"/>
    </row>
    <row r="34" spans="1:10">
      <c r="A34" s="41"/>
      <c r="B34" s="41"/>
      <c r="C34" s="42"/>
      <c r="D34" s="46" t="s">
        <v>65</v>
      </c>
      <c r="E34" s="41"/>
      <c r="F34" s="40">
        <v>1</v>
      </c>
      <c r="G34" s="6"/>
      <c r="H34" s="27"/>
      <c r="I34" s="13"/>
      <c r="J34" s="8"/>
    </row>
    <row r="35" spans="1:10">
      <c r="A35" s="41"/>
      <c r="B35" s="41"/>
      <c r="C35" s="42"/>
      <c r="D35" s="47" t="s">
        <v>66</v>
      </c>
      <c r="E35" s="41"/>
      <c r="F35" s="40">
        <v>1</v>
      </c>
      <c r="G35" s="6"/>
      <c r="H35" s="27"/>
      <c r="I35" s="13"/>
      <c r="J35" s="8"/>
    </row>
    <row r="36" spans="1:10">
      <c r="A36" s="41"/>
      <c r="B36" s="41"/>
      <c r="C36" s="42"/>
      <c r="D36" s="43" t="s">
        <v>67</v>
      </c>
      <c r="E36" s="41"/>
      <c r="F36" s="40">
        <v>1</v>
      </c>
      <c r="G36" s="6"/>
      <c r="H36" s="27"/>
      <c r="I36" s="13"/>
      <c r="J36" s="8"/>
    </row>
    <row r="37" spans="1:10">
      <c r="A37" s="41"/>
      <c r="B37" s="41"/>
      <c r="C37" s="42"/>
      <c r="D37" s="43" t="s">
        <v>68</v>
      </c>
      <c r="E37" s="41"/>
      <c r="F37" s="40">
        <v>1</v>
      </c>
      <c r="G37" s="6"/>
      <c r="H37" s="27"/>
      <c r="I37" s="13"/>
      <c r="J37" s="8"/>
    </row>
    <row r="38" spans="1:10">
      <c r="A38" s="41"/>
      <c r="B38" s="41"/>
      <c r="C38" s="42"/>
      <c r="D38" s="47" t="s">
        <v>69</v>
      </c>
      <c r="E38" s="41"/>
      <c r="F38" s="40">
        <v>1</v>
      </c>
      <c r="G38" s="6"/>
      <c r="H38" s="27"/>
      <c r="I38" s="10"/>
      <c r="J38" s="15"/>
    </row>
    <row r="39" spans="1:10">
      <c r="A39" s="41"/>
      <c r="B39" s="41"/>
      <c r="C39" s="42"/>
      <c r="D39" s="43" t="s">
        <v>70</v>
      </c>
      <c r="E39" s="41"/>
      <c r="F39" s="40">
        <v>1</v>
      </c>
      <c r="G39" s="6"/>
      <c r="H39" s="27"/>
      <c r="I39" s="10"/>
      <c r="J39" s="15"/>
    </row>
    <row r="40" spans="1:10">
      <c r="A40" s="52" t="s">
        <v>7</v>
      </c>
      <c r="B40" s="53"/>
      <c r="C40" s="53"/>
      <c r="D40" s="53"/>
      <c r="E40" s="54"/>
      <c r="F40" s="4"/>
      <c r="G40" s="16" t="s">
        <v>9</v>
      </c>
      <c r="H40" s="17">
        <f>SUM(H5:H39)</f>
        <v>325360.5</v>
      </c>
      <c r="I40" s="22"/>
      <c r="J40" s="18"/>
    </row>
    <row r="41" spans="1:10">
      <c r="A41" s="23"/>
      <c r="B41" s="23"/>
      <c r="C41" s="23"/>
      <c r="D41" s="23"/>
      <c r="E41" s="23"/>
      <c r="F41" s="26"/>
      <c r="G41" s="19"/>
      <c r="H41" s="19"/>
      <c r="I41" s="21"/>
      <c r="J41" s="18"/>
    </row>
    <row r="42" spans="1:10">
      <c r="A42" s="8"/>
      <c r="B42" s="8"/>
      <c r="C42" s="8"/>
      <c r="D42" s="8"/>
      <c r="E42" s="8"/>
      <c r="F42" s="26"/>
      <c r="G42" s="8"/>
      <c r="H42" s="8"/>
      <c r="I42" s="21"/>
      <c r="J42" s="8"/>
    </row>
    <row r="43" spans="1:10">
      <c r="A43" s="8"/>
      <c r="B43" s="8"/>
      <c r="C43" s="8"/>
      <c r="D43" s="8"/>
      <c r="E43" s="8"/>
      <c r="F43" s="48" t="s">
        <v>5</v>
      </c>
      <c r="G43" s="48"/>
      <c r="H43" s="48"/>
      <c r="I43" s="48"/>
      <c r="J43" s="21"/>
    </row>
    <row r="44" spans="1:10">
      <c r="A44" s="8"/>
      <c r="B44" s="8"/>
      <c r="C44" s="8"/>
      <c r="D44" s="8"/>
      <c r="E44" s="8"/>
      <c r="F44" s="48" t="s">
        <v>72</v>
      </c>
      <c r="G44" s="48"/>
      <c r="H44" s="48"/>
      <c r="I44" s="48"/>
      <c r="J44" s="21"/>
    </row>
    <row r="45" spans="1:10">
      <c r="A45" s="8"/>
      <c r="B45" s="8"/>
      <c r="C45" s="8"/>
      <c r="D45" s="8"/>
      <c r="E45" s="8"/>
      <c r="F45" s="48" t="s">
        <v>6</v>
      </c>
      <c r="G45" s="48"/>
      <c r="H45" s="48"/>
      <c r="I45" s="48"/>
      <c r="J45" s="21"/>
    </row>
    <row r="46" spans="1:10">
      <c r="A46" s="8"/>
      <c r="B46" s="8"/>
      <c r="C46" s="8"/>
      <c r="D46" s="8"/>
      <c r="E46" s="8"/>
      <c r="F46" s="21"/>
      <c r="G46" s="21"/>
      <c r="H46" s="21"/>
      <c r="I46" s="21"/>
      <c r="J46" s="21"/>
    </row>
  </sheetData>
  <mergeCells count="7">
    <mergeCell ref="F45:I45"/>
    <mergeCell ref="A1:I1"/>
    <mergeCell ref="A2:I2"/>
    <mergeCell ref="A3:I3"/>
    <mergeCell ref="A40:E40"/>
    <mergeCell ref="F43:I43"/>
    <mergeCell ref="F44:I44"/>
  </mergeCells>
  <printOptions horizontalCentered="1"/>
  <pageMargins left="0.19685039370078741" right="0" top="0.59055118110236227" bottom="0.19685039370078741" header="0" footer="0"/>
  <pageSetup paperSize="9" scale="72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แผนกสามัญสัมพันธ์</vt:lpstr>
      <vt:lpstr>แผนกสามัญสัมพันธ์!Print_Titles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2022-04-28T08:37:40Z</cp:lastPrinted>
  <dcterms:created xsi:type="dcterms:W3CDTF">2017-11-14T01:32:33Z</dcterms:created>
  <dcterms:modified xsi:type="dcterms:W3CDTF">2022-04-28T08:38:11Z</dcterms:modified>
</cp:coreProperties>
</file>