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บริหารทรัพยากร\"/>
    </mc:Choice>
  </mc:AlternateContent>
  <xr:revisionPtr revIDLastSave="0" documentId="13_ncr:1_{D6113C7B-595B-4C66-9359-5C06B329FCB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6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46" l="1"/>
  <c r="K38" i="46"/>
  <c r="K39" i="46"/>
  <c r="K40" i="46"/>
  <c r="K41" i="46"/>
  <c r="K42" i="46"/>
  <c r="K43" i="46"/>
  <c r="K44" i="46"/>
  <c r="K45" i="46"/>
  <c r="K46" i="46"/>
  <c r="K47" i="46"/>
  <c r="K36" i="46"/>
  <c r="K8" i="46"/>
  <c r="K9" i="46"/>
  <c r="K10" i="46"/>
  <c r="K11" i="46"/>
  <c r="K12" i="46"/>
  <c r="K13" i="46"/>
  <c r="K14" i="46"/>
  <c r="K15" i="46"/>
  <c r="K16" i="46"/>
  <c r="K17" i="46"/>
  <c r="K18" i="46"/>
  <c r="K7" i="46"/>
  <c r="K19" i="46" s="1"/>
  <c r="K35" i="46" l="1"/>
  <c r="K48" i="46" s="1"/>
</calcChain>
</file>

<file path=xl/sharedStrings.xml><?xml version="1.0" encoding="utf-8"?>
<sst xmlns="http://schemas.openxmlformats.org/spreadsheetml/2006/main" count="183" uniqueCount="98">
  <si>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</si>
  <si>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</si>
  <si>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</si>
  <si>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</si>
  <si>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</si>
  <si>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</si>
  <si>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</si>
  <si>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</si>
  <si>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</si>
  <si>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</si>
  <si>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</si>
  <si>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</si>
  <si>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</si>
  <si>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</si>
  <si>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</si>
  <si>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</si>
  <si>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</si>
  <si>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</si>
  <si>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</si>
  <si>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</si>
  <si>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</si>
  <si>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</si>
  <si>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ประจำปี 2564 สิ้นงวดเมื่อวันที่ 30 กันยายน 2564 ของงานพัสดุ</t>
  </si>
  <si>
    <t>(นายชุมพล  พลเสนา)</t>
  </si>
  <si>
    <t>7110-007-0004/391-002</t>
  </si>
  <si>
    <t>โต๊ะพิมพ์ดีด</t>
  </si>
  <si>
    <t>งปม.</t>
  </si>
  <si>
    <t>7430-001-0007/391-001</t>
  </si>
  <si>
    <t>เครื่องพิมพ์ดีดแบบธรรมดาภาษาไทย  18"</t>
  </si>
  <si>
    <t>7430-001-0002/391-001</t>
  </si>
  <si>
    <t>เครื่องพิมพ์ดีดแบบธรรมดาภาษาอังกฤษ 18"</t>
  </si>
  <si>
    <t>7430-001-0005/391-001</t>
  </si>
  <si>
    <t>เครื่องพิมพ์ดีดแบบธรรมดาภาษาไทย  15"</t>
  </si>
  <si>
    <t>7420-001-0001/391-001</t>
  </si>
  <si>
    <t>7110-007-0001/401-002</t>
  </si>
  <si>
    <t>โต๊ะวางเครื่องคอมพิวเตอร์ +เก้าอี้</t>
  </si>
  <si>
    <t>7110-007-0002/401-006</t>
  </si>
  <si>
    <t>โต๊ะวางเครื่องพิมพ์</t>
  </si>
  <si>
    <t>4140-001-0001/442-010</t>
  </si>
  <si>
    <t>พัดลมตั้งโต๊ะ 16"</t>
  </si>
  <si>
    <t>บกศ.</t>
  </si>
  <si>
    <t>6720-005-0002/472-002</t>
  </si>
  <si>
    <t>กล้องดิจิตอล</t>
  </si>
  <si>
    <t>6720-005-0002/472-001</t>
  </si>
  <si>
    <t>4140-001-0001/483-019</t>
  </si>
  <si>
    <t>พัดลมฮาตาริ 16 "</t>
  </si>
  <si>
    <t>บริจาค</t>
  </si>
  <si>
    <t>7440-001-0001/492-047</t>
  </si>
  <si>
    <t>เครื่องคอมพิวเตอร์ GVIEW</t>
  </si>
  <si>
    <t>4140-001-0001/493-037</t>
  </si>
  <si>
    <t>พัดลมTORY 16 นิ้ว</t>
  </si>
  <si>
    <t>4140-001-0001/493-038</t>
  </si>
  <si>
    <t>พัดลมตั้งพื้น 16 นิ้ว มิซูมารุ</t>
  </si>
  <si>
    <t>7430-008-0002/492-007</t>
  </si>
  <si>
    <t>เครื่องปริ้นเตอร์ HP1020</t>
  </si>
  <si>
    <t>5805-001-0002/502-002</t>
  </si>
  <si>
    <t>เครื่องโทรศัพท์ มือถือ NOKIA 6080</t>
  </si>
  <si>
    <t>7440-009-0001/502-005</t>
  </si>
  <si>
    <t>FLASH DRIVE 2 GB</t>
  </si>
  <si>
    <t>7440-001-0001/502-053-054</t>
  </si>
  <si>
    <t>เครื่องคอมพิวเตอร์  จอแบน</t>
  </si>
  <si>
    <t>7440-001-0001/502-059</t>
  </si>
  <si>
    <t xml:space="preserve">ชุดเครื่องคอมพิวเตอร์  HP </t>
  </si>
  <si>
    <t>7110-007-0001/502-007-008</t>
  </si>
  <si>
    <t>โต๊ะวางเครื่องคอมพิวเตอร์พร้อมเก้าอี้</t>
  </si>
  <si>
    <t>7110-006-0006/531-013</t>
  </si>
  <si>
    <t>7430-008-0002/531-023</t>
  </si>
  <si>
    <t>เครื่องปริ้นเตอร์ CANON LBp 3050</t>
  </si>
  <si>
    <t>6130-001-0001/531-008</t>
  </si>
  <si>
    <t>เครื่องสำรองไฟฟ้า</t>
  </si>
  <si>
    <t>7440-001-0001/531-150</t>
  </si>
  <si>
    <t>เครื่องคอมพิวเตอร์พร้อมโต๊ะเก้าอี้</t>
  </si>
  <si>
    <t xml:space="preserve"> -</t>
  </si>
  <si>
    <t xml:space="preserve">  เครื่องไม่ดึงกระดาษ</t>
  </si>
  <si>
    <t>ยอดยกไป</t>
  </si>
  <si>
    <t>ยอดยกมา</t>
  </si>
  <si>
    <t>แคร่แป้นพิมพ์ชำรุด</t>
  </si>
  <si>
    <t>ขาโต๊ะผุพัง</t>
  </si>
  <si>
    <t>จอแสดงตัวเลขขัดข้อง</t>
  </si>
  <si>
    <t>ล้อเก้าอี้หัก โต๊ะชำรุด</t>
  </si>
  <si>
    <t>โต๊ะผุพัง</t>
  </si>
  <si>
    <t>ไฟช็อต</t>
  </si>
  <si>
    <t>ไม่ดึงกระดาษ</t>
  </si>
  <si>
    <t>หน้าจอเสีย</t>
  </si>
  <si>
    <t>เก้าอี้ชำรุด</t>
  </si>
  <si>
    <t>ล้อเลื่อนชำรุด</t>
  </si>
  <si>
    <t>เก้าอี้ชำรุด โต๊ะผุพัง</t>
  </si>
  <si>
    <t>มอเตอร์ชำรุด</t>
  </si>
  <si>
    <t>เก้าอี้ (ขาเหล็ก ) 5 แฉก</t>
  </si>
  <si>
    <t>2539</t>
  </si>
  <si>
    <t>2550</t>
  </si>
  <si>
    <t>2553</t>
  </si>
  <si>
    <t>เครื่องคำนวณเลข</t>
  </si>
  <si>
    <t>ตัวเครื่องชำรุด</t>
  </si>
  <si>
    <t>เมนบอร์ดชำรุด</t>
  </si>
  <si>
    <t>มอเตอร์ไหม้</t>
  </si>
  <si>
    <t>เครื่องมีปัญหา</t>
  </si>
  <si>
    <t>อะไหล่บอร์ด ชำรุด ไฟไม่เข้า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</si>
</sst>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3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49" fontId="3" fillId="0" borderId="1" xfId="7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1" xfId="5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0" fontId="4" fillId="0" borderId="0" xfId="0" applyFont="1" applyFill="1"/>
    <xf numFmtId="49" fontId="3" fillId="0" borderId="1" xfId="0" applyNumberFormat="1" applyFont="1" applyFill="1" applyBorder="1"/>
    <xf numFmtId="0" fontId="3" fillId="0" borderId="1" xfId="2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3" fillId="0" borderId="1" xfId="6" applyFont="1" applyFill="1" applyBorder="1"/>
    <xf numFmtId="0" fontId="4" fillId="0" borderId="4" xfId="0" applyFont="1" applyFill="1" applyBorder="1"/>
    <xf numFmtId="43" fontId="6" fillId="0" borderId="4" xfId="0" applyNumberFormat="1" applyFont="1" applyFill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left"/>
    </xf>
    <xf numFmtId="49" fontId="3" fillId="0" borderId="3" xfId="0" applyNumberFormat="1" applyFont="1" applyFill="1" applyBorder="1"/>
    <xf numFmtId="0" fontId="3" fillId="0" borderId="3" xfId="2" applyFont="1" applyFill="1" applyBorder="1" applyAlignment="1">
      <alignment horizontal="center"/>
    </xf>
    <xf numFmtId="0" fontId="3" fillId="0" borderId="3" xfId="5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3" fontId="3" fillId="0" borderId="3" xfId="1" applyFont="1" applyFill="1" applyBorder="1"/>
    <xf numFmtId="0" fontId="6" fillId="0" borderId="3" xfId="0" applyFont="1" applyBorder="1" applyAlignment="1">
      <alignment horizontal="center" vertical="center" wrapText="1"/>
    </xf>
    <xf numFmtId="43" fontId="3" fillId="0" borderId="2" xfId="1" applyFont="1" applyFill="1" applyBorder="1"/>
    <xf numFmtId="0" fontId="3" fillId="0" borderId="2" xfId="6" applyFont="1" applyFill="1" applyBorder="1" applyAlignment="1">
      <alignment horizontal="left"/>
    </xf>
    <xf numFmtId="0" fontId="3" fillId="0" borderId="2" xfId="6" applyFont="1" applyFill="1" applyBorder="1"/>
    <xf numFmtId="0" fontId="3" fillId="0" borderId="2" xfId="2" applyFont="1" applyFill="1" applyBorder="1" applyAlignment="1">
      <alignment horizontal="center"/>
    </xf>
    <xf numFmtId="0" fontId="3" fillId="0" borderId="2" xfId="5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6" fillId="0" borderId="3" xfId="0" applyNumberFormat="1" applyFont="1" applyBorder="1" applyAlignment="1">
      <alignment horizontal="center" vertical="center" wrapText="1"/>
    </xf>
    <xf numFmtId="43" fontId="6" fillId="0" borderId="4" xfId="0" applyNumberFormat="1" applyFont="1" applyBorder="1" applyAlignment="1"/>
    <xf numFmtId="0" fontId="4" fillId="0" borderId="4" xfId="0" applyFont="1" applyFill="1" applyBorder="1" applyAlignment="1"/>
    <xf numFmtId="0" fontId="6" fillId="0" borderId="4" xfId="0" applyFont="1" applyFill="1" applyBorder="1" applyAlignment="1">
      <alignment horizontal="center"/>
    </xf>
    <xf numFmtId="0" fontId="9" fillId="0" borderId="0" xfId="14" applyFill="1"/>
    <xf numFmtId="43" fontId="3" fillId="0" borderId="3" xfId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3" fontId="3" fillId="0" borderId="2" xfId="1" applyFont="1" applyFill="1" applyBorder="1" applyAlignment="1">
      <alignment horizontal="left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1009649</xdr:colOff>
      <xdr:row>48</xdr:row>
      <xdr:rowOff>190505</xdr:rowOff>
    </xdr:from>
    <xdr:to>
      <xdr:col>11</xdr:col>
      <xdr:colOff>1352548</xdr:colOff>
      <xdr:row>53</xdr:row>
      <xdr:rowOff>142880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20374" y="16087730"/>
          <a:ext cx="14859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1009648</xdr:colOff>
      <xdr:row>19</xdr:row>
      <xdr:rowOff>190504</xdr:rowOff>
    </xdr:from>
    <xdr:to>
      <xdr:col>11</xdr:col>
      <xdr:colOff>1352547</xdr:colOff>
      <xdr:row>24</xdr:row>
      <xdr:rowOff>19052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687049" y="6829428"/>
          <a:ext cx="1352548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54"/>
  <sheetViews>
    <sheetView tabSelected="1" zoomScaleNormal="100" workbookViewId="0">
      <selection activeCell="L47" sqref="L47"/>
    </sheetView>
  </sheetViews>
  <sheetFormatPr defaultColWidth="9" defaultRowHeight="24" x14ac:dyDescent="0.55000000000000004"/>
  <cols>
    <col min="1" max="1" width="6.125" style="1" customWidth="1"/>
    <col min="2" max="2" width="13.25" style="11" customWidth="1"/>
    <col min="3" max="3" width="30.875" style="6" customWidth="1"/>
    <col min="4" max="4" width="38.625" style="1" customWidth="1"/>
    <col min="5" max="5" width="8.25" style="1" customWidth="1"/>
    <col min="6" max="6" width="8.625" style="1" customWidth="1"/>
    <col min="7" max="7" width="6.625" style="11" customWidth="1"/>
    <col min="8" max="9" width="7.25" style="1" customWidth="1"/>
    <col min="10" max="10" width="12.625" style="1" customWidth="1"/>
    <col min="11" max="11" width="13.25" style="1" customWidth="1"/>
    <col min="12" max="12" width="23.625" style="11" customWidth="1"/>
    <col min="13" max="16384" width="9" style="1"/>
  </cols>
  <sheetData>
    <row r="1" spans="1:12" x14ac:dyDescent="0.55000000000000004">
      <c r="L1" s="11" t="s">
        <v>20</v>
      </c>
    </row>
    <row r="2" spans="1:12" x14ac:dyDescent="0.55000000000000004">
      <c r="A2" s="57" t="s">
        <v>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x14ac:dyDescent="0.55000000000000004">
      <c r="A3" s="58" t="s">
        <v>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ht="24.75" thickBot="1" x14ac:dyDescent="0.6">
      <c r="A4" s="59" t="s">
        <v>22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28.5" customHeight="1" thickTop="1" x14ac:dyDescent="0.55000000000000004">
      <c r="A5" s="60" t="s">
        <v>8</v>
      </c>
      <c r="B5" s="60" t="s">
        <v>19</v>
      </c>
      <c r="C5" s="60" t="s">
        <v>16</v>
      </c>
      <c r="D5" s="62" t="s">
        <v>0</v>
      </c>
      <c r="E5" s="60" t="s">
        <v>11</v>
      </c>
      <c r="F5" s="60" t="s">
        <v>10</v>
      </c>
      <c r="G5" s="64" t="s">
        <v>12</v>
      </c>
      <c r="H5" s="66" t="s">
        <v>1</v>
      </c>
      <c r="I5" s="67"/>
      <c r="J5" s="60" t="s">
        <v>15</v>
      </c>
      <c r="K5" s="60" t="s">
        <v>9</v>
      </c>
      <c r="L5" s="60" t="s">
        <v>14</v>
      </c>
    </row>
    <row r="6" spans="1:12" ht="45" customHeight="1" thickBot="1" x14ac:dyDescent="0.6">
      <c r="A6" s="61"/>
      <c r="B6" s="61"/>
      <c r="C6" s="61"/>
      <c r="D6" s="63"/>
      <c r="E6" s="61"/>
      <c r="F6" s="61"/>
      <c r="G6" s="65"/>
      <c r="H6" s="32" t="s">
        <v>13</v>
      </c>
      <c r="I6" s="33" t="s">
        <v>3</v>
      </c>
      <c r="J6" s="61"/>
      <c r="K6" s="61"/>
      <c r="L6" s="61"/>
    </row>
    <row r="7" spans="1:12" ht="24.75" thickTop="1" x14ac:dyDescent="0.55000000000000004">
      <c r="A7" s="34">
        <v>1</v>
      </c>
      <c r="B7" s="35" t="s">
        <v>89</v>
      </c>
      <c r="C7" s="36" t="s">
        <v>24</v>
      </c>
      <c r="D7" s="37" t="s">
        <v>25</v>
      </c>
      <c r="E7" s="38" t="s">
        <v>26</v>
      </c>
      <c r="F7" s="39">
        <v>25</v>
      </c>
      <c r="G7" s="40" t="s">
        <v>72</v>
      </c>
      <c r="H7" s="39">
        <v>2</v>
      </c>
      <c r="I7" s="40">
        <v>2</v>
      </c>
      <c r="J7" s="41">
        <v>1495.33</v>
      </c>
      <c r="K7" s="41">
        <f>SUM(I7*J7)</f>
        <v>2990.66</v>
      </c>
      <c r="L7" s="55" t="s">
        <v>77</v>
      </c>
    </row>
    <row r="8" spans="1:12" x14ac:dyDescent="0.55000000000000004">
      <c r="A8" s="4">
        <v>2</v>
      </c>
      <c r="B8" s="35" t="s">
        <v>89</v>
      </c>
      <c r="C8" s="17" t="s">
        <v>27</v>
      </c>
      <c r="D8" s="23" t="s">
        <v>28</v>
      </c>
      <c r="E8" s="24" t="s">
        <v>26</v>
      </c>
      <c r="F8" s="39">
        <v>25</v>
      </c>
      <c r="G8" s="18" t="s">
        <v>72</v>
      </c>
      <c r="H8" s="19">
        <v>1</v>
      </c>
      <c r="I8" s="19">
        <v>1</v>
      </c>
      <c r="J8" s="21">
        <v>8600</v>
      </c>
      <c r="K8" s="41">
        <f t="shared" ref="K8:K18" si="0">SUM(I8*J8)</f>
        <v>8600</v>
      </c>
      <c r="L8" s="55" t="s">
        <v>76</v>
      </c>
    </row>
    <row r="9" spans="1:12" x14ac:dyDescent="0.55000000000000004">
      <c r="A9" s="34">
        <v>3</v>
      </c>
      <c r="B9" s="35" t="s">
        <v>89</v>
      </c>
      <c r="C9" s="17" t="s">
        <v>29</v>
      </c>
      <c r="D9" s="23" t="s">
        <v>30</v>
      </c>
      <c r="E9" s="24" t="s">
        <v>26</v>
      </c>
      <c r="F9" s="39">
        <v>25</v>
      </c>
      <c r="G9" s="18" t="s">
        <v>72</v>
      </c>
      <c r="H9" s="19">
        <v>1</v>
      </c>
      <c r="I9" s="19">
        <v>1</v>
      </c>
      <c r="J9" s="21">
        <v>8600</v>
      </c>
      <c r="K9" s="41">
        <f t="shared" si="0"/>
        <v>8600</v>
      </c>
      <c r="L9" s="55" t="s">
        <v>76</v>
      </c>
    </row>
    <row r="10" spans="1:12" x14ac:dyDescent="0.55000000000000004">
      <c r="A10" s="4">
        <v>4</v>
      </c>
      <c r="B10" s="35" t="s">
        <v>89</v>
      </c>
      <c r="C10" s="17" t="s">
        <v>31</v>
      </c>
      <c r="D10" s="23" t="s">
        <v>32</v>
      </c>
      <c r="E10" s="24" t="s">
        <v>26</v>
      </c>
      <c r="F10" s="39">
        <v>25</v>
      </c>
      <c r="G10" s="18" t="s">
        <v>72</v>
      </c>
      <c r="H10" s="19">
        <v>1</v>
      </c>
      <c r="I10" s="19">
        <v>1</v>
      </c>
      <c r="J10" s="21">
        <v>8000</v>
      </c>
      <c r="K10" s="41">
        <f t="shared" si="0"/>
        <v>8000</v>
      </c>
      <c r="L10" s="55" t="s">
        <v>76</v>
      </c>
    </row>
    <row r="11" spans="1:12" x14ac:dyDescent="0.55000000000000004">
      <c r="A11" s="34">
        <v>5</v>
      </c>
      <c r="B11" s="35" t="s">
        <v>89</v>
      </c>
      <c r="C11" s="17" t="s">
        <v>33</v>
      </c>
      <c r="D11" s="23" t="s">
        <v>92</v>
      </c>
      <c r="E11" s="24" t="s">
        <v>26</v>
      </c>
      <c r="F11" s="39">
        <v>25</v>
      </c>
      <c r="G11" s="18" t="s">
        <v>72</v>
      </c>
      <c r="H11" s="19">
        <v>1</v>
      </c>
      <c r="I11" s="19">
        <v>1</v>
      </c>
      <c r="J11" s="21">
        <v>2500</v>
      </c>
      <c r="K11" s="41">
        <f t="shared" si="0"/>
        <v>2500</v>
      </c>
      <c r="L11" s="56" t="s">
        <v>78</v>
      </c>
    </row>
    <row r="12" spans="1:12" x14ac:dyDescent="0.55000000000000004">
      <c r="A12" s="4">
        <v>6</v>
      </c>
      <c r="B12" s="3">
        <v>2540</v>
      </c>
      <c r="C12" s="17" t="s">
        <v>34</v>
      </c>
      <c r="D12" s="23" t="s">
        <v>35</v>
      </c>
      <c r="E12" s="24" t="s">
        <v>26</v>
      </c>
      <c r="F12" s="19">
        <v>24</v>
      </c>
      <c r="G12" s="18" t="s">
        <v>72</v>
      </c>
      <c r="H12" s="19">
        <v>1</v>
      </c>
      <c r="I12" s="19">
        <v>1</v>
      </c>
      <c r="J12" s="21">
        <v>3800</v>
      </c>
      <c r="K12" s="41">
        <f t="shared" si="0"/>
        <v>3800</v>
      </c>
      <c r="L12" s="56" t="s">
        <v>79</v>
      </c>
    </row>
    <row r="13" spans="1:12" x14ac:dyDescent="0.55000000000000004">
      <c r="A13" s="34">
        <v>7</v>
      </c>
      <c r="B13" s="3">
        <v>2540</v>
      </c>
      <c r="C13" s="17" t="s">
        <v>36</v>
      </c>
      <c r="D13" s="23" t="s">
        <v>37</v>
      </c>
      <c r="E13" s="24" t="s">
        <v>26</v>
      </c>
      <c r="F13" s="19">
        <v>24</v>
      </c>
      <c r="G13" s="18" t="s">
        <v>72</v>
      </c>
      <c r="H13" s="19">
        <v>1</v>
      </c>
      <c r="I13" s="19">
        <v>1</v>
      </c>
      <c r="J13" s="21">
        <v>2600</v>
      </c>
      <c r="K13" s="41">
        <f t="shared" si="0"/>
        <v>2600</v>
      </c>
      <c r="L13" s="56" t="s">
        <v>80</v>
      </c>
    </row>
    <row r="14" spans="1:12" x14ac:dyDescent="0.55000000000000004">
      <c r="A14" s="4">
        <v>8</v>
      </c>
      <c r="B14" s="3">
        <v>2544</v>
      </c>
      <c r="C14" s="17" t="s">
        <v>38</v>
      </c>
      <c r="D14" s="23" t="s">
        <v>39</v>
      </c>
      <c r="E14" s="24" t="s">
        <v>40</v>
      </c>
      <c r="F14" s="19">
        <v>20</v>
      </c>
      <c r="G14" s="18" t="s">
        <v>72</v>
      </c>
      <c r="H14" s="19">
        <v>1</v>
      </c>
      <c r="I14" s="19">
        <v>1</v>
      </c>
      <c r="J14" s="21">
        <v>750</v>
      </c>
      <c r="K14" s="41">
        <f t="shared" si="0"/>
        <v>750</v>
      </c>
      <c r="L14" s="56" t="s">
        <v>81</v>
      </c>
    </row>
    <row r="15" spans="1:12" x14ac:dyDescent="0.55000000000000004">
      <c r="A15" s="34">
        <v>9</v>
      </c>
      <c r="B15" s="3">
        <v>2547</v>
      </c>
      <c r="C15" s="17" t="s">
        <v>41</v>
      </c>
      <c r="D15" s="17" t="s">
        <v>42</v>
      </c>
      <c r="E15" s="25" t="s">
        <v>40</v>
      </c>
      <c r="F15" s="19">
        <v>17</v>
      </c>
      <c r="G15" s="18" t="s">
        <v>72</v>
      </c>
      <c r="H15" s="19">
        <v>1</v>
      </c>
      <c r="I15" s="19">
        <v>1</v>
      </c>
      <c r="J15" s="20">
        <v>6900</v>
      </c>
      <c r="K15" s="41">
        <f t="shared" si="0"/>
        <v>6900</v>
      </c>
      <c r="L15" s="56" t="s">
        <v>93</v>
      </c>
    </row>
    <row r="16" spans="1:12" x14ac:dyDescent="0.55000000000000004">
      <c r="A16" s="4">
        <v>10</v>
      </c>
      <c r="B16" s="3">
        <v>2547</v>
      </c>
      <c r="C16" s="17" t="s">
        <v>43</v>
      </c>
      <c r="D16" s="17" t="s">
        <v>42</v>
      </c>
      <c r="E16" s="26" t="s">
        <v>40</v>
      </c>
      <c r="F16" s="19">
        <v>17</v>
      </c>
      <c r="G16" s="18" t="s">
        <v>72</v>
      </c>
      <c r="H16" s="19">
        <v>1</v>
      </c>
      <c r="I16" s="19">
        <v>1</v>
      </c>
      <c r="J16" s="20">
        <v>11900</v>
      </c>
      <c r="K16" s="41">
        <f t="shared" si="0"/>
        <v>11900</v>
      </c>
      <c r="L16" s="56" t="s">
        <v>93</v>
      </c>
    </row>
    <row r="17" spans="1:12" x14ac:dyDescent="0.55000000000000004">
      <c r="A17" s="34">
        <v>11</v>
      </c>
      <c r="B17" s="3">
        <v>2548</v>
      </c>
      <c r="C17" s="17" t="s">
        <v>44</v>
      </c>
      <c r="D17" s="23" t="s">
        <v>45</v>
      </c>
      <c r="E17" s="18" t="s">
        <v>46</v>
      </c>
      <c r="F17" s="19">
        <v>16</v>
      </c>
      <c r="G17" s="18" t="s">
        <v>72</v>
      </c>
      <c r="H17" s="19">
        <v>1</v>
      </c>
      <c r="I17" s="19">
        <v>1</v>
      </c>
      <c r="J17" s="21">
        <v>700</v>
      </c>
      <c r="K17" s="41">
        <f t="shared" si="0"/>
        <v>700</v>
      </c>
      <c r="L17" s="56" t="s">
        <v>87</v>
      </c>
    </row>
    <row r="18" spans="1:12" x14ac:dyDescent="0.55000000000000004">
      <c r="A18" s="4">
        <v>12</v>
      </c>
      <c r="B18" s="3">
        <v>2549</v>
      </c>
      <c r="C18" s="17" t="s">
        <v>47</v>
      </c>
      <c r="D18" s="17" t="s">
        <v>48</v>
      </c>
      <c r="E18" s="18" t="s">
        <v>40</v>
      </c>
      <c r="F18" s="19">
        <v>15</v>
      </c>
      <c r="G18" s="18" t="s">
        <v>72</v>
      </c>
      <c r="H18" s="19">
        <v>1</v>
      </c>
      <c r="I18" s="19">
        <v>1</v>
      </c>
      <c r="J18" s="20">
        <v>19088.8</v>
      </c>
      <c r="K18" s="41">
        <f t="shared" si="0"/>
        <v>19088.8</v>
      </c>
      <c r="L18" s="56" t="s">
        <v>94</v>
      </c>
    </row>
    <row r="19" spans="1:12" s="22" customFormat="1" ht="24.75" thickBot="1" x14ac:dyDescent="0.6">
      <c r="A19" s="52"/>
      <c r="B19" s="52"/>
      <c r="C19" s="52"/>
      <c r="D19" s="52"/>
      <c r="E19" s="52"/>
      <c r="F19" s="52"/>
      <c r="G19" s="52"/>
      <c r="H19" s="52"/>
      <c r="I19" s="52"/>
      <c r="J19" s="53" t="s">
        <v>74</v>
      </c>
      <c r="K19" s="30">
        <f>SUM(K7:K18)</f>
        <v>76429.460000000006</v>
      </c>
      <c r="L19" s="29"/>
    </row>
    <row r="20" spans="1:12" ht="24.75" thickTop="1" x14ac:dyDescent="0.55000000000000004">
      <c r="B20" s="9" t="s">
        <v>2</v>
      </c>
      <c r="C20" s="5" t="s">
        <v>17</v>
      </c>
      <c r="D20" s="2"/>
      <c r="E20" s="2"/>
    </row>
    <row r="21" spans="1:12" x14ac:dyDescent="0.55000000000000004">
      <c r="B21" s="12"/>
      <c r="C21" s="5" t="s">
        <v>18</v>
      </c>
      <c r="D21" s="2"/>
      <c r="E21" s="2"/>
      <c r="G21" s="12"/>
      <c r="H21" s="2"/>
      <c r="I21" s="8"/>
      <c r="J21" s="2"/>
      <c r="K21" s="2"/>
      <c r="L21" s="12"/>
    </row>
    <row r="22" spans="1:12" x14ac:dyDescent="0.55000000000000004">
      <c r="B22" s="12"/>
      <c r="C22" s="5"/>
      <c r="D22" s="2"/>
      <c r="E22" s="2"/>
      <c r="L22" s="12"/>
    </row>
    <row r="23" spans="1:12" x14ac:dyDescent="0.55000000000000004">
      <c r="B23" s="12"/>
      <c r="C23" s="5"/>
      <c r="D23" s="2"/>
      <c r="E23" s="2"/>
      <c r="G23" s="7"/>
      <c r="H23" s="71" t="s">
        <v>21</v>
      </c>
      <c r="I23" s="71"/>
      <c r="J23" s="71"/>
      <c r="K23" s="71"/>
      <c r="L23" s="12"/>
    </row>
    <row r="24" spans="1:12" x14ac:dyDescent="0.55000000000000004">
      <c r="A24" s="2"/>
      <c r="B24" s="1"/>
      <c r="C24" s="1"/>
      <c r="G24" s="7"/>
      <c r="H24" s="71" t="s">
        <v>23</v>
      </c>
      <c r="I24" s="71"/>
      <c r="J24" s="71"/>
      <c r="K24" s="71"/>
      <c r="L24" s="7"/>
    </row>
    <row r="25" spans="1:12" x14ac:dyDescent="0.55000000000000004">
      <c r="A25" s="2"/>
      <c r="B25" s="12"/>
      <c r="C25" s="5"/>
      <c r="D25" s="2"/>
      <c r="E25" s="2"/>
      <c r="F25" s="2"/>
      <c r="G25" s="12"/>
      <c r="H25" s="71" t="s">
        <v>4</v>
      </c>
      <c r="I25" s="71"/>
      <c r="J25" s="71"/>
      <c r="K25" s="71"/>
      <c r="L25" s="7"/>
    </row>
    <row r="26" spans="1:12" x14ac:dyDescent="0.55000000000000004">
      <c r="A26" s="2"/>
      <c r="B26" s="12"/>
      <c r="C26" s="5"/>
      <c r="D26" s="2"/>
      <c r="E26" s="2"/>
      <c r="F26" s="2"/>
      <c r="G26" s="12"/>
      <c r="L26" s="7"/>
    </row>
    <row r="28" spans="1:12" s="22" customFormat="1" x14ac:dyDescent="0.55000000000000004">
      <c r="A28" s="1"/>
      <c r="B28" s="11"/>
      <c r="C28" s="6"/>
      <c r="D28" s="1"/>
      <c r="E28" s="1"/>
      <c r="F28" s="1"/>
      <c r="G28" s="11"/>
      <c r="L28" s="11"/>
    </row>
    <row r="29" spans="1:12" s="22" customFormat="1" x14ac:dyDescent="0.55000000000000004">
      <c r="A29" s="1"/>
      <c r="B29" s="11"/>
      <c r="C29" s="6"/>
      <c r="D29" s="1"/>
      <c r="E29" s="1"/>
      <c r="F29" s="1"/>
      <c r="G29" s="11"/>
      <c r="H29" s="12"/>
      <c r="I29" s="12"/>
      <c r="J29" s="12"/>
      <c r="K29" s="12"/>
      <c r="L29" s="11" t="s">
        <v>20</v>
      </c>
    </row>
    <row r="30" spans="1:12" s="22" customFormat="1" x14ac:dyDescent="0.55000000000000004">
      <c r="A30" s="57" t="s">
        <v>6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</row>
    <row r="31" spans="1:12" s="22" customFormat="1" x14ac:dyDescent="0.55000000000000004">
      <c r="A31" s="58" t="s">
        <v>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</row>
    <row r="32" spans="1:12" s="22" customFormat="1" ht="24.75" thickBot="1" x14ac:dyDescent="0.6">
      <c r="A32" s="59" t="s">
        <v>22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3" spans="1:14" s="22" customFormat="1" ht="24.75" thickTop="1" x14ac:dyDescent="0.55000000000000004">
      <c r="A33" s="60" t="s">
        <v>8</v>
      </c>
      <c r="B33" s="60" t="s">
        <v>19</v>
      </c>
      <c r="C33" s="60" t="s">
        <v>16</v>
      </c>
      <c r="D33" s="62" t="s">
        <v>0</v>
      </c>
      <c r="E33" s="60" t="s">
        <v>11</v>
      </c>
      <c r="F33" s="60" t="s">
        <v>10</v>
      </c>
      <c r="G33" s="64" t="s">
        <v>12</v>
      </c>
      <c r="H33" s="66" t="s">
        <v>1</v>
      </c>
      <c r="I33" s="67"/>
      <c r="J33" s="60" t="s">
        <v>15</v>
      </c>
      <c r="K33" s="60" t="s">
        <v>9</v>
      </c>
      <c r="L33" s="60" t="s">
        <v>14</v>
      </c>
    </row>
    <row r="34" spans="1:14" s="22" customFormat="1" ht="48.75" thickBot="1" x14ac:dyDescent="0.6">
      <c r="A34" s="61"/>
      <c r="B34" s="61"/>
      <c r="C34" s="61"/>
      <c r="D34" s="63"/>
      <c r="E34" s="61"/>
      <c r="F34" s="61"/>
      <c r="G34" s="65"/>
      <c r="H34" s="32" t="s">
        <v>13</v>
      </c>
      <c r="I34" s="33" t="s">
        <v>3</v>
      </c>
      <c r="J34" s="61"/>
      <c r="K34" s="61"/>
      <c r="L34" s="61"/>
    </row>
    <row r="35" spans="1:14" s="22" customFormat="1" ht="24.75" thickTop="1" x14ac:dyDescent="0.55000000000000004">
      <c r="A35" s="13"/>
      <c r="B35" s="13"/>
      <c r="C35" s="13"/>
      <c r="D35" s="14"/>
      <c r="E35" s="13"/>
      <c r="F35" s="13"/>
      <c r="G35" s="15"/>
      <c r="H35" s="15"/>
      <c r="I35" s="31"/>
      <c r="J35" s="42" t="s">
        <v>75</v>
      </c>
      <c r="K35" s="50">
        <f>SUM(K19)</f>
        <v>76429.460000000006</v>
      </c>
      <c r="L35" s="13"/>
    </row>
    <row r="36" spans="1:14" x14ac:dyDescent="0.55000000000000004">
      <c r="A36" s="4">
        <v>13</v>
      </c>
      <c r="B36" s="3">
        <v>2549</v>
      </c>
      <c r="C36" s="17" t="s">
        <v>49</v>
      </c>
      <c r="D36" s="23" t="s">
        <v>50</v>
      </c>
      <c r="E36" s="24" t="s">
        <v>46</v>
      </c>
      <c r="F36" s="19">
        <v>15</v>
      </c>
      <c r="G36" s="18" t="s">
        <v>72</v>
      </c>
      <c r="H36" s="19">
        <v>1</v>
      </c>
      <c r="I36" s="19">
        <v>1</v>
      </c>
      <c r="J36" s="21">
        <v>1370</v>
      </c>
      <c r="K36" s="21">
        <f>SUM(I36*J36)</f>
        <v>1370</v>
      </c>
      <c r="L36" s="56" t="s">
        <v>95</v>
      </c>
    </row>
    <row r="37" spans="1:14" x14ac:dyDescent="0.55000000000000004">
      <c r="A37" s="4">
        <v>14</v>
      </c>
      <c r="B37" s="3">
        <v>2549</v>
      </c>
      <c r="C37" s="17" t="s">
        <v>51</v>
      </c>
      <c r="D37" s="23" t="s">
        <v>52</v>
      </c>
      <c r="E37" s="24" t="s">
        <v>46</v>
      </c>
      <c r="F37" s="19">
        <v>15</v>
      </c>
      <c r="G37" s="18" t="s">
        <v>72</v>
      </c>
      <c r="H37" s="19">
        <v>1</v>
      </c>
      <c r="I37" s="19">
        <v>1</v>
      </c>
      <c r="J37" s="21">
        <v>600</v>
      </c>
      <c r="K37" s="21">
        <f t="shared" ref="K37:K47" si="1">SUM(I37*J37)</f>
        <v>600</v>
      </c>
      <c r="L37" s="56" t="s">
        <v>95</v>
      </c>
    </row>
    <row r="38" spans="1:14" x14ac:dyDescent="0.55000000000000004">
      <c r="A38" s="4">
        <v>15</v>
      </c>
      <c r="B38" s="3">
        <v>2549</v>
      </c>
      <c r="C38" s="17" t="s">
        <v>53</v>
      </c>
      <c r="D38" s="17" t="s">
        <v>54</v>
      </c>
      <c r="E38" s="18" t="s">
        <v>40</v>
      </c>
      <c r="F38" s="19">
        <v>15</v>
      </c>
      <c r="G38" s="18" t="s">
        <v>72</v>
      </c>
      <c r="H38" s="19">
        <v>1</v>
      </c>
      <c r="I38" s="19">
        <v>1</v>
      </c>
      <c r="J38" s="20">
        <v>5296.5</v>
      </c>
      <c r="K38" s="21">
        <f t="shared" si="1"/>
        <v>5296.5</v>
      </c>
      <c r="L38" s="56" t="s">
        <v>82</v>
      </c>
      <c r="N38" s="54"/>
    </row>
    <row r="39" spans="1:14" s="22" customFormat="1" x14ac:dyDescent="0.55000000000000004">
      <c r="A39" s="4">
        <v>16</v>
      </c>
      <c r="B39" s="16" t="s">
        <v>90</v>
      </c>
      <c r="C39" s="17" t="s">
        <v>55</v>
      </c>
      <c r="D39" s="17" t="s">
        <v>56</v>
      </c>
      <c r="E39" s="18" t="s">
        <v>40</v>
      </c>
      <c r="F39" s="19">
        <v>14</v>
      </c>
      <c r="G39" s="18" t="s">
        <v>72</v>
      </c>
      <c r="H39" s="19">
        <v>1</v>
      </c>
      <c r="I39" s="19">
        <v>1</v>
      </c>
      <c r="J39" s="20">
        <v>6120</v>
      </c>
      <c r="K39" s="21">
        <f t="shared" si="1"/>
        <v>6120</v>
      </c>
      <c r="L39" s="56" t="s">
        <v>96</v>
      </c>
    </row>
    <row r="40" spans="1:14" s="22" customFormat="1" x14ac:dyDescent="0.55000000000000004">
      <c r="A40" s="4">
        <v>17</v>
      </c>
      <c r="B40" s="16" t="s">
        <v>90</v>
      </c>
      <c r="C40" s="17" t="s">
        <v>57</v>
      </c>
      <c r="D40" s="17" t="s">
        <v>58</v>
      </c>
      <c r="E40" s="18" t="s">
        <v>40</v>
      </c>
      <c r="F40" s="19">
        <v>14</v>
      </c>
      <c r="G40" s="18" t="s">
        <v>72</v>
      </c>
      <c r="H40" s="19">
        <v>1</v>
      </c>
      <c r="I40" s="19">
        <v>1</v>
      </c>
      <c r="J40" s="20">
        <v>1100</v>
      </c>
      <c r="K40" s="21">
        <f t="shared" si="1"/>
        <v>1100</v>
      </c>
      <c r="L40" s="56" t="s">
        <v>85</v>
      </c>
    </row>
    <row r="41" spans="1:14" s="22" customFormat="1" x14ac:dyDescent="0.55000000000000004">
      <c r="A41" s="4">
        <v>18</v>
      </c>
      <c r="B41" s="16" t="s">
        <v>90</v>
      </c>
      <c r="C41" s="17" t="s">
        <v>59</v>
      </c>
      <c r="D41" s="17" t="s">
        <v>60</v>
      </c>
      <c r="E41" s="18" t="s">
        <v>40</v>
      </c>
      <c r="F41" s="19">
        <v>14</v>
      </c>
      <c r="G41" s="18" t="s">
        <v>72</v>
      </c>
      <c r="H41" s="19">
        <v>2</v>
      </c>
      <c r="I41" s="19">
        <v>2</v>
      </c>
      <c r="J41" s="20">
        <v>17300</v>
      </c>
      <c r="K41" s="21">
        <f t="shared" si="1"/>
        <v>34600</v>
      </c>
      <c r="L41" s="56" t="s">
        <v>83</v>
      </c>
    </row>
    <row r="42" spans="1:14" s="22" customFormat="1" x14ac:dyDescent="0.55000000000000004">
      <c r="A42" s="4">
        <v>19</v>
      </c>
      <c r="B42" s="16" t="s">
        <v>90</v>
      </c>
      <c r="C42" s="17" t="s">
        <v>61</v>
      </c>
      <c r="D42" s="17" t="s">
        <v>62</v>
      </c>
      <c r="E42" s="18" t="s">
        <v>40</v>
      </c>
      <c r="F42" s="19">
        <v>14</v>
      </c>
      <c r="G42" s="18" t="s">
        <v>72</v>
      </c>
      <c r="H42" s="19">
        <v>1</v>
      </c>
      <c r="I42" s="19">
        <v>1</v>
      </c>
      <c r="J42" s="20">
        <v>29000</v>
      </c>
      <c r="K42" s="21">
        <f t="shared" si="1"/>
        <v>29000</v>
      </c>
      <c r="L42" s="56" t="s">
        <v>83</v>
      </c>
    </row>
    <row r="43" spans="1:14" s="22" customFormat="1" x14ac:dyDescent="0.55000000000000004">
      <c r="A43" s="4">
        <v>20</v>
      </c>
      <c r="B43" s="16" t="s">
        <v>90</v>
      </c>
      <c r="C43" s="17" t="s">
        <v>63</v>
      </c>
      <c r="D43" s="23" t="s">
        <v>64</v>
      </c>
      <c r="E43" s="18" t="s">
        <v>40</v>
      </c>
      <c r="F43" s="19">
        <v>14</v>
      </c>
      <c r="G43" s="18" t="s">
        <v>72</v>
      </c>
      <c r="H43" s="19">
        <v>2</v>
      </c>
      <c r="I43" s="19">
        <v>2</v>
      </c>
      <c r="J43" s="21">
        <v>1700</v>
      </c>
      <c r="K43" s="21">
        <f t="shared" si="1"/>
        <v>3400</v>
      </c>
      <c r="L43" s="56" t="s">
        <v>84</v>
      </c>
    </row>
    <row r="44" spans="1:14" s="22" customFormat="1" x14ac:dyDescent="0.55000000000000004">
      <c r="A44" s="4">
        <v>21</v>
      </c>
      <c r="B44" s="16" t="s">
        <v>91</v>
      </c>
      <c r="C44" s="17" t="s">
        <v>65</v>
      </c>
      <c r="D44" s="17" t="s">
        <v>88</v>
      </c>
      <c r="E44" s="24" t="s">
        <v>26</v>
      </c>
      <c r="F44" s="19">
        <v>11</v>
      </c>
      <c r="G44" s="18" t="s">
        <v>72</v>
      </c>
      <c r="H44" s="19">
        <v>1</v>
      </c>
      <c r="I44" s="19">
        <v>1</v>
      </c>
      <c r="J44" s="20">
        <v>1100</v>
      </c>
      <c r="K44" s="21">
        <f t="shared" si="1"/>
        <v>1100</v>
      </c>
      <c r="L44" s="56" t="s">
        <v>85</v>
      </c>
    </row>
    <row r="45" spans="1:14" s="22" customFormat="1" x14ac:dyDescent="0.55000000000000004">
      <c r="A45" s="4">
        <v>22</v>
      </c>
      <c r="B45" s="16" t="s">
        <v>91</v>
      </c>
      <c r="C45" s="27" t="s">
        <v>66</v>
      </c>
      <c r="D45" s="28" t="s">
        <v>67</v>
      </c>
      <c r="E45" s="24" t="s">
        <v>26</v>
      </c>
      <c r="F45" s="19">
        <v>11</v>
      </c>
      <c r="G45" s="18" t="s">
        <v>72</v>
      </c>
      <c r="H45" s="19">
        <v>1</v>
      </c>
      <c r="I45" s="19">
        <v>1</v>
      </c>
      <c r="J45" s="21">
        <v>5350</v>
      </c>
      <c r="K45" s="21">
        <f t="shared" si="1"/>
        <v>5350</v>
      </c>
      <c r="L45" s="56" t="s">
        <v>73</v>
      </c>
    </row>
    <row r="46" spans="1:14" x14ac:dyDescent="0.55000000000000004">
      <c r="A46" s="4">
        <v>23</v>
      </c>
      <c r="B46" s="16" t="s">
        <v>91</v>
      </c>
      <c r="C46" s="17" t="s">
        <v>68</v>
      </c>
      <c r="D46" s="17" t="s">
        <v>69</v>
      </c>
      <c r="E46" s="24" t="s">
        <v>26</v>
      </c>
      <c r="F46" s="19">
        <v>11</v>
      </c>
      <c r="G46" s="18" t="s">
        <v>72</v>
      </c>
      <c r="H46" s="19">
        <v>1</v>
      </c>
      <c r="I46" s="19">
        <v>1</v>
      </c>
      <c r="J46" s="20">
        <v>2590</v>
      </c>
      <c r="K46" s="21">
        <f t="shared" si="1"/>
        <v>2590</v>
      </c>
      <c r="L46" s="56" t="s">
        <v>97</v>
      </c>
    </row>
    <row r="47" spans="1:14" x14ac:dyDescent="0.55000000000000004">
      <c r="A47" s="4">
        <v>24</v>
      </c>
      <c r="B47" s="16" t="s">
        <v>91</v>
      </c>
      <c r="C47" s="44" t="s">
        <v>70</v>
      </c>
      <c r="D47" s="45" t="s">
        <v>71</v>
      </c>
      <c r="E47" s="46" t="s">
        <v>26</v>
      </c>
      <c r="F47" s="19">
        <v>11</v>
      </c>
      <c r="G47" s="48" t="s">
        <v>72</v>
      </c>
      <c r="H47" s="47">
        <v>1</v>
      </c>
      <c r="I47" s="47">
        <v>1</v>
      </c>
      <c r="J47" s="43">
        <v>17000</v>
      </c>
      <c r="K47" s="21">
        <f t="shared" si="1"/>
        <v>17000</v>
      </c>
      <c r="L47" s="72" t="s">
        <v>86</v>
      </c>
    </row>
    <row r="48" spans="1:14" ht="24.75" thickBot="1" x14ac:dyDescent="0.6">
      <c r="A48" s="68" t="s">
        <v>5</v>
      </c>
      <c r="B48" s="69"/>
      <c r="C48" s="69"/>
      <c r="D48" s="69"/>
      <c r="E48" s="69"/>
      <c r="F48" s="69"/>
      <c r="G48" s="69"/>
      <c r="H48" s="69"/>
      <c r="I48" s="69"/>
      <c r="J48" s="70"/>
      <c r="K48" s="51">
        <f>SUM(K35:K47)</f>
        <v>183955.96000000002</v>
      </c>
      <c r="L48" s="49"/>
    </row>
    <row r="49" spans="1:12" ht="24.75" thickTop="1" x14ac:dyDescent="0.55000000000000004">
      <c r="A49" s="2"/>
      <c r="B49" s="9" t="s">
        <v>2</v>
      </c>
      <c r="C49" s="5" t="s">
        <v>17</v>
      </c>
      <c r="D49" s="2"/>
      <c r="E49" s="2"/>
      <c r="F49" s="2"/>
      <c r="G49" s="12"/>
      <c r="H49" s="2"/>
      <c r="I49" s="8"/>
      <c r="J49" s="2"/>
      <c r="K49" s="2"/>
      <c r="L49" s="10"/>
    </row>
    <row r="50" spans="1:12" x14ac:dyDescent="0.55000000000000004">
      <c r="A50" s="2"/>
      <c r="B50" s="10"/>
      <c r="C50" s="5" t="s">
        <v>18</v>
      </c>
      <c r="D50" s="2"/>
      <c r="E50" s="2"/>
      <c r="F50" s="2"/>
      <c r="G50" s="12"/>
      <c r="H50" s="7"/>
      <c r="I50" s="7"/>
      <c r="J50" s="7"/>
      <c r="K50" s="7"/>
      <c r="L50" s="7"/>
    </row>
    <row r="51" spans="1:12" x14ac:dyDescent="0.55000000000000004">
      <c r="A51" s="2"/>
      <c r="B51" s="10"/>
      <c r="C51" s="5"/>
      <c r="D51" s="2"/>
      <c r="E51" s="2"/>
      <c r="F51" s="2"/>
      <c r="G51" s="12"/>
      <c r="H51" s="7"/>
      <c r="I51" s="7"/>
      <c r="J51" s="7"/>
      <c r="K51" s="7"/>
      <c r="L51" s="7"/>
    </row>
    <row r="52" spans="1:12" x14ac:dyDescent="0.55000000000000004">
      <c r="A52" s="2"/>
      <c r="B52" s="10"/>
      <c r="C52" s="5"/>
      <c r="D52" s="2"/>
      <c r="E52" s="2"/>
      <c r="F52" s="2"/>
      <c r="G52" s="12"/>
      <c r="H52" s="71" t="s">
        <v>21</v>
      </c>
      <c r="I52" s="71"/>
      <c r="J52" s="71"/>
      <c r="K52" s="71"/>
      <c r="L52" s="7"/>
    </row>
    <row r="53" spans="1:12" x14ac:dyDescent="0.55000000000000004">
      <c r="H53" s="71" t="s">
        <v>23</v>
      </c>
      <c r="I53" s="71"/>
      <c r="J53" s="71"/>
      <c r="K53" s="71"/>
    </row>
    <row r="54" spans="1:12" x14ac:dyDescent="0.55000000000000004">
      <c r="H54" s="71" t="s">
        <v>4</v>
      </c>
      <c r="I54" s="71"/>
      <c r="J54" s="71"/>
      <c r="K54" s="71"/>
    </row>
  </sheetData>
  <mergeCells count="35">
    <mergeCell ref="H54:K54"/>
    <mergeCell ref="H53:K53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H52:K52"/>
    <mergeCell ref="A30:L30"/>
    <mergeCell ref="A31:L31"/>
    <mergeCell ref="L5:L6"/>
    <mergeCell ref="A48:J48"/>
    <mergeCell ref="H23:K23"/>
    <mergeCell ref="H24:K24"/>
    <mergeCell ref="H25:K25"/>
    <mergeCell ref="J33:J34"/>
    <mergeCell ref="K33:K34"/>
    <mergeCell ref="L33:L3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2021-11-02T10:40:48Z</cp:lastPrinted>
  <dcterms:created xsi:type="dcterms:W3CDTF">2017-11-14T01:32:33Z</dcterms:created>
  <dcterms:modified xsi:type="dcterms:W3CDTF">2022-02-28T04:38:08Z</dcterms:modified>
</cp:coreProperties>
</file>