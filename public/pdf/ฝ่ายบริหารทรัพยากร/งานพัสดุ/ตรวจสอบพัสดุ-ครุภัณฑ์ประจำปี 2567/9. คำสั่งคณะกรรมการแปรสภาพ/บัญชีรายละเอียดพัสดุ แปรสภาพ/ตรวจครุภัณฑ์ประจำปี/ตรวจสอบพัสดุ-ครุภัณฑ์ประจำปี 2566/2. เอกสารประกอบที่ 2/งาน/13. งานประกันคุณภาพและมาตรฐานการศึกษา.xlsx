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เอกสารประกอบที่ 2\งาน\"/>
    </mc:Choice>
  </mc:AlternateContent>
  <xr:revisionPtr revIDLastSave="0" documentId="13_ncr:1_{62A9B1B1-243D-49FE-BDBB-24E64E11C52C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ประกัน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2" i="11" l="1"/>
  <c r="H13" i="11" s="1"/>
  <c r="H6" i="11"/>
  <c r="H7" i="11"/>
  <c r="H8" i="11"/>
  <c r="H9" i="11"/>
  <c r="H10" i="11"/>
  <c r="H11" i="11"/>
  <c r="H5" i="11"/>
</calcChain>
</file>

<file path=xl/sharedStrings.xml><?xml version="1.0" encoding="utf-8"?>
<sst xmlns="http://schemas.openxmlformats.org/spreadsheetml/2006/main" count="47" uniqueCount="38">
  <si>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</si>
  <si>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</si>
  <si>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</si>
  <si>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</si>
  <si>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</si>
  <si>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บกศ.</t>
  </si>
  <si>
    <t>....................................................</t>
  </si>
  <si>
    <t>หัวหน้าหน่วยจ่าย/หน่วยเบิก</t>
  </si>
  <si>
    <t>รวมเป็นเงิน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</si>
  <si>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</si>
  <si>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</si>
  <si>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</si>
  <si>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</si>
  <si>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</si>
  <si>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</si>
  <si>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7430-008-0002/531-016</t>
  </si>
  <si>
    <t>HP Laserjet P1005</t>
  </si>
  <si>
    <t>7110-006-0006/531-018</t>
  </si>
  <si>
    <t>เก้าอี้  (ขาเหล็ก)  5  แฉก</t>
  </si>
  <si>
    <t>7110-007-0004/531-007</t>
  </si>
  <si>
    <t>โต๊ะเหล็ก  4  ฟุต</t>
  </si>
  <si>
    <t>6130-001-0001/531-001</t>
  </si>
  <si>
    <t>เครื่องสำรองไฟฟ้า</t>
  </si>
  <si>
    <t>7440-001-0001/551-173</t>
  </si>
  <si>
    <t>เครื่องคอมพิวเตอร์ชุด DMA</t>
  </si>
  <si>
    <t>6730-001-0001/581-001</t>
  </si>
  <si>
    <t>เครื่องฉาย Projrctor Acer P1276</t>
  </si>
  <si>
    <t>6730-002-0001/582-001</t>
  </si>
  <si>
    <t>จอ Projrctor มอเตอร์ไฟฟ้า ขนาด 120"</t>
  </si>
  <si>
    <t>บัญชีรายการ งานประกันคุณภาพและมาตรฐานการศึกษา  คงเหลือ</t>
  </si>
  <si>
    <t>2553</t>
  </si>
  <si>
    <t>2555</t>
  </si>
  <si>
    <t>2558</t>
  </si>
  <si>
    <t>ประจำปี 2565  ณ วันที่ 30 กันยายน 2565</t>
  </si>
  <si>
    <t>7440-010-0003/652-001</t>
  </si>
  <si>
    <t>เครื่องพิมพ์แบบหมีกพ่น (Ink Tank)</t>
  </si>
  <si>
    <t>(นางสาวคำโฮม  คูณสว่าง)</t>
  </si>
  <si>
    <t>28 ก.พ.65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</si>
</sst>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1">
    <xf numFmtId="0" fontId="0" fillId="0" borderId="0" xfId="0"/>
    <xf numFmtId="0" fontId="4" fillId="0" borderId="0" xfId="0" applyFont="1"/>
    <xf numFmtId="0" fontId="3" fillId="0" borderId="1" xfId="2" applyFont="1" applyBorder="1" applyAlignment="1">
      <alignment horizontal="center"/>
    </xf>
    <xf numFmtId="43" fontId="3" fillId="0" borderId="1" xfId="1" applyFont="1" applyBorder="1" applyAlignment="1">
      <alignment horizontal="center"/>
    </xf>
    <xf numFmtId="43" fontId="3" fillId="0" borderId="1" xfId="1" applyFont="1" applyBorder="1"/>
    <xf numFmtId="43" fontId="3" fillId="0" borderId="1" xfId="5" applyNumberFormat="1" applyFont="1" applyBorder="1" applyAlignment="1"/>
    <xf numFmtId="0" fontId="6" fillId="0" borderId="0" xfId="0" applyFont="1" applyBorder="1" applyAlignment="1">
      <alignment horizontal="center" vertical="center"/>
    </xf>
    <xf numFmtId="0" fontId="4" fillId="0" borderId="0" xfId="0" applyFont="1" applyBorder="1"/>
    <xf numFmtId="43" fontId="3" fillId="0" borderId="0" xfId="5" applyNumberFormat="1" applyFont="1" applyBorder="1" applyAlignment="1"/>
    <xf numFmtId="0" fontId="4" fillId="0" borderId="1" xfId="0" applyFont="1" applyBorder="1" applyAlignment="1">
      <alignment horizontal="center" vertical="center"/>
    </xf>
    <xf numFmtId="49" fontId="3" fillId="0" borderId="1" xfId="6" applyNumberFormat="1" applyFont="1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43" fontId="3" fillId="0" borderId="0" xfId="5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5" applyFont="1" applyBorder="1" applyAlignment="1"/>
    <xf numFmtId="0" fontId="3" fillId="0" borderId="1" xfId="5" applyFont="1" applyBorder="1" applyAlignment="1"/>
    <xf numFmtId="43" fontId="3" fillId="0" borderId="1" xfId="5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3" fillId="0" borderId="1" xfId="6" applyNumberFormat="1" applyFont="1" applyBorder="1"/>
    <xf numFmtId="0" fontId="3" fillId="0" borderId="1" xfId="6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/>
    </xf>
    <xf numFmtId="0" fontId="3" fillId="0" borderId="1" xfId="0" applyNumberFormat="1" applyFont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left"/>
    </xf>
    <xf numFmtId="0" fontId="3" fillId="3" borderId="1" xfId="2" applyFont="1" applyFill="1" applyBorder="1" applyAlignment="1">
      <alignment horizontal="center"/>
    </xf>
    <xf numFmtId="0" fontId="3" fillId="3" borderId="1" xfId="0" applyNumberFormat="1" applyFont="1" applyFill="1" applyBorder="1" applyAlignment="1">
      <alignment horizontal="center"/>
    </xf>
    <xf numFmtId="43" fontId="3" fillId="3" borderId="1" xfId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0" borderId="1" xfId="0" applyFont="1" applyBorder="1"/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 applyProtection="1">
      <alignment horizontal="center"/>
      <protection locked="0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990600</xdr:colOff>
      <xdr:row>0</xdr:row>
      <xdr:rowOff>123825</xdr:rowOff>
    </xdr:from>
    <xdr:to>
      <xdr:col>8</xdr:col>
      <xdr:colOff>533400</xdr:colOff>
      <xdr:row>1</xdr:row>
      <xdr:rowOff>133350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553450" y="123825"/>
          <a:ext cx="158115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L18"/>
  <sheetViews>
    <sheetView tabSelected="1" topLeftCell="A7" workbookViewId="0">
      <selection activeCell="D19" sqref="D19"/>
    </sheetView>
  </sheetViews>
  <sheetFormatPr defaultColWidth="9" defaultRowHeight="24"/>
  <cols>
    <col min="1" max="1" width="5.5703125" style="1" customWidth="1"/>
    <col min="2" max="2" width="12.7109375" style="20" customWidth="1"/>
    <col min="3" max="3" width="30.140625" style="1" customWidth="1"/>
    <col min="4" max="4" width="37.140625" style="1" customWidth="1"/>
    <col min="5" max="5" width="6.85546875" style="1" customWidth="1"/>
    <col min="6" max="6" width="6.7109375" style="1" customWidth="1"/>
    <col min="7" max="7" width="13.140625" style="1" customWidth="1"/>
    <col min="8" max="8" width="13.5703125" style="1" customWidth="1"/>
    <col min="9" max="9" width="10" style="14" customWidth="1"/>
    <col min="10" max="12" width="21" style="1" customWidth="1"/>
    <col min="13" max="16384" width="9" style="1"/>
  </cols>
  <sheetData>
    <row r="1" spans="1:12" ht="24" customHeight="1">
      <c r="A1" s="36" t="s">
        <v>3</v>
      </c>
      <c r="B1" s="36"/>
      <c r="C1" s="36"/>
      <c r="D1" s="36"/>
      <c r="E1" s="36"/>
      <c r="F1" s="36"/>
      <c r="G1" s="36"/>
      <c r="H1" s="36"/>
      <c r="I1" s="36"/>
    </row>
    <row r="2" spans="1:12" ht="24" customHeight="1">
      <c r="A2" s="36" t="s">
        <v>29</v>
      </c>
      <c r="B2" s="36"/>
      <c r="C2" s="36"/>
      <c r="D2" s="36"/>
      <c r="E2" s="36"/>
      <c r="F2" s="36"/>
      <c r="G2" s="36"/>
      <c r="H2" s="36"/>
      <c r="I2" s="36"/>
    </row>
    <row r="3" spans="1:12" ht="24" customHeight="1">
      <c r="A3" s="37" t="s">
        <v>33</v>
      </c>
      <c r="B3" s="37"/>
      <c r="C3" s="37"/>
      <c r="D3" s="37"/>
      <c r="E3" s="37"/>
      <c r="F3" s="37"/>
      <c r="G3" s="37"/>
      <c r="H3" s="37"/>
      <c r="I3" s="37"/>
    </row>
    <row r="4" spans="1:12" ht="42.75" customHeight="1">
      <c r="A4" s="11" t="s">
        <v>9</v>
      </c>
      <c r="B4" s="11" t="s">
        <v>12</v>
      </c>
      <c r="C4" s="11" t="s">
        <v>13</v>
      </c>
      <c r="D4" s="9" t="s">
        <v>0</v>
      </c>
      <c r="E4" s="11" t="s">
        <v>10</v>
      </c>
      <c r="F4" s="9" t="s">
        <v>1</v>
      </c>
      <c r="G4" s="11" t="s">
        <v>11</v>
      </c>
      <c r="H4" s="11" t="s">
        <v>14</v>
      </c>
      <c r="I4" s="9" t="s">
        <v>2</v>
      </c>
      <c r="J4" s="6"/>
      <c r="K4" s="6"/>
      <c r="L4" s="6"/>
    </row>
    <row r="5" spans="1:12">
      <c r="A5" s="21">
        <v>1</v>
      </c>
      <c r="B5" s="22" t="s">
        <v>30</v>
      </c>
      <c r="C5" s="10" t="s">
        <v>15</v>
      </c>
      <c r="D5" s="23" t="s">
        <v>16</v>
      </c>
      <c r="E5" s="2" t="s">
        <v>4</v>
      </c>
      <c r="F5" s="24">
        <v>1</v>
      </c>
      <c r="G5" s="4">
        <v>3700</v>
      </c>
      <c r="H5" s="4">
        <f>SUM(F5*G5)</f>
        <v>3700</v>
      </c>
      <c r="I5" s="15"/>
      <c r="J5" s="7"/>
      <c r="K5" s="7"/>
      <c r="L5" s="7"/>
    </row>
    <row r="6" spans="1:12">
      <c r="A6" s="25">
        <v>2</v>
      </c>
      <c r="B6" s="22" t="s">
        <v>30</v>
      </c>
      <c r="C6" s="10" t="s">
        <v>17</v>
      </c>
      <c r="D6" s="23" t="s">
        <v>18</v>
      </c>
      <c r="E6" s="2" t="s">
        <v>4</v>
      </c>
      <c r="F6" s="24">
        <v>1</v>
      </c>
      <c r="G6" s="4">
        <v>1100</v>
      </c>
      <c r="H6" s="4">
        <f t="shared" ref="H6:H10" si="0">SUM(F6*G6)</f>
        <v>1100</v>
      </c>
      <c r="I6" s="15"/>
      <c r="J6" s="7"/>
      <c r="K6" s="7"/>
      <c r="L6" s="7"/>
    </row>
    <row r="7" spans="1:12">
      <c r="A7" s="21">
        <v>3</v>
      </c>
      <c r="B7" s="22" t="s">
        <v>30</v>
      </c>
      <c r="C7" s="10" t="s">
        <v>19</v>
      </c>
      <c r="D7" s="23" t="s">
        <v>20</v>
      </c>
      <c r="E7" s="2" t="s">
        <v>4</v>
      </c>
      <c r="F7" s="24">
        <v>1</v>
      </c>
      <c r="G7" s="4">
        <v>3750</v>
      </c>
      <c r="H7" s="4">
        <f t="shared" si="0"/>
        <v>3750</v>
      </c>
      <c r="I7" s="15"/>
      <c r="J7" s="7"/>
      <c r="K7" s="7"/>
      <c r="L7" s="7"/>
    </row>
    <row r="8" spans="1:12">
      <c r="A8" s="25">
        <v>4</v>
      </c>
      <c r="B8" s="22" t="s">
        <v>30</v>
      </c>
      <c r="C8" s="26" t="s">
        <v>21</v>
      </c>
      <c r="D8" s="26" t="s">
        <v>22</v>
      </c>
      <c r="E8" s="2" t="s">
        <v>4</v>
      </c>
      <c r="F8" s="27">
        <v>1</v>
      </c>
      <c r="G8" s="3">
        <v>2590</v>
      </c>
      <c r="H8" s="4">
        <f t="shared" si="0"/>
        <v>2590</v>
      </c>
      <c r="I8" s="15"/>
      <c r="J8" s="7"/>
      <c r="K8" s="7"/>
      <c r="L8" s="7"/>
    </row>
    <row r="9" spans="1:12">
      <c r="A9" s="21">
        <v>5</v>
      </c>
      <c r="B9" s="22" t="s">
        <v>31</v>
      </c>
      <c r="C9" s="26" t="s">
        <v>23</v>
      </c>
      <c r="D9" s="26" t="s">
        <v>24</v>
      </c>
      <c r="E9" s="2" t="s">
        <v>4</v>
      </c>
      <c r="F9" s="27">
        <v>1</v>
      </c>
      <c r="G9" s="3">
        <v>18000</v>
      </c>
      <c r="H9" s="4">
        <f t="shared" si="0"/>
        <v>18000</v>
      </c>
      <c r="I9" s="15"/>
      <c r="J9" s="7"/>
      <c r="K9" s="7"/>
      <c r="L9" s="7"/>
    </row>
    <row r="10" spans="1:12">
      <c r="A10" s="25">
        <v>6</v>
      </c>
      <c r="B10" s="28" t="s">
        <v>32</v>
      </c>
      <c r="C10" s="29" t="s">
        <v>25</v>
      </c>
      <c r="D10" s="29" t="s">
        <v>26</v>
      </c>
      <c r="E10" s="30" t="s">
        <v>4</v>
      </c>
      <c r="F10" s="31">
        <v>1</v>
      </c>
      <c r="G10" s="32">
        <v>23590</v>
      </c>
      <c r="H10" s="4">
        <f t="shared" si="0"/>
        <v>23590</v>
      </c>
      <c r="I10" s="15"/>
      <c r="J10" s="7"/>
      <c r="K10" s="7"/>
      <c r="L10" s="7"/>
    </row>
    <row r="11" spans="1:12">
      <c r="A11" s="21">
        <v>7</v>
      </c>
      <c r="B11" s="33">
        <v>2558</v>
      </c>
      <c r="C11" s="29" t="s">
        <v>27</v>
      </c>
      <c r="D11" s="29" t="s">
        <v>28</v>
      </c>
      <c r="E11" s="30" t="s">
        <v>5</v>
      </c>
      <c r="F11" s="31">
        <v>1</v>
      </c>
      <c r="G11" s="32">
        <v>10910</v>
      </c>
      <c r="H11" s="4">
        <f>SUM(F11*G11)</f>
        <v>10910</v>
      </c>
      <c r="I11" s="15"/>
      <c r="J11" s="7"/>
      <c r="K11" s="7"/>
      <c r="L11" s="7"/>
    </row>
    <row r="12" spans="1:12">
      <c r="A12" s="25">
        <v>8</v>
      </c>
      <c r="B12" s="28" t="s">
        <v>37</v>
      </c>
      <c r="C12" s="34" t="s">
        <v>34</v>
      </c>
      <c r="D12" s="34" t="s">
        <v>35</v>
      </c>
      <c r="E12" s="30" t="s">
        <v>5</v>
      </c>
      <c r="F12" s="15">
        <v>1</v>
      </c>
      <c r="G12" s="32">
        <v>5690</v>
      </c>
      <c r="H12" s="4">
        <f>SUM(F12*G12)</f>
        <v>5690</v>
      </c>
      <c r="I12" s="15"/>
      <c r="J12" s="7"/>
      <c r="K12" s="7"/>
      <c r="L12" s="7"/>
    </row>
    <row r="13" spans="1:12">
      <c r="A13" s="38" t="s">
        <v>8</v>
      </c>
      <c r="B13" s="39"/>
      <c r="C13" s="39"/>
      <c r="D13" s="39"/>
      <c r="E13" s="40"/>
      <c r="F13" s="5"/>
      <c r="G13" s="17"/>
      <c r="H13" s="18">
        <f>SUM(H5:H12)</f>
        <v>69330</v>
      </c>
      <c r="I13" s="15"/>
      <c r="J13" s="7"/>
      <c r="K13" s="7"/>
      <c r="L13" s="7"/>
    </row>
    <row r="14" spans="1:12" ht="30.75" customHeight="1">
      <c r="A14" s="13"/>
      <c r="B14" s="19"/>
      <c r="C14" s="13"/>
      <c r="D14" s="13"/>
      <c r="E14" s="13"/>
      <c r="F14" s="8"/>
      <c r="G14" s="16"/>
      <c r="H14" s="12"/>
      <c r="I14" s="13"/>
      <c r="J14" s="7"/>
      <c r="K14" s="7"/>
      <c r="L14" s="7"/>
    </row>
    <row r="15" spans="1:12" ht="31.5" customHeight="1">
      <c r="F15" s="35" t="s">
        <v>6</v>
      </c>
      <c r="G15" s="35"/>
      <c r="H15" s="35"/>
      <c r="I15" s="35"/>
      <c r="J15" s="13"/>
      <c r="K15" s="13"/>
      <c r="L15" s="13"/>
    </row>
    <row r="16" spans="1:12">
      <c r="F16" s="35" t="s">
        <v>36</v>
      </c>
      <c r="G16" s="35"/>
      <c r="H16" s="35"/>
      <c r="I16" s="35"/>
      <c r="J16" s="13"/>
      <c r="K16" s="13"/>
      <c r="L16" s="13"/>
    </row>
    <row r="17" spans="6:12">
      <c r="F17" s="35" t="s">
        <v>7</v>
      </c>
      <c r="G17" s="35"/>
      <c r="H17" s="35"/>
      <c r="I17" s="35"/>
      <c r="J17" s="13"/>
      <c r="K17" s="13"/>
      <c r="L17" s="13"/>
    </row>
    <row r="18" spans="6:12" ht="16.5" customHeight="1"/>
  </sheetData>
  <mergeCells count="7">
    <mergeCell ref="F15:I15"/>
    <mergeCell ref="F16:I16"/>
    <mergeCell ref="F17:I17"/>
    <mergeCell ref="A1:I1"/>
    <mergeCell ref="A2:I2"/>
    <mergeCell ref="A3:I3"/>
    <mergeCell ref="A13:E13"/>
  </mergeCells>
  <printOptions horizontalCentered="1"/>
  <pageMargins left="0.19685039370078741" right="0" top="0.59055118110236227" bottom="0.19685039370078741" header="0" footer="0"/>
  <pageSetup paperSize="9" scale="75" fitToWidth="0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งานประกัน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2022-10-07T07:34:55Z</cp:lastPrinted>
  <dcterms:created xsi:type="dcterms:W3CDTF">2017-11-14T01:32:33Z</dcterms:created>
  <dcterms:modified xsi:type="dcterms:W3CDTF">2022-10-07T07:34:57Z</dcterms:modified>
</cp:coreProperties>
</file>