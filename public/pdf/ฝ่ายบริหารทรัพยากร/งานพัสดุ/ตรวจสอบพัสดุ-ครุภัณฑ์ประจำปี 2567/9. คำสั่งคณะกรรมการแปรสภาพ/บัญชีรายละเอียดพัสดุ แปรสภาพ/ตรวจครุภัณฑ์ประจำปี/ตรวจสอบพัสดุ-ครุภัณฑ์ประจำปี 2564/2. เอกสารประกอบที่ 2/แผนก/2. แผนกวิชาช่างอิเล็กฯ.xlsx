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35CD7D14-7AA1-4AA2-BF3F-FCA65E6F415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อิเล็กทรอนิกส์" sheetId="31" r:id="rId1"/>
  </sheets>
  <definedNames>
    <definedName name="_xlnm.Print_Titles" localSheetId="0">แผนกช่างอิเล็กทรอนิกส์!$1:$4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9" i="31" l="1"/>
  <c r="H108" i="31"/>
  <c r="H107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93" i="31"/>
  <c r="H92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91" i="31"/>
  <c r="H49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8" i="31"/>
  <c r="H5" i="31"/>
  <c r="H46" i="31" l="1"/>
  <c r="H47" i="31" s="1"/>
  <c r="H89" i="31" s="1"/>
  <c r="H90" i="31" s="1"/>
  <c r="H110" i="31" s="1"/>
</calcChain>
</file>

<file path=xl/sharedStrings.xml><?xml version="1.0" encoding="utf-8"?>
<sst xmlns="http://schemas.openxmlformats.org/spreadsheetml/2006/main" count="388" uniqueCount="231">
  <si>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</si>
  <si>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</si>
  <si>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</si>
  <si>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</si>
  <si>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</si>
  <si>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</si>
  <si>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</si>
  <si>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</si>
  <si>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</si>
  <si>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</si>
  <si>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</si>
  <si>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</si>
  <si>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</si>
  <si>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</si>
  <si>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</si>
  <si>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</si>
  <si>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</si>
  <si>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บริจาค</t>
  </si>
  <si>
    <t>บัญชีรายการ แผนกวิชาช่างอิเล็กทรอนิกส์ คงเหลือ</t>
  </si>
  <si>
    <t>6150-003-0004/391-001-391-020</t>
  </si>
  <si>
    <t>เครื่องจ่ายไฟกระแสตรง</t>
  </si>
  <si>
    <t>มัลติมิเตอร์</t>
  </si>
  <si>
    <t>6625-002-0003/391-001-391-010</t>
  </si>
  <si>
    <t>ชุดทดลองวงจรไฟฟ้ากระแสตรงและกระแสสลับ</t>
  </si>
  <si>
    <t>6625-003-0008/391-001-391-020</t>
  </si>
  <si>
    <t>ดิจิตอลมัลติมิเตอร์</t>
  </si>
  <si>
    <t>6910-001-0010/391-001-391-009</t>
  </si>
  <si>
    <t>ชุดฝึกวงจรอิเล็กทรอนิกส์</t>
  </si>
  <si>
    <t>6120-003-0002/391-001-391-009</t>
  </si>
  <si>
    <t>หม้อแปลงไฟฟ้าแบบเปลี่ยนค่าได้</t>
  </si>
  <si>
    <t>6635-015-0004/391-001-391-010</t>
  </si>
  <si>
    <t>เครื่องฝึกเครื่องมือทดสอบไฟฟ้าและอิเล็กทรอนิกส์</t>
  </si>
  <si>
    <t>6910-001-0005/391-001-391-009</t>
  </si>
  <si>
    <t>ชุดฝึกอิเล็กทรอนิกส์เบื้องต้น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</si>
  <si>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</si>
  <si>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</si>
  <si>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</si>
  <si>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</si>
  <si>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</si>
  <si>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</si>
  <si>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</si>
  <si>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</si>
  <si>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</si>
  <si>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เครื่องวัดความต้านทานแบบดีเดลสำหรับฝึก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</si>
  <si>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</si>
  <si>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</si>
  <si>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</si>
  <si>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</si>
  <si>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</si>
  <si>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</si>
  <si>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</si>
  <si>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</si>
  <si>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</si>
  <si>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</si>
  <si>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</si>
  <si>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</si>
  <si>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</si>
  <si>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</si>
  <si>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</si>
  <si>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</si>
  <si>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</si>
  <si>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</si>
  <si>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</si>
  <si>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</si>
  <si>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</si>
  <si>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</si>
  <si>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</si>
  <si>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5825-020-0001/401-004-401-023</t>
  </si>
  <si>
    <t>เครื่องรับโทรทัศน์</t>
  </si>
  <si>
    <t>5835-013-0002/401-001</t>
  </si>
  <si>
    <t>ชุดฝึกระบบเสียงสาธารณะ</t>
  </si>
  <si>
    <t>5835-013-0001/401-001-401-002</t>
  </si>
  <si>
    <t>ชุดฝึกระบบเสียงในรถยนต์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</si>
  <si>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</si>
  <si>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</si>
  <si>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</si>
  <si>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</si>
  <si>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</si>
  <si>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</si>
  <si>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</si>
  <si>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</si>
  <si>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</si>
  <si>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</si>
  <si>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5826-019-0001/411-001-411-002</t>
  </si>
  <si>
    <t>ชุดฝึกเครื่องส่งเอเอ็มเอฟเอ็มสเตอริโอ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</si>
  <si>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</si>
  <si>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</si>
  <si>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</si>
  <si>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</si>
  <si>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</si>
  <si>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</si>
  <si>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</si>
  <si>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เครื่องเล่นวีดีโอ  HIFI NV FJ8MK 2 AM PANASONIC</t>
  </si>
  <si>
    <t>5820-015-0001/452-003</t>
  </si>
  <si>
    <t>วีดีโอ 2 หัวเทปจูนเนอร์ NV-SJ 230AM PANASONIC</t>
  </si>
  <si>
    <t>5820-015-0002/452-001</t>
  </si>
  <si>
    <t>วีดีโอ ซีดี MRS- 999 SVCD</t>
  </si>
  <si>
    <t>5820-015-0013/452-001</t>
  </si>
  <si>
    <t>เครื่องเล่น  DVD -XV 10 GCSS</t>
  </si>
  <si>
    <t>5820-011-0001/451-001</t>
  </si>
  <si>
    <t>ชุดสาธิตโทรทัศน์ระบบ MATV , CATV</t>
  </si>
  <si>
    <t>ยอดยกไป</t>
  </si>
  <si>
    <t>ยอดยกมา</t>
  </si>
  <si>
    <t>5820-005-0001/451-001</t>
  </si>
  <si>
    <t>ชุดสาธิตโทรทัศน์วงจรปิด</t>
  </si>
  <si>
    <t>5825-020-0001/452-002</t>
  </si>
  <si>
    <t>เครื่องรับโทรทัศน์ สี 14" พานโซนิค</t>
  </si>
  <si>
    <t>6910-001-0016/461-001-005</t>
  </si>
  <si>
    <t>ชุดฝึกไฟเบอร์ออฟติก</t>
  </si>
  <si>
    <t>5915-005-0001/461-001</t>
  </si>
  <si>
    <t>เครื่องวิเคราะห์สายอากาศ</t>
  </si>
  <si>
    <t>6910-001-0017/461-001-461-002</t>
  </si>
  <si>
    <t>ชุดฝึกรับ-ส่งวิทยุสื่อสารสำหรับฝึก</t>
  </si>
  <si>
    <t>6625-003-0004/462-002,003,008,
010,011,012,029,030</t>
  </si>
  <si>
    <t>7440-001-0001/462-007</t>
  </si>
  <si>
    <t>ชุดเครื่องคอมพิวเตอร์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</si>
  <si>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</si>
  <si>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</si>
  <si>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</si>
  <si>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</si>
  <si>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7125-001-0001/462-001</t>
  </si>
  <si>
    <t>ตู้ล็อกเกอร์  12  ช่อง</t>
  </si>
  <si>
    <t>การ์ดติดตั้งวีดีโอ</t>
  </si>
  <si>
    <t>5835-001-0001/462-001</t>
  </si>
  <si>
    <t>เครื่องขยายเสียงแบบเพาแอมป์</t>
  </si>
  <si>
    <t>4141-001-0001/462-012</t>
  </si>
  <si>
    <t>พัดลมตั้งพื้น 16 นิ้ว</t>
  </si>
  <si>
    <t>7740-004-0001/462-003</t>
  </si>
  <si>
    <t>เครื่อง  CD  RW</t>
  </si>
  <si>
    <t>7440-010-0001/462-002</t>
  </si>
  <si>
    <t>เครื่องสแกนเนอร์</t>
  </si>
  <si>
    <t>5895-004-0001/462-001</t>
  </si>
  <si>
    <t>เครื่องช่วยซาวด์กลอง  DM5</t>
  </si>
  <si>
    <t>6910-001-0015/461-001-05</t>
  </si>
  <si>
    <t>ชุดฝึกเครื่องขยายเสียง</t>
  </si>
  <si>
    <t>5965-007-0001/461-001-002</t>
  </si>
  <si>
    <t>ไมโครโฟนไร้สาย</t>
  </si>
  <si>
    <t>5825-020-0001/471-024</t>
  </si>
  <si>
    <t>โทรทัศน์สีชนิดจอแบนขนาด  29  นิ้ว</t>
  </si>
  <si>
    <t>5825-020-0001/473-001</t>
  </si>
  <si>
    <t>โทรทัศน์สีชนิดจอแบนขนาด  21  นิ้ว</t>
  </si>
  <si>
    <t>7440-001-0003/471-001</t>
  </si>
  <si>
    <t>ชุดออกแบบลายวงจรด้วยคอมพิวเตอร์</t>
  </si>
  <si>
    <t>6720-005-0002/472-002</t>
  </si>
  <si>
    <t>กล้องดิจิตอล</t>
  </si>
  <si>
    <t>4140-001-0001/483-020-025</t>
  </si>
  <si>
    <t>พัดลมติดผนัง 16 นิ้ว</t>
  </si>
  <si>
    <t>4140-001-0001/483-026-035</t>
  </si>
  <si>
    <t>พัดลมติดผนัง</t>
  </si>
  <si>
    <t>5965-007-0001/483-001-002</t>
  </si>
  <si>
    <t>ไมโครโฟนไร้สายชนิดคู่</t>
  </si>
  <si>
    <t>6310-002-0001/482-001</t>
  </si>
  <si>
    <t>ชุดรับสัญญาณดาวเทียม</t>
  </si>
  <si>
    <t>6730-001-0003/492-001</t>
  </si>
  <si>
    <t>เครื่องโปรเจคเตอร์พร้อมจอ 70 นิ้ว</t>
  </si>
  <si>
    <t>6730-001-0002/492-001</t>
  </si>
  <si>
    <t>เครื่องฉายภาพ 3 มิติ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</si>
  <si>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</si>
  <si>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</si>
  <si>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</si>
  <si>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</si>
  <si>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</si>
  <si>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</si>
  <si>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</si>
  <si>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</si>
  <si>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7440-009-0002/492-001-005</t>
  </si>
  <si>
    <t>LAN CARD 10/100/1000</t>
  </si>
  <si>
    <t>LAN CARD 10/100</t>
  </si>
  <si>
    <t>7440-009-0003/492-001</t>
  </si>
  <si>
    <t>ตัวแปลงสัญญาณไฟเบอร์</t>
  </si>
  <si>
    <t>5835-002-0003/492-001</t>
  </si>
  <si>
    <t>มิกเซอร์ 24 ช่อง</t>
  </si>
  <si>
    <t>7740-004-0001/502-008</t>
  </si>
  <si>
    <t>5835-001-0001/504-001-004</t>
  </si>
  <si>
    <t>เครื่องเสียง</t>
  </si>
  <si>
    <t>ปกอ.</t>
  </si>
  <si>
    <t>6710-004-0002/502-001</t>
  </si>
  <si>
    <t>กล้องวีดีโอ SONY DCR-SR40E</t>
  </si>
  <si>
    <t>7440-009-0003/502-002</t>
  </si>
  <si>
    <t>ฮาร์ดดิส 250 GB</t>
  </si>
  <si>
    <t>7440-010-0010/502-001</t>
  </si>
  <si>
    <t>เครื่องสำรองไฟ</t>
  </si>
  <si>
    <t>6720-008-0002/502-001-006</t>
  </si>
  <si>
    <t>กล้องวงจรปิด LYD 808</t>
  </si>
  <si>
    <t>7440-009-0001/502-001</t>
  </si>
  <si>
    <t>การ์ด SKY 8800</t>
  </si>
  <si>
    <t>7440-001-0004/501-001</t>
  </si>
  <si>
    <t xml:space="preserve">CASE SERVER </t>
  </si>
  <si>
    <t>5805-009-0001/512-001</t>
  </si>
  <si>
    <t>ตู้สาขาโทรศัพท์</t>
  </si>
  <si>
    <t>6730-001-0003/521-004</t>
  </si>
  <si>
    <t>เครื่องมัลติมีเดียโปรเจคเตอร์ ACER P1166P</t>
  </si>
  <si>
    <t>6720-005-0003/521-001</t>
  </si>
  <si>
    <t>กล้องถ่ายภาพนิ่ง NIKON รุ่น COOLPIX P90</t>
  </si>
  <si>
    <t>6710-004-0003/521-001</t>
  </si>
  <si>
    <t>กล้องวีดีโอ HARD DISH SONY DCR-SR67E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</si>
  <si>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</si>
  <si>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</si>
  <si>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</si>
  <si>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</si>
  <si>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</si>
  <si>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</si>
  <si>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7110-07-0001/531-005-021</t>
  </si>
  <si>
    <t>โต๊ะคอมพิวเตอร์  80*60*75  ขาเหล็ก</t>
  </si>
  <si>
    <t>7110-006-0007/531-001-050</t>
  </si>
  <si>
    <t>เก้าอี้ขาเหล็กไม้ยางพารา</t>
  </si>
  <si>
    <t>7110-006-020/531-001-020</t>
  </si>
  <si>
    <t>เก้าอี้นั่งโพลีโพลพิลีน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</si>
  <si>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</si>
  <si>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</si>
  <si>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</si>
  <si>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</si>
  <si>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</si>
  <si>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</si>
  <si>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25 ม.ค. 62</t>
  </si>
  <si>
    <t>3910-002-0001/621-001</t>
  </si>
  <si>
    <t xml:space="preserve">ชุดห้องเรียนอัฉริยะ  </t>
  </si>
  <si>
    <t>(นายสุวรรณ  บุษภาค)</t>
  </si>
  <si>
    <t>8 มิ.ย.64</t>
  </si>
  <si>
    <t>7440-010-0002/642-010(13)</t>
  </si>
  <si>
    <t>เครื่องพิมพ์เลเซอร์</t>
  </si>
  <si>
    <t>2539</t>
  </si>
  <si>
    <t>2541</t>
  </si>
  <si>
    <t>2545</t>
  </si>
  <si>
    <t>2547</t>
  </si>
  <si>
    <t>2548</t>
  </si>
  <si>
    <t>2549</t>
  </si>
  <si>
    <t>2551</t>
  </si>
  <si>
    <t>2552</t>
  </si>
  <si>
    <t>2553</t>
  </si>
  <si>
    <t>6625-003-0004/391-023,25,
26,28-31,33-37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</si>
</sst>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0" xfId="6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3" fillId="0" borderId="5" xfId="1" applyFont="1" applyBorder="1"/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43" fontId="3" fillId="0" borderId="0" xfId="12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Border="1" applyAlignment="1">
      <alignment horizontal="center"/>
    </xf>
    <xf numFmtId="43" fontId="3" fillId="0" borderId="6" xfId="1" applyFont="1" applyBorder="1"/>
    <xf numFmtId="43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0" fontId="8" fillId="0" borderId="5" xfId="6" applyFont="1" applyBorder="1"/>
    <xf numFmtId="49" fontId="3" fillId="0" borderId="1" xfId="13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3" fillId="0" borderId="6" xfId="1" applyNumberFormat="1" applyFont="1" applyBorder="1" applyAlignment="1">
      <alignment horizontal="center"/>
    </xf>
    <xf numFmtId="49" fontId="3" fillId="0" borderId="1" xfId="7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8" fillId="0" borderId="1" xfId="6" applyFont="1" applyBorder="1"/>
    <xf numFmtId="0" fontId="3" fillId="2" borderId="5" xfId="0" applyFont="1" applyFill="1" applyBorder="1" applyAlignment="1">
      <alignment horizontal="center" vertical="top"/>
    </xf>
    <xf numFmtId="0" fontId="3" fillId="0" borderId="1" xfId="6" applyFont="1" applyBorder="1" applyAlignment="1">
      <alignment horizontal="left" vertical="top" wrapText="1"/>
    </xf>
    <xf numFmtId="0" fontId="3" fillId="0" borderId="1" xfId="6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Fill="1" applyBorder="1"/>
    <xf numFmtId="0" fontId="3" fillId="0" borderId="1" xfId="6" applyFont="1" applyFill="1" applyBorder="1" applyAlignment="1">
      <alignment horizontal="center"/>
    </xf>
    <xf numFmtId="43" fontId="3" fillId="0" borderId="1" xfId="1" applyFont="1" applyFill="1" applyBorder="1"/>
    <xf numFmtId="0" fontId="3" fillId="0" borderId="1" xfId="6" applyFont="1" applyFill="1" applyBorder="1" applyAlignment="1">
      <alignment horizontal="left"/>
    </xf>
    <xf numFmtId="43" fontId="3" fillId="0" borderId="1" xfId="1" applyNumberFormat="1" applyFont="1" applyBorder="1"/>
    <xf numFmtId="43" fontId="3" fillId="0" borderId="1" xfId="1" applyNumberFormat="1" applyFont="1" applyFill="1" applyBorder="1"/>
    <xf numFmtId="43" fontId="4" fillId="0" borderId="6" xfId="0" applyNumberFormat="1" applyFont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top"/>
    </xf>
    <xf numFmtId="0" fontId="3" fillId="0" borderId="5" xfId="6" applyFont="1" applyBorder="1" applyAlignment="1">
      <alignment horizontal="left" vertical="top" wrapText="1"/>
    </xf>
    <xf numFmtId="0" fontId="3" fillId="0" borderId="5" xfId="6" applyFont="1" applyBorder="1" applyAlignment="1">
      <alignment vertical="top"/>
    </xf>
    <xf numFmtId="0" fontId="3" fillId="0" borderId="5" xfId="2" applyFont="1" applyBorder="1" applyAlignment="1">
      <alignment horizontal="center" vertical="top"/>
    </xf>
    <xf numFmtId="0" fontId="3" fillId="0" borderId="5" xfId="6" applyFont="1" applyBorder="1" applyAlignment="1">
      <alignment horizontal="center" vertical="top"/>
    </xf>
    <xf numFmtId="43" fontId="3" fillId="0" borderId="5" xfId="1" applyFont="1" applyBorder="1" applyAlignment="1">
      <alignment vertical="top"/>
    </xf>
    <xf numFmtId="43" fontId="4" fillId="0" borderId="6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885826</xdr:colOff>
      <xdr:row>0</xdr:row>
      <xdr:rowOff>171450</xdr:rowOff>
    </xdr:from>
    <xdr:to>
      <xdr:col>8</xdr:col>
      <xdr:colOff>561976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81951" y="171450"/>
          <a:ext cx="15906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116"/>
  <sheetViews>
    <sheetView tabSelected="1" zoomScaleNormal="100" workbookViewId="0">
      <selection activeCell="K4" sqref="K3:K4"/>
    </sheetView>
  </sheetViews>
  <sheetFormatPr defaultColWidth="9" defaultRowHeight="24"/>
  <cols>
    <col min="1" max="1" width="5.5703125" style="2" customWidth="1"/>
    <col min="2" max="2" width="10.85546875" style="2" customWidth="1"/>
    <col min="3" max="3" width="34.140625" style="2" customWidth="1"/>
    <col min="4" max="4" width="39.7109375" style="2" customWidth="1"/>
    <col min="5" max="5" width="6.85546875" style="2" customWidth="1"/>
    <col min="6" max="6" width="6.7109375" style="2" customWidth="1"/>
    <col min="7" max="7" width="14.28515625" style="2" customWidth="1"/>
    <col min="8" max="8" width="15.7109375" style="2" customWidth="1"/>
    <col min="9" max="9" width="9.42578125" style="24" customWidth="1"/>
    <col min="10" max="10" width="14.28515625" style="2" customWidth="1"/>
    <col min="11" max="16384" width="9" style="2"/>
  </cols>
  <sheetData>
    <row r="1" spans="1:10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24"/>
    </row>
    <row r="2" spans="1:10">
      <c r="A2" s="67" t="s">
        <v>18</v>
      </c>
      <c r="B2" s="67"/>
      <c r="C2" s="67"/>
      <c r="D2" s="67"/>
      <c r="E2" s="67"/>
      <c r="F2" s="67"/>
      <c r="G2" s="67"/>
      <c r="H2" s="67"/>
      <c r="I2" s="67"/>
      <c r="J2" s="25"/>
    </row>
    <row r="3" spans="1:10">
      <c r="A3" s="68" t="s">
        <v>16</v>
      </c>
      <c r="B3" s="68"/>
      <c r="C3" s="68"/>
      <c r="D3" s="68"/>
      <c r="E3" s="68"/>
      <c r="F3" s="68"/>
      <c r="G3" s="68"/>
      <c r="H3" s="68"/>
      <c r="I3" s="68"/>
      <c r="J3" s="21"/>
    </row>
    <row r="4" spans="1:10" ht="45.75" customHeight="1">
      <c r="A4" s="11" t="s">
        <v>10</v>
      </c>
      <c r="B4" s="11" t="s">
        <v>13</v>
      </c>
      <c r="C4" s="11" t="s">
        <v>14</v>
      </c>
      <c r="D4" s="9" t="s">
        <v>0</v>
      </c>
      <c r="E4" s="11" t="s">
        <v>11</v>
      </c>
      <c r="F4" s="9" t="s">
        <v>1</v>
      </c>
      <c r="G4" s="11" t="s">
        <v>12</v>
      </c>
      <c r="H4" s="11" t="s">
        <v>15</v>
      </c>
      <c r="I4" s="11" t="s">
        <v>2</v>
      </c>
    </row>
    <row r="5" spans="1:10" ht="24" customHeight="1">
      <c r="A5" s="29">
        <v>1</v>
      </c>
      <c r="B5" s="7" t="s">
        <v>221</v>
      </c>
      <c r="C5" s="3" t="s">
        <v>19</v>
      </c>
      <c r="D5" s="1" t="s">
        <v>20</v>
      </c>
      <c r="E5" s="4" t="s">
        <v>3</v>
      </c>
      <c r="F5" s="30">
        <v>20</v>
      </c>
      <c r="G5" s="6">
        <v>9990</v>
      </c>
      <c r="H5" s="54">
        <f>SUM(F5*G5)</f>
        <v>199800</v>
      </c>
      <c r="I5" s="11"/>
    </row>
    <row r="6" spans="1:10" ht="46.5" customHeight="1">
      <c r="A6" s="42">
        <v>2</v>
      </c>
      <c r="B6" s="55" t="s">
        <v>221</v>
      </c>
      <c r="C6" s="56" t="s">
        <v>230</v>
      </c>
      <c r="D6" s="57" t="s">
        <v>21</v>
      </c>
      <c r="E6" s="58" t="s">
        <v>3</v>
      </c>
      <c r="F6" s="59">
        <v>10</v>
      </c>
      <c r="G6" s="60">
        <v>4980</v>
      </c>
      <c r="H6" s="61">
        <f t="shared" ref="H6:H48" si="0">SUM(F6*G6)</f>
        <v>49800</v>
      </c>
      <c r="I6" s="62"/>
    </row>
    <row r="7" spans="1:10" ht="24" customHeight="1">
      <c r="A7" s="29">
        <v>3</v>
      </c>
      <c r="B7" s="7" t="s">
        <v>221</v>
      </c>
      <c r="C7" s="14" t="s">
        <v>22</v>
      </c>
      <c r="D7" s="34" t="s">
        <v>23</v>
      </c>
      <c r="E7" s="32" t="s">
        <v>3</v>
      </c>
      <c r="F7" s="33">
        <v>10</v>
      </c>
      <c r="G7" s="12">
        <v>34970</v>
      </c>
      <c r="H7" s="54">
        <f t="shared" si="0"/>
        <v>349700</v>
      </c>
      <c r="I7" s="11"/>
    </row>
    <row r="8" spans="1:10" ht="24" customHeight="1">
      <c r="A8" s="31">
        <v>4</v>
      </c>
      <c r="B8" s="7" t="s">
        <v>221</v>
      </c>
      <c r="C8" s="3" t="s">
        <v>24</v>
      </c>
      <c r="D8" s="1" t="s">
        <v>25</v>
      </c>
      <c r="E8" s="4" t="s">
        <v>3</v>
      </c>
      <c r="F8" s="30">
        <v>20</v>
      </c>
      <c r="G8" s="6">
        <v>14980</v>
      </c>
      <c r="H8" s="54">
        <f t="shared" si="0"/>
        <v>299600</v>
      </c>
      <c r="I8" s="11"/>
    </row>
    <row r="9" spans="1:10" ht="24" customHeight="1">
      <c r="A9" s="29">
        <v>5</v>
      </c>
      <c r="B9" s="7" t="s">
        <v>221</v>
      </c>
      <c r="C9" s="3" t="s">
        <v>26</v>
      </c>
      <c r="D9" s="1" t="s">
        <v>27</v>
      </c>
      <c r="E9" s="4" t="s">
        <v>3</v>
      </c>
      <c r="F9" s="30">
        <v>9</v>
      </c>
      <c r="G9" s="6">
        <v>57950</v>
      </c>
      <c r="H9" s="54">
        <f t="shared" si="0"/>
        <v>521550</v>
      </c>
      <c r="I9" s="11"/>
    </row>
    <row r="10" spans="1:10" ht="24" customHeight="1">
      <c r="A10" s="31">
        <v>6</v>
      </c>
      <c r="B10" s="7" t="s">
        <v>221</v>
      </c>
      <c r="C10" s="3" t="s">
        <v>28</v>
      </c>
      <c r="D10" s="1" t="s">
        <v>29</v>
      </c>
      <c r="E10" s="4" t="s">
        <v>3</v>
      </c>
      <c r="F10" s="30">
        <v>9</v>
      </c>
      <c r="G10" s="6">
        <v>3450</v>
      </c>
      <c r="H10" s="54">
        <f t="shared" si="0"/>
        <v>31050</v>
      </c>
      <c r="I10" s="11"/>
    </row>
    <row r="11" spans="1:10" ht="24" customHeight="1">
      <c r="A11" s="29">
        <v>7</v>
      </c>
      <c r="B11" s="7" t="s">
        <v>221</v>
      </c>
      <c r="C11" s="14" t="s">
        <v>30</v>
      </c>
      <c r="D11" s="34" t="s">
        <v>31</v>
      </c>
      <c r="E11" s="32" t="s">
        <v>3</v>
      </c>
      <c r="F11" s="33">
        <v>10</v>
      </c>
      <c r="G11" s="12">
        <v>57950</v>
      </c>
      <c r="H11" s="54">
        <f t="shared" si="0"/>
        <v>579500</v>
      </c>
      <c r="I11" s="11"/>
    </row>
    <row r="12" spans="1:10" ht="24" customHeight="1">
      <c r="A12" s="31">
        <v>8</v>
      </c>
      <c r="B12" s="7" t="s">
        <v>221</v>
      </c>
      <c r="C12" s="3" t="s">
        <v>32</v>
      </c>
      <c r="D12" s="1" t="s">
        <v>33</v>
      </c>
      <c r="E12" s="4" t="s">
        <v>3</v>
      </c>
      <c r="F12" s="36">
        <v>9</v>
      </c>
      <c r="G12" s="6">
        <v>57950</v>
      </c>
      <c r="H12" s="54">
        <f t="shared" si="0"/>
        <v>521550</v>
      </c>
      <c r="I12" s="11"/>
    </row>
    <row r="13" spans="1:10" ht="24" customHeight="1">
      <c r="A13" s="29">
        <v>9</v>
      </c>
      <c r="B13" s="7" t="s">
        <v>221</v>
      </c>
      <c r="C13" s="3" t="s">
        <v>34</v>
      </c>
      <c r="D13" s="1" t="s">
        <v>35</v>
      </c>
      <c r="E13" s="4" t="s">
        <v>3</v>
      </c>
      <c r="F13" s="37">
        <v>15</v>
      </c>
      <c r="G13" s="27">
        <v>34980</v>
      </c>
      <c r="H13" s="54">
        <f t="shared" si="0"/>
        <v>524700</v>
      </c>
      <c r="I13" s="11"/>
    </row>
    <row r="14" spans="1:10" ht="24" customHeight="1">
      <c r="A14" s="31">
        <v>10</v>
      </c>
      <c r="B14" s="7" t="s">
        <v>221</v>
      </c>
      <c r="C14" s="3" t="s">
        <v>36</v>
      </c>
      <c r="D14" s="3" t="s">
        <v>37</v>
      </c>
      <c r="E14" s="4" t="s">
        <v>3</v>
      </c>
      <c r="F14" s="36">
        <v>1</v>
      </c>
      <c r="G14" s="6">
        <v>84700</v>
      </c>
      <c r="H14" s="54">
        <f t="shared" si="0"/>
        <v>84700</v>
      </c>
      <c r="I14" s="11"/>
    </row>
    <row r="15" spans="1:10" ht="24" customHeight="1">
      <c r="A15" s="29">
        <v>11</v>
      </c>
      <c r="B15" s="7" t="s">
        <v>221</v>
      </c>
      <c r="C15" s="3" t="s">
        <v>38</v>
      </c>
      <c r="D15" s="3" t="s">
        <v>39</v>
      </c>
      <c r="E15" s="4" t="s">
        <v>3</v>
      </c>
      <c r="F15" s="36">
        <v>1</v>
      </c>
      <c r="G15" s="6">
        <v>29700</v>
      </c>
      <c r="H15" s="54">
        <f t="shared" si="0"/>
        <v>29700</v>
      </c>
      <c r="I15" s="11"/>
    </row>
    <row r="16" spans="1:10" ht="24" customHeight="1">
      <c r="A16" s="31">
        <v>12</v>
      </c>
      <c r="B16" s="7" t="s">
        <v>221</v>
      </c>
      <c r="C16" s="3" t="s">
        <v>40</v>
      </c>
      <c r="D16" s="3" t="s">
        <v>41</v>
      </c>
      <c r="E16" s="4" t="s">
        <v>3</v>
      </c>
      <c r="F16" s="36">
        <v>1</v>
      </c>
      <c r="G16" s="6">
        <v>199800</v>
      </c>
      <c r="H16" s="54">
        <f t="shared" si="0"/>
        <v>199800</v>
      </c>
      <c r="I16" s="11"/>
    </row>
    <row r="17" spans="1:9" ht="24" customHeight="1">
      <c r="A17" s="29">
        <v>13</v>
      </c>
      <c r="B17" s="7" t="s">
        <v>221</v>
      </c>
      <c r="C17" s="14" t="s">
        <v>42</v>
      </c>
      <c r="D17" s="14" t="s">
        <v>43</v>
      </c>
      <c r="E17" s="32" t="s">
        <v>3</v>
      </c>
      <c r="F17" s="39">
        <v>10</v>
      </c>
      <c r="G17" s="12">
        <v>5950</v>
      </c>
      <c r="H17" s="54">
        <f t="shared" si="0"/>
        <v>59500</v>
      </c>
      <c r="I17" s="11"/>
    </row>
    <row r="18" spans="1:9" ht="24" customHeight="1">
      <c r="A18" s="31">
        <v>14</v>
      </c>
      <c r="B18" s="7" t="s">
        <v>221</v>
      </c>
      <c r="C18" s="3" t="s">
        <v>44</v>
      </c>
      <c r="D18" s="3" t="s">
        <v>45</v>
      </c>
      <c r="E18" s="4" t="s">
        <v>3</v>
      </c>
      <c r="F18" s="30">
        <v>4</v>
      </c>
      <c r="G18" s="6">
        <v>99950</v>
      </c>
      <c r="H18" s="54">
        <f t="shared" si="0"/>
        <v>399800</v>
      </c>
      <c r="I18" s="11"/>
    </row>
    <row r="19" spans="1:9" ht="24" customHeight="1">
      <c r="A19" s="29">
        <v>15</v>
      </c>
      <c r="B19" s="7" t="s">
        <v>221</v>
      </c>
      <c r="C19" s="3" t="s">
        <v>46</v>
      </c>
      <c r="D19" s="3" t="s">
        <v>47</v>
      </c>
      <c r="E19" s="13" t="s">
        <v>3</v>
      </c>
      <c r="F19" s="30">
        <v>1</v>
      </c>
      <c r="G19" s="6">
        <v>49700</v>
      </c>
      <c r="H19" s="54">
        <f t="shared" si="0"/>
        <v>49700</v>
      </c>
      <c r="I19" s="11"/>
    </row>
    <row r="20" spans="1:9" ht="24" customHeight="1">
      <c r="A20" s="31">
        <v>16</v>
      </c>
      <c r="B20" s="7" t="s">
        <v>221</v>
      </c>
      <c r="C20" s="3" t="s">
        <v>48</v>
      </c>
      <c r="D20" s="3" t="s">
        <v>49</v>
      </c>
      <c r="E20" s="13" t="s">
        <v>3</v>
      </c>
      <c r="F20" s="30">
        <v>10</v>
      </c>
      <c r="G20" s="6">
        <v>49980</v>
      </c>
      <c r="H20" s="54">
        <f t="shared" si="0"/>
        <v>499800</v>
      </c>
      <c r="I20" s="11"/>
    </row>
    <row r="21" spans="1:9" ht="24" customHeight="1">
      <c r="A21" s="29">
        <v>17</v>
      </c>
      <c r="B21" s="7" t="s">
        <v>221</v>
      </c>
      <c r="C21" s="3" t="s">
        <v>50</v>
      </c>
      <c r="D21" s="1" t="s">
        <v>51</v>
      </c>
      <c r="E21" s="13" t="s">
        <v>3</v>
      </c>
      <c r="F21" s="30">
        <v>4</v>
      </c>
      <c r="G21" s="6">
        <v>2300</v>
      </c>
      <c r="H21" s="54">
        <f t="shared" si="0"/>
        <v>9200</v>
      </c>
      <c r="I21" s="11"/>
    </row>
    <row r="22" spans="1:9" ht="24" customHeight="1">
      <c r="A22" s="31">
        <v>18</v>
      </c>
      <c r="B22" s="13">
        <v>2540</v>
      </c>
      <c r="C22" s="3" t="s">
        <v>52</v>
      </c>
      <c r="D22" s="3" t="s">
        <v>37</v>
      </c>
      <c r="E22" s="13" t="s">
        <v>3</v>
      </c>
      <c r="F22" s="30">
        <v>5</v>
      </c>
      <c r="G22" s="6">
        <v>74500</v>
      </c>
      <c r="H22" s="54">
        <f t="shared" si="0"/>
        <v>372500</v>
      </c>
      <c r="I22" s="11"/>
    </row>
    <row r="23" spans="1:9" ht="24" customHeight="1">
      <c r="A23" s="29">
        <v>19</v>
      </c>
      <c r="B23" s="13">
        <v>2540</v>
      </c>
      <c r="C23" s="3" t="s">
        <v>53</v>
      </c>
      <c r="D23" s="3" t="s">
        <v>54</v>
      </c>
      <c r="E23" s="13" t="s">
        <v>3</v>
      </c>
      <c r="F23" s="30">
        <v>4</v>
      </c>
      <c r="G23" s="6">
        <v>29853</v>
      </c>
      <c r="H23" s="54">
        <f t="shared" si="0"/>
        <v>119412</v>
      </c>
      <c r="I23" s="11"/>
    </row>
    <row r="24" spans="1:9" ht="24" customHeight="1">
      <c r="A24" s="31">
        <v>20</v>
      </c>
      <c r="B24" s="13">
        <v>2540</v>
      </c>
      <c r="C24" s="3" t="s">
        <v>55</v>
      </c>
      <c r="D24" s="3" t="s">
        <v>56</v>
      </c>
      <c r="E24" s="13" t="s">
        <v>3</v>
      </c>
      <c r="F24" s="30">
        <v>2</v>
      </c>
      <c r="G24" s="6">
        <v>50000</v>
      </c>
      <c r="H24" s="54">
        <f t="shared" si="0"/>
        <v>100000</v>
      </c>
      <c r="I24" s="11"/>
    </row>
    <row r="25" spans="1:9" ht="24" customHeight="1">
      <c r="A25" s="29">
        <v>21</v>
      </c>
      <c r="B25" s="13">
        <v>2540</v>
      </c>
      <c r="C25" s="3" t="s">
        <v>57</v>
      </c>
      <c r="D25" s="3" t="s">
        <v>58</v>
      </c>
      <c r="E25" s="13" t="s">
        <v>3</v>
      </c>
      <c r="F25" s="30">
        <v>2</v>
      </c>
      <c r="G25" s="6">
        <v>75000</v>
      </c>
      <c r="H25" s="54">
        <f t="shared" si="0"/>
        <v>150000</v>
      </c>
      <c r="I25" s="11"/>
    </row>
    <row r="26" spans="1:9" ht="24" customHeight="1">
      <c r="A26" s="31">
        <v>22</v>
      </c>
      <c r="B26" s="13">
        <v>2540</v>
      </c>
      <c r="C26" s="3" t="s">
        <v>59</v>
      </c>
      <c r="D26" s="3" t="s">
        <v>60</v>
      </c>
      <c r="E26" s="13" t="s">
        <v>3</v>
      </c>
      <c r="F26" s="30">
        <v>2</v>
      </c>
      <c r="G26" s="6">
        <v>50000</v>
      </c>
      <c r="H26" s="54">
        <f t="shared" si="0"/>
        <v>100000</v>
      </c>
      <c r="I26" s="11"/>
    </row>
    <row r="27" spans="1:9" ht="24" customHeight="1">
      <c r="A27" s="29">
        <v>23</v>
      </c>
      <c r="B27" s="13">
        <v>2540</v>
      </c>
      <c r="C27" s="3" t="s">
        <v>61</v>
      </c>
      <c r="D27" s="3" t="s">
        <v>62</v>
      </c>
      <c r="E27" s="13" t="s">
        <v>3</v>
      </c>
      <c r="F27" s="30">
        <v>2</v>
      </c>
      <c r="G27" s="6">
        <v>50000</v>
      </c>
      <c r="H27" s="54">
        <f t="shared" si="0"/>
        <v>100000</v>
      </c>
      <c r="I27" s="11"/>
    </row>
    <row r="28" spans="1:9" ht="24" customHeight="1">
      <c r="A28" s="31">
        <v>24</v>
      </c>
      <c r="B28" s="13">
        <v>2540</v>
      </c>
      <c r="C28" s="3" t="s">
        <v>63</v>
      </c>
      <c r="D28" s="3" t="s">
        <v>64</v>
      </c>
      <c r="E28" s="13" t="s">
        <v>3</v>
      </c>
      <c r="F28" s="30">
        <v>5</v>
      </c>
      <c r="G28" s="6">
        <v>67987.8</v>
      </c>
      <c r="H28" s="54">
        <f t="shared" si="0"/>
        <v>339939</v>
      </c>
      <c r="I28" s="11"/>
    </row>
    <row r="29" spans="1:9" ht="24" customHeight="1">
      <c r="A29" s="29">
        <v>25</v>
      </c>
      <c r="B29" s="13">
        <v>2540</v>
      </c>
      <c r="C29" s="3" t="s">
        <v>65</v>
      </c>
      <c r="D29" s="3" t="s">
        <v>66</v>
      </c>
      <c r="E29" s="13" t="s">
        <v>3</v>
      </c>
      <c r="F29" s="30">
        <v>2</v>
      </c>
      <c r="G29" s="6">
        <v>59385</v>
      </c>
      <c r="H29" s="54">
        <f t="shared" si="0"/>
        <v>118770</v>
      </c>
      <c r="I29" s="11"/>
    </row>
    <row r="30" spans="1:9" ht="24" customHeight="1">
      <c r="A30" s="31">
        <v>26</v>
      </c>
      <c r="B30" s="13">
        <v>2540</v>
      </c>
      <c r="C30" s="3" t="s">
        <v>67</v>
      </c>
      <c r="D30" s="3" t="s">
        <v>68</v>
      </c>
      <c r="E30" s="4" t="s">
        <v>3</v>
      </c>
      <c r="F30" s="30">
        <v>20</v>
      </c>
      <c r="G30" s="6">
        <v>7918</v>
      </c>
      <c r="H30" s="54">
        <f t="shared" si="0"/>
        <v>158360</v>
      </c>
      <c r="I30" s="11"/>
    </row>
    <row r="31" spans="1:9" ht="24" customHeight="1">
      <c r="A31" s="29">
        <v>27</v>
      </c>
      <c r="B31" s="13">
        <v>2540</v>
      </c>
      <c r="C31" s="3" t="s">
        <v>69</v>
      </c>
      <c r="D31" s="3" t="s">
        <v>70</v>
      </c>
      <c r="E31" s="4" t="s">
        <v>3</v>
      </c>
      <c r="F31" s="30">
        <v>1</v>
      </c>
      <c r="G31" s="6">
        <v>186700</v>
      </c>
      <c r="H31" s="54">
        <f t="shared" si="0"/>
        <v>186700</v>
      </c>
      <c r="I31" s="11"/>
    </row>
    <row r="32" spans="1:9" ht="24" customHeight="1">
      <c r="A32" s="31">
        <v>28</v>
      </c>
      <c r="B32" s="13">
        <v>2540</v>
      </c>
      <c r="C32" s="3" t="s">
        <v>71</v>
      </c>
      <c r="D32" s="3" t="s">
        <v>72</v>
      </c>
      <c r="E32" s="4" t="s">
        <v>3</v>
      </c>
      <c r="F32" s="30">
        <v>2</v>
      </c>
      <c r="G32" s="6">
        <v>65000</v>
      </c>
      <c r="H32" s="54">
        <f t="shared" si="0"/>
        <v>130000</v>
      </c>
      <c r="I32" s="11"/>
    </row>
    <row r="33" spans="1:9" ht="24" customHeight="1">
      <c r="A33" s="29">
        <v>29</v>
      </c>
      <c r="B33" s="13">
        <v>2540</v>
      </c>
      <c r="C33" s="3" t="s">
        <v>73</v>
      </c>
      <c r="D33" s="1" t="s">
        <v>74</v>
      </c>
      <c r="E33" s="4" t="s">
        <v>3</v>
      </c>
      <c r="F33" s="30">
        <v>10</v>
      </c>
      <c r="G33" s="6">
        <v>57780</v>
      </c>
      <c r="H33" s="54">
        <f t="shared" si="0"/>
        <v>577800</v>
      </c>
      <c r="I33" s="11"/>
    </row>
    <row r="34" spans="1:9" ht="24" customHeight="1">
      <c r="A34" s="31">
        <v>30</v>
      </c>
      <c r="B34" s="13">
        <v>2540</v>
      </c>
      <c r="C34" s="3" t="s">
        <v>75</v>
      </c>
      <c r="D34" s="1" t="s">
        <v>76</v>
      </c>
      <c r="E34" s="4" t="s">
        <v>3</v>
      </c>
      <c r="F34" s="30">
        <v>10</v>
      </c>
      <c r="G34" s="6">
        <v>57780</v>
      </c>
      <c r="H34" s="54">
        <f t="shared" si="0"/>
        <v>577800</v>
      </c>
      <c r="I34" s="11"/>
    </row>
    <row r="35" spans="1:9" ht="24" customHeight="1">
      <c r="A35" s="29">
        <v>31</v>
      </c>
      <c r="B35" s="7" t="s">
        <v>222</v>
      </c>
      <c r="C35" s="3" t="s">
        <v>77</v>
      </c>
      <c r="D35" s="1" t="s">
        <v>78</v>
      </c>
      <c r="E35" s="4" t="s">
        <v>3</v>
      </c>
      <c r="F35" s="30">
        <v>2</v>
      </c>
      <c r="G35" s="6">
        <v>79400</v>
      </c>
      <c r="H35" s="54">
        <f t="shared" si="0"/>
        <v>158800</v>
      </c>
      <c r="I35" s="11"/>
    </row>
    <row r="36" spans="1:9" ht="24" customHeight="1">
      <c r="A36" s="31">
        <v>32</v>
      </c>
      <c r="B36" s="7" t="s">
        <v>222</v>
      </c>
      <c r="C36" s="3" t="s">
        <v>79</v>
      </c>
      <c r="D36" s="1" t="s">
        <v>80</v>
      </c>
      <c r="E36" s="4" t="s">
        <v>3</v>
      </c>
      <c r="F36" s="30">
        <v>4</v>
      </c>
      <c r="G36" s="6">
        <v>23500</v>
      </c>
      <c r="H36" s="54">
        <f t="shared" si="0"/>
        <v>94000</v>
      </c>
      <c r="I36" s="11"/>
    </row>
    <row r="37" spans="1:9" ht="24" customHeight="1">
      <c r="A37" s="29">
        <v>33</v>
      </c>
      <c r="B37" s="7" t="s">
        <v>222</v>
      </c>
      <c r="C37" s="3" t="s">
        <v>81</v>
      </c>
      <c r="D37" s="1" t="s">
        <v>82</v>
      </c>
      <c r="E37" s="4" t="s">
        <v>3</v>
      </c>
      <c r="F37" s="30">
        <v>4</v>
      </c>
      <c r="G37" s="6">
        <v>39550</v>
      </c>
      <c r="H37" s="54">
        <f t="shared" si="0"/>
        <v>158200</v>
      </c>
      <c r="I37" s="11"/>
    </row>
    <row r="38" spans="1:9" ht="24" customHeight="1">
      <c r="A38" s="31">
        <v>34</v>
      </c>
      <c r="B38" s="7" t="s">
        <v>222</v>
      </c>
      <c r="C38" s="3" t="s">
        <v>83</v>
      </c>
      <c r="D38" s="1" t="s">
        <v>84</v>
      </c>
      <c r="E38" s="4" t="s">
        <v>3</v>
      </c>
      <c r="F38" s="30">
        <v>2</v>
      </c>
      <c r="G38" s="6">
        <v>14780</v>
      </c>
      <c r="H38" s="54">
        <f t="shared" si="0"/>
        <v>29560</v>
      </c>
      <c r="I38" s="11"/>
    </row>
    <row r="39" spans="1:9" ht="24" customHeight="1">
      <c r="A39" s="29">
        <v>35</v>
      </c>
      <c r="B39" s="7" t="s">
        <v>222</v>
      </c>
      <c r="C39" s="3" t="s">
        <v>85</v>
      </c>
      <c r="D39" s="1" t="s">
        <v>86</v>
      </c>
      <c r="E39" s="4" t="s">
        <v>3</v>
      </c>
      <c r="F39" s="30">
        <v>2</v>
      </c>
      <c r="G39" s="6">
        <v>12700</v>
      </c>
      <c r="H39" s="54">
        <f t="shared" si="0"/>
        <v>25400</v>
      </c>
      <c r="I39" s="11"/>
    </row>
    <row r="40" spans="1:9" ht="24" customHeight="1">
      <c r="A40" s="31">
        <v>36</v>
      </c>
      <c r="B40" s="35" t="s">
        <v>223</v>
      </c>
      <c r="C40" s="3" t="s">
        <v>87</v>
      </c>
      <c r="D40" s="1" t="s">
        <v>88</v>
      </c>
      <c r="E40" s="4" t="s">
        <v>4</v>
      </c>
      <c r="F40" s="30">
        <v>1</v>
      </c>
      <c r="G40" s="28">
        <v>4400</v>
      </c>
      <c r="H40" s="54">
        <f t="shared" si="0"/>
        <v>4400</v>
      </c>
      <c r="I40" s="11"/>
    </row>
    <row r="41" spans="1:9" ht="24" customHeight="1">
      <c r="A41" s="29">
        <v>37</v>
      </c>
      <c r="B41" s="35" t="s">
        <v>223</v>
      </c>
      <c r="C41" s="3" t="s">
        <v>89</v>
      </c>
      <c r="D41" s="1" t="s">
        <v>90</v>
      </c>
      <c r="E41" s="4" t="s">
        <v>3</v>
      </c>
      <c r="F41" s="30">
        <v>10</v>
      </c>
      <c r="G41" s="6">
        <v>1605</v>
      </c>
      <c r="H41" s="54">
        <f t="shared" si="0"/>
        <v>16050</v>
      </c>
      <c r="I41" s="11"/>
    </row>
    <row r="42" spans="1:9" ht="24" customHeight="1">
      <c r="A42" s="31">
        <v>38</v>
      </c>
      <c r="B42" s="35" t="s">
        <v>223</v>
      </c>
      <c r="C42" s="14" t="s">
        <v>91</v>
      </c>
      <c r="D42" s="34" t="s">
        <v>92</v>
      </c>
      <c r="E42" s="32" t="s">
        <v>4</v>
      </c>
      <c r="F42" s="33">
        <v>1</v>
      </c>
      <c r="G42" s="12">
        <v>7490</v>
      </c>
      <c r="H42" s="54">
        <f t="shared" si="0"/>
        <v>7490</v>
      </c>
      <c r="I42" s="11"/>
    </row>
    <row r="43" spans="1:9" ht="24" customHeight="1">
      <c r="A43" s="29">
        <v>39</v>
      </c>
      <c r="B43" s="35" t="s">
        <v>223</v>
      </c>
      <c r="C43" s="3" t="s">
        <v>93</v>
      </c>
      <c r="D43" s="41" t="s">
        <v>94</v>
      </c>
      <c r="E43" s="4" t="s">
        <v>4</v>
      </c>
      <c r="F43" s="30">
        <v>1</v>
      </c>
      <c r="G43" s="6">
        <v>5990</v>
      </c>
      <c r="H43" s="54">
        <f t="shared" si="0"/>
        <v>5990</v>
      </c>
      <c r="I43" s="11"/>
    </row>
    <row r="44" spans="1:9" ht="24" customHeight="1">
      <c r="A44" s="63">
        <v>40</v>
      </c>
      <c r="B44" s="35" t="s">
        <v>223</v>
      </c>
      <c r="C44" s="3" t="s">
        <v>95</v>
      </c>
      <c r="D44" s="1" t="s">
        <v>96</v>
      </c>
      <c r="E44" s="4" t="s">
        <v>4</v>
      </c>
      <c r="F44" s="30">
        <v>1</v>
      </c>
      <c r="G44" s="6">
        <v>3600</v>
      </c>
      <c r="H44" s="64">
        <f t="shared" si="0"/>
        <v>3600</v>
      </c>
      <c r="I44" s="11"/>
    </row>
    <row r="45" spans="1:9" ht="24" customHeight="1">
      <c r="A45" s="29">
        <v>41</v>
      </c>
      <c r="B45" s="35" t="s">
        <v>223</v>
      </c>
      <c r="C45" s="3" t="s">
        <v>97</v>
      </c>
      <c r="D45" s="1" t="s">
        <v>98</v>
      </c>
      <c r="E45" s="4" t="s">
        <v>4</v>
      </c>
      <c r="F45" s="30">
        <v>1</v>
      </c>
      <c r="G45" s="6">
        <v>10990</v>
      </c>
      <c r="H45" s="64">
        <f t="shared" si="0"/>
        <v>10990</v>
      </c>
      <c r="I45" s="11"/>
    </row>
    <row r="46" spans="1:9" ht="24" customHeight="1">
      <c r="A46" s="29"/>
      <c r="B46" s="38"/>
      <c r="C46" s="30" t="s">
        <v>101</v>
      </c>
      <c r="D46" s="1"/>
      <c r="E46" s="4"/>
      <c r="F46" s="30"/>
      <c r="G46" s="6"/>
      <c r="H46" s="64">
        <f>SUM(H5:H45)</f>
        <v>7955211</v>
      </c>
      <c r="I46" s="11"/>
    </row>
    <row r="47" spans="1:9" ht="24" customHeight="1">
      <c r="A47" s="29"/>
      <c r="B47" s="38"/>
      <c r="C47" s="30" t="s">
        <v>102</v>
      </c>
      <c r="D47" s="1"/>
      <c r="E47" s="4"/>
      <c r="F47" s="30"/>
      <c r="G47" s="6"/>
      <c r="H47" s="64">
        <f>SUM(H46)</f>
        <v>7955211</v>
      </c>
      <c r="I47" s="11"/>
    </row>
    <row r="48" spans="1:9" ht="24" customHeight="1">
      <c r="A48" s="31">
        <v>42</v>
      </c>
      <c r="B48" s="35" t="s">
        <v>223</v>
      </c>
      <c r="C48" s="3" t="s">
        <v>99</v>
      </c>
      <c r="D48" s="1" t="s">
        <v>100</v>
      </c>
      <c r="E48" s="4" t="s">
        <v>3</v>
      </c>
      <c r="F48" s="30">
        <v>1</v>
      </c>
      <c r="G48" s="6">
        <v>149500</v>
      </c>
      <c r="H48" s="54">
        <f t="shared" si="0"/>
        <v>149500</v>
      </c>
      <c r="I48" s="11"/>
    </row>
    <row r="49" spans="1:9" ht="24" customHeight="1">
      <c r="A49" s="29">
        <v>43</v>
      </c>
      <c r="B49" s="35" t="s">
        <v>223</v>
      </c>
      <c r="C49" s="3" t="s">
        <v>103</v>
      </c>
      <c r="D49" s="1" t="s">
        <v>104</v>
      </c>
      <c r="E49" s="13" t="s">
        <v>3</v>
      </c>
      <c r="F49" s="30">
        <v>1</v>
      </c>
      <c r="G49" s="6">
        <v>249500</v>
      </c>
      <c r="H49" s="54">
        <f t="shared" ref="H49:H91" si="1">SUM(F49*G49)</f>
        <v>249500</v>
      </c>
      <c r="I49" s="11"/>
    </row>
    <row r="50" spans="1:9" ht="24" customHeight="1">
      <c r="A50" s="31">
        <v>44</v>
      </c>
      <c r="B50" s="35" t="s">
        <v>223</v>
      </c>
      <c r="C50" s="3" t="s">
        <v>105</v>
      </c>
      <c r="D50" s="1" t="s">
        <v>106</v>
      </c>
      <c r="E50" s="13" t="s">
        <v>4</v>
      </c>
      <c r="F50" s="30">
        <v>1</v>
      </c>
      <c r="G50" s="6">
        <v>6200</v>
      </c>
      <c r="H50" s="54">
        <f t="shared" si="1"/>
        <v>6200</v>
      </c>
      <c r="I50" s="11"/>
    </row>
    <row r="51" spans="1:9" ht="24" customHeight="1">
      <c r="A51" s="29">
        <v>45</v>
      </c>
      <c r="B51" s="13">
        <v>2546</v>
      </c>
      <c r="C51" s="3" t="s">
        <v>107</v>
      </c>
      <c r="D51" s="1" t="s">
        <v>108</v>
      </c>
      <c r="E51" s="13" t="s">
        <v>3</v>
      </c>
      <c r="F51" s="30">
        <v>5</v>
      </c>
      <c r="G51" s="6">
        <v>20000</v>
      </c>
      <c r="H51" s="54">
        <f t="shared" si="1"/>
        <v>100000</v>
      </c>
      <c r="I51" s="11"/>
    </row>
    <row r="52" spans="1:9" ht="24" customHeight="1">
      <c r="A52" s="31">
        <v>46</v>
      </c>
      <c r="B52" s="13">
        <v>2546</v>
      </c>
      <c r="C52" s="3" t="s">
        <v>109</v>
      </c>
      <c r="D52" s="1" t="s">
        <v>110</v>
      </c>
      <c r="E52" s="13" t="s">
        <v>3</v>
      </c>
      <c r="F52" s="30">
        <v>1</v>
      </c>
      <c r="G52" s="6">
        <v>65000</v>
      </c>
      <c r="H52" s="54">
        <f t="shared" si="1"/>
        <v>65000</v>
      </c>
      <c r="I52" s="11"/>
    </row>
    <row r="53" spans="1:9" ht="24" customHeight="1">
      <c r="A53" s="29">
        <v>47</v>
      </c>
      <c r="B53" s="13">
        <v>2546</v>
      </c>
      <c r="C53" s="3" t="s">
        <v>111</v>
      </c>
      <c r="D53" s="3" t="s">
        <v>112</v>
      </c>
      <c r="E53" s="13" t="s">
        <v>3</v>
      </c>
      <c r="F53" s="30">
        <v>2</v>
      </c>
      <c r="G53" s="6">
        <v>79850</v>
      </c>
      <c r="H53" s="54">
        <f t="shared" si="1"/>
        <v>159700</v>
      </c>
      <c r="I53" s="11"/>
    </row>
    <row r="54" spans="1:9" ht="24" customHeight="1">
      <c r="A54" s="42">
        <v>48</v>
      </c>
      <c r="B54" s="13">
        <v>2546</v>
      </c>
      <c r="C54" s="43" t="s">
        <v>113</v>
      </c>
      <c r="D54" s="44" t="s">
        <v>21</v>
      </c>
      <c r="E54" s="45" t="s">
        <v>4</v>
      </c>
      <c r="F54" s="46">
        <v>11</v>
      </c>
      <c r="G54" s="47">
        <v>350</v>
      </c>
      <c r="H54" s="54">
        <f t="shared" si="1"/>
        <v>3850</v>
      </c>
      <c r="I54" s="11"/>
    </row>
    <row r="55" spans="1:9" ht="24" customHeight="1">
      <c r="A55" s="29">
        <v>49</v>
      </c>
      <c r="B55" s="13">
        <v>2546</v>
      </c>
      <c r="C55" s="3" t="s">
        <v>114</v>
      </c>
      <c r="D55" s="1" t="s">
        <v>115</v>
      </c>
      <c r="E55" s="13" t="s">
        <v>4</v>
      </c>
      <c r="F55" s="30">
        <v>1</v>
      </c>
      <c r="G55" s="6">
        <v>33000</v>
      </c>
      <c r="H55" s="54">
        <f t="shared" si="1"/>
        <v>33000</v>
      </c>
      <c r="I55" s="11"/>
    </row>
    <row r="56" spans="1:9" ht="24" customHeight="1">
      <c r="A56" s="31">
        <v>50</v>
      </c>
      <c r="B56" s="13">
        <v>2546</v>
      </c>
      <c r="C56" s="3" t="s">
        <v>116</v>
      </c>
      <c r="D56" s="1" t="s">
        <v>117</v>
      </c>
      <c r="E56" s="13" t="s">
        <v>4</v>
      </c>
      <c r="F56" s="30">
        <v>25</v>
      </c>
      <c r="G56" s="6">
        <v>2490</v>
      </c>
      <c r="H56" s="54">
        <f t="shared" si="1"/>
        <v>62250</v>
      </c>
      <c r="I56" s="11"/>
    </row>
    <row r="57" spans="1:9" ht="24" customHeight="1">
      <c r="A57" s="29">
        <v>51</v>
      </c>
      <c r="B57" s="13">
        <v>2546</v>
      </c>
      <c r="C57" s="3" t="s">
        <v>118</v>
      </c>
      <c r="D57" s="1" t="s">
        <v>119</v>
      </c>
      <c r="E57" s="13" t="s">
        <v>4</v>
      </c>
      <c r="F57" s="30">
        <v>3</v>
      </c>
      <c r="G57" s="6">
        <v>7080</v>
      </c>
      <c r="H57" s="54">
        <f t="shared" si="1"/>
        <v>21240</v>
      </c>
      <c r="I57" s="11"/>
    </row>
    <row r="58" spans="1:9" ht="24" customHeight="1">
      <c r="A58" s="31">
        <v>52</v>
      </c>
      <c r="B58" s="13">
        <v>2546</v>
      </c>
      <c r="C58" s="3" t="s">
        <v>120</v>
      </c>
      <c r="D58" s="1" t="s">
        <v>121</v>
      </c>
      <c r="E58" s="13" t="s">
        <v>4</v>
      </c>
      <c r="F58" s="30">
        <v>1</v>
      </c>
      <c r="G58" s="6">
        <v>5940</v>
      </c>
      <c r="H58" s="54">
        <f t="shared" si="1"/>
        <v>5940</v>
      </c>
      <c r="I58" s="11"/>
    </row>
    <row r="59" spans="1:9" ht="24" customHeight="1">
      <c r="A59" s="29">
        <v>53</v>
      </c>
      <c r="B59" s="13">
        <v>2546</v>
      </c>
      <c r="C59" s="3" t="s">
        <v>120</v>
      </c>
      <c r="D59" s="1" t="s">
        <v>122</v>
      </c>
      <c r="E59" s="4" t="s">
        <v>4</v>
      </c>
      <c r="F59" s="30">
        <v>1</v>
      </c>
      <c r="G59" s="6">
        <v>8500</v>
      </c>
      <c r="H59" s="54">
        <f t="shared" si="1"/>
        <v>8500</v>
      </c>
      <c r="I59" s="11"/>
    </row>
    <row r="60" spans="1:9" ht="24" customHeight="1">
      <c r="A60" s="31">
        <v>54</v>
      </c>
      <c r="B60" s="13">
        <v>2546</v>
      </c>
      <c r="C60" s="3" t="s">
        <v>123</v>
      </c>
      <c r="D60" s="1" t="s">
        <v>124</v>
      </c>
      <c r="E60" s="4" t="s">
        <v>4</v>
      </c>
      <c r="F60" s="30">
        <v>1</v>
      </c>
      <c r="G60" s="6">
        <v>22000</v>
      </c>
      <c r="H60" s="54">
        <f t="shared" si="1"/>
        <v>22000</v>
      </c>
      <c r="I60" s="11"/>
    </row>
    <row r="61" spans="1:9" ht="24" customHeight="1">
      <c r="A61" s="29">
        <v>55</v>
      </c>
      <c r="B61" s="13">
        <v>2546</v>
      </c>
      <c r="C61" s="3" t="s">
        <v>125</v>
      </c>
      <c r="D61" s="1" t="s">
        <v>126</v>
      </c>
      <c r="E61" s="4" t="s">
        <v>4</v>
      </c>
      <c r="F61" s="30">
        <v>1</v>
      </c>
      <c r="G61" s="6">
        <v>1400</v>
      </c>
      <c r="H61" s="54">
        <f t="shared" si="1"/>
        <v>1400</v>
      </c>
      <c r="I61" s="11"/>
    </row>
    <row r="62" spans="1:9" ht="24" customHeight="1">
      <c r="A62" s="31">
        <v>56</v>
      </c>
      <c r="B62" s="13">
        <v>2546</v>
      </c>
      <c r="C62" s="3" t="s">
        <v>127</v>
      </c>
      <c r="D62" s="1" t="s">
        <v>128</v>
      </c>
      <c r="E62" s="4" t="s">
        <v>4</v>
      </c>
      <c r="F62" s="30">
        <v>1</v>
      </c>
      <c r="G62" s="6">
        <v>2400</v>
      </c>
      <c r="H62" s="54">
        <f t="shared" si="1"/>
        <v>2400</v>
      </c>
      <c r="I62" s="11"/>
    </row>
    <row r="63" spans="1:9" ht="24" customHeight="1">
      <c r="A63" s="29">
        <v>57</v>
      </c>
      <c r="B63" s="13">
        <v>2546</v>
      </c>
      <c r="C63" s="3" t="s">
        <v>129</v>
      </c>
      <c r="D63" s="1" t="s">
        <v>130</v>
      </c>
      <c r="E63" s="4" t="s">
        <v>4</v>
      </c>
      <c r="F63" s="30">
        <v>1</v>
      </c>
      <c r="G63" s="6">
        <v>3400</v>
      </c>
      <c r="H63" s="54">
        <f t="shared" si="1"/>
        <v>3400</v>
      </c>
      <c r="I63" s="11"/>
    </row>
    <row r="64" spans="1:9" ht="24" customHeight="1">
      <c r="A64" s="31">
        <v>58</v>
      </c>
      <c r="B64" s="13">
        <v>2546</v>
      </c>
      <c r="C64" s="3" t="s">
        <v>131</v>
      </c>
      <c r="D64" s="1" t="s">
        <v>132</v>
      </c>
      <c r="E64" s="4" t="s">
        <v>4</v>
      </c>
      <c r="F64" s="30">
        <v>1</v>
      </c>
      <c r="G64" s="6">
        <v>13589</v>
      </c>
      <c r="H64" s="54">
        <f t="shared" si="1"/>
        <v>13589</v>
      </c>
      <c r="I64" s="11"/>
    </row>
    <row r="65" spans="1:9" ht="24" customHeight="1">
      <c r="A65" s="29">
        <v>59</v>
      </c>
      <c r="B65" s="13">
        <v>2546</v>
      </c>
      <c r="C65" s="3" t="s">
        <v>133</v>
      </c>
      <c r="D65" s="1" t="s">
        <v>134</v>
      </c>
      <c r="E65" s="4" t="s">
        <v>3</v>
      </c>
      <c r="F65" s="30">
        <v>5</v>
      </c>
      <c r="G65" s="6">
        <v>14970</v>
      </c>
      <c r="H65" s="54">
        <f t="shared" si="1"/>
        <v>74850</v>
      </c>
      <c r="I65" s="11"/>
    </row>
    <row r="66" spans="1:9" ht="24" customHeight="1">
      <c r="A66" s="31">
        <v>60</v>
      </c>
      <c r="B66" s="13">
        <v>2546</v>
      </c>
      <c r="C66" s="3" t="s">
        <v>135</v>
      </c>
      <c r="D66" s="1" t="s">
        <v>136</v>
      </c>
      <c r="E66" s="4" t="s">
        <v>3</v>
      </c>
      <c r="F66" s="30">
        <v>2</v>
      </c>
      <c r="G66" s="6">
        <v>44900</v>
      </c>
      <c r="H66" s="54">
        <f t="shared" si="1"/>
        <v>89800</v>
      </c>
      <c r="I66" s="11"/>
    </row>
    <row r="67" spans="1:9" ht="24" customHeight="1">
      <c r="A67" s="29">
        <v>61</v>
      </c>
      <c r="B67" s="7" t="s">
        <v>224</v>
      </c>
      <c r="C67" s="3" t="s">
        <v>137</v>
      </c>
      <c r="D67" s="3" t="s">
        <v>138</v>
      </c>
      <c r="E67" s="4" t="s">
        <v>3</v>
      </c>
      <c r="F67" s="30">
        <v>1</v>
      </c>
      <c r="G67" s="6">
        <v>22500</v>
      </c>
      <c r="H67" s="54">
        <f t="shared" si="1"/>
        <v>22500</v>
      </c>
      <c r="I67" s="11"/>
    </row>
    <row r="68" spans="1:9" ht="24" customHeight="1">
      <c r="A68" s="31">
        <v>62</v>
      </c>
      <c r="B68" s="7" t="s">
        <v>224</v>
      </c>
      <c r="C68" s="3" t="s">
        <v>139</v>
      </c>
      <c r="D68" s="3" t="s">
        <v>140</v>
      </c>
      <c r="E68" s="4" t="s">
        <v>17</v>
      </c>
      <c r="F68" s="30">
        <v>1</v>
      </c>
      <c r="G68" s="6">
        <v>3990</v>
      </c>
      <c r="H68" s="54">
        <f t="shared" si="1"/>
        <v>3990</v>
      </c>
      <c r="I68" s="11"/>
    </row>
    <row r="69" spans="1:9" ht="24" customHeight="1">
      <c r="A69" s="29">
        <v>63</v>
      </c>
      <c r="B69" s="7" t="s">
        <v>224</v>
      </c>
      <c r="C69" s="3" t="s">
        <v>141</v>
      </c>
      <c r="D69" s="1" t="s">
        <v>142</v>
      </c>
      <c r="E69" s="4" t="s">
        <v>3</v>
      </c>
      <c r="F69" s="30">
        <v>1</v>
      </c>
      <c r="G69" s="6">
        <v>149500</v>
      </c>
      <c r="H69" s="54">
        <f t="shared" si="1"/>
        <v>149500</v>
      </c>
      <c r="I69" s="11"/>
    </row>
    <row r="70" spans="1:9" ht="24" customHeight="1">
      <c r="A70" s="31">
        <v>64</v>
      </c>
      <c r="B70" s="7" t="s">
        <v>224</v>
      </c>
      <c r="C70" s="3" t="s">
        <v>143</v>
      </c>
      <c r="D70" s="1" t="s">
        <v>144</v>
      </c>
      <c r="E70" s="4" t="s">
        <v>4</v>
      </c>
      <c r="F70" s="30">
        <v>1</v>
      </c>
      <c r="G70" s="6">
        <v>6990</v>
      </c>
      <c r="H70" s="54">
        <f t="shared" si="1"/>
        <v>6990</v>
      </c>
      <c r="I70" s="11"/>
    </row>
    <row r="71" spans="1:9" ht="24" customHeight="1">
      <c r="A71" s="29">
        <v>65</v>
      </c>
      <c r="B71" s="35" t="s">
        <v>225</v>
      </c>
      <c r="C71" s="3" t="s">
        <v>145</v>
      </c>
      <c r="D71" s="1" t="s">
        <v>146</v>
      </c>
      <c r="E71" s="4" t="s">
        <v>17</v>
      </c>
      <c r="F71" s="30">
        <v>6</v>
      </c>
      <c r="G71" s="6">
        <v>1333.33</v>
      </c>
      <c r="H71" s="54">
        <f t="shared" si="1"/>
        <v>7999.98</v>
      </c>
      <c r="I71" s="11"/>
    </row>
    <row r="72" spans="1:9" ht="24" customHeight="1">
      <c r="A72" s="31">
        <v>66</v>
      </c>
      <c r="B72" s="35" t="s">
        <v>225</v>
      </c>
      <c r="C72" s="3" t="s">
        <v>147</v>
      </c>
      <c r="D72" s="1" t="s">
        <v>148</v>
      </c>
      <c r="E72" s="4" t="s">
        <v>17</v>
      </c>
      <c r="F72" s="30">
        <v>10</v>
      </c>
      <c r="G72" s="6">
        <v>1020</v>
      </c>
      <c r="H72" s="54">
        <f t="shared" si="1"/>
        <v>10200</v>
      </c>
      <c r="I72" s="11"/>
    </row>
    <row r="73" spans="1:9" ht="24" customHeight="1">
      <c r="A73" s="29">
        <v>67</v>
      </c>
      <c r="B73" s="35" t="s">
        <v>225</v>
      </c>
      <c r="C73" s="3" t="s">
        <v>149</v>
      </c>
      <c r="D73" s="1" t="s">
        <v>150</v>
      </c>
      <c r="E73" s="4" t="s">
        <v>17</v>
      </c>
      <c r="F73" s="30">
        <v>2</v>
      </c>
      <c r="G73" s="6">
        <v>10250</v>
      </c>
      <c r="H73" s="54">
        <f t="shared" si="1"/>
        <v>20500</v>
      </c>
      <c r="I73" s="11"/>
    </row>
    <row r="74" spans="1:9" ht="24" customHeight="1">
      <c r="A74" s="31">
        <v>68</v>
      </c>
      <c r="B74" s="35" t="s">
        <v>225</v>
      </c>
      <c r="C74" s="3" t="s">
        <v>151</v>
      </c>
      <c r="D74" s="1" t="s">
        <v>152</v>
      </c>
      <c r="E74" s="4" t="s">
        <v>4</v>
      </c>
      <c r="F74" s="30">
        <v>1</v>
      </c>
      <c r="G74" s="6">
        <v>37000</v>
      </c>
      <c r="H74" s="54">
        <f t="shared" si="1"/>
        <v>37000</v>
      </c>
      <c r="I74" s="11"/>
    </row>
    <row r="75" spans="1:9" ht="24" customHeight="1">
      <c r="A75" s="29">
        <v>69</v>
      </c>
      <c r="B75" s="38" t="s">
        <v>226</v>
      </c>
      <c r="C75" s="3" t="s">
        <v>153</v>
      </c>
      <c r="D75" s="1" t="s">
        <v>154</v>
      </c>
      <c r="E75" s="4" t="s">
        <v>4</v>
      </c>
      <c r="F75" s="30">
        <v>1</v>
      </c>
      <c r="G75" s="6">
        <v>43870</v>
      </c>
      <c r="H75" s="54">
        <f t="shared" si="1"/>
        <v>43870</v>
      </c>
      <c r="I75" s="11"/>
    </row>
    <row r="76" spans="1:9" ht="24" customHeight="1">
      <c r="A76" s="31">
        <v>70</v>
      </c>
      <c r="B76" s="38" t="s">
        <v>226</v>
      </c>
      <c r="C76" s="3" t="s">
        <v>155</v>
      </c>
      <c r="D76" s="1" t="s">
        <v>156</v>
      </c>
      <c r="E76" s="4" t="s">
        <v>4</v>
      </c>
      <c r="F76" s="30">
        <v>1</v>
      </c>
      <c r="G76" s="6">
        <v>50290</v>
      </c>
      <c r="H76" s="54">
        <f t="shared" si="1"/>
        <v>50290</v>
      </c>
      <c r="I76" s="11"/>
    </row>
    <row r="77" spans="1:9" ht="24" customHeight="1">
      <c r="A77" s="29">
        <v>71</v>
      </c>
      <c r="B77" s="38" t="s">
        <v>226</v>
      </c>
      <c r="C77" s="3" t="s">
        <v>157</v>
      </c>
      <c r="D77" s="1" t="s">
        <v>158</v>
      </c>
      <c r="E77" s="4" t="s">
        <v>4</v>
      </c>
      <c r="F77" s="30">
        <v>1</v>
      </c>
      <c r="G77" s="6">
        <v>7383</v>
      </c>
      <c r="H77" s="54">
        <f t="shared" si="1"/>
        <v>7383</v>
      </c>
      <c r="I77" s="11"/>
    </row>
    <row r="78" spans="1:9" ht="24" customHeight="1">
      <c r="A78" s="31">
        <v>72</v>
      </c>
      <c r="B78" s="38" t="s">
        <v>226</v>
      </c>
      <c r="C78" s="3" t="s">
        <v>159</v>
      </c>
      <c r="D78" s="1" t="s">
        <v>160</v>
      </c>
      <c r="E78" s="13" t="s">
        <v>4</v>
      </c>
      <c r="F78" s="30">
        <v>4</v>
      </c>
      <c r="G78" s="6">
        <v>2075.8000000000002</v>
      </c>
      <c r="H78" s="54">
        <f t="shared" si="1"/>
        <v>8303.2000000000007</v>
      </c>
      <c r="I78" s="11"/>
    </row>
    <row r="79" spans="1:9" ht="24" customHeight="1">
      <c r="A79" s="29">
        <v>73</v>
      </c>
      <c r="B79" s="38" t="s">
        <v>226</v>
      </c>
      <c r="C79" s="3" t="s">
        <v>161</v>
      </c>
      <c r="D79" s="41" t="s">
        <v>162</v>
      </c>
      <c r="E79" s="13" t="s">
        <v>4</v>
      </c>
      <c r="F79" s="30">
        <v>4</v>
      </c>
      <c r="G79" s="6">
        <v>5917.1</v>
      </c>
      <c r="H79" s="54">
        <f t="shared" si="1"/>
        <v>23668.400000000001</v>
      </c>
      <c r="I79" s="11"/>
    </row>
    <row r="80" spans="1:9" ht="24" customHeight="1">
      <c r="A80" s="31">
        <v>74</v>
      </c>
      <c r="B80" s="38" t="s">
        <v>226</v>
      </c>
      <c r="C80" s="3" t="s">
        <v>163</v>
      </c>
      <c r="D80" s="41" t="s">
        <v>164</v>
      </c>
      <c r="E80" s="13" t="s">
        <v>4</v>
      </c>
      <c r="F80" s="30">
        <v>1</v>
      </c>
      <c r="G80" s="6">
        <v>16050</v>
      </c>
      <c r="H80" s="54">
        <f t="shared" si="1"/>
        <v>16050</v>
      </c>
      <c r="I80" s="11"/>
    </row>
    <row r="81" spans="1:11" ht="24" customHeight="1">
      <c r="A81" s="29">
        <v>75</v>
      </c>
      <c r="B81" s="38" t="s">
        <v>226</v>
      </c>
      <c r="C81" s="3" t="s">
        <v>165</v>
      </c>
      <c r="D81" s="1" t="s">
        <v>166</v>
      </c>
      <c r="E81" s="13" t="s">
        <v>4</v>
      </c>
      <c r="F81" s="30">
        <v>5</v>
      </c>
      <c r="G81" s="6">
        <v>1284</v>
      </c>
      <c r="H81" s="54">
        <f t="shared" si="1"/>
        <v>6420</v>
      </c>
      <c r="I81" s="11"/>
    </row>
    <row r="82" spans="1:11" ht="24" customHeight="1">
      <c r="A82" s="31">
        <v>76</v>
      </c>
      <c r="B82" s="38" t="s">
        <v>226</v>
      </c>
      <c r="C82" s="3" t="s">
        <v>165</v>
      </c>
      <c r="D82" s="1" t="s">
        <v>167</v>
      </c>
      <c r="E82" s="13" t="s">
        <v>4</v>
      </c>
      <c r="F82" s="30">
        <v>5</v>
      </c>
      <c r="G82" s="6">
        <v>841.5</v>
      </c>
      <c r="H82" s="54">
        <f t="shared" si="1"/>
        <v>4207.5</v>
      </c>
      <c r="I82" s="11"/>
    </row>
    <row r="83" spans="1:11" ht="24" customHeight="1">
      <c r="A83" s="29">
        <v>77</v>
      </c>
      <c r="B83" s="38" t="s">
        <v>226</v>
      </c>
      <c r="C83" s="3" t="s">
        <v>168</v>
      </c>
      <c r="D83" s="1" t="s">
        <v>169</v>
      </c>
      <c r="E83" s="13" t="s">
        <v>4</v>
      </c>
      <c r="F83" s="30">
        <v>10</v>
      </c>
      <c r="G83" s="6">
        <v>8185.5</v>
      </c>
      <c r="H83" s="54">
        <f t="shared" si="1"/>
        <v>81855</v>
      </c>
      <c r="I83" s="11"/>
    </row>
    <row r="84" spans="1:11" ht="24" customHeight="1">
      <c r="A84" s="31">
        <v>78</v>
      </c>
      <c r="B84" s="38" t="s">
        <v>226</v>
      </c>
      <c r="C84" s="3" t="s">
        <v>170</v>
      </c>
      <c r="D84" s="1" t="s">
        <v>171</v>
      </c>
      <c r="E84" s="13" t="s">
        <v>4</v>
      </c>
      <c r="F84" s="30">
        <v>1</v>
      </c>
      <c r="G84" s="6">
        <v>29000</v>
      </c>
      <c r="H84" s="54">
        <f t="shared" si="1"/>
        <v>29000</v>
      </c>
      <c r="I84" s="11"/>
    </row>
    <row r="85" spans="1:11" ht="24" customHeight="1">
      <c r="A85" s="29">
        <v>79</v>
      </c>
      <c r="B85" s="13">
        <v>2550</v>
      </c>
      <c r="C85" s="3" t="s">
        <v>172</v>
      </c>
      <c r="D85" s="1" t="s">
        <v>128</v>
      </c>
      <c r="E85" s="13" t="s">
        <v>4</v>
      </c>
      <c r="F85" s="30">
        <v>1</v>
      </c>
      <c r="G85" s="6">
        <v>1450</v>
      </c>
      <c r="H85" s="54">
        <f t="shared" si="1"/>
        <v>1450</v>
      </c>
      <c r="I85" s="10"/>
      <c r="J85" s="15"/>
    </row>
    <row r="86" spans="1:11" ht="24" customHeight="1">
      <c r="A86" s="31">
        <v>80</v>
      </c>
      <c r="B86" s="13">
        <v>2550</v>
      </c>
      <c r="C86" s="3" t="s">
        <v>173</v>
      </c>
      <c r="D86" s="1" t="s">
        <v>174</v>
      </c>
      <c r="E86" s="13" t="s">
        <v>175</v>
      </c>
      <c r="F86" s="30">
        <v>4</v>
      </c>
      <c r="G86" s="6">
        <v>3400</v>
      </c>
      <c r="H86" s="54">
        <f t="shared" si="1"/>
        <v>13600</v>
      </c>
      <c r="I86" s="10"/>
      <c r="J86" s="15"/>
    </row>
    <row r="87" spans="1:11" ht="24" customHeight="1">
      <c r="A87" s="29">
        <v>81</v>
      </c>
      <c r="B87" s="13">
        <v>2550</v>
      </c>
      <c r="C87" s="3" t="s">
        <v>176</v>
      </c>
      <c r="D87" s="48" t="s">
        <v>177</v>
      </c>
      <c r="E87" s="13" t="s">
        <v>4</v>
      </c>
      <c r="F87" s="49">
        <v>1</v>
      </c>
      <c r="G87" s="50">
        <v>21000</v>
      </c>
      <c r="H87" s="64">
        <f t="shared" si="1"/>
        <v>21000</v>
      </c>
      <c r="I87" s="10"/>
      <c r="J87" s="15"/>
    </row>
    <row r="88" spans="1:11" ht="24" customHeight="1">
      <c r="A88" s="63">
        <v>82</v>
      </c>
      <c r="B88" s="13">
        <v>2550</v>
      </c>
      <c r="C88" s="3" t="s">
        <v>178</v>
      </c>
      <c r="D88" s="48" t="s">
        <v>179</v>
      </c>
      <c r="E88" s="13" t="s">
        <v>4</v>
      </c>
      <c r="F88" s="30">
        <v>1</v>
      </c>
      <c r="G88" s="6">
        <v>2990</v>
      </c>
      <c r="H88" s="64">
        <f t="shared" si="1"/>
        <v>2990</v>
      </c>
      <c r="I88" s="10"/>
      <c r="J88" s="15"/>
    </row>
    <row r="89" spans="1:11" ht="24" customHeight="1">
      <c r="A89" s="63"/>
      <c r="B89" s="40"/>
      <c r="C89" s="30" t="s">
        <v>101</v>
      </c>
      <c r="D89" s="48"/>
      <c r="E89" s="13"/>
      <c r="F89" s="30"/>
      <c r="G89" s="6"/>
      <c r="H89" s="64">
        <f>SUM(H47:H88)</f>
        <v>9596097.0800000001</v>
      </c>
      <c r="I89" s="10"/>
      <c r="J89" s="15"/>
    </row>
    <row r="90" spans="1:11" ht="24" customHeight="1">
      <c r="A90" s="63"/>
      <c r="B90" s="40"/>
      <c r="C90" s="30" t="s">
        <v>102</v>
      </c>
      <c r="D90" s="48"/>
      <c r="E90" s="13"/>
      <c r="F90" s="30"/>
      <c r="G90" s="6"/>
      <c r="H90" s="64">
        <f>SUM(H89)</f>
        <v>9596097.0800000001</v>
      </c>
      <c r="I90" s="10"/>
      <c r="J90" s="15"/>
    </row>
    <row r="91" spans="1:11" ht="24" customHeight="1">
      <c r="A91" s="29">
        <v>83</v>
      </c>
      <c r="B91" s="13">
        <v>2550</v>
      </c>
      <c r="C91" s="3" t="s">
        <v>180</v>
      </c>
      <c r="D91" s="48" t="s">
        <v>181</v>
      </c>
      <c r="E91" s="4" t="s">
        <v>4</v>
      </c>
      <c r="F91" s="30">
        <v>1</v>
      </c>
      <c r="G91" s="6">
        <v>1990</v>
      </c>
      <c r="H91" s="64">
        <f t="shared" si="1"/>
        <v>1990</v>
      </c>
      <c r="I91" s="10"/>
      <c r="J91" s="15"/>
    </row>
    <row r="92" spans="1:11" ht="24" customHeight="1">
      <c r="A92" s="31">
        <v>84</v>
      </c>
      <c r="B92" s="13">
        <v>2550</v>
      </c>
      <c r="C92" s="3" t="s">
        <v>182</v>
      </c>
      <c r="D92" s="48" t="s">
        <v>183</v>
      </c>
      <c r="E92" s="4" t="s">
        <v>4</v>
      </c>
      <c r="F92" s="30">
        <v>6</v>
      </c>
      <c r="G92" s="6">
        <v>2354</v>
      </c>
      <c r="H92" s="54">
        <f t="shared" ref="H92:H107" si="2">SUM(F92*G92)</f>
        <v>14124</v>
      </c>
      <c r="I92" s="10"/>
      <c r="J92" s="8"/>
    </row>
    <row r="93" spans="1:11" ht="24" customHeight="1">
      <c r="A93" s="29">
        <v>85</v>
      </c>
      <c r="B93" s="13">
        <v>2550</v>
      </c>
      <c r="C93" s="3" t="s">
        <v>184</v>
      </c>
      <c r="D93" s="48" t="s">
        <v>185</v>
      </c>
      <c r="E93" s="4" t="s">
        <v>4</v>
      </c>
      <c r="F93" s="30">
        <v>1</v>
      </c>
      <c r="G93" s="6">
        <v>7383</v>
      </c>
      <c r="H93" s="54">
        <f t="shared" si="2"/>
        <v>7383</v>
      </c>
      <c r="I93" s="10"/>
      <c r="J93" s="8"/>
    </row>
    <row r="94" spans="1:11" ht="24" customHeight="1">
      <c r="A94" s="31">
        <v>86</v>
      </c>
      <c r="B94" s="13">
        <v>2550</v>
      </c>
      <c r="C94" s="3" t="s">
        <v>186</v>
      </c>
      <c r="D94" s="48" t="s">
        <v>187</v>
      </c>
      <c r="E94" s="4" t="s">
        <v>3</v>
      </c>
      <c r="F94" s="30">
        <v>1</v>
      </c>
      <c r="G94" s="6">
        <v>44960</v>
      </c>
      <c r="H94" s="54">
        <f t="shared" si="2"/>
        <v>44960</v>
      </c>
      <c r="I94" s="10"/>
      <c r="J94" s="8"/>
    </row>
    <row r="95" spans="1:11" ht="24" customHeight="1">
      <c r="A95" s="29">
        <v>87</v>
      </c>
      <c r="B95" s="7" t="s">
        <v>227</v>
      </c>
      <c r="C95" s="51" t="s">
        <v>188</v>
      </c>
      <c r="D95" s="48" t="s">
        <v>189</v>
      </c>
      <c r="E95" s="4" t="s">
        <v>4</v>
      </c>
      <c r="F95" s="49">
        <v>1</v>
      </c>
      <c r="G95" s="6">
        <v>44800</v>
      </c>
      <c r="H95" s="54">
        <f t="shared" si="2"/>
        <v>44800</v>
      </c>
      <c r="I95" s="10"/>
      <c r="J95" s="20"/>
      <c r="K95" s="5"/>
    </row>
    <row r="96" spans="1:11" ht="24" customHeight="1">
      <c r="A96" s="31">
        <v>88</v>
      </c>
      <c r="B96" s="7" t="s">
        <v>228</v>
      </c>
      <c r="C96" s="51" t="s">
        <v>190</v>
      </c>
      <c r="D96" s="48" t="s">
        <v>191</v>
      </c>
      <c r="E96" s="4" t="s">
        <v>3</v>
      </c>
      <c r="F96" s="49">
        <v>1</v>
      </c>
      <c r="G96" s="6">
        <v>25000</v>
      </c>
      <c r="H96" s="54">
        <f t="shared" si="2"/>
        <v>25000</v>
      </c>
      <c r="I96" s="10"/>
      <c r="J96" s="20"/>
      <c r="K96" s="5"/>
    </row>
    <row r="97" spans="1:11" ht="24" customHeight="1">
      <c r="A97" s="29">
        <v>89</v>
      </c>
      <c r="B97" s="7" t="s">
        <v>228</v>
      </c>
      <c r="C97" s="51" t="s">
        <v>192</v>
      </c>
      <c r="D97" s="48" t="s">
        <v>193</v>
      </c>
      <c r="E97" s="4" t="s">
        <v>3</v>
      </c>
      <c r="F97" s="49">
        <v>1</v>
      </c>
      <c r="G97" s="6">
        <v>14990</v>
      </c>
      <c r="H97" s="54">
        <f t="shared" si="2"/>
        <v>14990</v>
      </c>
      <c r="I97" s="10"/>
      <c r="J97" s="8"/>
      <c r="K97" s="5"/>
    </row>
    <row r="98" spans="1:11" ht="24" customHeight="1">
      <c r="A98" s="31">
        <v>90</v>
      </c>
      <c r="B98" s="7" t="s">
        <v>228</v>
      </c>
      <c r="C98" s="51" t="s">
        <v>194</v>
      </c>
      <c r="D98" s="48" t="s">
        <v>195</v>
      </c>
      <c r="E98" s="4" t="s">
        <v>3</v>
      </c>
      <c r="F98" s="49">
        <v>1</v>
      </c>
      <c r="G98" s="6">
        <v>29900</v>
      </c>
      <c r="H98" s="54">
        <f t="shared" si="2"/>
        <v>29900</v>
      </c>
      <c r="I98" s="10"/>
      <c r="J98" s="8"/>
      <c r="K98" s="5"/>
    </row>
    <row r="99" spans="1:11" ht="24" customHeight="1">
      <c r="A99" s="29">
        <v>91</v>
      </c>
      <c r="B99" s="7" t="s">
        <v>228</v>
      </c>
      <c r="C99" s="51" t="s">
        <v>196</v>
      </c>
      <c r="D99" s="48" t="s">
        <v>197</v>
      </c>
      <c r="E99" s="4" t="s">
        <v>3</v>
      </c>
      <c r="F99" s="49">
        <v>2</v>
      </c>
      <c r="G99" s="6">
        <v>16900</v>
      </c>
      <c r="H99" s="54">
        <f t="shared" si="2"/>
        <v>33800</v>
      </c>
      <c r="I99" s="10"/>
      <c r="J99" s="8"/>
      <c r="K99" s="5"/>
    </row>
    <row r="100" spans="1:11" ht="24" customHeight="1">
      <c r="A100" s="31">
        <v>92</v>
      </c>
      <c r="B100" s="7" t="s">
        <v>229</v>
      </c>
      <c r="C100" s="51" t="s">
        <v>198</v>
      </c>
      <c r="D100" s="48" t="s">
        <v>199</v>
      </c>
      <c r="E100" s="4" t="s">
        <v>3</v>
      </c>
      <c r="F100" s="49">
        <v>10</v>
      </c>
      <c r="G100" s="52">
        <v>34775</v>
      </c>
      <c r="H100" s="54">
        <f t="shared" si="2"/>
        <v>347750</v>
      </c>
      <c r="I100" s="13"/>
      <c r="J100" s="8"/>
      <c r="K100" s="5"/>
    </row>
    <row r="101" spans="1:11" ht="24" customHeight="1">
      <c r="A101" s="29">
        <v>93</v>
      </c>
      <c r="B101" s="7" t="s">
        <v>229</v>
      </c>
      <c r="C101" s="51" t="s">
        <v>200</v>
      </c>
      <c r="D101" s="48" t="s">
        <v>201</v>
      </c>
      <c r="E101" s="4" t="s">
        <v>3</v>
      </c>
      <c r="F101" s="49">
        <v>1</v>
      </c>
      <c r="G101" s="6">
        <v>25000</v>
      </c>
      <c r="H101" s="54">
        <f t="shared" si="2"/>
        <v>25000</v>
      </c>
      <c r="I101" s="13"/>
      <c r="J101" s="8"/>
      <c r="K101" s="5"/>
    </row>
    <row r="102" spans="1:11" ht="24" customHeight="1">
      <c r="A102" s="31">
        <v>94</v>
      </c>
      <c r="B102" s="7" t="s">
        <v>229</v>
      </c>
      <c r="C102" s="51" t="s">
        <v>202</v>
      </c>
      <c r="D102" s="48" t="s">
        <v>203</v>
      </c>
      <c r="E102" s="4" t="s">
        <v>3</v>
      </c>
      <c r="F102" s="49">
        <v>17</v>
      </c>
      <c r="G102" s="52">
        <v>1350</v>
      </c>
      <c r="H102" s="54">
        <f t="shared" si="2"/>
        <v>22950</v>
      </c>
      <c r="I102" s="13"/>
      <c r="J102" s="8"/>
      <c r="K102" s="5"/>
    </row>
    <row r="103" spans="1:11" ht="24" customHeight="1">
      <c r="A103" s="29">
        <v>95</v>
      </c>
      <c r="B103" s="7" t="s">
        <v>229</v>
      </c>
      <c r="C103" s="51" t="s">
        <v>204</v>
      </c>
      <c r="D103" s="48" t="s">
        <v>205</v>
      </c>
      <c r="E103" s="4" t="s">
        <v>3</v>
      </c>
      <c r="F103" s="49">
        <v>50</v>
      </c>
      <c r="G103" s="52">
        <v>230</v>
      </c>
      <c r="H103" s="54">
        <f t="shared" si="2"/>
        <v>11500</v>
      </c>
      <c r="I103" s="13"/>
      <c r="J103" s="8"/>
      <c r="K103" s="5"/>
    </row>
    <row r="104" spans="1:11" ht="24" customHeight="1">
      <c r="A104" s="31">
        <v>96</v>
      </c>
      <c r="B104" s="7" t="s">
        <v>229</v>
      </c>
      <c r="C104" s="51" t="s">
        <v>206</v>
      </c>
      <c r="D104" s="48" t="s">
        <v>207</v>
      </c>
      <c r="E104" s="4" t="s">
        <v>3</v>
      </c>
      <c r="F104" s="49">
        <v>20</v>
      </c>
      <c r="G104" s="52">
        <v>760</v>
      </c>
      <c r="H104" s="54">
        <f t="shared" si="2"/>
        <v>15200</v>
      </c>
      <c r="I104" s="13"/>
      <c r="J104" s="8"/>
      <c r="K104" s="5"/>
    </row>
    <row r="105" spans="1:11" ht="24" customHeight="1">
      <c r="A105" s="29">
        <v>97</v>
      </c>
      <c r="B105" s="7" t="s">
        <v>229</v>
      </c>
      <c r="C105" s="51" t="s">
        <v>208</v>
      </c>
      <c r="D105" s="48" t="s">
        <v>209</v>
      </c>
      <c r="E105" s="4" t="s">
        <v>3</v>
      </c>
      <c r="F105" s="49">
        <v>1</v>
      </c>
      <c r="G105" s="52">
        <v>300000</v>
      </c>
      <c r="H105" s="54">
        <f t="shared" si="2"/>
        <v>300000</v>
      </c>
      <c r="I105" s="13"/>
      <c r="J105" s="8"/>
      <c r="K105" s="5"/>
    </row>
    <row r="106" spans="1:11" ht="24" customHeight="1">
      <c r="A106" s="31">
        <v>98</v>
      </c>
      <c r="B106" s="7" t="s">
        <v>229</v>
      </c>
      <c r="C106" s="51" t="s">
        <v>210</v>
      </c>
      <c r="D106" s="48" t="s">
        <v>211</v>
      </c>
      <c r="E106" s="4" t="s">
        <v>3</v>
      </c>
      <c r="F106" s="49">
        <v>1</v>
      </c>
      <c r="G106" s="52">
        <v>64000</v>
      </c>
      <c r="H106" s="54">
        <f t="shared" si="2"/>
        <v>64000</v>
      </c>
      <c r="I106" s="13"/>
      <c r="J106" s="8"/>
    </row>
    <row r="107" spans="1:11" ht="24" customHeight="1">
      <c r="A107" s="29">
        <v>99</v>
      </c>
      <c r="B107" s="7" t="s">
        <v>229</v>
      </c>
      <c r="C107" s="51" t="s">
        <v>212</v>
      </c>
      <c r="D107" s="48" t="s">
        <v>213</v>
      </c>
      <c r="E107" s="4" t="s">
        <v>3</v>
      </c>
      <c r="F107" s="49">
        <v>1</v>
      </c>
      <c r="G107" s="6">
        <v>300000</v>
      </c>
      <c r="H107" s="54">
        <f t="shared" si="2"/>
        <v>300000</v>
      </c>
      <c r="I107" s="13"/>
      <c r="J107" s="8"/>
    </row>
    <row r="108" spans="1:11" ht="24" customHeight="1">
      <c r="A108" s="31">
        <v>100</v>
      </c>
      <c r="B108" s="38" t="s">
        <v>214</v>
      </c>
      <c r="C108" s="51" t="s">
        <v>215</v>
      </c>
      <c r="D108" s="48" t="s">
        <v>216</v>
      </c>
      <c r="E108" s="4" t="s">
        <v>3</v>
      </c>
      <c r="F108" s="49">
        <v>1</v>
      </c>
      <c r="G108" s="53">
        <v>1494500</v>
      </c>
      <c r="H108" s="54">
        <f t="shared" ref="H108:H109" si="3">SUM(F108*G108)</f>
        <v>1494500</v>
      </c>
      <c r="I108" s="13"/>
      <c r="J108" s="8"/>
    </row>
    <row r="109" spans="1:11" ht="24" customHeight="1">
      <c r="A109" s="29">
        <v>101</v>
      </c>
      <c r="B109" s="38" t="s">
        <v>218</v>
      </c>
      <c r="C109" s="51" t="s">
        <v>219</v>
      </c>
      <c r="D109" s="48" t="s">
        <v>220</v>
      </c>
      <c r="E109" s="4" t="s">
        <v>4</v>
      </c>
      <c r="F109" s="49">
        <v>1</v>
      </c>
      <c r="G109" s="53">
        <v>2690</v>
      </c>
      <c r="H109" s="54">
        <f t="shared" si="3"/>
        <v>2690</v>
      </c>
      <c r="I109" s="13"/>
      <c r="J109" s="8"/>
    </row>
    <row r="110" spans="1:11">
      <c r="A110" s="69" t="s">
        <v>7</v>
      </c>
      <c r="B110" s="70"/>
      <c r="C110" s="70"/>
      <c r="D110" s="70"/>
      <c r="E110" s="71"/>
      <c r="F110" s="4"/>
      <c r="G110" s="16" t="s">
        <v>9</v>
      </c>
      <c r="H110" s="17">
        <f>SUM(H90:H109)</f>
        <v>12396634.08</v>
      </c>
      <c r="I110" s="22"/>
      <c r="J110" s="18"/>
    </row>
    <row r="111" spans="1:11">
      <c r="A111" s="23"/>
      <c r="B111" s="23"/>
      <c r="C111" s="23"/>
      <c r="D111" s="23"/>
      <c r="E111" s="23"/>
      <c r="F111" s="26"/>
      <c r="G111" s="19"/>
      <c r="H111" s="19"/>
      <c r="I111" s="21"/>
      <c r="J111" s="18"/>
    </row>
    <row r="112" spans="1:11">
      <c r="A112" s="8"/>
      <c r="B112" s="8"/>
      <c r="C112" s="8"/>
      <c r="D112" s="8"/>
      <c r="E112" s="8"/>
      <c r="F112" s="26"/>
      <c r="G112" s="8"/>
      <c r="H112" s="8"/>
      <c r="I112" s="21"/>
      <c r="J112" s="8"/>
    </row>
    <row r="113" spans="1:10">
      <c r="A113" s="8"/>
      <c r="B113" s="8"/>
      <c r="C113" s="8"/>
      <c r="D113" s="8"/>
      <c r="E113" s="8"/>
      <c r="F113" s="65" t="s">
        <v>5</v>
      </c>
      <c r="G113" s="65"/>
      <c r="H113" s="65"/>
      <c r="I113" s="65"/>
      <c r="J113" s="21"/>
    </row>
    <row r="114" spans="1:10">
      <c r="A114" s="8"/>
      <c r="B114" s="8"/>
      <c r="C114" s="8"/>
      <c r="D114" s="8"/>
      <c r="E114" s="8"/>
      <c r="F114" s="65" t="s">
        <v>217</v>
      </c>
      <c r="G114" s="65"/>
      <c r="H114" s="65"/>
      <c r="I114" s="65"/>
      <c r="J114" s="21"/>
    </row>
    <row r="115" spans="1:10">
      <c r="A115" s="8"/>
      <c r="B115" s="8"/>
      <c r="C115" s="8"/>
      <c r="D115" s="8"/>
      <c r="E115" s="8"/>
      <c r="F115" s="65" t="s">
        <v>6</v>
      </c>
      <c r="G115" s="65"/>
      <c r="H115" s="65"/>
      <c r="I115" s="65"/>
      <c r="J115" s="21"/>
    </row>
    <row r="116" spans="1:10">
      <c r="A116" s="8"/>
      <c r="B116" s="8"/>
      <c r="C116" s="8"/>
      <c r="D116" s="8"/>
      <c r="E116" s="8"/>
      <c r="F116" s="21"/>
      <c r="G116" s="21"/>
      <c r="H116" s="21"/>
      <c r="I116" s="21"/>
      <c r="J116" s="21"/>
    </row>
  </sheetData>
  <mergeCells count="7">
    <mergeCell ref="F115:I115"/>
    <mergeCell ref="A1:I1"/>
    <mergeCell ref="A2:I2"/>
    <mergeCell ref="A3:I3"/>
    <mergeCell ref="A110:E110"/>
    <mergeCell ref="F113:I113"/>
    <mergeCell ref="F114:I114"/>
  </mergeCells>
  <phoneticPr fontId="9" type="noConversion"/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แผนกช่างอิเล็กทรอนิกส์</vt:lpstr>
      <vt:lpstr>แผนกช่างอิเล็กทรอนิกส์!Print_Titles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2022-04-28T07:18:30Z</cp:lastPrinted>
  <dcterms:created xsi:type="dcterms:W3CDTF">2017-11-14T01:32:33Z</dcterms:created>
  <dcterms:modified xsi:type="dcterms:W3CDTF">2022-06-10T10:01:43Z</dcterms:modified>
</cp:coreProperties>
</file>