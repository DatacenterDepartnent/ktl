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3\"/>
    </mc:Choice>
  </mc:AlternateContent>
  <bookViews>
    <workbookView xWindow="-120" yWindow="-120" windowWidth="24240" windowHeight="13140" tabRatio="897" firstSheet="5" activeTab="6"/>
  </bookViews>
  <sheets>
    <sheet name="แผนกช่างยนต์" sheetId="45" r:id="rId1"/>
    <sheet name="แผนกเครื่องกลอุตสาหกรรม" sheetId="37" r:id="rId2"/>
    <sheet name="แผนกช่างเชื่อมโลหะ" sheetId="30" r:id="rId3"/>
    <sheet name="แผนกเทคนิคพื้นฐาน" sheetId="28" r:id="rId4"/>
    <sheet name="แผนกช่างไฟฟ้ากำลัง" sheetId="31" r:id="rId5"/>
    <sheet name="แผนกช่างกลโรงงาน" sheetId="29" r:id="rId6"/>
    <sheet name="แผนกช่างอิเล็กทรอนิคส์" sheetId="27" r:id="rId7"/>
    <sheet name="แผนกคอมพิวเตอร์" sheetId="32" r:id="rId8"/>
    <sheet name="แผนกการตลาด" sheetId="33" r:id="rId9"/>
    <sheet name="แผนกการโรมแรม" sheetId="41" r:id="rId10"/>
    <sheet name="แผนกการบัญชี" sheetId="34" r:id="rId11"/>
    <sheet name="แผนกก่อสร้าง" sheetId="42" r:id="rId12"/>
    <sheet name="แผนกสามัญสัมพันธ์" sheetId="18" r:id="rId13"/>
    <sheet name="งานทะเบียน" sheetId="2" r:id="rId14"/>
    <sheet name="งานบริหารงานทั่วไป" sheetId="5" r:id="rId15"/>
    <sheet name="งานพัสดุ" sheetId="43" r:id="rId16"/>
    <sheet name="งานบัญชี" sheetId="6" r:id="rId17"/>
    <sheet name="งานบุคลากร" sheetId="4" r:id="rId18"/>
    <sheet name="งานการเงิน" sheetId="8" r:id="rId19"/>
    <sheet name="งานอาคารสถานที่" sheetId="25" r:id="rId20"/>
    <sheet name="งานประชาสัมพันธ์" sheetId="3" r:id="rId21"/>
    <sheet name="งานโครงการพิเศษ" sheetId="13" r:id="rId22"/>
    <sheet name="งานกิจกรรม" sheetId="11" r:id="rId23"/>
    <sheet name="งานแนะแนว" sheetId="9" r:id="rId24"/>
    <sheet name="งานสวัสดิการ" sheetId="10" r:id="rId25"/>
    <sheet name="งานครูที่ปรึกษา" sheetId="36" r:id="rId26"/>
    <sheet name="งานปกครอง" sheetId="7" r:id="rId27"/>
    <sheet name="งานวางแผน" sheetId="17" r:id="rId28"/>
    <sheet name="งานส่งเสริมผลิตผลการค้า" sheetId="12" r:id="rId29"/>
    <sheet name="งานประกันคุณภาพ" sheetId="35" r:id="rId30"/>
    <sheet name="งานวิจัยฯ" sheetId="16" r:id="rId31"/>
    <sheet name="งานความร่วมมือ" sheetId="14" r:id="rId32"/>
    <sheet name="งานศูนย์ข้อมูลฯ" sheetId="15" r:id="rId33"/>
    <sheet name="งานทวิภาคี" sheetId="23" r:id="rId34"/>
    <sheet name="งานพัฒนาหลักสูตร" sheetId="24" r:id="rId35"/>
    <sheet name="งานวัดผลและประเมินผล" sheetId="22" r:id="rId36"/>
    <sheet name="งานวิทยบริการและห้องสมุด" sheetId="20" r:id="rId37"/>
    <sheet name="งานสื่อการเรียนการสอน" sheetId="19" r:id="rId38"/>
  </sheets>
  <definedNames>
    <definedName name="_xlnm.Print_Area" localSheetId="12">แผนกสามัญสัมพันธ์!$A$1:$I$46</definedName>
    <definedName name="_xlnm.Print_Titles" localSheetId="15">งานพัสดุ!$1:$4</definedName>
    <definedName name="_xlnm.Print_Titles" localSheetId="37">งานสื่อการเรียนการสอน!$1:$4</definedName>
    <definedName name="_xlnm.Print_Titles" localSheetId="19">งานอาคารสถานที่!$1:$4</definedName>
    <definedName name="_xlnm.Print_Titles" localSheetId="7">แผนกคอมพิวเตอร์!$1:$4</definedName>
    <definedName name="_xlnm.Print_Titles" localSheetId="4">แผนกช่างไฟฟ้ากำลัง!$1:$4</definedName>
    <definedName name="_xlnm.Print_Titles" localSheetId="0">แผนกช่างยนต์!$1:$4</definedName>
    <definedName name="_xlnm.Print_Titles" localSheetId="6">แผนกช่างอิเล็กทรอนิคส์!$1:$4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8" i="27" l="1"/>
  <c r="H6" i="34" l="1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5" i="34"/>
  <c r="H39" i="34" s="1"/>
  <c r="H7" i="41" l="1"/>
  <c r="H33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5" i="33"/>
  <c r="H79" i="32"/>
  <c r="H48" i="32"/>
  <c r="H47" i="32"/>
  <c r="H6" i="27" l="1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5" i="27"/>
  <c r="H47" i="27" s="1"/>
  <c r="H48" i="27" s="1"/>
  <c r="H90" i="27" s="1"/>
  <c r="H91" i="27" s="1"/>
  <c r="H109" i="27" s="1"/>
  <c r="H63" i="31"/>
  <c r="H46" i="31"/>
  <c r="H45" i="31"/>
  <c r="H16" i="29"/>
  <c r="H6" i="29"/>
  <c r="H7" i="29"/>
  <c r="H8" i="29"/>
  <c r="H9" i="29"/>
  <c r="H10" i="29"/>
  <c r="H11" i="29"/>
  <c r="H12" i="29"/>
  <c r="H13" i="29"/>
  <c r="H14" i="29"/>
  <c r="H15" i="29"/>
  <c r="H5" i="29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5" i="31"/>
  <c r="H27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5" i="28"/>
  <c r="H19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5" i="37"/>
  <c r="H100" i="45"/>
  <c r="H91" i="45"/>
  <c r="H90" i="45"/>
  <c r="H48" i="45"/>
  <c r="H47" i="45"/>
  <c r="H93" i="45"/>
  <c r="H92" i="45"/>
  <c r="H89" i="45"/>
  <c r="H88" i="45"/>
  <c r="H87" i="45"/>
  <c r="H86" i="45"/>
  <c r="H85" i="45"/>
  <c r="H84" i="45"/>
  <c r="H83" i="45"/>
  <c r="H82" i="45"/>
  <c r="H81" i="45"/>
  <c r="H80" i="45"/>
  <c r="H79" i="45"/>
  <c r="H78" i="45"/>
  <c r="H77" i="45"/>
  <c r="H76" i="45"/>
  <c r="H75" i="45"/>
  <c r="H74" i="45"/>
  <c r="H73" i="45"/>
  <c r="H72" i="45"/>
  <c r="H71" i="45"/>
  <c r="H70" i="45"/>
  <c r="H69" i="45"/>
  <c r="H68" i="45"/>
  <c r="H67" i="45"/>
  <c r="H66" i="45"/>
  <c r="H65" i="45"/>
  <c r="H64" i="45"/>
  <c r="H63" i="45"/>
  <c r="H62" i="45"/>
  <c r="H61" i="45"/>
  <c r="H60" i="45"/>
  <c r="H59" i="45"/>
  <c r="H58" i="45"/>
  <c r="H57" i="45"/>
  <c r="H56" i="45"/>
  <c r="H55" i="45"/>
  <c r="H54" i="45"/>
  <c r="H53" i="45"/>
  <c r="H52" i="45"/>
  <c r="H51" i="45"/>
  <c r="H50" i="45"/>
  <c r="H49" i="45"/>
  <c r="H46" i="45"/>
  <c r="H45" i="45"/>
  <c r="H44" i="45"/>
  <c r="H43" i="45"/>
  <c r="H42" i="45"/>
  <c r="H41" i="45"/>
  <c r="H40" i="45"/>
  <c r="H39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  <c r="H6" i="45"/>
  <c r="H5" i="45"/>
  <c r="H6" i="19" l="1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5" i="19"/>
  <c r="H46" i="19" s="1"/>
  <c r="H47" i="19" s="1"/>
  <c r="H39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5" i="20"/>
  <c r="H6" i="22" l="1"/>
  <c r="H7" i="22"/>
  <c r="H8" i="22"/>
  <c r="H9" i="22"/>
  <c r="H10" i="22"/>
  <c r="H11" i="22"/>
  <c r="H12" i="22"/>
  <c r="H13" i="22"/>
  <c r="H14" i="22"/>
  <c r="H15" i="22"/>
  <c r="H5" i="22"/>
  <c r="H23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5" i="24"/>
  <c r="H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5" i="15"/>
  <c r="H12" i="16"/>
  <c r="H6" i="16"/>
  <c r="H7" i="16"/>
  <c r="H8" i="16"/>
  <c r="H9" i="16"/>
  <c r="H10" i="16"/>
  <c r="H11" i="16"/>
  <c r="H5" i="16"/>
  <c r="H16" i="22" l="1"/>
  <c r="H16" i="7"/>
  <c r="H6" i="7"/>
  <c r="H7" i="7"/>
  <c r="H8" i="7"/>
  <c r="H9" i="7"/>
  <c r="H10" i="7"/>
  <c r="H11" i="7"/>
  <c r="H12" i="7"/>
  <c r="H13" i="7"/>
  <c r="H14" i="7"/>
  <c r="H15" i="7"/>
  <c r="H5" i="7"/>
  <c r="H10" i="36"/>
  <c r="H6" i="36"/>
  <c r="H7" i="36"/>
  <c r="H8" i="36"/>
  <c r="H9" i="36"/>
  <c r="H5" i="36"/>
  <c r="H13" i="10"/>
  <c r="H16" i="9"/>
  <c r="H31" i="11"/>
  <c r="H132" i="25"/>
  <c r="H92" i="25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5" i="3"/>
  <c r="H28" i="3" s="1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5" i="25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5" i="8"/>
  <c r="H27" i="8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5" i="4"/>
  <c r="H25" i="4" s="1"/>
  <c r="H48" i="25" l="1"/>
  <c r="H49" i="25" s="1"/>
  <c r="H93" i="25"/>
  <c r="H6" i="6"/>
  <c r="H16" i="6" s="1"/>
  <c r="H7" i="6"/>
  <c r="H8" i="6"/>
  <c r="H9" i="6"/>
  <c r="H10" i="6"/>
  <c r="H11" i="6"/>
  <c r="H12" i="6"/>
  <c r="H13" i="6"/>
  <c r="H14" i="6"/>
  <c r="H15" i="6"/>
  <c r="H5" i="6"/>
  <c r="H6" i="43"/>
  <c r="H44" i="43" s="1"/>
  <c r="H45" i="43" s="1"/>
  <c r="H50" i="43" s="1"/>
  <c r="H7" i="43"/>
  <c r="H8" i="43"/>
  <c r="H9" i="43"/>
  <c r="H10" i="43"/>
  <c r="H11" i="43"/>
  <c r="H1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H30" i="43"/>
  <c r="H31" i="43"/>
  <c r="H32" i="43"/>
  <c r="H33" i="43"/>
  <c r="H34" i="43"/>
  <c r="H35" i="43"/>
  <c r="H36" i="43"/>
  <c r="H37" i="43"/>
  <c r="H38" i="43"/>
  <c r="H39" i="43"/>
  <c r="H40" i="43"/>
  <c r="H41" i="43"/>
  <c r="H42" i="43"/>
  <c r="H43" i="43"/>
  <c r="H46" i="43"/>
  <c r="H47" i="43"/>
  <c r="H48" i="43"/>
  <c r="H49" i="43"/>
  <c r="H5" i="43"/>
  <c r="H24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5" i="5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5" i="2"/>
  <c r="H37" i="2" l="1"/>
  <c r="H6" i="32" l="1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9" i="32"/>
  <c r="H50" i="32"/>
  <c r="H51" i="32"/>
  <c r="H52" i="32"/>
  <c r="H53" i="32"/>
  <c r="H54" i="32"/>
  <c r="H55" i="32"/>
  <c r="H56" i="32"/>
  <c r="H57" i="32"/>
  <c r="H58" i="32"/>
  <c r="H59" i="32"/>
  <c r="H5" i="32"/>
  <c r="H6" i="18" l="1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5" i="18"/>
  <c r="H40" i="18" l="1"/>
  <c r="H5" i="42"/>
  <c r="H6" i="41"/>
  <c r="H5" i="4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5" i="11"/>
  <c r="H6" i="23"/>
  <c r="H7" i="23"/>
  <c r="H8" i="23"/>
  <c r="H5" i="23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5" i="30"/>
  <c r="H6" i="35"/>
  <c r="H7" i="35"/>
  <c r="H8" i="35"/>
  <c r="H9" i="35"/>
  <c r="H10" i="35"/>
  <c r="H11" i="35"/>
  <c r="H5" i="35"/>
  <c r="H9" i="23" l="1"/>
  <c r="H40" i="30"/>
  <c r="H12" i="35"/>
  <c r="H6" i="12"/>
  <c r="H7" i="12"/>
  <c r="H8" i="12"/>
  <c r="H9" i="12"/>
  <c r="H10" i="12"/>
  <c r="H11" i="12"/>
  <c r="H12" i="12"/>
  <c r="H13" i="12"/>
  <c r="H5" i="12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5" i="17"/>
  <c r="H25" i="17" s="1"/>
  <c r="H14" i="12" l="1"/>
  <c r="H6" i="13"/>
  <c r="H7" i="13"/>
  <c r="H8" i="13"/>
  <c r="H9" i="13"/>
  <c r="H10" i="13"/>
  <c r="H11" i="13"/>
  <c r="H12" i="13"/>
  <c r="H13" i="13"/>
  <c r="H5" i="13"/>
  <c r="H6" i="9"/>
  <c r="H7" i="9"/>
  <c r="H8" i="9"/>
  <c r="H9" i="9"/>
  <c r="H10" i="9"/>
  <c r="H11" i="9"/>
  <c r="H12" i="9"/>
  <c r="H13" i="9"/>
  <c r="H14" i="9"/>
  <c r="H15" i="9"/>
  <c r="H5" i="9"/>
  <c r="H48" i="19"/>
  <c r="H49" i="19"/>
  <c r="H50" i="19"/>
  <c r="H51" i="19"/>
  <c r="H52" i="19"/>
  <c r="H53" i="19"/>
  <c r="H54" i="19"/>
  <c r="H55" i="19"/>
  <c r="H6" i="10"/>
  <c r="H7" i="10"/>
  <c r="H8" i="10"/>
  <c r="H9" i="10"/>
  <c r="H10" i="10"/>
  <c r="H11" i="10"/>
  <c r="H12" i="10"/>
  <c r="H5" i="10"/>
  <c r="H7" i="14"/>
  <c r="H8" i="14"/>
  <c r="H9" i="14"/>
  <c r="H10" i="14"/>
  <c r="H11" i="14"/>
  <c r="H12" i="14"/>
  <c r="H13" i="14"/>
  <c r="H6" i="14"/>
  <c r="H5" i="14"/>
  <c r="H56" i="19" l="1"/>
  <c r="H14" i="13"/>
  <c r="H14" i="14"/>
</calcChain>
</file>

<file path=xl/sharedStrings.xml><?xml version="1.0" encoding="utf-8"?>
<sst xmlns="http://schemas.openxmlformats.org/spreadsheetml/2006/main" count="4767" uniqueCount="1944">
  <si>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</si>
  <si>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</si>
  <si>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</si>
  <si>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</si>
  <si>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7110-007-0004/391-002</t>
  </si>
  <si>
    <t>7430-001-0007/391-001</t>
  </si>
  <si>
    <t>7430-001-0002/391-001</t>
  </si>
  <si>
    <t>7430-001-0005/391-001</t>
  </si>
  <si>
    <t>7125-002-0002/391-003</t>
  </si>
  <si>
    <t>2310-004-0001/391-001</t>
  </si>
  <si>
    <t>7420-001-0001/391-001</t>
  </si>
  <si>
    <t>7110-007-0001/401-002</t>
  </si>
  <si>
    <t>7110-007-0002/401-006</t>
  </si>
  <si>
    <t>7125-002-0002/401-015</t>
  </si>
  <si>
    <t>7110-002-0006/401-007-401-010</t>
  </si>
  <si>
    <t>7110-002-0002/403-003-403-004</t>
  </si>
  <si>
    <t>2320-004-0001/401-001</t>
  </si>
  <si>
    <t>4140-001-0001/442-010</t>
  </si>
  <si>
    <t>6720-005-0002/472-002</t>
  </si>
  <si>
    <t>6720-005-0002/472-001</t>
  </si>
  <si>
    <t>4140-001-0001/483-019</t>
  </si>
  <si>
    <t>7440-001-0001/492-047</t>
  </si>
  <si>
    <t>4140-001-0001/493-037</t>
  </si>
  <si>
    <t>4140-001-0001/493-038</t>
  </si>
  <si>
    <t>7430-008-0002/492-007</t>
  </si>
  <si>
    <t>2320-008-0001/493-001</t>
  </si>
  <si>
    <t>5805-001-0002/502-002</t>
  </si>
  <si>
    <t>7110-002-0005/502-012</t>
  </si>
  <si>
    <t>7440-009-0001/502-005</t>
  </si>
  <si>
    <t>7440-001-0001/502-053-054</t>
  </si>
  <si>
    <t>7440-001-0001/502-059</t>
  </si>
  <si>
    <t>7110-007-0001/502-007-008</t>
  </si>
  <si>
    <t>7125-002-0002/502-007-008</t>
  </si>
  <si>
    <t>7110-002-0006/502-086-087</t>
  </si>
  <si>
    <t>โต๊ะพิมพ์ดีด</t>
  </si>
  <si>
    <t>เครื่องพิมพ์ดีดแบบธรรมดาภาษาไทย  18"</t>
  </si>
  <si>
    <t>เครื่องพิมพ์ดีดแบบธรรมดาภาษาอังกฤษ 18"</t>
  </si>
  <si>
    <t>เครื่องพิมพ์ดีดแบบธรรมดาภาษาไทย  15"</t>
  </si>
  <si>
    <t>ตู้เหล็ก 4  ลิ้นชัก</t>
  </si>
  <si>
    <t>รถยนต์โดยสาร 12 ที่นั่ง</t>
  </si>
  <si>
    <t>เครื่องคำนวนเลข</t>
  </si>
  <si>
    <t>โต๊ะวางเครื่องคอมพิวเตอร์ +เก้าอี้</t>
  </si>
  <si>
    <t>โต๊ะวางเครื่องพิมพ์</t>
  </si>
  <si>
    <t>ตู้เหล็ก  4  ลิ้นชัก</t>
  </si>
  <si>
    <t>ตู้เหล็ก  2  บานเลื่อน</t>
  </si>
  <si>
    <t>ตู้เหล็ก 15 ลิ้นชัก</t>
  </si>
  <si>
    <t>รถบรรทุกหกล้อ</t>
  </si>
  <si>
    <t>พัดลมตั้งโต๊ะ 16"</t>
  </si>
  <si>
    <t>กล้องดิจิตอล</t>
  </si>
  <si>
    <t>พัดลมฮาตาริ 16 "</t>
  </si>
  <si>
    <t>เครื่องคอมพิวเตอร์ GVIEW</t>
  </si>
  <si>
    <t>พัดลมTORY 16 นิ้ว</t>
  </si>
  <si>
    <t>พัดลมตั้งพื้น 16 นิ้ว มิซูมารุ</t>
  </si>
  <si>
    <t>เครื่องปริ้นเตอร์ HP1020</t>
  </si>
  <si>
    <t>รถยนต์ปิคอัพ สีแดง</t>
  </si>
  <si>
    <t>เครื่องโทรศัพท์ มือถือ NOKIA 6080</t>
  </si>
  <si>
    <t>ตู้เหล็ก 2 บานเปิด</t>
  </si>
  <si>
    <t>FLASH DRIVE 2 GB</t>
  </si>
  <si>
    <t>เครื่องคอมพิวเตอร์  จอแบน</t>
  </si>
  <si>
    <t xml:space="preserve">ชุดเครื่องคอมพิวเตอร์  HP </t>
  </si>
  <si>
    <t>โต๊ะวางเครื่องคอมพิวเตอร์พร้อมเก้าอี้</t>
  </si>
  <si>
    <t>งปม.</t>
  </si>
  <si>
    <t>บกศ.</t>
  </si>
  <si>
    <t>7110-006-0008/512-001</t>
  </si>
  <si>
    <t>7110-007-0001/531-001</t>
  </si>
  <si>
    <t>7110-006-0006/531-013</t>
  </si>
  <si>
    <t>7430-008-0002/531-023</t>
  </si>
  <si>
    <t>6130-001-0001/531-008</t>
  </si>
  <si>
    <t>7440-001-0001/531-150</t>
  </si>
  <si>
    <t>เก้าอี้สำนักงาน CA 333A TAIYO</t>
  </si>
  <si>
    <t>โต๊ะคอมพิวเตอร์60*100*75</t>
  </si>
  <si>
    <t>เก้าอี้  (ขาเหล็ก ) 5 แฉก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</si>
  <si>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</si>
  <si>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</si>
  <si>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</si>
  <si>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เบาะนั้งพร้อมขา</t>
  </si>
  <si>
    <t>12 ม.ค. 60</t>
  </si>
  <si>
    <t>ชำรุด</t>
  </si>
  <si>
    <t>ครบ</t>
  </si>
  <si>
    <t>เก้าอี้ชำรุด</t>
  </si>
  <si>
    <t>7125-002-0002/401-012-013</t>
  </si>
  <si>
    <t>7110-002-0006/401-001</t>
  </si>
  <si>
    <t>7125-002-0002/462-001</t>
  </si>
  <si>
    <t>7440-001-0001/472-030</t>
  </si>
  <si>
    <t>7110-002-0005/492-008</t>
  </si>
  <si>
    <t>7110-002-0002/492-005</t>
  </si>
  <si>
    <t>7125-002-0002/492-004</t>
  </si>
  <si>
    <t>7110-002-0006/492-075</t>
  </si>
  <si>
    <t>7740-004-0002/492-012</t>
  </si>
  <si>
    <t>7440-001-0001/502-052</t>
  </si>
  <si>
    <t>7110-007-0001/502-006</t>
  </si>
  <si>
    <t>7110-002-0002/512-007-010</t>
  </si>
  <si>
    <t>7125-002-0002/512-011</t>
  </si>
  <si>
    <t>6720-005-0002/512-008</t>
  </si>
  <si>
    <t>7430-008-0006/512-017</t>
  </si>
  <si>
    <t>7440-001-0001/512-159</t>
  </si>
  <si>
    <t>7440-001-0004/512-158</t>
  </si>
  <si>
    <t>7490-015-0004/512-001-002</t>
  </si>
  <si>
    <t>7490-015-0003/512-001</t>
  </si>
  <si>
    <t>7110-002-0005/521-019-021</t>
  </si>
  <si>
    <t>7110-002-0002/521-004</t>
  </si>
  <si>
    <t>7125-002-0002/521-018</t>
  </si>
  <si>
    <t>7110-007-0001/531-002</t>
  </si>
  <si>
    <t>7110-006-0006/531-012</t>
  </si>
  <si>
    <t>7430-008-0002/531-022</t>
  </si>
  <si>
    <t>6130-001-0001/531-004</t>
  </si>
  <si>
    <t>7440-001-0001/531-145</t>
  </si>
  <si>
    <t>7440-001-0002/582-001</t>
  </si>
  <si>
    <t>7430-003-0001/582-001</t>
  </si>
  <si>
    <t>7430-003-6001</t>
  </si>
  <si>
    <t>7440-001-6001</t>
  </si>
  <si>
    <t>ตู้เหล็ก 4 ลิ้นชัก</t>
  </si>
  <si>
    <t>ตู้เหล็ก 2  บานเลื่อน</t>
  </si>
  <si>
    <t>เครื่องคอมพิวเตอร์</t>
  </si>
  <si>
    <t>ตู้เหล็ก 2  บานเลื่อน 4 ฟุต</t>
  </si>
  <si>
    <t>เครื่องปริ้นเตอร์  HP 1020</t>
  </si>
  <si>
    <t>โต๊ะวางเครื่องคอม + เก้าอี้</t>
  </si>
  <si>
    <t>ตู้เหล็ก 15 ลิ้นชัก STAR</t>
  </si>
  <si>
    <t xml:space="preserve">ตู้เหล็ก 4 ลิ้นชัก STAR </t>
  </si>
  <si>
    <t>เครื่องคอมพิวเตอร์  SVOA</t>
  </si>
  <si>
    <t>ตู้เหล็ก  2 บานเปิด</t>
  </si>
  <si>
    <t>โต๊ะคอมพิวเตอร์ 60*100*75</t>
  </si>
  <si>
    <t>เก้าอี้  (ขาเหล็ก) 5  แฉก</t>
  </si>
  <si>
    <t>เครื่องคอมพิวเตอร์ All in one</t>
  </si>
  <si>
    <t>เครื่องพิมท์บัตรพลาลติก HITI</t>
  </si>
  <si>
    <t>เครื่องปริ้นเตอร์</t>
  </si>
  <si>
    <t xml:space="preserve">server Hpj proliant ml 10 Geng  </t>
  </si>
  <si>
    <t>บัญชีรายการครุภัณฑ์  งานทะเบียน  คงเหลือ</t>
  </si>
  <si>
    <t>7430-008-0002/492-006</t>
  </si>
  <si>
    <t>7110-002-0002/492-004</t>
  </si>
  <si>
    <t>7110-002-0006/492-069</t>
  </si>
  <si>
    <t>7440-010-0001/492-001</t>
  </si>
  <si>
    <t>7440-010-0002/492-007</t>
  </si>
  <si>
    <t>7440-010-0003/492-001</t>
  </si>
  <si>
    <t>7440-010-0004/492-001</t>
  </si>
  <si>
    <t>5965-003-0001/492-001</t>
  </si>
  <si>
    <t>8350-001-0001/491-001-006</t>
  </si>
  <si>
    <t>8350-001-0001/491-001</t>
  </si>
  <si>
    <t>7110-007-0001/531-003</t>
  </si>
  <si>
    <t>7110-006-0006/531-010</t>
  </si>
  <si>
    <t>7110-007-0004/531-005</t>
  </si>
  <si>
    <t>7430-008-0002/531-020</t>
  </si>
  <si>
    <t>7440-001-0001/531-148</t>
  </si>
  <si>
    <t xml:space="preserve">เครื่องคอมพิวเตอร์ DTK </t>
  </si>
  <si>
    <t>เครื่องปริ้นเตอร์ HP PSC 1315</t>
  </si>
  <si>
    <t>ตู้ 2 บานเลื่อนกระจก 4 ฟุต</t>
  </si>
  <si>
    <t>ซาวด์การ์ด</t>
  </si>
  <si>
    <t>เครื่องไรท์ ซีดี</t>
  </si>
  <si>
    <t>ฮาร์ดดิส 80</t>
  </si>
  <si>
    <t>ลำโพง</t>
  </si>
  <si>
    <t>หูฟังพร้อมไมค์</t>
  </si>
  <si>
    <t>ผ้าม่าน ขนาด 0.8 * 2 เมตร</t>
  </si>
  <si>
    <t>ผ้าม่าน ขนาด 09 * 1.85 เมตร</t>
  </si>
  <si>
    <t>ผ้าม่าน ขนาด 0.7 * 1.8เมตร</t>
  </si>
  <si>
    <t>ผ้าม่าน ขนาด 1 * 1.35 เมตร</t>
  </si>
  <si>
    <t>ผ้าม่าน ขนาด 0.9 * .45 เมตร</t>
  </si>
  <si>
    <t>โต๊ะคอมพิวเตอร์  60*100*75</t>
  </si>
  <si>
    <t>เก้าอี้(ขาเหล็ก)  5  แฉก</t>
  </si>
  <si>
    <t>โต๊ะทำงานเหล็ก  4  ฟุต</t>
  </si>
  <si>
    <t>เลนส์ 24-105 mm f/41 is ef usm af</t>
  </si>
  <si>
    <t>แฟลต speedlite yn 568ex 2</t>
  </si>
  <si>
    <t>เครื่องคอมพิวเตอร์ ALL IN ONE</t>
  </si>
  <si>
    <t>ขาตั้งกล้อง</t>
  </si>
  <si>
    <t>บัญชีรายการครุภัณฑ์  งานประชาสัมพันธ์  คงเหลือ</t>
  </si>
  <si>
    <t>7110-002-0002/403-006</t>
  </si>
  <si>
    <t>7110-002-0002/482-002-482-003</t>
  </si>
  <si>
    <t>7430-008-0002/492-008</t>
  </si>
  <si>
    <t>7440-001-0001/492-049</t>
  </si>
  <si>
    <t>7110-002-0006/502-090</t>
  </si>
  <si>
    <t>7110-002-0005/502-016</t>
  </si>
  <si>
    <t>7110-007-0001/502-012</t>
  </si>
  <si>
    <t>7440-009-0001/502-004</t>
  </si>
  <si>
    <t>7110-002-0006/521-021</t>
  </si>
  <si>
    <t>6310-004-0001/531-001</t>
  </si>
  <si>
    <t>7110-006-0006/531-001</t>
  </si>
  <si>
    <t>6130-001-0001/531-006</t>
  </si>
  <si>
    <t>7440-001-0001/566-001-002</t>
  </si>
  <si>
    <t>7430-008-0002/566-001-002</t>
  </si>
  <si>
    <t>7110-007-0015/566-001-002</t>
  </si>
  <si>
    <t>7440-001-0003/586-001(2)</t>
  </si>
  <si>
    <t>ตู้เหล็ก 15  ลิ้นชัก</t>
  </si>
  <si>
    <t>เครื่องปริ้นเตอร์ HP 1020</t>
  </si>
  <si>
    <t>ตู้เหล็ก 2 บานเลื่อน</t>
  </si>
  <si>
    <t>โต๊ะวางเครื่องคอมพิวเตอร์</t>
  </si>
  <si>
    <t>FLASH DRIVE 1 GB</t>
  </si>
  <si>
    <t>ตู้บานเลื่อนกระจก</t>
  </si>
  <si>
    <t>เครื่องสแกนลายนิ้วมือ รุ่น  x938</t>
  </si>
  <si>
    <t>เก้าอี้สำนักงาน  (ขาเหล็ก)</t>
  </si>
  <si>
    <t>เครื่องคอมพิวเตอร์พร้อมจอ 20" HP</t>
  </si>
  <si>
    <t>เครื่องปริ๊นเตอร์ Inkjet all in one Epson2106</t>
  </si>
  <si>
    <t>โต๊ะคอมพิวเตอร์ 120*60*75 cm</t>
  </si>
  <si>
    <t>คอมพิวเตอร์โน๊ตบุ๊ค</t>
  </si>
  <si>
    <t>อุดหนุน</t>
  </si>
  <si>
    <t>7125-002-0002/391-001</t>
  </si>
  <si>
    <t>7440-001-0001/473-002</t>
  </si>
  <si>
    <t>7440-010-0002/482-004</t>
  </si>
  <si>
    <t>7110-002-0006/492-070</t>
  </si>
  <si>
    <t>7440-009-0001/501-001</t>
  </si>
  <si>
    <t>7110-007-0001/502-010</t>
  </si>
  <si>
    <t>7440-010-0003/502-003</t>
  </si>
  <si>
    <t>7440-001-0001/502-056</t>
  </si>
  <si>
    <t>7430-008-0006/523-006</t>
  </si>
  <si>
    <t>7430-008-0002/531-021</t>
  </si>
  <si>
    <t>6130-001-0001/531-005</t>
  </si>
  <si>
    <t>7440-001-0001/531-146</t>
  </si>
  <si>
    <t>5835-006-001/531-001</t>
  </si>
  <si>
    <t>7110-002-0002/572-001-002</t>
  </si>
  <si>
    <t>4110-001-0001/582-001</t>
  </si>
  <si>
    <t>ตู้เหล็ก 4 ลิ้นชัก KINGK0NG</t>
  </si>
  <si>
    <t>คอมพิวเตอร์ DTK</t>
  </si>
  <si>
    <t>เครื่องสแกนเนอร์ 7650</t>
  </si>
  <si>
    <t>ตู้เหล็ก 2 บานเลื่อนกระจก 4 ฟุต</t>
  </si>
  <si>
    <t>FLASH DRIVE 512 MB</t>
  </si>
  <si>
    <t>โต๊ะวางเครื่องคอม+เก้าอี้</t>
  </si>
  <si>
    <t>ฮาร์ดดิส</t>
  </si>
  <si>
    <t>เครื่องคอมพิวเตอร์ จอแบน</t>
  </si>
  <si>
    <t>เครื่องปริ้นเตอร์ HP Laserjet P 1102</t>
  </si>
  <si>
    <t>เครื่องบันทึกเสียง  Sony</t>
  </si>
  <si>
    <t>ตู้เหล็ก 2 ประตู บานเปิด</t>
  </si>
  <si>
    <t>ตู้เย็น ขนาด 6.4 คิว</t>
  </si>
  <si>
    <t>KYOCERA FS-6025</t>
  </si>
  <si>
    <t>HP LASERJET PI606</t>
  </si>
  <si>
    <t>เครื่องคอมพิวเตอร์ตั้งโต๊ะ All-in-one</t>
  </si>
  <si>
    <t>13 ก.พ. 60</t>
  </si>
  <si>
    <t>17 ก.ค. 60</t>
  </si>
  <si>
    <t>....................................................</t>
  </si>
  <si>
    <t>หัวหน้าหน่วยจ่าย/หน่วยเบิก</t>
  </si>
  <si>
    <t>...........................................................</t>
  </si>
  <si>
    <t>7440-001-0001/473-005</t>
  </si>
  <si>
    <t>7110-002-0005/492-009</t>
  </si>
  <si>
    <t>7110-002-0006/492-079</t>
  </si>
  <si>
    <t>7440-009-0001/492-002</t>
  </si>
  <si>
    <t>7110-002-0005/501-017-018</t>
  </si>
  <si>
    <t>7430-008-0003/521-013</t>
  </si>
  <si>
    <t>7430-008-0002/531-018</t>
  </si>
  <si>
    <t>7110-007-0003/531-017</t>
  </si>
  <si>
    <t>7440-001-0001/531-147</t>
  </si>
  <si>
    <t>ตู้เหล็ก  2  บานเปิด</t>
  </si>
  <si>
    <t>ตู้บานเลื่อนกระจก 4 ฟุต</t>
  </si>
  <si>
    <t>เครื่องปริ้นเตอร์ HP 1006</t>
  </si>
  <si>
    <t>โต๊ะระดับ  3-6</t>
  </si>
  <si>
    <t>เครื่องคอมพิวเตอร์ALL IN ONE</t>
  </si>
  <si>
    <t>บัญชีรายการครุภัณฑ์  งานปกครอง  คงเหลือ</t>
  </si>
  <si>
    <t>7110-002-0002/492-006</t>
  </si>
  <si>
    <t>7125-002-0002/492-005</t>
  </si>
  <si>
    <t>7110-002-0006/492-076</t>
  </si>
  <si>
    <t>7430-008-0002/493-003</t>
  </si>
  <si>
    <t>7430-008-0002/492-010</t>
  </si>
  <si>
    <t>7440-010-0005/502-001</t>
  </si>
  <si>
    <t>7215-001-0001/521-001</t>
  </si>
  <si>
    <t>7110-007-0004/521-001-002</t>
  </si>
  <si>
    <t>7110-007-0006/521-001</t>
  </si>
  <si>
    <t>6710-004-0001/531-001</t>
  </si>
  <si>
    <t>6710-004-0001/531-02</t>
  </si>
  <si>
    <t>จอคอมพิวเตอร์ SVOA 17 นิ้ว</t>
  </si>
  <si>
    <t>ตู้เก็บแฟ้ม 20 ช่อง  SMART FORM</t>
  </si>
  <si>
    <t>โต๊ะเหล็ก ขนาด 4 ฟุต SMART FORM+เก้าอี้</t>
  </si>
  <si>
    <t>กล้องวงจรปิด</t>
  </si>
  <si>
    <t>กล้องถ่ายภาพเคลื่อนไหว</t>
  </si>
  <si>
    <t>7125-002-0002/391-002</t>
  </si>
  <si>
    <t>4140-001-0001/391-001</t>
  </si>
  <si>
    <t>7110-004-0001/391-001</t>
  </si>
  <si>
    <t>7430-001-0005/391-002</t>
  </si>
  <si>
    <t>7110-002-0002/403-001 -002</t>
  </si>
  <si>
    <t>7125-002-0002/401-013</t>
  </si>
  <si>
    <t>7110-002-0006/401-006</t>
  </si>
  <si>
    <t>7430-008-0001/401-006</t>
  </si>
  <si>
    <t>7440-001-0001/473-003</t>
  </si>
  <si>
    <t>7110-002-0005/472-003-004</t>
  </si>
  <si>
    <t>7430-008-0002/481-012</t>
  </si>
  <si>
    <t>5815-001-0001/502-003</t>
  </si>
  <si>
    <t>7440-001-0001/502-057</t>
  </si>
  <si>
    <t>7100-007-0001/502-011</t>
  </si>
  <si>
    <t>7430-008-0004/513-004</t>
  </si>
  <si>
    <t>7110-006-0006/531-003-005</t>
  </si>
  <si>
    <t>7430-008-0002/531-019</t>
  </si>
  <si>
    <t>7440-001-0001/531-141</t>
  </si>
  <si>
    <t>7430-003-0007/582-001</t>
  </si>
  <si>
    <t>พัดลมตั้งโต๊ะ 16" ฮาตาริ</t>
  </si>
  <si>
    <t>ตู้นิรภัย</t>
  </si>
  <si>
    <t>เครื่องพิมพ์ดีดไทยธรรมดา แคร่ 15"</t>
  </si>
  <si>
    <t>ตู้เหล็ก 4 ลิ้นชัก PRERIDENT</t>
  </si>
  <si>
    <t>ตู้เหล็ก 2 บานเลื่อน PRERIDENT</t>
  </si>
  <si>
    <t>เครื่องปริ้น  OKI391</t>
  </si>
  <si>
    <t>ตู้  2  บานประตู</t>
  </si>
  <si>
    <t>เครื่องปริ้น  เลเซอร์ HP 1010</t>
  </si>
  <si>
    <t>เครื่องโทรสารHP 3455</t>
  </si>
  <si>
    <t xml:space="preserve">เครื่องคอมพิวเตอร์ </t>
  </si>
  <si>
    <t>เครื่องปริ้นเตอร์ Kyoccra FS-P2135W</t>
  </si>
  <si>
    <t>(นางสาวสาวิตรี  บุญงอก)</t>
  </si>
  <si>
    <t>บัญชีรายการครุภัณฑ์  งานการเงิน  คงเหลือ</t>
  </si>
  <si>
    <t>7125-002-0002/391-004</t>
  </si>
  <si>
    <t>7125-002-0002/401-010</t>
  </si>
  <si>
    <t>7110-002-0002/403-005</t>
  </si>
  <si>
    <t>7125-002-0002/462-002</t>
  </si>
  <si>
    <t>7110-002-0002/462-001</t>
  </si>
  <si>
    <t>7440-001-0001/473-006</t>
  </si>
  <si>
    <t>7110-007-0001/501-038</t>
  </si>
  <si>
    <t>7110-002-0006/531-029</t>
  </si>
  <si>
    <t>7110-002-0006/533-001-002</t>
  </si>
  <si>
    <t>7110-002-0007/533-001-002</t>
  </si>
  <si>
    <t>4140-001-0001/533-001</t>
  </si>
  <si>
    <t>ตู้เหล็ก 4 ลิ้นชัก KINGKONG</t>
  </si>
  <si>
    <t xml:space="preserve">ตู้เหล็ก 15 ลิ้นชัก </t>
  </si>
  <si>
    <t>โต๊ะวางเครื่องคอม</t>
  </si>
  <si>
    <t>ตู้  2  บานเลื่อนกระจก</t>
  </si>
  <si>
    <t>ตู้บานเลื่อนกระจก  4  ฟุต  ส้ม เขียว</t>
  </si>
  <si>
    <t>ตู้บานเลื่อนทึบ  4  ฟุต  ส้ม เขียว</t>
  </si>
  <si>
    <t>พัดลมสีฟ้าปรับระดับ</t>
  </si>
  <si>
    <t>7150-003-0001/432-001-002</t>
  </si>
  <si>
    <t>4140-001-0001/432-005</t>
  </si>
  <si>
    <t>7110-002-0006/482-064</t>
  </si>
  <si>
    <t>7430-008-0002/531-016</t>
  </si>
  <si>
    <t>4110-002-0003/531-003-017</t>
  </si>
  <si>
    <t>7430-008-0006/531-028</t>
  </si>
  <si>
    <t>7125-002-0002/531-001</t>
  </si>
  <si>
    <t>เตียงเหล็ก</t>
  </si>
  <si>
    <t>พัดลมตั้งพื้น 16 นิ้ว</t>
  </si>
  <si>
    <t>ปั้มอัตโนมัติ  WP-305Q</t>
  </si>
  <si>
    <t>เครื่องทำน้ำเย็น  VT-699 VICTOR</t>
  </si>
  <si>
    <t>Printer HP Laserjet M1522n MFP</t>
  </si>
  <si>
    <t>ตู้บานเลื่อนกระจก สูง  (ตู้ยา)</t>
  </si>
  <si>
    <t>ตู้กินมือกด,เท้าเหยียบ</t>
  </si>
  <si>
    <t>9 ส.ค. 60</t>
  </si>
  <si>
    <t>(นางเพ็ชรา  โหม่งมาตร์)</t>
  </si>
  <si>
    <t>7810-012-0001/442-001</t>
  </si>
  <si>
    <t>4140-001-0001/442-009</t>
  </si>
  <si>
    <t>7440-001-0001/463-001</t>
  </si>
  <si>
    <t>7110-001-0001/462-020-026</t>
  </si>
  <si>
    <t>7110-002-0006/462-056</t>
  </si>
  <si>
    <t>7125-001-0001/462-001</t>
  </si>
  <si>
    <t>4140-001-0001/493-036</t>
  </si>
  <si>
    <t>7110-002-0006/492-071-074</t>
  </si>
  <si>
    <t>7110-002-0007/492-004-006</t>
  </si>
  <si>
    <t>7110-002-0005/492-006-007</t>
  </si>
  <si>
    <t>7110-001-0003/512-001</t>
  </si>
  <si>
    <t>6720-005-0002/531-003</t>
  </si>
  <si>
    <t>6730-001-0003/531-013,014</t>
  </si>
  <si>
    <t>7105-009-0001/531-001</t>
  </si>
  <si>
    <t>7125-002-0001/531-001-002</t>
  </si>
  <si>
    <t>7125-004-0001/531-001-002</t>
  </si>
  <si>
    <t>7110-015-0001/531-001-002</t>
  </si>
  <si>
    <t>7105-006-0001/531-001-002</t>
  </si>
  <si>
    <t>7210-015-0002/531-001-002</t>
  </si>
  <si>
    <t>7110-007-0008/541-031</t>
  </si>
  <si>
    <t>7110-007-0009/541-001</t>
  </si>
  <si>
    <t>5840-018-0001/541-001</t>
  </si>
  <si>
    <t>7730-005-0002/541-002</t>
  </si>
  <si>
    <t>7110-007-0011/541-001-020</t>
  </si>
  <si>
    <t>4120-001-0002/541-007</t>
  </si>
  <si>
    <t>โต๊ะปิงปอง 20 มม.</t>
  </si>
  <si>
    <t>พัดลมตั้งพื้น 16"สีเทา โตซิบา</t>
  </si>
  <si>
    <t>คอมพิวเตอร์</t>
  </si>
  <si>
    <t>โต๊ะระดับ  1-2  พร้อมเก้าอี้</t>
  </si>
  <si>
    <t>ตู้เก็บเอกสารบานเลื่อน  4   ฟุต</t>
  </si>
  <si>
    <t>ตู้เก็บแฟ้ม  20  ช่อง</t>
  </si>
  <si>
    <t xml:space="preserve">พัดลมตั้งพื้น 16" TORY </t>
  </si>
  <si>
    <t>ตู้บานเลื่อนทึบ 4 ฟุต</t>
  </si>
  <si>
    <t>โต๊ะเหล็ก 5 ฟุต TC-3060  BESTER</t>
  </si>
  <si>
    <t xml:space="preserve">กล้องถ่ายภาพนิ่ง  </t>
  </si>
  <si>
    <t>เครื่องโปรเจคเตอร์พร้อมจอรับภาพ</t>
  </si>
  <si>
    <t>กระจกเงา  5  มิล  96  ตารางฟุต</t>
  </si>
  <si>
    <t>ตู้เสื้อผ้า  4  ฟุต  กระจก  2  บาน</t>
  </si>
  <si>
    <t>ชั้นเอนกประสงค์</t>
  </si>
  <si>
    <t>ราวตากผ้าแสตนเลส  ขนาด 150*60*180</t>
  </si>
  <si>
    <t xml:space="preserve">โต๊ะรีดผ้า  </t>
  </si>
  <si>
    <t>เตารีด  พานาโซนิค</t>
  </si>
  <si>
    <t>โต๊ะคอมพิวเตอร์</t>
  </si>
  <si>
    <t>โต๊ะบัญชีเหล็ก  3 ฟุต</t>
  </si>
  <si>
    <t>ชุดจานดาวเทียม ideasat</t>
  </si>
  <si>
    <t>ทีวี 21" LG</t>
  </si>
  <si>
    <t>โต๊ะประชุม 20 ที่นั่ง พร้อมเก้าอี้ 20 ตัว</t>
  </si>
  <si>
    <t>เครื่องปรับอากาศ  PANASONIC 1800BTU</t>
  </si>
  <si>
    <t>บัญชีรายการครุภัณฑ์  งานกิจกรรม  คงเหลือ</t>
  </si>
  <si>
    <t>7110-002-0006/462-052</t>
  </si>
  <si>
    <t>6720-005-0005/521-001</t>
  </si>
  <si>
    <t>7430-008-0006/531-014</t>
  </si>
  <si>
    <t>4610-009-0001/531-001</t>
  </si>
  <si>
    <t>7110-006-0006/531-017</t>
  </si>
  <si>
    <t>7110-007-0004/531-008</t>
  </si>
  <si>
    <t>6130-001-0001/531-011</t>
  </si>
  <si>
    <t>4110-003-0002/551-003</t>
  </si>
  <si>
    <t>4610-007-0002/551-003</t>
  </si>
  <si>
    <t>กล้องดิจิตอล SONY รุ่น DSC-S950</t>
  </si>
  <si>
    <t>HP Laserjet MPP 1522n</t>
  </si>
  <si>
    <t>เครื่องล้างขวดบรรจุน้ำ</t>
  </si>
  <si>
    <t>เก้าอี้ (ขาเหล็ก)  5  แฉก</t>
  </si>
  <si>
    <t>ตู้หยอดเหรียญน้ำดื่ม</t>
  </si>
  <si>
    <t>เครื่องกรองน้ำขนาด 8 นิ้ว</t>
  </si>
  <si>
    <t>7110-002-0005/521-022-023</t>
  </si>
  <si>
    <t>7110-002-0007/521-001</t>
  </si>
  <si>
    <t>7110-006-006/531-011</t>
  </si>
  <si>
    <t>7110-002-0005/531-030</t>
  </si>
  <si>
    <t>7110-002-0006/531-026-027</t>
  </si>
  <si>
    <t>7110-006-0006/531-007-008</t>
  </si>
  <si>
    <t>7110-007-0003/531-018</t>
  </si>
  <si>
    <t>7440-001-0001/531-140</t>
  </si>
  <si>
    <t xml:space="preserve">โต๊ะคอมพิวเตอร์  60*100*75 </t>
  </si>
  <si>
    <t>เก้าอี้(ขาเหล็ก) 5  แฉก</t>
  </si>
  <si>
    <t>บัญชีรายการครุภัณฑ์  งานความร่วมมือ คงเหลือ</t>
  </si>
  <si>
    <t>โต๊ะทำงานระดับ 1-2 + เก้าอี้</t>
  </si>
  <si>
    <t>เครื่องพิมพ์พร้อมระบบอิ้งแท็งค์</t>
  </si>
  <si>
    <t>เก้าอี้สำนักงาน (ขาเหล็ก)</t>
  </si>
  <si>
    <t>4140-001-0001/493-039</t>
  </si>
  <si>
    <t>7440-001-0001/531-071</t>
  </si>
  <si>
    <t>6340-010-0001/531-001-006</t>
  </si>
  <si>
    <t>5850-003-0001/531-001-002</t>
  </si>
  <si>
    <t>7440-010-0011/531-001</t>
  </si>
  <si>
    <t>7440-010-0012/531-001</t>
  </si>
  <si>
    <t>7110-006-0006/531-016</t>
  </si>
  <si>
    <t>7110-002-0006/531-030</t>
  </si>
  <si>
    <t>7110-007-0004/531-009</t>
  </si>
  <si>
    <t>6130-001-0001/531-010</t>
  </si>
  <si>
    <t>7440-010-0014/531-001-005</t>
  </si>
  <si>
    <t>7440-010-0015/531-001-005</t>
  </si>
  <si>
    <t>7440-010-0016/576-001</t>
  </si>
  <si>
    <t>7440-001-0001/576-001-004</t>
  </si>
  <si>
    <t>7430-008-0006/576-001-003</t>
  </si>
  <si>
    <t>7440-001-0003/586-001(3)</t>
  </si>
  <si>
    <t>7440-001-0001/586-001(2)</t>
  </si>
  <si>
    <t>10 ม.ค. 60</t>
  </si>
  <si>
    <t xml:space="preserve">พัดลมตั้งพื้น 16 นิ้ว MD </t>
  </si>
  <si>
    <t>เครื่องคอมพิวเตอร์แม่ข่าย IBM Server</t>
  </si>
  <si>
    <t>Media Converter Single mode</t>
  </si>
  <si>
    <t>ตู้ Rack ขนาด  9  นิ้ว  แบบแขวน</t>
  </si>
  <si>
    <t>อุปกรณ์จัดเก็บ  Log File</t>
  </si>
  <si>
    <t>อุปกรณ์บริหารจัดการเครือข่าย  และอินเตอร์เน็ต</t>
  </si>
  <si>
    <t>เก้าอี้ (ขาเหล็ก)  5 แฉก</t>
  </si>
  <si>
    <t>ตู้  2บานเลื่อนกระจก</t>
  </si>
  <si>
    <t>โต๊ะเหล็ก  4  ฟุต</t>
  </si>
  <si>
    <t>เครื่องแปลงสัญญาณอินเตอร์เน็ต8  ช่อง</t>
  </si>
  <si>
    <t>เครื่องแปลงสัญญาณอินเตอร์ แบบไร้สาย</t>
  </si>
  <si>
    <t>UPS True online SYNDOME</t>
  </si>
  <si>
    <t>เครื่องพิมพ์ HP Laserjet P1102</t>
  </si>
  <si>
    <t>เครื่องไมโครคอมพิวเตอร์ Acer tc-605 18.5 led</t>
  </si>
  <si>
    <t>7110-002-0006/401-004-005</t>
  </si>
  <si>
    <t>7110-007-0001/452-001</t>
  </si>
  <si>
    <t>6720-005-0002/472-005</t>
  </si>
  <si>
    <t>7440-009-0001/492-001</t>
  </si>
  <si>
    <t>7440-001-0001/492-048</t>
  </si>
  <si>
    <t>7430-008-0002/492-011</t>
  </si>
  <si>
    <t>7110-002-0006/502-085</t>
  </si>
  <si>
    <t>7110-002-0005/502-011</t>
  </si>
  <si>
    <t>7110-007-0002/502-002</t>
  </si>
  <si>
    <t>7440-001-0001/502-048</t>
  </si>
  <si>
    <t>7430-008-0005/513-005</t>
  </si>
  <si>
    <t>7110-006-0007/512-001</t>
  </si>
  <si>
    <t>7110-001-0003/512-002</t>
  </si>
  <si>
    <t>7440-001-0002/521-002</t>
  </si>
  <si>
    <t>7110-002-0002/531-005</t>
  </si>
  <si>
    <t>6130-001-0001/531-002</t>
  </si>
  <si>
    <t>7440-001-0001/531-139</t>
  </si>
  <si>
    <t>7440-001-0001/551-168-172</t>
  </si>
  <si>
    <t>4120-001-0001/582-001</t>
  </si>
  <si>
    <t>โต๊ะคอมพิวเตอร์ + เก้าอี้</t>
  </si>
  <si>
    <t>เครื่องปริ้นเตอร์  HP1022</t>
  </si>
  <si>
    <t>ตู้เหล็ก 2  บานเปิด</t>
  </si>
  <si>
    <t>เครื่องคอมพิวเตอร์ ASUS</t>
  </si>
  <si>
    <t>เก้าอี้สำนักงาน  S -35  หนัง</t>
  </si>
  <si>
    <t>โต๊ะเหล็ก  5  ฟุต  TC-3060  BESTER</t>
  </si>
  <si>
    <t>ตู้เอกสาร  15  ลิ้นชัก</t>
  </si>
  <si>
    <t>เครื่องคอมพิวเตอร์ DMA</t>
  </si>
  <si>
    <t>เครื่องปรับอากาศ 12,000 บีซียู</t>
  </si>
  <si>
    <t>เครื่องปริ้นเตอร์  HP COLOR LASER JET 1600</t>
  </si>
  <si>
    <t>เครื่องคอมพิวเตอร์แบบพกพา ACER A15</t>
  </si>
  <si>
    <t>รวมเป็นเงิน</t>
  </si>
  <si>
    <t>7440-001-0001/462-006</t>
  </si>
  <si>
    <t>7810-012-0001/463-001-463-005</t>
  </si>
  <si>
    <t>7810-002-0001/481-001</t>
  </si>
  <si>
    <t>7110-002-0007/482-003</t>
  </si>
  <si>
    <t>4140-001-0001/482-001</t>
  </si>
  <si>
    <t>7110-002-0006/482-065-482-066</t>
  </si>
  <si>
    <t>7110-002-0006/501-015-016</t>
  </si>
  <si>
    <t>7730-006-0003/501-001</t>
  </si>
  <si>
    <t>7110-002-0006/531-031-033</t>
  </si>
  <si>
    <t>6730-001-0003/531-014-015</t>
  </si>
  <si>
    <t>7440-001-0001/531-154-155</t>
  </si>
  <si>
    <t>7730-001-0001/531-001-002</t>
  </si>
  <si>
    <t>6730-001-0003/531-019</t>
  </si>
  <si>
    <t>7440-001-0001/531-156</t>
  </si>
  <si>
    <t>7125-002-0002/531-002-007</t>
  </si>
  <si>
    <t>7110-002-0006/531-031</t>
  </si>
  <si>
    <t>8350-001-0001/531-022-028</t>
  </si>
  <si>
    <t>7440-010-0001/581-001</t>
  </si>
  <si>
    <t>ชุดคอมพิวเตอร์</t>
  </si>
  <si>
    <t>โต๊ะปิงปอง</t>
  </si>
  <si>
    <t>แป้นบาสพลาสติกทึบพร้อมห่วงตาข่าย</t>
  </si>
  <si>
    <t>พัดลมเพดาน 48 นิ้ว</t>
  </si>
  <si>
    <t>ตู้บานเลื่อนกระจก  4 ฟุต</t>
  </si>
  <si>
    <t xml:space="preserve">เครื่องเล่นเทป VCD </t>
  </si>
  <si>
    <t>ตู้เหล็ก  2 บานเลื่อน  กระจก</t>
  </si>
  <si>
    <t>เครื่องเล่น  DVD</t>
  </si>
  <si>
    <t>TV29W  LG</t>
  </si>
  <si>
    <t>เครื่องฉายโปรเจกเตอร์  Acer</t>
  </si>
  <si>
    <t>ตู้บานเลื่อนกระจกสูง</t>
  </si>
  <si>
    <t>ผ้าม่านพร้อมอุปกรณ์และติดตั้ง</t>
  </si>
  <si>
    <t>1.ระบบควบคุมการปฏิบัติการสำหรับผู้สอน</t>
  </si>
  <si>
    <t>2.โปรแกรมชุดปฏิบัติการสำหรับผู้เขียน</t>
  </si>
  <si>
    <t>3.โปรแกรมสื่อการเรียนภาษาอังกฤษ</t>
  </si>
  <si>
    <t>4.เครื่องคอมพิวเตอร์สำหรับแม่ข่าย</t>
  </si>
  <si>
    <t>5.เครื่องคอมพิวเตอร์สำหรับผู้สอนและผู้เรียน</t>
  </si>
  <si>
    <t>6.อุปกรณ์กระจายสัญญาณ</t>
  </si>
  <si>
    <t>7.เครื่องมัลติมิเดียโปรเจ็คเตอร์</t>
  </si>
  <si>
    <t>8.โต๊ะสำหรับผู้สอนพร้อมเก้าอี้</t>
  </si>
  <si>
    <t>9.โต๊ะสำหรับผู้เรียนพร้อมเก้าอี้</t>
  </si>
  <si>
    <t>10.เครื่องขยายสัญญาณเสียง</t>
  </si>
  <si>
    <t>11.ลำโพงประจำห้อง</t>
  </si>
  <si>
    <t>13.ตู้เก็บอุปกรณ์กระจ่ายสัญญาณ</t>
  </si>
  <si>
    <t>14.พจนานุกรมอัจฉริยะภาพ</t>
  </si>
  <si>
    <t>16.ระบบติดตั้ง</t>
  </si>
  <si>
    <t>บัญชีรายการครุภัณฑ์  แผนกสามัญสัมพันธ์ คงเหลือ</t>
  </si>
  <si>
    <t>(นางวีนัส  สุวรรณ)</t>
  </si>
  <si>
    <t>6730-002-0001/391-002</t>
  </si>
  <si>
    <t>6730-001-0002/391-001</t>
  </si>
  <si>
    <t>5820-015-0003/391-001</t>
  </si>
  <si>
    <t>5825-020-0001/391-001</t>
  </si>
  <si>
    <t>6710-004-0001/412-001</t>
  </si>
  <si>
    <t>6730-001-0001/412-001-003</t>
  </si>
  <si>
    <t>6730-001-0001/442-004-007</t>
  </si>
  <si>
    <t>6730-002-0001/442-001-004</t>
  </si>
  <si>
    <t>5825-020-0001/444-001</t>
  </si>
  <si>
    <t>6720-008-0001/442-001</t>
  </si>
  <si>
    <t>7110-002-0006/442-001</t>
  </si>
  <si>
    <t>5820-015-0001/452-003</t>
  </si>
  <si>
    <t>5820-015-0002/452-002</t>
  </si>
  <si>
    <t>7730-006-0001/452-001-002</t>
  </si>
  <si>
    <t>6730-001-0003/461-001</t>
  </si>
  <si>
    <t>7440-001-0002/461-001</t>
  </si>
  <si>
    <t>7440-010-0001/481-001</t>
  </si>
  <si>
    <t>4210-001-0001/484-001</t>
  </si>
  <si>
    <t>7440-001-0001/484-001-006</t>
  </si>
  <si>
    <t>6720-005-0002/492-007</t>
  </si>
  <si>
    <t>6930-013-0001/521-001</t>
  </si>
  <si>
    <t>7110-006-0006/531-014</t>
  </si>
  <si>
    <t>7110-006-0006/531-028</t>
  </si>
  <si>
    <t>7110-007-0004/531-011</t>
  </si>
  <si>
    <t>7440-001-0001/531-072-100</t>
  </si>
  <si>
    <t>7440-001-0001/531-103-122</t>
  </si>
  <si>
    <t>6730-001-0003/531-005</t>
  </si>
  <si>
    <t>7440-001-0001/531-153</t>
  </si>
  <si>
    <t>7440-001-0001/541-157-166</t>
  </si>
  <si>
    <t>7440-001-0001/541-167</t>
  </si>
  <si>
    <t>จอรับภาพ 175 * 175</t>
  </si>
  <si>
    <t>เครื่องฉายภาพทึบแสง</t>
  </si>
  <si>
    <t>เครื่องวีดีโอแบบเล่นและบันทึกเทป</t>
  </si>
  <si>
    <t>โทรทัศน์สี 20 "</t>
  </si>
  <si>
    <t>กล้องบันทึกภาพ วีดีโอ</t>
  </si>
  <si>
    <t>เครื่องฉายภาพข้ามศรีษะ</t>
  </si>
  <si>
    <t>โทรทัศน์สี 29 "</t>
  </si>
  <si>
    <t>กล้องสีครบชุด</t>
  </si>
  <si>
    <t>ตู้บานเลื่อนกระจก ขนาด 4 ฟุต</t>
  </si>
  <si>
    <t>วีดีโอ 2 หัวเทป/จูนเนอร์</t>
  </si>
  <si>
    <t>วีดีโอ ซีวีดี ซีดี</t>
  </si>
  <si>
    <t>เทปใบ้แบบคู่</t>
  </si>
  <si>
    <t>เครื่องมัลติมีเดียโปรเจคเตอร์</t>
  </si>
  <si>
    <t>COMPUTER NOTEBOOK เจ จี</t>
  </si>
  <si>
    <t>ศูนย์การเรียนรู้ด้วยตัวเอง</t>
  </si>
  <si>
    <t>เครื่องปรับอากาศชนิดแขวน 38000 บีทียู</t>
  </si>
  <si>
    <t>กล้องดิจิตอล  CANON</t>
  </si>
  <si>
    <t>ชุดครุภัณฑ์ปฎิบัติการวิชาชีพพื้นฐานและวิชาชีพพื้นฐาน</t>
  </si>
  <si>
    <t>ชุดคอมพิวเตอร์ พร้อมโต๊ะเก้าอี้</t>
  </si>
  <si>
    <t>โปรเจคเตอร์</t>
  </si>
  <si>
    <t>เครื่องคอมพิวเตอร์แม่ข่าย</t>
  </si>
  <si>
    <t>ปกอ.</t>
  </si>
  <si>
    <t>7110-007-0015/551-001-034</t>
  </si>
  <si>
    <t>7110-006-0006/551-022-023</t>
  </si>
  <si>
    <t>7110-007-0016/551-001-005</t>
  </si>
  <si>
    <t>7110-006-0007/551-001-005</t>
  </si>
  <si>
    <t>711-006-0008/551-001-027</t>
  </si>
  <si>
    <t>6310-003-0001/551-001</t>
  </si>
  <si>
    <t>6730-001-0001/551-004</t>
  </si>
  <si>
    <t>6730-002-0001/551-002</t>
  </si>
  <si>
    <t>7730-005-0001/551-002-008</t>
  </si>
  <si>
    <t>7110-006-0008/551-001-007</t>
  </si>
  <si>
    <t>7440-001-0001/551-173-179</t>
  </si>
  <si>
    <t>7730-005-0001/566-009-012</t>
  </si>
  <si>
    <t>7730-005-0001/566-013</t>
  </si>
  <si>
    <t>7440-001-0001/566-003-006</t>
  </si>
  <si>
    <t>6720-005-0003/566-001-002</t>
  </si>
  <si>
    <t>6720-005-002/566-001</t>
  </si>
  <si>
    <t>6760-004-0001/566-001</t>
  </si>
  <si>
    <t>6760-004-0002/566-001</t>
  </si>
  <si>
    <t>6760-008-0001/566-001</t>
  </si>
  <si>
    <t>โต๊ะประชุม</t>
  </si>
  <si>
    <t>โต๊ะประชุมขนาด 400*250</t>
  </si>
  <si>
    <t>เก้าอี้ประชุมแบบโยกได้</t>
  </si>
  <si>
    <t>เก้าอี้บุนวม</t>
  </si>
  <si>
    <t>ตู้สาขาโทรศัพท์</t>
  </si>
  <si>
    <t>โปรแจคเตอร์</t>
  </si>
  <si>
    <t>จอโปรเจคเตอร์ 180 นิ้ว</t>
  </si>
  <si>
    <t>ทีวีสี 50 นิ้ว</t>
  </si>
  <si>
    <t>TV LG Phasma 50 นิ้ว PA4500</t>
  </si>
  <si>
    <t>คอมพิวเตอร์ชุด Lenovo Think M72E</t>
  </si>
  <si>
    <t>กล้องถ่ายภาพนิ่งความละเอียดสูง</t>
  </si>
  <si>
    <t>กล้องถ่ายภาพนิ่ง</t>
  </si>
  <si>
    <t>เลนส์กล้องถ่ายภาพนิ่งระยะไกล</t>
  </si>
  <si>
    <t>เลนส์กล้องถ่ายภาพนิ่ง</t>
  </si>
  <si>
    <t>แฟลชกล้องถ่ายภาพนิ่ง 566-001</t>
  </si>
  <si>
    <t>บัญชีรายการครุภัณฑ์  งานสื่อการเรียนการสอน คงเหลือ</t>
  </si>
  <si>
    <t>บัญชีรายการครุภัณฑ์  งานวิทยบริการ คงเหลือ</t>
  </si>
  <si>
    <t>7110-002-0005/521-024</t>
  </si>
  <si>
    <t>7440-001-0004/521-059-070</t>
  </si>
  <si>
    <t>7430-008-0002/531-025</t>
  </si>
  <si>
    <t>7440-001-0001/531-152</t>
  </si>
  <si>
    <t>ตู้ 2 บานเปิด</t>
  </si>
  <si>
    <t>ชุดเครื่องคอมพิวเตอร์ตั้งโต๊ะ (โต๊ะ+ เก้าอี้)</t>
  </si>
  <si>
    <t>เครื่องปริ้นเตอร์  CANON LBP 3050</t>
  </si>
  <si>
    <t>7110-007-0006/391-001-391-008</t>
  </si>
  <si>
    <t>7125-004-0001/391-001-391-004</t>
  </si>
  <si>
    <t>7125-004-0002/391-001-391-004</t>
  </si>
  <si>
    <t>7110-002-0001/391-001</t>
  </si>
  <si>
    <t>7110-002-0002/391-001-391-002</t>
  </si>
  <si>
    <t>7125-004-0003/391-001-391-002</t>
  </si>
  <si>
    <t>7195-006-0001/391-001-391-002</t>
  </si>
  <si>
    <t>7915-004-0001/391-001</t>
  </si>
  <si>
    <t>7110-002-0003/391-001</t>
  </si>
  <si>
    <t>7490-002-0001/391-001</t>
  </si>
  <si>
    <t>7125-004-0005/391-001-391-004</t>
  </si>
  <si>
    <t>7125-004-0006/391-001-391-003</t>
  </si>
  <si>
    <t>7125-004-0005/451-005-451-009</t>
  </si>
  <si>
    <t>7195-006-0002/462-001</t>
  </si>
  <si>
    <t>3440-001-0001/462-001</t>
  </si>
  <si>
    <t>7490-015-0002/462-001</t>
  </si>
  <si>
    <t>7440-001-0001/462-008</t>
  </si>
  <si>
    <t>7430-008-0001/472-003</t>
  </si>
  <si>
    <t>7119-002-0006/472-061-472-063</t>
  </si>
  <si>
    <t>7125-006-0001/482-001</t>
  </si>
  <si>
    <t>7125-006-0002/482-001-004</t>
  </si>
  <si>
    <t>7105-006-0001/482-001-003</t>
  </si>
  <si>
    <t>7105-006-0001/493-001</t>
  </si>
  <si>
    <t>7125-006-0001/492-001-003</t>
  </si>
  <si>
    <t>7125-001-0004/493-001</t>
  </si>
  <si>
    <t>7051-006-0002/502-004-007</t>
  </si>
  <si>
    <t>7110-001-0002/502-001-002</t>
  </si>
  <si>
    <t>7125-004-0009/502-001</t>
  </si>
  <si>
    <t>7125-001-0005/502-001-005</t>
  </si>
  <si>
    <t>โต๊ะอ่านหนังสือ ขนาด 4 ที่นั่งพร้อมเก้าอี้ไม้</t>
  </si>
  <si>
    <t>ชั้นวางวารสาร 1 ด้าน 2 ช่วง</t>
  </si>
  <si>
    <t>ชั้นวางวารสาร 2 ด้าน 2 ช่วง</t>
  </si>
  <si>
    <t>ตู้ดรรชนี 12 ลิ้นชัก</t>
  </si>
  <si>
    <t>ตู้เก็บแบบฟอร์ม 15 ลิ้นชัก</t>
  </si>
  <si>
    <t>ชั้นวางหนังสือ 2 ตอน</t>
  </si>
  <si>
    <t>แท่นอ่านหนังสือพิมพ์</t>
  </si>
  <si>
    <t>ตู้เก็บจุลสาร 4 ชั้น</t>
  </si>
  <si>
    <t>เคาน์เตอร์บริการรับส่งหนังสือ</t>
  </si>
  <si>
    <t>ตู้เก็บบัตรรายการ  15  ลิ้นชัก</t>
  </si>
  <si>
    <t>เครื่องตัดกระดาษหรือขอบหนังสือ</t>
  </si>
  <si>
    <t>ชั้นวางหนังสือ 2 ด้าน 2 ช่วง</t>
  </si>
  <si>
    <t>ชั้นวางหนังสือ 1 ด้าน 2 ช่วง</t>
  </si>
  <si>
    <t>ชั้นวางหนังสือ 2 ด้าน 2 ช่วง 8 ระดับชั้น</t>
  </si>
  <si>
    <t>ชั้นวางหนังสือพิมพ์</t>
  </si>
  <si>
    <t>เครื่องอัดหนังสือขนาดใหญ่</t>
  </si>
  <si>
    <t>ประตูควบคุมทางเข้าออกแบบ 2 ทาง</t>
  </si>
  <si>
    <t>ชุดเครื่องคอมพิวเตอร์</t>
  </si>
  <si>
    <t>เครื่องปริ้นเลเซอร์แคนนอน 1210</t>
  </si>
  <si>
    <t>ตู้กระจก2 บานเลื่อน</t>
  </si>
  <si>
    <t>ชั้นวางหนังสือขนาดใหญ่</t>
  </si>
  <si>
    <t>ชั้นวางหนังสือขนาดกลาง</t>
  </si>
  <si>
    <t>โต๊ะญี่ปุ่น</t>
  </si>
  <si>
    <t>ชั้นวางหนังสือ 1 ด้าน 3 ช่วง</t>
  </si>
  <si>
    <t>ตู้เก็บหนังสือ ขนาด 35*70 ซม.</t>
  </si>
  <si>
    <t>ตู้เก็บวรสาร 4 ชั้นแบบไม้</t>
  </si>
  <si>
    <t>ชั้นวางหนังสือ 4 ชั้น แบบไม้</t>
  </si>
  <si>
    <t>ตู้เก็บแผ่น VCD แบบไม้</t>
  </si>
  <si>
    <t xml:space="preserve"> สถานศึกษา วิทยาลัยเทคนิคกันทรลักษ์</t>
  </si>
  <si>
    <t>บัญชีรายการครุภัณฑ์ งานวัดผลและประเมินผล  คงเหลือ</t>
  </si>
  <si>
    <t>7110-002-0006/462-054</t>
  </si>
  <si>
    <t xml:space="preserve">ตู้เหล็ก 2 บานเลื่อนไทโย             </t>
  </si>
  <si>
    <t>7125-002-0002/462-003</t>
  </si>
  <si>
    <t xml:space="preserve">ตู้เหล็ก 4 ลิ้นชัก                         </t>
  </si>
  <si>
    <t>7125-002-0002/492-006</t>
  </si>
  <si>
    <t xml:space="preserve">ตู้เหล็ก 4 ลิ้นชัก                        </t>
  </si>
  <si>
    <t>7440-001-0001/502-051</t>
  </si>
  <si>
    <t xml:space="preserve">ชุดคอมพิวเตอร์                          </t>
  </si>
  <si>
    <t>7110-007-0001/502-005</t>
  </si>
  <si>
    <t xml:space="preserve">โต๊ะวางเครื่องคอมพิวเตอร์พร้อมเก้าอี้ </t>
  </si>
  <si>
    <t>7110-002-0002/501-003</t>
  </si>
  <si>
    <t xml:space="preserve">ตู้เหล็ก 15 ลิ้นชัก                     </t>
  </si>
  <si>
    <t>7110-006-0006/531-015</t>
  </si>
  <si>
    <t>7110-002-0005/531-027</t>
  </si>
  <si>
    <t>7110-007-0004/531-010</t>
  </si>
  <si>
    <t>7430-008-0006/531-027</t>
  </si>
  <si>
    <t>7440-001-0001/531-151</t>
  </si>
  <si>
    <t>7440-001-0001/462-001</t>
  </si>
  <si>
    <t>6720-005-0002/531-005</t>
  </si>
  <si>
    <t>4210-001-0001/531-006</t>
  </si>
  <si>
    <t>เครื่องปรับอากาศ  ซัมซุง  13,000 บีทียู</t>
  </si>
  <si>
    <t>7440-001-0001/531-144</t>
  </si>
  <si>
    <t>บัญชีรายการครุภัณฑ์ งานพัฒนาหลักสูตรการเรียนการสอน  คงเหลือ</t>
  </si>
  <si>
    <t>4140-001-0001/391-003</t>
  </si>
  <si>
    <t>7110-002-006/401-002-003</t>
  </si>
  <si>
    <t>ตู้เหล็ก 2 บานเลื่อน PRERIDDENT</t>
  </si>
  <si>
    <t>4140-001-0001/442-007-008</t>
  </si>
  <si>
    <t>พัดลมตั้งพื้น 16" โตซิบา</t>
  </si>
  <si>
    <t>7110-002-0006/462-053</t>
  </si>
  <si>
    <t xml:space="preserve">ตู้เหล็ก 2 บานเลื่อนไทโย  </t>
  </si>
  <si>
    <t>7440-001-0001/462-005</t>
  </si>
  <si>
    <t>7110-002-0006/472-059-060</t>
  </si>
  <si>
    <t>6720-005-0002/472-004</t>
  </si>
  <si>
    <t>7110-002-0006/492-080</t>
  </si>
  <si>
    <t xml:space="preserve">ตู้เหล็ก 2 บานเลื่อน </t>
  </si>
  <si>
    <t>7110-002-0007/492-007</t>
  </si>
  <si>
    <t>7110-002-0005/492-010</t>
  </si>
  <si>
    <t>7110-006-0007/512-002</t>
  </si>
  <si>
    <t>7110-001-0003/512-003</t>
  </si>
  <si>
    <t>7110-002-0005/521-025-026</t>
  </si>
  <si>
    <t>7110-002-0006/521-023-024</t>
  </si>
  <si>
    <t xml:space="preserve">ตู้เหล็ก 2 บานเลื่อนกระจก </t>
  </si>
  <si>
    <t>7110-007-0004/531-004</t>
  </si>
  <si>
    <t>7110-006-0006/531-002</t>
  </si>
  <si>
    <t>7440-001-0001/531-149</t>
  </si>
  <si>
    <t>บัญชีรายการครุภัณฑ์  งานอาคารสถานที่  คงเหลือ</t>
  </si>
  <si>
    <t>7110-006-0003/391-001-391-400</t>
  </si>
  <si>
    <t>เก้าอี้สำหรับห้องประชุม</t>
  </si>
  <si>
    <t>7110-006-0004/391-001-391-200</t>
  </si>
  <si>
    <t>เก้าอี้ฟังคำบรรยาย</t>
  </si>
  <si>
    <t>7110-006-0004/392-001-391-075</t>
  </si>
  <si>
    <t>7110-007-0010/391-001</t>
  </si>
  <si>
    <t>โต๊ะประชุม ขนาด 12 คน</t>
  </si>
  <si>
    <t>4110-002-0002/391-001-391-002</t>
  </si>
  <si>
    <t>เครื่องทำน้ำเย็นสแตนดาร์ด</t>
  </si>
  <si>
    <t>7110-007-0003/391-001-391-015</t>
  </si>
  <si>
    <t>โต๊ะทำงานระดับ 3-6</t>
  </si>
  <si>
    <t>7110-007-0005/391-001</t>
  </si>
  <si>
    <t>โต๊ะทำงานระดับ 7-9</t>
  </si>
  <si>
    <t>7110-006-0004/401-201-401-400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</si>
  <si>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</si>
  <si>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</si>
  <si>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</si>
  <si>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</si>
  <si>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</si>
  <si>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7110-007-0005/403-001-002</t>
  </si>
  <si>
    <t>4210-001-0001/403-001-005</t>
  </si>
  <si>
    <t>เครื่องปรับอากาศ</t>
  </si>
  <si>
    <t>9925-009-0001/412-001</t>
  </si>
  <si>
    <t>โต๊ะหมู่บูชา (หมู่ 9 หน้า 8)</t>
  </si>
  <si>
    <t>3750-002-0001/412-001</t>
  </si>
  <si>
    <t>รถตัดหญ้า 5.5</t>
  </si>
  <si>
    <t>4110-002-0002/422-001</t>
  </si>
  <si>
    <t>เครื่องทำน้ำเย็น</t>
  </si>
  <si>
    <t>9925-009-0001/422-002</t>
  </si>
  <si>
    <t>โต๊ะหมู่บูชา (หมู่ 5)</t>
  </si>
  <si>
    <t>7110-006-0005/424-001-424-072</t>
  </si>
  <si>
    <t>เก้าอี้รับประทานอาหาร</t>
  </si>
  <si>
    <t>7110-007-0018/424-001-424-036</t>
  </si>
  <si>
    <t>โต๊ะรับประทานอาหาร</t>
  </si>
  <si>
    <t>7110-007-0019/424-001-424-020</t>
  </si>
  <si>
    <t>โต๊ะอเนกประสงค์</t>
  </si>
  <si>
    <t>7110-001-0001/432-001-432-015</t>
  </si>
  <si>
    <t>โต๊ะทำงานระดับระดับ 1 - 2 พร้อมเก้าอี้</t>
  </si>
  <si>
    <t>7110-001-0001/434-001-434-015</t>
  </si>
  <si>
    <t>7110-006-0004/432-076-432-120</t>
  </si>
  <si>
    <t>7110-0006-0004/434-001-434-080</t>
  </si>
  <si>
    <t>3570-002-0001/432-001</t>
  </si>
  <si>
    <t>ชุดรับแขก</t>
  </si>
  <si>
    <t>7110-006-0001/432-001</t>
  </si>
  <si>
    <t>4110-002-0002/433-001-004</t>
  </si>
  <si>
    <t>4140-001-0001/432-001,002,003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</si>
  <si>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</si>
  <si>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</si>
  <si>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</si>
  <si>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</si>
  <si>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</si>
  <si>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7490-015-0001/432-001</t>
  </si>
  <si>
    <t>เครื่องตัดสติกเกอร์ ROLAND</t>
  </si>
  <si>
    <t>7110-006-0004/444-081-444-160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</si>
  <si>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</si>
  <si>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</si>
  <si>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</si>
  <si>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</si>
  <si>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</si>
  <si>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</si>
  <si>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4530-001-0001/442-001</t>
  </si>
  <si>
    <t>เตาแก๊ส KBS หัวปรับลัคกีเฟรม + ขาตั้ง</t>
  </si>
  <si>
    <t>3220-003-0001/452-001</t>
  </si>
  <si>
    <t>จิกซอร์ 4300 มากีต้า</t>
  </si>
  <si>
    <t>3220-006-0001/452-001</t>
  </si>
  <si>
    <t>กบไสไม้ 1100  มากีต้า</t>
  </si>
  <si>
    <t>4330-001-0002/452-001</t>
  </si>
  <si>
    <t>ปั้มน้ำเวล ขนาด 1 1/2"</t>
  </si>
  <si>
    <t>4330-001-0002/452-002</t>
  </si>
  <si>
    <t>ปั้มน้ำมิตซู  ขนาด 2" 2 PH</t>
  </si>
  <si>
    <t>7110-001-0001/462-016-462-019</t>
  </si>
  <si>
    <t>7110-006-0004/462-121-462-200</t>
  </si>
  <si>
    <t>7110-007-0003/462-001-002</t>
  </si>
  <si>
    <t>7110-007-0005/462-001</t>
  </si>
  <si>
    <t>4110-002-0002/462-002</t>
  </si>
  <si>
    <t>เครื่องทำน้ำเย็น 4 หัว</t>
  </si>
  <si>
    <t>4140-001-0001/463-001-463-002</t>
  </si>
  <si>
    <t>4140-001-0001/463-003-018</t>
  </si>
  <si>
    <t>5130-009-0001/462-002</t>
  </si>
  <si>
    <t>สว่านไฟฟ้ากระแทก</t>
  </si>
  <si>
    <t>3445-002-0001/462-001</t>
  </si>
  <si>
    <t>เครื่องตัดไฟเบอร์  14  มาสต้า</t>
  </si>
  <si>
    <t>7910-003-0001/461-002</t>
  </si>
  <si>
    <t>เครื่องดูดฝุ่น</t>
  </si>
  <si>
    <t>7110-001-0001/472-036-472-038</t>
  </si>
  <si>
    <t>7110-001-0001/472-027-472-035</t>
  </si>
  <si>
    <t>7110-001-0001/472-039-472-042</t>
  </si>
  <si>
    <t>4210-001-0001/472-001</t>
  </si>
  <si>
    <t>4210-001-0001/472-001-472-002</t>
  </si>
  <si>
    <t>4210-001-0001/472-003-472-004</t>
  </si>
  <si>
    <t>4210-001-0001/473-006</t>
  </si>
  <si>
    <t>7110-001-0001/481-001-005</t>
  </si>
  <si>
    <t>3750-002-0001/482-001</t>
  </si>
  <si>
    <t>โครงรถตัดหญ้า 2 ล้อ</t>
  </si>
  <si>
    <t>3750-002-0001/482-005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</si>
  <si>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</si>
  <si>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</si>
  <si>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</si>
  <si>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</si>
  <si>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2805-001-0002/482-001</t>
  </si>
  <si>
    <t>เครื่องยนต์สูบเฉียง 5.5 HONDA</t>
  </si>
  <si>
    <t>3510-003-0001/484-001</t>
  </si>
  <si>
    <t>เครื่องซักผ้า</t>
  </si>
  <si>
    <t>7110-001-0001/492-048-068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</si>
  <si>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</si>
  <si>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</si>
  <si>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</si>
  <si>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</si>
  <si>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</si>
  <si>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9925-009-0002/492-003</t>
  </si>
  <si>
    <t>โต๊ะหมู่บูชา ขนาด 9 * 9</t>
  </si>
  <si>
    <t>4210-001-0001/494-001-002</t>
  </si>
  <si>
    <t>7110-006-0004/504-581-700</t>
  </si>
  <si>
    <t>4330-001-0002/502-003</t>
  </si>
  <si>
    <t>ปั้มหอยโข่ง</t>
  </si>
  <si>
    <t>7110-002-0006/502-088-089</t>
  </si>
  <si>
    <t>ตู้เหล็ก 2 บานเลื่อนกระจก</t>
  </si>
  <si>
    <t>7125-002-0002/502-009-010</t>
  </si>
  <si>
    <t>7110-002-0005/502-013</t>
  </si>
  <si>
    <t>7440-001-0001/502-055</t>
  </si>
  <si>
    <t>7110-007-0001/502-009</t>
  </si>
  <si>
    <t>โต๊ะเครื่องคอมพิวเตอร์</t>
  </si>
  <si>
    <t>4140-001-0002/514-001-008</t>
  </si>
  <si>
    <t>พัดลมไอน้ำ</t>
  </si>
  <si>
    <t>7110-001-0003/512-006</t>
  </si>
  <si>
    <t>โต๊ะเหล็ก 5 ฟุต TC - 3060  BESTER</t>
  </si>
  <si>
    <t>7110-006-0007/512-005</t>
  </si>
  <si>
    <t>เก้าอี้สำนักงาน  S - 35 หนัง</t>
  </si>
  <si>
    <t>7490-015-0001/512-002</t>
  </si>
  <si>
    <t>เครื่องตัดสติกเกอร์ ROLAN SV-15</t>
  </si>
  <si>
    <t>8350-001-0001/521-007-013</t>
  </si>
  <si>
    <t>ผ้าม่านพร้อมอุปกรณ์</t>
  </si>
  <si>
    <t>3450-002-0001/521-001</t>
  </si>
  <si>
    <t>เครื่องขัดพื้น CLEAN WORLD 18 นิ้ว TIP</t>
  </si>
  <si>
    <t>5925-001-0001/521-001</t>
  </si>
  <si>
    <t>เซอร์กิจเบเกอร์ 400A350</t>
  </si>
  <si>
    <t>7430-008-0002/531-017</t>
  </si>
  <si>
    <t>HP Laserjet P1005</t>
  </si>
  <si>
    <t>4140-001-0003/532-001-009</t>
  </si>
  <si>
    <t>พัดลมไอน้ำขนาด 26"  พร้อมอุปกรณ์</t>
  </si>
  <si>
    <t>8350-001-0001/531-014-015</t>
  </si>
  <si>
    <t>ผ้าม่านพร้อมติดตั้ง ขนาด 376*200 ซ.ม.</t>
  </si>
  <si>
    <t>8350-001-0001/531-016-017</t>
  </si>
  <si>
    <t>ผ้าม่านพร้อมติดตั้ง ขนาด 356*230 ซ.ม.</t>
  </si>
  <si>
    <t>8350-001-0001/531-018-019</t>
  </si>
  <si>
    <t>ผ้าม่านพร้อมติดตั้ง ขนาด 260*230 ซ.ม.</t>
  </si>
  <si>
    <t>8350-001-0001/531-020-021</t>
  </si>
  <si>
    <t>ผ้าม่านพร้อมติดตั้ง ขนาด 96*105 ซ.ม.</t>
  </si>
  <si>
    <t>8350-001-0001/531-022-023</t>
  </si>
  <si>
    <t>ผ้าม่านพร้อมติดตั้ง ขนาด 360*220 ซ.ม.</t>
  </si>
  <si>
    <t>8350-001-0001/531-024-025</t>
  </si>
  <si>
    <t>ผ้าม่านพร้อมติดตั้ง ขนาด 260*220 ซ.ม.</t>
  </si>
  <si>
    <t>8350-001-0001/531-026-027</t>
  </si>
  <si>
    <t>ผ้าม่านพร้อมติดตั้ง ขนาด 100*95 ซ.ม.</t>
  </si>
  <si>
    <t>2310-004-0001/532-002</t>
  </si>
  <si>
    <t>รถยนต์โตโยต้า ไฮเอช  สีเทา</t>
  </si>
  <si>
    <t>7110-002-0005/531-029</t>
  </si>
  <si>
    <t>7110-002-0006/531-025</t>
  </si>
  <si>
    <t>ตู้  2  บานเลือนกระจก  4  ฟุต</t>
  </si>
  <si>
    <t>4120-001-0003/551-008-009</t>
  </si>
  <si>
    <t>เครื่องปรับอากาศมิสซูบิซิ 32,000 บีทียู</t>
  </si>
  <si>
    <t>7110-007-0013/551-001-016</t>
  </si>
  <si>
    <t>ชุดโต๊ะประชุม 16 ที่นั่ง พร้อมเก้าอี้</t>
  </si>
  <si>
    <t>7110-007-0014/551-017-0024</t>
  </si>
  <si>
    <t>ชุดโต๊ะประชุม 8 ที่นั่ง พร้อมเก้าอี้</t>
  </si>
  <si>
    <t>4610-007-0001/551-001-002</t>
  </si>
  <si>
    <t>เครื่องกรองน้ำ</t>
  </si>
  <si>
    <t>4110-003-0001/551-001-002</t>
  </si>
  <si>
    <t>ตู้น้ำกิน 6 ก๊อก ขนาด 3/8</t>
  </si>
  <si>
    <t>7240-004-0001/582-001(2)</t>
  </si>
  <si>
    <t>ถังน้ำสแตนเลสขนาด 2000 ลิตร</t>
  </si>
  <si>
    <t xml:space="preserve">ปั๊มน้ำ MITSUBISHI 380V 2 นิ้ว 3แรง </t>
  </si>
  <si>
    <t>บัญชีรายการครุภัณฑ์  แผนกวิชาช่างยนต์  คงเหลือ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</si>
  <si>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</si>
  <si>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</si>
  <si>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</si>
  <si>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</si>
  <si>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</si>
  <si>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</si>
  <si>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</si>
  <si>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</si>
  <si>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</si>
  <si>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7110-007-0009.3/391-016-023</t>
  </si>
  <si>
    <t>โต๊ะปฏิบัติงาน</t>
  </si>
  <si>
    <t>7125-004-0007/391-001-005</t>
  </si>
  <si>
    <t>ชั้นวางเครื่องมือและชิ้นส่วนแบบเคลื่อนที่</t>
  </si>
  <si>
    <t>6910-001-0001.1/391-001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</si>
  <si>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</si>
  <si>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</si>
  <si>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</si>
  <si>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3810-003-0001/391-001</t>
  </si>
  <si>
    <t>ปั่นจันรอกโซ่ ขนาด 3 ตัน</t>
  </si>
  <si>
    <t>3442-004-0001/391-001</t>
  </si>
  <si>
    <t>แท่นอัดไฮดรอลิกส์ 50 ตัน</t>
  </si>
  <si>
    <t>3442-002-0001/391-001</t>
  </si>
  <si>
    <t>เครื่องมืออัดอากาศ ขนาด 300  ลิตร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</si>
  <si>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</si>
  <si>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</si>
  <si>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</si>
  <si>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</si>
  <si>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</si>
  <si>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</si>
  <si>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</si>
  <si>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</si>
  <si>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</si>
  <si>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</si>
  <si>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</si>
  <si>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</si>
  <si>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</si>
  <si>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</si>
  <si>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</si>
  <si>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</si>
  <si>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</si>
  <si>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</si>
  <si>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</si>
  <si>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</si>
  <si>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</si>
  <si>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</si>
  <si>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</si>
  <si>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</si>
  <si>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</si>
  <si>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</si>
  <si>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</si>
  <si>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</si>
  <si>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</si>
  <si>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</si>
  <si>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</si>
  <si>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</si>
  <si>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</si>
  <si>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</si>
  <si>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</si>
  <si>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</si>
  <si>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</si>
  <si>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</si>
  <si>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</si>
  <si>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</si>
  <si>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</si>
  <si>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</si>
  <si>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</si>
  <si>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</si>
  <si>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</si>
  <si>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</si>
  <si>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</si>
  <si>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</si>
  <si>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</si>
  <si>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</si>
  <si>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</si>
  <si>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</si>
  <si>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</si>
  <si>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</si>
  <si>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</si>
  <si>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</si>
  <si>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</si>
  <si>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</si>
  <si>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4910-003-0001/451-001</t>
  </si>
  <si>
    <t>เครื่องยกรถชนิด 2 เสา</t>
  </si>
  <si>
    <t>2815-001-0003/452-001</t>
  </si>
  <si>
    <t>เครื่องยนต์ อีซูซุ C 223 262962</t>
  </si>
  <si>
    <t>7440-001-0001/462-002</t>
  </si>
  <si>
    <t>4910-035-0004/461-001</t>
  </si>
  <si>
    <t>เครื่องถอดยางรถยนต์</t>
  </si>
  <si>
    <t>3445-001-0001/461-005</t>
  </si>
  <si>
    <t>เครื่องเจาะตั้งโต๊ะ 13 มม.พร้อมอุปกรณ์</t>
  </si>
  <si>
    <t>4910-033-0001/461-001</t>
  </si>
  <si>
    <t>เครื่องสมดุลล้อรถยนต์แบบนอกรถ</t>
  </si>
  <si>
    <t>3431-003-0001/461-011</t>
  </si>
  <si>
    <t>เครื่องเชื่อมไฟฟ้าแบบ  AC/DC</t>
  </si>
  <si>
    <t>3445-002-0001/461-001</t>
  </si>
  <si>
    <t>เครื่องตัดไฟเบอร์  14 มาลีต้า</t>
  </si>
  <si>
    <t>6910-001-0008/461-001</t>
  </si>
  <si>
    <t>ชุดฝึกจักรยานยนต์ 4 จังหวะ</t>
  </si>
  <si>
    <t>6910-001-0009/461-001-461-002</t>
  </si>
  <si>
    <t>ชุดฝึกเครื่องยนต์โซลีน</t>
  </si>
  <si>
    <t>6910-001-0011/461-004</t>
  </si>
  <si>
    <t>ชุดฝึกเครื่องยนต์ดีเซล</t>
  </si>
  <si>
    <t>6910-001-0011/461-005</t>
  </si>
  <si>
    <t>6910-001-0012/461-001</t>
  </si>
  <si>
    <t>6910-001-0013/461-001</t>
  </si>
  <si>
    <t>ชุดฝึกเครื่องดีเซลควบคุมด้วยอิเล็กทรอนิกส์</t>
  </si>
  <si>
    <t>9610-001-0014/461-001-461-002</t>
  </si>
  <si>
    <t>ชุดฝึกวงจรอิเล็กทรอนิกส์เบื้องต้น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</si>
  <si>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</si>
  <si>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</si>
  <si>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</si>
  <si>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</si>
  <si>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</si>
  <si>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</si>
  <si>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2805-001-0002/482-002-004</t>
  </si>
  <si>
    <t>เครื่องยนต์สูบเฉียง HONDA 5.5 HP</t>
  </si>
  <si>
    <t>4140-001-0002/482-001-003</t>
  </si>
  <si>
    <t>พัดลมโรงงาน 30 นิ้ว</t>
  </si>
  <si>
    <t>4140-001-0003/482-013-018</t>
  </si>
  <si>
    <t>พัดลมโคจร 16  นิ้ว</t>
  </si>
  <si>
    <t>2815-001-0004/493-001</t>
  </si>
  <si>
    <t>เครื่องยนต์ TOYOTA 2 L</t>
  </si>
  <si>
    <t>5810-004-0001/491-001</t>
  </si>
  <si>
    <t>เครื่องมือพร้อมตู้</t>
  </si>
  <si>
    <t>6910-012-0001/491-001</t>
  </si>
  <si>
    <t>เครื่องปั้มลม</t>
  </si>
  <si>
    <t>6910-001-0018/491-001</t>
  </si>
  <si>
    <t>ชุดการควบคุมของระบบคอมมอลเรลพร้อม</t>
  </si>
  <si>
    <t>6910-001-0019/491-001</t>
  </si>
  <si>
    <t>6910-001-0020/491-001</t>
  </si>
  <si>
    <t>2815-001-0001/492-001</t>
  </si>
  <si>
    <t>7110-002-0005/502-014-015</t>
  </si>
  <si>
    <t>3432-005-0002/502-001</t>
  </si>
  <si>
    <t>เครื่องเชื่อมจุด ขนาด 4KVA 3460N</t>
  </si>
  <si>
    <t>7110-002-0005/502-017-018</t>
  </si>
  <si>
    <t>ตู้เอกสาร 2 บานเปิด</t>
  </si>
  <si>
    <t>2815-001-0005/523-001</t>
  </si>
  <si>
    <t>4960-002-0001/523-001</t>
  </si>
  <si>
    <t>แท่นประกอบเครื่อง</t>
  </si>
  <si>
    <t>3940-005-0001/521-001</t>
  </si>
  <si>
    <t>เครนยกเครื่องยนต์ ขนาด 1 ตัน</t>
  </si>
  <si>
    <t>6910-001-0026/531-001-011</t>
  </si>
  <si>
    <t>โต๊ะฝึกปฏิบัติงาน ขนาด 1200*1200*700</t>
  </si>
  <si>
    <t>6910-001-0025/531-001</t>
  </si>
  <si>
    <t>เครื่องวัดละเอียดงานซ่อมเครื่องยนต์</t>
  </si>
  <si>
    <t>6910-001-0035/531-001</t>
  </si>
  <si>
    <t>6910-001-0036/531-001</t>
  </si>
  <si>
    <t>ชุดฝึกไฟฟ้ารถยนต์พร้อมซอฟแวร์</t>
  </si>
  <si>
    <t>คอมเพรสเซอร์ 24000 BTU</t>
  </si>
  <si>
    <t>ชุดทดลองปั้มดีเซล</t>
  </si>
  <si>
    <t>บัญชีรายการครุภัณฑ์  แผนกวิชาอิเล็กทรอนิกส์ คงเหลือ</t>
  </si>
  <si>
    <t>6150-003-0004/391-001-391-020</t>
  </si>
  <si>
    <t>เครื่องจ่ายไฟกระแสตรง</t>
  </si>
  <si>
    <t>มัลติมิเตอร์</t>
  </si>
  <si>
    <t>ออสซิลโลสโคป 2 เส้นภาพขนาด 20</t>
  </si>
  <si>
    <t>6625-002-0003/391-001-391-010</t>
  </si>
  <si>
    <t>6625-003-0008/391-001-391-020</t>
  </si>
  <si>
    <t>ดิจิตอลมัลติมิเตอร์</t>
  </si>
  <si>
    <t>6910-001-0010/391-001-391-009</t>
  </si>
  <si>
    <t>ชุดฝึกวงจรอิเล็กทรอนิกส์</t>
  </si>
  <si>
    <t>6120-003-0002/391-001-391-009</t>
  </si>
  <si>
    <t>หม้อแปลงไฟฟ้าแบบเปลี่ยนค่าได้</t>
  </si>
  <si>
    <t>6635-015-0004/391-001-391-010</t>
  </si>
  <si>
    <t>6910-001-0005/391-001-391-009</t>
  </si>
  <si>
    <t>ชุดฝึกอิเล็กทรอนิกส์เบื้องต้น</t>
  </si>
  <si>
    <t>5990-006-0002/391-001-391-015</t>
  </si>
  <si>
    <t>ฟังค์ชั่นเยนเนเรเตอร์</t>
  </si>
  <si>
    <t>5825-009-0001/391-001</t>
  </si>
  <si>
    <t>เครื่องกำเนิดสัญญาณเอเอ็มเอฟเอ็ม</t>
  </si>
  <si>
    <t>5130-007-0003/391-001</t>
  </si>
  <si>
    <t>สว่านเจาะปริ้นรอบสูง</t>
  </si>
  <si>
    <t>6625-003-0007/391-001</t>
  </si>
  <si>
    <t>คิวมิเตอร์</t>
  </si>
  <si>
    <t>5905-006-0002/391-001-391-010</t>
  </si>
  <si>
    <t>5990-006-0001/391-001-391-004</t>
  </si>
  <si>
    <t>อาร์เอฟซิกแนลเจนเนอร์เรเตอร์</t>
  </si>
  <si>
    <t>6625-003-0006/391-001</t>
  </si>
  <si>
    <t>เฟอร์ เอ็ม ซี เคาน์เตอร์</t>
  </si>
  <si>
    <t>6625-003-0005/391-002-391-011</t>
  </si>
  <si>
    <t>R-L-C  แบบดิจิตอล</t>
  </si>
  <si>
    <t>7110-001-0001/391-006-009</t>
  </si>
  <si>
    <t>ตู้เอกสาร 2 บาน</t>
  </si>
  <si>
    <t>5825-009-0001/401-002-401-006</t>
  </si>
  <si>
    <t>5999-006-0002/401-002-005</t>
  </si>
  <si>
    <t>ชุดฝึกวงจรดิจิตอล</t>
  </si>
  <si>
    <t>5826-021-0001/401-001-401-002</t>
  </si>
  <si>
    <t>เครื่องวัดระบบความดังของเสียง</t>
  </si>
  <si>
    <t>5826-022-0001/401-001-401-002</t>
  </si>
  <si>
    <t>เอฟเอ็มสเตอริโอเยนเนอเนเตอร์</t>
  </si>
  <si>
    <t>5945-005-0001/401-001-401-002</t>
  </si>
  <si>
    <t>เครื่องวัดความเข้มสนามแม่เหล็ก</t>
  </si>
  <si>
    <t>5826-021-0002/401-001-401-002</t>
  </si>
  <si>
    <t>เครื่องวัดความแรงคลื่นวิทยุ</t>
  </si>
  <si>
    <t>58895-006-0001/401-001-401-005</t>
  </si>
  <si>
    <t>ออสซิลโลสโคป ขนาด 40  วัตต์</t>
  </si>
  <si>
    <t>5825-009-0002/401-001-401-002</t>
  </si>
  <si>
    <t>เครื่องกำเนิคสัญญาณทดสอบโทรทัศน์</t>
  </si>
  <si>
    <t>5825-020-0001/401-004-401-023</t>
  </si>
  <si>
    <t>เครื่องรับโทรทัศน์</t>
  </si>
  <si>
    <t>5835-013-0002/401-001</t>
  </si>
  <si>
    <t>ชุดฝึกระบบเสียงสาธารณะ</t>
  </si>
  <si>
    <t>5835-013-0001/401-001-401-002</t>
  </si>
  <si>
    <t>ชุดฝึกระบบเสียงในรถยนต์</t>
  </si>
  <si>
    <t>5955-005-0003/401-001-401-002</t>
  </si>
  <si>
    <t>ชุดฝึกวงจรพัลซ์เบื้องต้น</t>
  </si>
  <si>
    <t>5999-006-0001/401-001-401-010</t>
  </si>
  <si>
    <t>ชุดฝึกวงจรอิเล็กทรอนิกส์  2</t>
  </si>
  <si>
    <t>5950-008-0001/411-001-411-002</t>
  </si>
  <si>
    <t>เครื่องพันคอยล์</t>
  </si>
  <si>
    <t>5961-006-0001/411-001-411-004</t>
  </si>
  <si>
    <t>แผงสาธิตอิเล็กทรอนิกส์อุตสาหกรรม</t>
  </si>
  <si>
    <t>5962-004-0001/411-001-411-004</t>
  </si>
  <si>
    <t>ชุดฝึกไมรโครโปรเซสเซอร์และอินเตอร์เฟส</t>
  </si>
  <si>
    <t>5826-019-0001/411-001-411-002</t>
  </si>
  <si>
    <t>ชุดฝึกเครื่องส่งเอเอ็มเอฟเอ็มสเตอริโอ</t>
  </si>
  <si>
    <t>5820-003-0001/411-001-411-002</t>
  </si>
  <si>
    <t>เครื่องวัดความเข้มของแสง</t>
  </si>
  <si>
    <t>7730-004-0001/452-002</t>
  </si>
  <si>
    <t>เครื่องเล่นเทป พานาโซนิค</t>
  </si>
  <si>
    <t>7110-007-0011/451-029-451-038</t>
  </si>
  <si>
    <t>โต๊ะพับเอนกประสงค์ 6 ฟุต</t>
  </si>
  <si>
    <t>5820-015-0001/452-001</t>
  </si>
  <si>
    <t>5820-015-0002/452-001</t>
  </si>
  <si>
    <t>วีดีโอ ซีดี MRS- 999 SVCD</t>
  </si>
  <si>
    <t>5820-015-0013/452-001</t>
  </si>
  <si>
    <t>เครื่องเล่น  DVD -XV 10 GCSS</t>
  </si>
  <si>
    <t>5820-011-0001/451-001</t>
  </si>
  <si>
    <t>ชุดสาธิตโทรทัศน์ระบบ MATV , CATV</t>
  </si>
  <si>
    <t>5820-005-0001/451-001</t>
  </si>
  <si>
    <t>ชุดสาธิตโทรทัศน์วงจรปิด</t>
  </si>
  <si>
    <t>5825-020-0001/452-002</t>
  </si>
  <si>
    <t>เครื่องรับโทรทัศน์ สี 14" พานโซนิค</t>
  </si>
  <si>
    <t>6910-001-0016/461-001-005</t>
  </si>
  <si>
    <t>ชุดฝึกไฟเบอร์ออฟติก</t>
  </si>
  <si>
    <t>5915-005-0001/461-001</t>
  </si>
  <si>
    <t>เครื่องวิเคราะห์สายอากาศ</t>
  </si>
  <si>
    <t>6910-001-0017/461-001-461-002</t>
  </si>
  <si>
    <t>ชุดฝึกรับ-ส่งวิทยุสื่อสารสำหรับฝึก</t>
  </si>
  <si>
    <t>7440-001-0001/462-007</t>
  </si>
  <si>
    <t>711-002-0006/462-017-462-041</t>
  </si>
  <si>
    <t>ตู้ 2 บานเลื่อน</t>
  </si>
  <si>
    <t>7125-001-0002/462-001-462-003</t>
  </si>
  <si>
    <t>ตู้ล็อกเกอร์  18  ช่อง</t>
  </si>
  <si>
    <t>ตู้ล็อกเกอร์  12  ช่อง</t>
  </si>
  <si>
    <t>การ์ดติดตั้งวีดีโอ</t>
  </si>
  <si>
    <t>5835-001-0001/462-001</t>
  </si>
  <si>
    <t>เครื่องขยายเสียงแบบเพาแอมป์</t>
  </si>
  <si>
    <t>4141-001-0001/462-012</t>
  </si>
  <si>
    <t>7740-004-0001/462-003</t>
  </si>
  <si>
    <t>เครื่อง  CD  RW</t>
  </si>
  <si>
    <t>7440-010-0001/462-002</t>
  </si>
  <si>
    <t>เครื่องสแกนเนอร์</t>
  </si>
  <si>
    <t>5895-004-0001/462-001</t>
  </si>
  <si>
    <t>เครื่องช่วยซาวด์กลอง  DM5</t>
  </si>
  <si>
    <t>6910-001-0015/461-001-05</t>
  </si>
  <si>
    <t>ชุดฝึกเครื่องขยายเสียง</t>
  </si>
  <si>
    <t>5965-007-0001/461-001-002</t>
  </si>
  <si>
    <t>ไมโครโฟนไร้สาย</t>
  </si>
  <si>
    <t>5825-020-0001/471-024</t>
  </si>
  <si>
    <t>โทรทัศน์สีชนิดจอแบนขนาด  29  นิ้ว</t>
  </si>
  <si>
    <t>5825-020-0001/473-001</t>
  </si>
  <si>
    <t>โทรทัศน์สีชนิดจอแบนขนาด  21  นิ้ว</t>
  </si>
  <si>
    <t>7440-001-0003/471-001</t>
  </si>
  <si>
    <t>ชุดออกแบบลายวงจรด้วยคอมพิวเตอร์</t>
  </si>
  <si>
    <t>4140-001-0001/483-020-025</t>
  </si>
  <si>
    <t>พัดลมติดผนัง 16 นิ้ว</t>
  </si>
  <si>
    <t>4140-001-0001/483-026-035</t>
  </si>
  <si>
    <t>5965-007-0001/483-001-002</t>
  </si>
  <si>
    <t>ไมโครโฟนไร้สายชนิดคู่</t>
  </si>
  <si>
    <t>6310-002-0001/482-001</t>
  </si>
  <si>
    <t>ชุดรับสัญญาณดาวเทียม</t>
  </si>
  <si>
    <t>6730-001-0003/492-001</t>
  </si>
  <si>
    <t>เครื่องโปรเจคเตอร์พร้อมจอ 70 นิ้ว</t>
  </si>
  <si>
    <t>6730-001-0002/492-001</t>
  </si>
  <si>
    <t>เครื่องฉายภาพ 3 มิติ</t>
  </si>
  <si>
    <t>7440-010-0006/492-001</t>
  </si>
  <si>
    <t>RACK HUB 24 PORT 10/100</t>
  </si>
  <si>
    <t>7440-010-006/492-001-004</t>
  </si>
  <si>
    <t>RACK HUB 8 PORT 10/100</t>
  </si>
  <si>
    <t>7440-010-0007/492-001-004</t>
  </si>
  <si>
    <t>MCT RACK 19" WALL MOUNT 6 U-50 CM.</t>
  </si>
  <si>
    <t>7440-010-0007/492-001</t>
  </si>
  <si>
    <t>MCT RACK 19" ENCLOSED RACK 27U-60 CM.</t>
  </si>
  <si>
    <t>7440-009-0002/492-001-005</t>
  </si>
  <si>
    <t>LAN CARD 10/100/1000</t>
  </si>
  <si>
    <t>LAN CARD 10/100</t>
  </si>
  <si>
    <t>7440-009-0003/492-001</t>
  </si>
  <si>
    <t>ตัวแปลงสัญญาณไฟเบอร์</t>
  </si>
  <si>
    <t>5835-002-0003/492-001</t>
  </si>
  <si>
    <t>มิกเซอร์ 24 ช่อง</t>
  </si>
  <si>
    <t>7740-004-0001/502-008</t>
  </si>
  <si>
    <t>5835-001-0001/504-001-004</t>
  </si>
  <si>
    <t>เครื่องเสียง</t>
  </si>
  <si>
    <t>6710-004-0002/502-001</t>
  </si>
  <si>
    <t>กล้องวีดีโอ SONY DCR-SR40E</t>
  </si>
  <si>
    <t>7440-009-0003/502-002</t>
  </si>
  <si>
    <t>ฮาร์ดดิส 250 GB</t>
  </si>
  <si>
    <t>7440-010-0010/502-001</t>
  </si>
  <si>
    <t>เครื่องสำรองไฟ</t>
  </si>
  <si>
    <t>6720-008-0002/502-001-006</t>
  </si>
  <si>
    <t>กล้องวงจรปิด LYD 808</t>
  </si>
  <si>
    <t>7440-009-0001/502-001</t>
  </si>
  <si>
    <t>การ์ด SKY 8800</t>
  </si>
  <si>
    <t>7440-001-0004/501-001</t>
  </si>
  <si>
    <t xml:space="preserve">CASE SERVER </t>
  </si>
  <si>
    <t>5805-009-0001/512-001</t>
  </si>
  <si>
    <t>6730-001-0003/521-004</t>
  </si>
  <si>
    <t>เครื่องมัลติมีเดียโปรเจคเตอร์ ACER P1166P</t>
  </si>
  <si>
    <t>6720-005-0003/521-001</t>
  </si>
  <si>
    <t>6710-004-0003/521-001</t>
  </si>
  <si>
    <t>5820-015-0005/521-001-002</t>
  </si>
  <si>
    <t>เครื่องบันทึก DVD /HDD SONY รุ่นHX 980</t>
  </si>
  <si>
    <t>6910-001-0022/531-001-010</t>
  </si>
  <si>
    <t>โต๊ะทดลองไฟฟ้าพร้อมคอนโซล</t>
  </si>
  <si>
    <t>6730-001-0003/531-018</t>
  </si>
  <si>
    <t>เครื่องฉายโปรเจ็กเตอร์</t>
  </si>
  <si>
    <t>7110-07-0001/531-005-021</t>
  </si>
  <si>
    <t>โต๊ะคอมพิวเตอร์  80*60*75  ขาเหล็ก</t>
  </si>
  <si>
    <t>7110-006-0007/531-001-050</t>
  </si>
  <si>
    <t>เก้าอี้ขาเหล็กไม้ยางพารา</t>
  </si>
  <si>
    <t>7110-006-020/531-001-020</t>
  </si>
  <si>
    <t>เก้าอี้นั่งโพลีโพลพิลีน</t>
  </si>
  <si>
    <t>6910-001-0032/531-001</t>
  </si>
  <si>
    <t xml:space="preserve">ชุดทดลองอาร์เอฟไอดี </t>
  </si>
  <si>
    <t>6910-001-0033/531-001</t>
  </si>
  <si>
    <t>ชุดทดลองวงจรอิเล็กทรอนิกส์</t>
  </si>
  <si>
    <t>6910-001-0034/531-001</t>
  </si>
  <si>
    <t>ชุดทดลองวงจรอิเล็กทรอนิกส์กำลัง</t>
  </si>
  <si>
    <t>บัญชีรายการครุภัณฑ์ แผนกวิชาเทคนิคพื้นฐาน คงเหลือ</t>
  </si>
  <si>
    <t>7110-007-0002/391-011-015</t>
  </si>
  <si>
    <t>3446-005-0001/391-001-004</t>
  </si>
  <si>
    <t>ทั่งตีเหล็กขนาด 50 กก.</t>
  </si>
  <si>
    <t>5110-013-0001/391-001</t>
  </si>
  <si>
    <t>เครื่องตัดเจาะระบบไฮดรอลิก</t>
  </si>
  <si>
    <t>6910-001-0002/391-001</t>
  </si>
  <si>
    <t>เครื่องมือและอุปกรณ์ทั่วไปประจำวิชางานฝึกฝีมือ</t>
  </si>
  <si>
    <t>7110-001-0001/391-010</t>
  </si>
  <si>
    <t>ตู้เหล็ก 2 บาน (PRERIDENT)</t>
  </si>
  <si>
    <t>3455-007-0002/412-001</t>
  </si>
  <si>
    <t>เลื่อยกลไฟฟ้าแบบแท่นพร้อมมอเตอร์</t>
  </si>
  <si>
    <t>7195-008-0001/452-001</t>
  </si>
  <si>
    <t>ตู้โชว์กระจก ขนาด 4 ฟุต</t>
  </si>
  <si>
    <t>3416-001-0001/463-001</t>
  </si>
  <si>
    <t>เครื่องกลึงขนาดยันศูนย์เหนือแท่น 125 มม.</t>
  </si>
  <si>
    <t>3416-001-0001/463-002</t>
  </si>
  <si>
    <t>5210-016-0001/482-001-006</t>
  </si>
  <si>
    <t>บรรทัดเส้นผม</t>
  </si>
  <si>
    <t>5210-016-0002/482-001-006</t>
  </si>
  <si>
    <t>ฉากเส้นผม</t>
  </si>
  <si>
    <t>4140-001-0002/482-004-0007</t>
  </si>
  <si>
    <t>พัดลมโรงงาน 18 นิ้ว</t>
  </si>
  <si>
    <t>7430-008-0001/502-015</t>
  </si>
  <si>
    <t>เครื่องปริ้นเตอร์ 1020</t>
  </si>
  <si>
    <t>7440-001-0001/502-058</t>
  </si>
  <si>
    <t>เครื่องคอมพิวเตอร์ HP</t>
  </si>
  <si>
    <t>7125-001-0002/521-001-003</t>
  </si>
  <si>
    <t>ตู้ล๊อกเกอร์ 18 ช่อง TAIYO</t>
  </si>
  <si>
    <t>6910-001-0021/531-001-002</t>
  </si>
  <si>
    <t>เครื่องเทอเรทมิลลิ่งจีน  รุ่น  x6340W</t>
  </si>
  <si>
    <t>3419-007-0001/551-001-004</t>
  </si>
  <si>
    <t>ครุภัณฑ์ปฏิบัติการสาขางานเครื่องมือทั่วไป</t>
  </si>
  <si>
    <t>7125-002-0010/551-001</t>
  </si>
  <si>
    <t>5130-007-0004/551-003</t>
  </si>
  <si>
    <t>สว่านไฟฟ้า ขนาด 13 มม.</t>
  </si>
  <si>
    <t>3431-003-0004/551-002</t>
  </si>
  <si>
    <t>เครื่องพลาสม่าเอนกประสงค์</t>
  </si>
  <si>
    <t>บัญชีรายการครุภัณฑ์ แผนกวิชาช่างกลโรงงาน คงเหลือ</t>
  </si>
  <si>
    <t>3416-001-0002/551-001-002</t>
  </si>
  <si>
    <t>เครื่องกลึงขนาดยันศูนย์เหนือแท่น 165 มม.</t>
  </si>
  <si>
    <t>บัญชีรายการครุภัณฑ์  แผนกวิชาโลหะการ คงเหลือ</t>
  </si>
  <si>
    <t>5130-007-0004/391-001</t>
  </si>
  <si>
    <t>สว่านไฟฟ้าตั้งโต๊ะ  13 มม.</t>
  </si>
  <si>
    <t>3433-002-0002/391-001</t>
  </si>
  <si>
    <t>เครื่องตัดด้วยแก๊สแบบอัตโนมัติชนิดตัดตรง</t>
  </si>
  <si>
    <t>3441-007-0001/391-001</t>
  </si>
  <si>
    <t>เครื่องพับกล่อง ขนาด 1200  มม.</t>
  </si>
  <si>
    <t>7110-007-0013/391-001-391-010</t>
  </si>
  <si>
    <t>โต๊ะเชื่อมแก๊สพร้อมเก้าอี้</t>
  </si>
  <si>
    <t>3438-009-0001/391-001-391-010</t>
  </si>
  <si>
    <t>บู๊ชเชื่อมไฟฟ้า</t>
  </si>
  <si>
    <t>7110-007-0003/391-001-391-010</t>
  </si>
  <si>
    <t>โต๊ะเชื่อมไฟฟ้าพร้อมเก้าอี้</t>
  </si>
  <si>
    <t>3470-002-0003/391-001,003</t>
  </si>
  <si>
    <t>ชุดเชื่อมแก๊สแบบเคลื่อนที่พร้อมอุปกรณ์</t>
  </si>
  <si>
    <t>3455-007-0001/391-001</t>
  </si>
  <si>
    <t>เครื่องตัดแบบคันโยก</t>
  </si>
  <si>
    <t>3470-002-0001/391-001</t>
  </si>
  <si>
    <t>ชุดเครื่องมือและอุปกรณ์งานเชื่อมแก๊ส</t>
  </si>
  <si>
    <t>3431-003-0001/391-001-391-010</t>
  </si>
  <si>
    <t>เครื่องเชื่อมไฟฟ้าแบบAC/DCขนาด250 A</t>
  </si>
  <si>
    <t>4710-007-0002/391-001-391-005</t>
  </si>
  <si>
    <t>ชุดท่อบรรจุแก๊ส ขนาด 40 ลิตร</t>
  </si>
  <si>
    <t>4710-007-0003/391-001-391-005</t>
  </si>
  <si>
    <t>ชุดท่อบรรจุแก๊ส ออกซิเจนขนาด40ลิตร</t>
  </si>
  <si>
    <t>7110-007-0015/391-001</t>
  </si>
  <si>
    <t>โต๊ะปฏิบัติงานบัดกรี</t>
  </si>
  <si>
    <t>3470-003-0002/391-001</t>
  </si>
  <si>
    <t>ชุดเครื่องมือและอุปกรณ์งานโลหะแผ่น</t>
  </si>
  <si>
    <t>7510-012-0001/391-001</t>
  </si>
  <si>
    <t>4530-001-0001/391-002</t>
  </si>
  <si>
    <t>เตาเผาหัวแร้งชนิดใช้แก๊ส</t>
  </si>
  <si>
    <t>7440-001-0001/462-003</t>
  </si>
  <si>
    <t>3441-001-0001/461-001</t>
  </si>
  <si>
    <t>เครื่องดัดท่อแบบขับเคลื่อนด้วยมอเตอร์</t>
  </si>
  <si>
    <t>3470-005-0001/471-001</t>
  </si>
  <si>
    <t>เครื่องเชื่อมพลาสติก</t>
  </si>
  <si>
    <t>3445-002-0002/471-001</t>
  </si>
  <si>
    <t>เครื่องตัดอลูมิเนี่ยม</t>
  </si>
  <si>
    <t>7110-002-0006/492-077-078</t>
  </si>
  <si>
    <t>ตู้กระจก 2 บานเลื่อน 4 ฟุต</t>
  </si>
  <si>
    <t>3431-003-0002/502-001</t>
  </si>
  <si>
    <t>เครื่องเชื่อมไฟฟ้าINVERTER 2ระบบ</t>
  </si>
  <si>
    <t>3431-003-0004/511-001-002</t>
  </si>
  <si>
    <t>3431-003-0003/511-001-002</t>
  </si>
  <si>
    <t>3415-001-0003/511-001</t>
  </si>
  <si>
    <t>6730-001-0003/521-002</t>
  </si>
  <si>
    <t>เครื่องฉายโปรเจคเตอร์ SONY UPL-ES-7</t>
  </si>
  <si>
    <t>3445-002-0002/521-002</t>
  </si>
  <si>
    <t>3470-002-0003/531-010</t>
  </si>
  <si>
    <t>เครื่องเชื่อม  Tig 200 พร้อมอุปกรณ์</t>
  </si>
  <si>
    <t>3470-002-0003/531-009</t>
  </si>
  <si>
    <t>เครื่องเชื่อม  mig 200 พร้อมอุปกรณ์</t>
  </si>
  <si>
    <t>3470-002-0003/531-005-008</t>
  </si>
  <si>
    <t>เครื่องเชื่อม  orbit -220</t>
  </si>
  <si>
    <t>3470-002-0004/531-001-004</t>
  </si>
  <si>
    <t>3433-002-0002/531-001</t>
  </si>
  <si>
    <t>เครื่องตัดพลาสมา  orbit</t>
  </si>
  <si>
    <t>6730-007-0001/571-001</t>
  </si>
  <si>
    <t>3433-002-0003/571-001</t>
  </si>
  <si>
    <t>เครื่องตัดพลาสม่า ชนิดใช้อากาศ</t>
  </si>
  <si>
    <t>3431-003-0003/571-001-005</t>
  </si>
  <si>
    <t>เครื่องเชื่อมมิก ขนาด 250A</t>
  </si>
  <si>
    <t>บัญชีรายการครุภัณฑ์ แผนกวิชาไฟฟ้ากำลัง คงเหลือ</t>
  </si>
  <si>
    <t>5950-004-0001/391-001-391-010</t>
  </si>
  <si>
    <t>ทรานฟอร์เมอร์ 1 เฟส</t>
  </si>
  <si>
    <t>6910-001-0007/391-001</t>
  </si>
  <si>
    <t>แรงเคลื่อนคงที่</t>
  </si>
  <si>
    <t>6910-001-0006/391-001-391-007</t>
  </si>
  <si>
    <t>ชุดฝึกไฟฟ้าเบื้องต้น</t>
  </si>
  <si>
    <t>5905-006-0005/391-001-391-020</t>
  </si>
  <si>
    <t>ดิจิตอลแคมป์ออนมิเตอร์ (001,002,003)</t>
  </si>
  <si>
    <t>5905-006-0004/391-001-391-010</t>
  </si>
  <si>
    <t>เครื่องวัดกระแสสลับแบบพอร์ทเทเบิ้ล</t>
  </si>
  <si>
    <t>5905-006-0003/391-001-391-010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</si>
  <si>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</si>
  <si>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</si>
  <si>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</si>
  <si>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</si>
  <si>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6625-003-0012/391-001-391-010</t>
  </si>
  <si>
    <t>เพาเวอร์ซัพพลาย 0 -50 โวลท์</t>
  </si>
  <si>
    <t>6625-003-0011/391-001-391-005</t>
  </si>
  <si>
    <t xml:space="preserve">เพาเวอร์ซัพพลาย </t>
  </si>
  <si>
    <t>6625-003-0010/391-001,003,</t>
  </si>
  <si>
    <t>ดิจิตอลมัลติมิเตอร์แบบตั้งโต๊ะ</t>
  </si>
  <si>
    <t>6625-003-0009/391-012,013</t>
  </si>
  <si>
    <t>มัลติมิเตอร์แอมป์มิเตอร์</t>
  </si>
  <si>
    <t>5975-006-0002/391-001-391-002</t>
  </si>
  <si>
    <t>ชุดฝึกการควบคุมเครื่องกลไฟฟ้า</t>
  </si>
  <si>
    <t>5210-016-0001/391-001-391-002</t>
  </si>
  <si>
    <t>เครื่องวัดค่าคาปาซิเตอร์อ่านค่าเป็นตัวเลข</t>
  </si>
  <si>
    <t>6625-003-0005/391-001</t>
  </si>
  <si>
    <t>6150-003-0003/391-001-391-004</t>
  </si>
  <si>
    <t>แหล่งจ่ายไฟกระแสตรงชนิดควบคุมปรับค่าได้</t>
  </si>
  <si>
    <t>6150-003-0002/391-001-391-024</t>
  </si>
  <si>
    <t>เครื่องจ่ายไฟกระแสตรงแรงเคลื่อนต่ำ</t>
  </si>
  <si>
    <t>6150-003-0001/391-001-391-025</t>
  </si>
  <si>
    <t>เครื่องจ่ายไฟกระแสตรงปรับค่าได้</t>
  </si>
  <si>
    <t>6110-010-0002/401-001</t>
  </si>
  <si>
    <t>ชุดฝึกเครื่องกลไฟฟ้า</t>
  </si>
  <si>
    <t>6110-001-0001/401-001</t>
  </si>
  <si>
    <t>ชุดสาธิตเครื่องกลไฟฟ้าเบื้องต้น</t>
  </si>
  <si>
    <t>6110-011-0001/401-001</t>
  </si>
  <si>
    <t>ชุดเครื่องทดสอบในงานติดตั้งไฟฟ้า</t>
  </si>
  <si>
    <t>5977-009-0002/401-001-401-005</t>
  </si>
  <si>
    <t>เครื่องฝึกทดลองอิเล็กทรอนิกส์อุสาหกรรม</t>
  </si>
  <si>
    <t>5915-003-0001/401-001-401-005</t>
  </si>
  <si>
    <t>เครื่องทดสอบอิเล็กทรอนิกส์และวงจร 1</t>
  </si>
  <si>
    <t>5840-012-0001/401-001-401-005</t>
  </si>
  <si>
    <t>เครื่องมือวัดเครื่องกลไฟฟ้างานปฏิบัติ</t>
  </si>
  <si>
    <t>5977-009-0001/401-001</t>
  </si>
  <si>
    <t>เครื่องฝึกทดสอบไฟฟ้าและอิเล็กทรอนิกส์</t>
  </si>
  <si>
    <t>5990-006-0003/401-001-401-010</t>
  </si>
  <si>
    <t>6105-004-0001/401-001</t>
  </si>
  <si>
    <t>ชุกฝึกประจำวิชาติดตั้งไฟฟ้า</t>
  </si>
  <si>
    <t>5915-005-0002/401-001-401-005</t>
  </si>
  <si>
    <t>ชุดประลองวงจรไฟฟ้า  2 กระแสสลับ</t>
  </si>
  <si>
    <t>5915-005-0001/401-001-401-005</t>
  </si>
  <si>
    <t>ชุดประลองวงจรไฟฟ้า  1 กระแสตรง</t>
  </si>
  <si>
    <t>4810-001-0001/411-001</t>
  </si>
  <si>
    <t>ชุดฝึกนิวเนติกส์ไฟฟ้า</t>
  </si>
  <si>
    <t>6110-002-0001/411-001</t>
  </si>
  <si>
    <t>เครื่องควบคุมมอเตอร์</t>
  </si>
  <si>
    <t>6110-006-0001/411-001</t>
  </si>
  <si>
    <t>อินเวอร์เตอร์ 3 เฟส</t>
  </si>
  <si>
    <t>6110-007-0001/411-001</t>
  </si>
  <si>
    <t>ชุดฝึกควบคุมความเร็วมอเตอร์กระแสสลับ</t>
  </si>
  <si>
    <t>6110-010-0001/411-001</t>
  </si>
  <si>
    <t>ตู้ควบคุมระบบไฟฟ้า</t>
  </si>
  <si>
    <t>ชุดฝึกโปรแกรมเมเบิลคอนโทรล</t>
  </si>
  <si>
    <t>4110-008-0002/411-001</t>
  </si>
  <si>
    <t>ชุดฝึกเครื่องทำความเย็น</t>
  </si>
  <si>
    <t>4110-007-0001/411-001</t>
  </si>
  <si>
    <t>ชุดฝึกตู้แช่</t>
  </si>
  <si>
    <t>4120-002-0001/411-001</t>
  </si>
  <si>
    <t>ชุดเครื่องมือทดสอบเครื่องเย็นและปรับอากาศ</t>
  </si>
  <si>
    <t>4130-009-0001/411-001</t>
  </si>
  <si>
    <t>อุปกรณ์การสอนสาธิตเครื่องเย็น</t>
  </si>
  <si>
    <t>4110-008-0001411-001</t>
  </si>
  <si>
    <t>ชุดฝึกเครื่องเย็น</t>
  </si>
  <si>
    <t>5120-024-0002/421-001</t>
  </si>
  <si>
    <t>ชุดฝึกการพันมอเตอร์และทรานฟอเมอร์</t>
  </si>
  <si>
    <t>6110-002-0001/421-001</t>
  </si>
  <si>
    <t>ชุดควบคุมความเร็วมอเตอร์ขนาดไม่ต่ำกว่า 3 แรงม้า</t>
  </si>
  <si>
    <t>6910-001-0001./421-001</t>
  </si>
  <si>
    <t>ชุดอุปกรณ์ฝึกซ่อมเครื่องใช้ไฟฟ้า</t>
  </si>
  <si>
    <t>5120-024-0003/421-001</t>
  </si>
  <si>
    <t>เครื่องพันขดลวด</t>
  </si>
  <si>
    <t>5110-022-0001/421-001</t>
  </si>
  <si>
    <t>เครื่องมืองานท่อไฟฟ้าบาง</t>
  </si>
  <si>
    <t>5110-022-0002/421-001</t>
  </si>
  <si>
    <t>เครื่องมืองานท่อหนา</t>
  </si>
  <si>
    <t>6910-001-0001/451-001</t>
  </si>
  <si>
    <t>ชุดเครื่องมือฝึกซ่อมเครื่องใช้ไฟฟ้า</t>
  </si>
  <si>
    <t>6930-002-0001/451-001</t>
  </si>
  <si>
    <t>ชุดทดลองเป็นลำดับขั้น PLC</t>
  </si>
  <si>
    <t>7110-007-0011/451-019-451-028</t>
  </si>
  <si>
    <t>4310-001-0001/451-001</t>
  </si>
  <si>
    <t>เครื่องทำสูญญากาศเติมถ่ายและฟื้นฟูสภาพน้ำยา</t>
  </si>
  <si>
    <t>4130-009-0001/451-001</t>
  </si>
  <si>
    <t>ชุดสาธิตเครื่องเย็นและปรับอากาศ</t>
  </si>
  <si>
    <t>4330-001-0001/452-001</t>
  </si>
  <si>
    <t>เครื่องแว๊คคั่ม</t>
  </si>
  <si>
    <t>7110-002-0006/462-002-462-016</t>
  </si>
  <si>
    <t>ตู้กระจก  2  บานเลื่อน</t>
  </si>
  <si>
    <t>7110-002-0006/462-002-462-051</t>
  </si>
  <si>
    <t>7110-001-0003/512-004</t>
  </si>
  <si>
    <t>โต๊ะเหล็ก 5 ฟุต  TC - 3060  BESTER</t>
  </si>
  <si>
    <t>บัญชีรายการครุภัณฑ์ แผนกวิชาคอมพิวเตอร์ คงเหลือ</t>
  </si>
  <si>
    <t>7440-001-0001/401-015-016</t>
  </si>
  <si>
    <t>เครื่องไมโครคอมพิวเตอร์</t>
  </si>
  <si>
    <t>7430-008-0001/401-004-005</t>
  </si>
  <si>
    <t>เครื่องปริ้นเตอร์ OKI 391</t>
  </si>
  <si>
    <t>710-007-0002/401-002-401-005</t>
  </si>
  <si>
    <t>โต๊ะวางเครื่องปริ้น</t>
  </si>
  <si>
    <t>7110-007-0001/401-003-401-022</t>
  </si>
  <si>
    <t>7110-006-0002/401-001-401-020</t>
  </si>
  <si>
    <t>เก้าอี้สำหรับคอมพิวเตอร์</t>
  </si>
  <si>
    <t>7440-010-0001/421-001</t>
  </si>
  <si>
    <t>โปรแกรมสำเร็จรูป</t>
  </si>
  <si>
    <t>7440-001-0001/421-023-421-032</t>
  </si>
  <si>
    <t>7430-008-0001/421-007-421-008</t>
  </si>
  <si>
    <t>เครื่องปริ้นเตอร์ 710 C</t>
  </si>
  <si>
    <t>710-007-0002/421-007-421-008</t>
  </si>
  <si>
    <t>7110-007-0001/421-023-421-032</t>
  </si>
  <si>
    <t>7110-006-0002/421-021-421-040</t>
  </si>
  <si>
    <t>7440-001-0001/431-036-431-040</t>
  </si>
  <si>
    <t>7440-010-0001/431-002</t>
  </si>
  <si>
    <t>7430-008-0001/431-009</t>
  </si>
  <si>
    <t>เครื่องปริ้นเตอร์ 2080I</t>
  </si>
  <si>
    <t>7430-008-0001/431-010</t>
  </si>
  <si>
    <t>เครื่องปริ้นเตอร์เลซอร์ PD12</t>
  </si>
  <si>
    <t>710-007-0002/431-009-431-010</t>
  </si>
  <si>
    <t>7110-007-0001/431-033-431-037</t>
  </si>
  <si>
    <t>7110-006-0002/431-041-431-045</t>
  </si>
  <si>
    <t>5825-020-0001/442-024</t>
  </si>
  <si>
    <t>โทรทัศน์สี 29"</t>
  </si>
  <si>
    <t>7440-001-0001/462-010-462-030</t>
  </si>
  <si>
    <t>7440-001-0001/461-041-461-047</t>
  </si>
  <si>
    <t>7440-001-0001/461-048-461-054</t>
  </si>
  <si>
    <t>7430-008-0001/462-001</t>
  </si>
  <si>
    <t>เครื่องปริ้นเตอร์ EPL 6100</t>
  </si>
  <si>
    <t>7440-001-0001/482-031-482-035</t>
  </si>
  <si>
    <t>7440-001-0001/482-036-039</t>
  </si>
  <si>
    <t>7440-001-0001/482-040-043</t>
  </si>
  <si>
    <t>7440-010-0002/482-003</t>
  </si>
  <si>
    <t>SCANNER EPSON2480</t>
  </si>
  <si>
    <t>7740-004-0001/482-004-006</t>
  </si>
  <si>
    <t xml:space="preserve">เครื่อง WRITE CD ROM </t>
  </si>
  <si>
    <t>4140-001-0001/482-016-021</t>
  </si>
  <si>
    <t>7110-002-0006/482-067</t>
  </si>
  <si>
    <t>ตู้กระจก 2 บานเลื่อน</t>
  </si>
  <si>
    <t>7110-002-0006/482-068</t>
  </si>
  <si>
    <t>7110-002-0005/482-005</t>
  </si>
  <si>
    <t>7440-001-0004/482-001</t>
  </si>
  <si>
    <t xml:space="preserve">SERVER SEY </t>
  </si>
  <si>
    <t>7430-008-0001/482-005</t>
  </si>
  <si>
    <t>เครื่องปริ้นเตอร์เอฟสัน LQ 300+</t>
  </si>
  <si>
    <t>7430-008-0001/482-004</t>
  </si>
  <si>
    <t>เครื่องปริ้นเตอร์เอฟสันCX3500</t>
  </si>
  <si>
    <t>7440-001-0001/482-046</t>
  </si>
  <si>
    <t>7440-001-0001/493-007-016</t>
  </si>
  <si>
    <t>7440-001-0001/493-017-026</t>
  </si>
  <si>
    <t>7110-002-0006/492-081-084</t>
  </si>
  <si>
    <t>7110-002-0005/492-011-012</t>
  </si>
  <si>
    <t>7440-009-0001/492-003</t>
  </si>
  <si>
    <t>7430-008-0002/502-014</t>
  </si>
  <si>
    <t>เครื่องปริ้นเตอร์เอฟสัน A3 CANON IX 5000</t>
  </si>
  <si>
    <t>7740-010-0001/502-001</t>
  </si>
  <si>
    <t>เครื่อง DVD RW</t>
  </si>
  <si>
    <t>7740-010-0006/501-003</t>
  </si>
  <si>
    <t>HUB 24 PORT</t>
  </si>
  <si>
    <t>7740-010-0006/501-001-002</t>
  </si>
  <si>
    <t>HUB 16 PORT</t>
  </si>
  <si>
    <t>7440-001-0001/512-060-108</t>
  </si>
  <si>
    <t>เครื่องไมโครคอมพิวเตอร์ SVOA จอแบน</t>
  </si>
  <si>
    <t>7440-001-0001/512-109-157</t>
  </si>
  <si>
    <t>โต๊ะเหล็ก 5 ฟุต TC-3060 BESTER</t>
  </si>
  <si>
    <t>7110-006-0007/512-006</t>
  </si>
  <si>
    <t>7440-010-0013/531-001-004</t>
  </si>
  <si>
    <t>6730-001-0003/531-009-012</t>
  </si>
  <si>
    <t>7110-006-0009/531-001-160</t>
  </si>
  <si>
    <t>เก้าอี้เบาะชุดโครเมี่ยม</t>
  </si>
  <si>
    <t>7440-001-0003/561-001</t>
  </si>
  <si>
    <t>ครุภัณฑ์ห้องปฏิบัติการเครื่องคอมพิเวตอร์</t>
  </si>
  <si>
    <t>พร้อมระบบเครือข่าย  ประกอบด้วย</t>
  </si>
  <si>
    <t xml:space="preserve">1. เครื่องคอมพิวเตอร์แบบพกพา </t>
  </si>
  <si>
    <t xml:space="preserve">2. โต๊ะคอมพิวเตอร์พร้อมเก้าอี้ </t>
  </si>
  <si>
    <t>3. ระบบไฟฟ้าและระบบเครือข่ายท้อง-</t>
  </si>
  <si>
    <t>ถิ่นสำหรับห้องปฏิบัติการ</t>
  </si>
  <si>
    <t xml:space="preserve">4. เครื่องโปรเจคเตอร์ BenQ  </t>
  </si>
  <si>
    <t>รุ่น MX764 S/N PDV9C0170000</t>
  </si>
  <si>
    <t>5. เครื่องปรับอากาศ ขนาดไม่น้อยกว่า -</t>
  </si>
  <si>
    <t>36000 บีทียู</t>
  </si>
  <si>
    <t xml:space="preserve">6. ระบบเสียง ประกอบด้วย  </t>
  </si>
  <si>
    <t>6.1 ไมค์WirelessMicrophoneET-888A 1 อัน</t>
  </si>
  <si>
    <t>6.2 ไมค์ SHVRE PG 58 1 อัน</t>
  </si>
  <si>
    <t xml:space="preserve">7. เครื่องคอมพิวเตอร์แม่ข่าย 1 เครื่อง  </t>
  </si>
  <si>
    <t>S/N 2582F4A06PHEB</t>
  </si>
  <si>
    <t>8.อุปกรณ์กระจายเสียงสัญญาขนาด 24 ช่อง</t>
  </si>
  <si>
    <t xml:space="preserve">9. เครื่องฉายภาพ 3 มิติ ยี่ห้อ Vertex </t>
  </si>
  <si>
    <t xml:space="preserve">รุ่น D-3180 S/N 1091231802328 </t>
  </si>
  <si>
    <t xml:space="preserve">10. ตู้ RACK19 นิ้ว </t>
  </si>
  <si>
    <t>(นางกิ่งดาว  บุญประสิทธิ์)</t>
  </si>
  <si>
    <t>7430-001-0001/501-026-065</t>
  </si>
  <si>
    <t>เครื่องพิมพ์ดีดภาษาอังกฤษแคร่  15"</t>
  </si>
  <si>
    <t>7430-001-0005/501-028-067</t>
  </si>
  <si>
    <t>เครื่องพิมพ์ดีดแบบธรรมดาภาษาไทย15"</t>
  </si>
  <si>
    <t>7440-008-0001/501-057</t>
  </si>
  <si>
    <t>7110-007-0004/514-001-080</t>
  </si>
  <si>
    <t>7110-006-0006/514-001-080</t>
  </si>
  <si>
    <t>เก้าอี้พิมพ์ดีด</t>
  </si>
  <si>
    <t>7110-002-0006/521-019-020</t>
  </si>
  <si>
    <t>ตู้บานเลื่อนกระจก 4 ฟุต Smart Form</t>
  </si>
  <si>
    <t>7430-008-0002/531-026</t>
  </si>
  <si>
    <t>Printer HP Officejet j4660</t>
  </si>
  <si>
    <t>เครื่องปริ้นเตอร์  Hp Laserjet P1102</t>
  </si>
  <si>
    <t>7110-007-0020/531-001</t>
  </si>
  <si>
    <t>โต๊ะวางโปรเจคเตอร์</t>
  </si>
  <si>
    <t>7110-007-0004/531-012-015</t>
  </si>
  <si>
    <t>7110-006-0006/531-019-022</t>
  </si>
  <si>
    <t>7110-002-0006/531-034-038</t>
  </si>
  <si>
    <t>ตู้เหล็ก  2 บานเลื่อนกระจก</t>
  </si>
  <si>
    <t>6730-001-0003/531-006</t>
  </si>
  <si>
    <t>6130-001-0001/531-001</t>
  </si>
  <si>
    <t>7440-001-0001/531-123</t>
  </si>
  <si>
    <t>7430-001-0001/531-066-075</t>
  </si>
  <si>
    <t>5440-003-0001/531-001-002</t>
  </si>
  <si>
    <t>โต๊ะม้าหินอ่อนพร้อมเก้าอี้</t>
  </si>
  <si>
    <t>5150-002-0001/531-001</t>
  </si>
  <si>
    <t>ซุ้มกาแฟ</t>
  </si>
  <si>
    <t>7320-012-0001/531-001</t>
  </si>
  <si>
    <t>เครื่องปัน panasonic -799N</t>
  </si>
  <si>
    <t>เครื่องทำแซนวิส  Philips -2415</t>
  </si>
  <si>
    <t>7320-007-0001/531-001</t>
  </si>
  <si>
    <t>Saeco Nina Plus White color</t>
  </si>
  <si>
    <t>7320-007-0002/531-001</t>
  </si>
  <si>
    <t>Saeco Grinder MC 2002</t>
  </si>
  <si>
    <t>7730-005-0001/531-001</t>
  </si>
  <si>
    <t>TV LCD 42"  panasonic</t>
  </si>
  <si>
    <t>5815-004-001/531-001</t>
  </si>
  <si>
    <t>เครื่องขยาย  POWER MIX</t>
  </si>
  <si>
    <t>5965-002-0001/531-001-004</t>
  </si>
  <si>
    <t>ตู้ลำโพง</t>
  </si>
  <si>
    <t>5965-001-0001/531-001</t>
  </si>
  <si>
    <t>Microphne (ไมโครโฟน)</t>
  </si>
  <si>
    <t>7430-003-0002/561-001</t>
  </si>
  <si>
    <t>เครื่องถ่ายเอกสารระบบดิจิตอล</t>
  </si>
  <si>
    <t>7440-001-0003/561-001-020</t>
  </si>
  <si>
    <t>(นางนงลักษณ์   ศรีชา)</t>
  </si>
  <si>
    <t>บัญชีรายการครุภัณฑ์ แผนกวิชาการบัญชี  คงเหลือ</t>
  </si>
  <si>
    <t>7430-001-0006/391-002-391-016</t>
  </si>
  <si>
    <t>เครื่องพิมพ์ดีดไฟฟ้าชนิดไม่มีหน่วยความจำ</t>
  </si>
  <si>
    <t>7430-001-0003/391-002-391-026</t>
  </si>
  <si>
    <t>7430-001-0005/391-003-391-027</t>
  </si>
  <si>
    <t>เครื่องพิมพ์ดีดแบบธรรมดาภาษาไทย 15"</t>
  </si>
  <si>
    <t>7110-007-0004/391-004-006</t>
  </si>
  <si>
    <t>7125-002-0002/391-005-391-009</t>
  </si>
  <si>
    <t>7110-002-0005/391-001-391-005</t>
  </si>
  <si>
    <t>ตู้เหล็ก  2  บาน</t>
  </si>
  <si>
    <t>7420-001-0002/391-003-391-022</t>
  </si>
  <si>
    <t>เครื่องคำนวนเลข  12 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</si>
  <si>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</si>
  <si>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</si>
  <si>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</si>
  <si>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</si>
  <si>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</si>
  <si>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</si>
  <si>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</si>
  <si>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</si>
  <si>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7430-001-0001/401-027-401-051</t>
  </si>
  <si>
    <t>เครื่องพิมพ์ดีดภาษาอังกฤษแคร่  18"</t>
  </si>
  <si>
    <t>7430-001-0007/401-002,024</t>
  </si>
  <si>
    <t>7110-007-0004/401-053-401-140</t>
  </si>
  <si>
    <t>7110-002-0005/401-011-401-014</t>
  </si>
  <si>
    <t>7420-001-0002/401-023-401-068</t>
  </si>
  <si>
    <t>7440-001-0001/462-004</t>
  </si>
  <si>
    <t>4140-001-0003/482-029-030</t>
  </si>
  <si>
    <t>พัดลมโคจร  16 นิ้ว</t>
  </si>
  <si>
    <t>7430-008-0002/492-009</t>
  </si>
  <si>
    <t>7430-001-0001/492-001-007</t>
  </si>
  <si>
    <t>7430-001-0001/492-008-013</t>
  </si>
  <si>
    <t>7440-001-0001/501-056</t>
  </si>
  <si>
    <t xml:space="preserve">เครื่องคอมพิวเตอร์ ยี่ห้อ ACER </t>
  </si>
  <si>
    <t>7110-001-0003/512-005</t>
  </si>
  <si>
    <t>โต๊ะเหล็ก 5 ฟุต TC  - 3060 BESTER</t>
  </si>
  <si>
    <t>7110-006-0007/512-004</t>
  </si>
  <si>
    <t>7110-002-0005/531-031-035</t>
  </si>
  <si>
    <t>6730-001-0003/531-007-008</t>
  </si>
  <si>
    <t>7440-001-0001/531-124-138</t>
  </si>
  <si>
    <t>7110-007-0007/531-001-030</t>
  </si>
  <si>
    <t>โต๊ะพับเอนกประสงค์ ขนาด 60*200*75</t>
  </si>
  <si>
    <t>7110-006-0004/531-161-190</t>
  </si>
  <si>
    <t>เก้าอี้เบาะพนักพิง</t>
  </si>
  <si>
    <t>6730-007-0002/531-001</t>
  </si>
  <si>
    <t>เครื่องฉายภาพ  3  มิติ</t>
  </si>
  <si>
    <t>โปรเจ็คเตอร์</t>
  </si>
  <si>
    <t>6760-023-0001/531-001</t>
  </si>
  <si>
    <t>จอรับภาพแบบมอเตอร์  100*</t>
  </si>
  <si>
    <t>7110-007-0004/531-016-017</t>
  </si>
  <si>
    <t>6625-002-0002/563-001</t>
  </si>
  <si>
    <t>เครื่องพิมพ์ดีดไฟฟ้า</t>
  </si>
  <si>
    <t>บัญชีรายการครุภัณฑ์ งานประกันคุณภาพและมาตรฐานการศึกษา  คงเหลือ</t>
  </si>
  <si>
    <t>7110-006-0006/531-018</t>
  </si>
  <si>
    <t>เก้าอี้  (ขาเหล็ก)  5  แฉก</t>
  </si>
  <si>
    <t>7110-007-0004/531-007</t>
  </si>
  <si>
    <t>7440-001-0001/551-173</t>
  </si>
  <si>
    <t>เครื่องคอมพิวเตอร์ชุด DMA</t>
  </si>
  <si>
    <t>6730-001-0001/581-001</t>
  </si>
  <si>
    <t>เครื่องฉาย Projrctor Acer P1276</t>
  </si>
  <si>
    <t>6730-002-0001/582-001</t>
  </si>
  <si>
    <t>จอ Projrctor มอเตอร์ไฟฟ้า ขนาด 120"</t>
  </si>
  <si>
    <t>บัญชีรายการครุภัณฑ์ งานครูที่ปรึกษา  คงเหลือ</t>
  </si>
  <si>
    <t>ตู้  2  บานเลื่อนกระจก  4  ฟุต</t>
  </si>
  <si>
    <t>7440-001-0001/531-142</t>
  </si>
  <si>
    <t>บัญชีรายการครุภัณฑ์ แผนกวิชาเครื่องกลอุตสาหกรรม  คงเหลือ</t>
  </si>
  <si>
    <t>7110-007-0009.3/391-024-027</t>
  </si>
  <si>
    <t>7125-004-0007/391-006-010</t>
  </si>
  <si>
    <t>4910-016-0001/391-003</t>
  </si>
  <si>
    <t>2340-005-002/401-006</t>
  </si>
  <si>
    <t>2340-005-001/401-006</t>
  </si>
  <si>
    <t>6910-001-0009/461-003-004</t>
  </si>
  <si>
    <t>ชุดฝึกเครื่องยนต์แก๊สโซลีน</t>
  </si>
  <si>
    <t>3470-002-0002/461-001</t>
  </si>
  <si>
    <t>ชุดเชื่อมแก๊สพร้อมอุปกรณ์เคลื่อนที่</t>
  </si>
  <si>
    <t>6910-001-0011/461-001-003</t>
  </si>
  <si>
    <t>2805-001-0001/482-005</t>
  </si>
  <si>
    <t>เครื่องยนต์ Samto 5.5</t>
  </si>
  <si>
    <t>7110-002-0005/502-018-019</t>
  </si>
  <si>
    <t>ตู้เหล็ก  2  บานทึบ</t>
  </si>
  <si>
    <t>7440-001-0001/531-101-102</t>
  </si>
  <si>
    <t>เครื่องคอมพิวเตอร์พร้อมโต๊ะ</t>
  </si>
  <si>
    <t>เครื่องฉายมัลติมีเดียโปรเจกเตอร์</t>
  </si>
  <si>
    <t>7430-008-0002/531-029</t>
  </si>
  <si>
    <t>7440-001-0014/551-001-01</t>
  </si>
  <si>
    <t>ชุดครุภัณฑ์ปฏิบัติการสาขางานออกแบบ</t>
  </si>
  <si>
    <t>............................................................</t>
  </si>
  <si>
    <t>..............................................................</t>
  </si>
  <si>
    <t>......................................................</t>
  </si>
  <si>
    <t>(นางสาวณัตติยา  หล่อวินิจนันท์)</t>
  </si>
  <si>
    <t>บัญชีรายการครุภัณฑ์  งานบริหารงานทั่วไป  คงเหลือ</t>
  </si>
  <si>
    <t>........................................................</t>
  </si>
  <si>
    <t>บัญชีรายการครุภัณฑ์  งานแนะแนว  คงเหลือ</t>
  </si>
  <si>
    <t>บัญชีรายการครุภัณฑ์  งานสวัสดิการนักเรียนนักศึกษา  คงเหลือ</t>
  </si>
  <si>
    <t>บัญชีรายการครุภัณฑ์  งานส่งเสริมผลิตการค้าและประกอบธุรกิจ คงเหลือ</t>
  </si>
  <si>
    <t>(นายประดิษฐ  ใจทรง)</t>
  </si>
  <si>
    <t>บัญชีรายการครุภัณฑ์  งานโครงการพิเศษและการบริการชุมชน คงเหลือ</t>
  </si>
  <si>
    <t>บัญชีรายการครุภัณฑ์  งานศูนย์ข้อมูลและสารสนเทศ  คงเหลือ</t>
  </si>
  <si>
    <t>บัญชีรายการครุภัณฑ์  งานวิจัยพัฒนา นวัตกรรมและสิ่งประดิษฐ์  คงเหลือ</t>
  </si>
  <si>
    <t>.......................................................</t>
  </si>
  <si>
    <t>กล้องถ่ายภาพนิ่ง NIKON รุ่น COOLPIX P90</t>
  </si>
  <si>
    <t>กล้องวีดีโอ HARD DISH SONY DCR-SR67E</t>
  </si>
  <si>
    <t>(นายสุวรรณ  บุษภาค)</t>
  </si>
  <si>
    <t>บัญชีรายการครุภัณฑ์  งานบุคลากร  คงเหลือ</t>
  </si>
  <si>
    <t>เครื่องพิมพ์บัตรพลาสติกพร้อมอุปกรณ์ EVOLIS PEBBLE 4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</si>
  <si>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</si>
  <si>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</si>
  <si>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</si>
  <si>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เครื่องยนต์ดีเซล อีซูซุ ซุเปอร์คอมมอลเรล รุ่น 4JK1-TC 2500 Ddi</t>
  </si>
  <si>
    <t>ชุดฝึกไฟฟ้าอิเล็กทรอนิกส์ยานยนต์ พร้อมซอฟแวร์</t>
  </si>
  <si>
    <t>6625-003-0004/391-023,25,26,28-31,33-37</t>
  </si>
  <si>
    <t>ชุดทดลองวงจรไฟฟ้ากระแสตรงและกระแสสลับ</t>
  </si>
  <si>
    <t>เครื่องฝึกเครื่องมือทดสอบไฟฟ้าและอิเล็กทรอนิกส์</t>
  </si>
  <si>
    <t>เครื่องเล่นวีดีโอ  HIFI NV FJ8MK 2 AM PANASONIC</t>
  </si>
  <si>
    <t>วีดีโอ 2 หัวเทปจูนเนอร์ NV-SJ 230AM PANASONIC</t>
  </si>
  <si>
    <t>ชุดตู้เครื่องมือ 7 ลิ้นชัก พร้อมเครื่องมือ ไม่น้อยกว่า 200 ชิ้น</t>
  </si>
  <si>
    <t>ถังแก๊สหุ่งต้ม ขนาด 50 กก.พร้อมอุปกรณ์ปรับความดัน</t>
  </si>
  <si>
    <t>เครื่องแปลงสัญญาณอินเตอร์เน็ต Switching Hub</t>
  </si>
  <si>
    <t>4910-002-0001/611-001</t>
  </si>
  <si>
    <t>แบบสามมิติ จำนวน 1 เครื่อง</t>
  </si>
  <si>
    <t>1. เครื่องตั้งศูนย์ล้อระบบคอมพิวเตอร์</t>
  </si>
  <si>
    <t>2. สะพานสำหรับตั้งศูนย์ จำนวน 1 เครื่อง</t>
  </si>
  <si>
    <t>3. เครื่องถ่วงล้อรถยนต์ จำนวน 1 เครื่อง</t>
  </si>
  <si>
    <t>4. เครื่องถอดยางรถยนต์ จำนวน 1 เครื่อง</t>
  </si>
  <si>
    <t>5. มัลติมิเตอร์วัดค่าทางไฟฟ้า จำนวน 1 เครื่อง</t>
  </si>
  <si>
    <t>7110-002-0006/622-039</t>
  </si>
  <si>
    <t>รายได้</t>
  </si>
  <si>
    <t>เครื่องปริ้นเตอร์ BROTHER DCP-T310</t>
  </si>
  <si>
    <t>7440-001-0002-622-002</t>
  </si>
  <si>
    <t>เครื่องคอมพิวเตอร์ ALL IN ONE LENOVO 19 นิ้ว</t>
  </si>
  <si>
    <t>7430-003-0002/622-031</t>
  </si>
  <si>
    <t>เครื่องปริ้นเตอร์ Brother MFC-L2715</t>
  </si>
  <si>
    <t>30 เม.ย. 58</t>
  </si>
  <si>
    <t>14 พ.ค. 62</t>
  </si>
  <si>
    <t>7110-002-0006/622-001(4)</t>
  </si>
  <si>
    <t>7110-002-0004/622-001</t>
  </si>
  <si>
    <t xml:space="preserve">ตู้เหล็ก 4 ลิ้นชัก </t>
  </si>
  <si>
    <t>7490-013-0001/622-001</t>
  </si>
  <si>
    <t>เครื่องนับพันธบัตร</t>
  </si>
  <si>
    <t>24 มิ.ย. 62</t>
  </si>
  <si>
    <t>17 มิ.ย. 62</t>
  </si>
  <si>
    <t>4120-001-0002/622-001</t>
  </si>
  <si>
    <t>เครื่องปรับอากาศขนาด 40 QBY</t>
  </si>
  <si>
    <t>ตู้เหล็ก 2 บานเลื่อน กระจก</t>
  </si>
  <si>
    <t>ตู้เหล็ก 2 บานเลื่อน ทึบ</t>
  </si>
  <si>
    <t>3750-0204-6001(4)</t>
  </si>
  <si>
    <t>เครื่องตัดหญ้า แบบสพายข้าง</t>
  </si>
  <si>
    <t>ชุดเก้าอี้หลุย</t>
  </si>
  <si>
    <t>เครื่องตัดหญ้า แบบรถเข็น 2 ล้อ</t>
  </si>
  <si>
    <t>เครื่องเลื่อยโซ่ยนต์เลเซอร์</t>
  </si>
  <si>
    <t>บันไดสไลด์ ขนาด 14 ขั้น</t>
  </si>
  <si>
    <t>7430-003-6002</t>
  </si>
  <si>
    <t>6 ม.ค. 58</t>
  </si>
  <si>
    <t>744-001-6002</t>
  </si>
  <si>
    <t>6720-0702-6001</t>
  </si>
  <si>
    <t>6760-0802-6001</t>
  </si>
  <si>
    <t>6760-0802-6002</t>
  </si>
  <si>
    <t>7440-001-6003</t>
  </si>
  <si>
    <t>6760-0802-6003</t>
  </si>
  <si>
    <t>3910-002-0001/621-001</t>
  </si>
  <si>
    <t>25 ม.ค. 62</t>
  </si>
  <si>
    <t>7110-002-0006/622-005(3)</t>
  </si>
  <si>
    <t>3 ก.ค. 62</t>
  </si>
  <si>
    <t>7110-002-0004/622-002(3)</t>
  </si>
  <si>
    <t>7105-014-0001/622-001(3)</t>
  </si>
  <si>
    <t>เครื่องปรับอากาศแบบเคลื่อนที่ PA-90 AJ</t>
  </si>
  <si>
    <t>4120-001-0001/622-001(2)</t>
  </si>
  <si>
    <t>3750-002-0001/622-001(3)</t>
  </si>
  <si>
    <t>ปั้มลมแบบลูกสูบ ขนาด 30 ลิตร</t>
  </si>
  <si>
    <t>4310-001-0001/622-001</t>
  </si>
  <si>
    <t>3210-002-0001/622-001</t>
  </si>
  <si>
    <t>4240-012-0001/622-001</t>
  </si>
  <si>
    <t>ตู้น้ำเย็นแบบ 2 ก๊อก DP-522 HC-MAZMA</t>
  </si>
  <si>
    <t>4110-002-0001/622-001(5)</t>
  </si>
  <si>
    <t>พัดลมอุตสาหกรรม 30 " MC-305 SMIRA</t>
  </si>
  <si>
    <t>4140-001-0002/622-001(10)</t>
  </si>
  <si>
    <t>เลื่อยวงเดือน 9 นิ้ว JC-5905 PUMPKIN</t>
  </si>
  <si>
    <t>3220-003-0001/622-001</t>
  </si>
  <si>
    <t>12 มี.ค. 62</t>
  </si>
  <si>
    <t>29 ส.ค. 62</t>
  </si>
  <si>
    <t>3510-007-0001/622-001</t>
  </si>
  <si>
    <t>ปั้มฉีดน้ำแรงดันสูง 130 บาร์ โยชิโน่</t>
  </si>
  <si>
    <t>7910-003-0001/622-001</t>
  </si>
  <si>
    <t>เครื่องดูดฝุ่น ฮิตาชิ CV-975 FC</t>
  </si>
  <si>
    <t>ประจำปี 2562  ณ วันที่ 30 กันยายน 2562</t>
  </si>
  <si>
    <t>(นายอุทัย  จรรยากรณ์)</t>
  </si>
  <si>
    <t>(นางสาวณัตติยา  หล่อวินิจนันท์ )</t>
  </si>
  <si>
    <t>(นางสาวเพ็ญธิดา  แก้วคำ)</t>
  </si>
  <si>
    <t>(นางสาวพิมพ์ภัทรา  เลิศเรืองศิริ)</t>
  </si>
  <si>
    <t>(นายบุญแต่ง  ป้อมหิน)</t>
  </si>
  <si>
    <t>(นางสาววันดี  ปานฟัก)</t>
  </si>
  <si>
    <t>(นายอนุรักษณ์  วิศรีสิทธิ์)</t>
  </si>
  <si>
    <t xml:space="preserve">     หัวหน้าหน่วยจ่าย/หน่วยเบิก</t>
  </si>
  <si>
    <t>(นางคนองรักษ์  ป้อมหิน)</t>
  </si>
  <si>
    <t>(นายชุมพล  พลเสนา)</t>
  </si>
  <si>
    <t>(สายชล  ทองแป)</t>
  </si>
  <si>
    <t>(นายวัฒนา  ทองเทพ)</t>
  </si>
  <si>
    <t>(นายประภาส  นามโคตร)</t>
  </si>
  <si>
    <t>(นายสมาน  คำขาว.)</t>
  </si>
  <si>
    <t>25 ก.ย. 62</t>
  </si>
  <si>
    <t>……….......................................</t>
  </si>
  <si>
    <t>7490-014-0001/622-001</t>
  </si>
  <si>
    <t xml:space="preserve">เครื่อง FAX </t>
  </si>
  <si>
    <t>เครื่องกัดตั้ง</t>
  </si>
  <si>
    <t>เครื่องกัด Coppy</t>
  </si>
  <si>
    <t>เครื่องปั้มเล็ก</t>
  </si>
  <si>
    <t>3416-001-0001/623-001(6)</t>
  </si>
  <si>
    <t xml:space="preserve">3417-001-0002/623-001 </t>
  </si>
  <si>
    <t>3417-001-0001/623-001(2)</t>
  </si>
  <si>
    <t>3443-001-0001/623-001</t>
  </si>
  <si>
    <t>25 ก.ย.62</t>
  </si>
  <si>
    <t>(นางสาวสุลัดดา  ยอดกุล)</t>
  </si>
  <si>
    <t>(นางสาวทราทิตย์  ชิดชม)</t>
  </si>
  <si>
    <t>7310-001-0001/622-001</t>
  </si>
  <si>
    <t xml:space="preserve">เตาแก๊สพร้อมตู้อบไฟฟ้า </t>
  </si>
  <si>
    <t>4120-001-0001/632-001</t>
  </si>
  <si>
    <t>แอร์ 1200 BTU</t>
  </si>
  <si>
    <t>ประจำปี 2563  ณ วันที่ 30 กันยายน 2563</t>
  </si>
  <si>
    <t>25 ก.ย.63</t>
  </si>
  <si>
    <t>7110-002-0003/622-001(3)</t>
  </si>
  <si>
    <t>4140-001-0001/622-001(60)</t>
  </si>
  <si>
    <t>พัดลมโคจร</t>
  </si>
  <si>
    <t>หินเจียมือขนาด 4 นิ้ว</t>
  </si>
  <si>
    <t>4910-014-000/632-001</t>
  </si>
  <si>
    <t>3750-002-0002/632-001</t>
  </si>
  <si>
    <t>รถตัดหญ้าแบบ 4 ล้อเข็น</t>
  </si>
  <si>
    <t>3750-002-0001/632-001</t>
  </si>
  <si>
    <t>7105-005-0001/632-001(5)</t>
  </si>
  <si>
    <t>7910-0032-001/632-001</t>
  </si>
  <si>
    <t>7110-002-0004/632-001(3)</t>
  </si>
  <si>
    <t>ตู้ 4 ลิ้นชัก</t>
  </si>
  <si>
    <t>7440-001-0002/632-001</t>
  </si>
  <si>
    <t>เครื่องคอมพิวเตอร์ LENOVO</t>
  </si>
  <si>
    <t>7430-003-001/632-003</t>
  </si>
  <si>
    <t>เครื่องปริ้นเตอร์ บราเทอร์ DCP-T510W</t>
  </si>
  <si>
    <t>3416-001-0001/601-001(6)</t>
  </si>
  <si>
    <t>เครื่องกลึงยันศูนย์เหนือแท่น 150 มม.</t>
  </si>
  <si>
    <t>เวอร์เนียไฮเกจ</t>
  </si>
  <si>
    <t xml:space="preserve"> 6 ธ.ค.62</t>
  </si>
  <si>
    <t>5210-004-0001/632-001</t>
  </si>
  <si>
    <t xml:space="preserve">Dial Height gavge </t>
  </si>
  <si>
    <t>20 พ.ย.62</t>
  </si>
  <si>
    <t xml:space="preserve">UPS เครื่องสำรองไฟ </t>
  </si>
  <si>
    <t>5965-001-0001/632-001</t>
  </si>
  <si>
    <t>ไมค์ลอย</t>
  </si>
  <si>
    <t>7430-003-0001/632-002</t>
  </si>
  <si>
    <t>เครื่องปรื้นเตอร์ brother DCP-T510W</t>
  </si>
  <si>
    <t>13มี.ค.63</t>
  </si>
  <si>
    <t>7430-003-0002/632-001</t>
  </si>
  <si>
    <t>เครื่องปริ้นเตอร์ brother DCP-L3551CDW</t>
  </si>
  <si>
    <t>บัญชีรายการครุภัณฑ์ แผนกวิชาก่อสร้าง  คงเหลือ</t>
  </si>
  <si>
    <t>7440-001-0001/632-002</t>
  </si>
  <si>
    <t>เครื่องคอมพิวเตอร์ PC ตั้งโต๊ะ</t>
  </si>
  <si>
    <t>7110-007-0001/632-001(6)</t>
  </si>
  <si>
    <t>โต๊ะอาหารพร้อมเก้าอี้ 4 ที่</t>
  </si>
  <si>
    <t>ประจำปี 2563 ณ วันที่ 30 กันยายน 2563</t>
  </si>
  <si>
    <t>(นางศิริรัตน์  คำเพราะ )</t>
  </si>
  <si>
    <t>ว่าที่ร้อยเอก .............................................</t>
  </si>
  <si>
    <t>บัญชีรายการครุภัณฑ์  แผนกการโรงแรม คงเหลือ</t>
  </si>
  <si>
    <t>7440-0001-0001/59-001-002(2)</t>
  </si>
  <si>
    <t>ใช้งานอยู่</t>
  </si>
  <si>
    <t>บริจาค</t>
  </si>
  <si>
    <t>เก้าอี้ประชุม</t>
  </si>
  <si>
    <t>7110-007-0004/531-003</t>
  </si>
  <si>
    <t>7110-002-0002/531-023</t>
  </si>
  <si>
    <t>พบ</t>
  </si>
  <si>
    <t>แทงจำหน่ายแล้ว</t>
  </si>
  <si>
    <t xml:space="preserve">ชำรุด  </t>
  </si>
  <si>
    <t>3433-002-0003/531-001</t>
  </si>
  <si>
    <t>ตู้ 2 บานเลื่อนทึบ  4 ฟุต SMART FORM</t>
  </si>
  <si>
    <t>ตู้ 2 บานเลื่อนกระจก  4 ฟุต SMART FORM</t>
  </si>
  <si>
    <t>7110-002-0006/491-011-012</t>
  </si>
  <si>
    <t>7110-002-0006/521-022</t>
  </si>
  <si>
    <t>6720-005-0002/531-004</t>
  </si>
  <si>
    <t>เครื่องเชื่อมไฟฟ้า Inverter</t>
  </si>
  <si>
    <t>7440-001-0001/582-001</t>
  </si>
  <si>
    <t>6130-001-0001/531-009</t>
  </si>
  <si>
    <t>7430-008-0002/531-015</t>
  </si>
  <si>
    <t>7730-003-0002/501-025-026</t>
  </si>
  <si>
    <t>เครื่องวัดกระแสไฟฟ้าตรงแบบไมโครแอมป์</t>
  </si>
  <si>
    <t>(นายสุขสันต์ สิทธิมวล)</t>
  </si>
  <si>
    <t>เครื่องกลึง</t>
  </si>
  <si>
    <t>6105-010-0001/632-001</t>
  </si>
  <si>
    <t>5210-0004-0001/622-001</t>
  </si>
  <si>
    <t>พัดลมตั้งพื้น แบบสไลด์ได้</t>
  </si>
  <si>
    <t>เก้าอี้สนามไม้</t>
  </si>
  <si>
    <t>7 มิ.ย.53</t>
  </si>
  <si>
    <t>ชำรุด 2 ตัว</t>
  </si>
  <si>
    <t>.........................................................</t>
  </si>
  <si>
    <t>4140-001-0001/632-031-060</t>
  </si>
  <si>
    <t>4140-001-0001/632-001-030</t>
  </si>
  <si>
    <t>บัญชีรายการครุภัณฑ์ แผนกวิชาการตลาด คงเหลือ</t>
  </si>
  <si>
    <t>เครื่องคอมพิวเตอร์สำหรับประมวลผล แบบที่ 2
(จอขนาดไม่น้อยกว่า 18 นิ้ว)</t>
  </si>
  <si>
    <t xml:space="preserve"> </t>
  </si>
  <si>
    <t>เครื่องปริ้นเตอร์ EPSON L485</t>
  </si>
  <si>
    <t>เพิ่มเติม ในปี 64</t>
  </si>
  <si>
    <t>7440-001-0001-602-001</t>
  </si>
  <si>
    <t>7430-001-0002-602-001</t>
  </si>
  <si>
    <t>คอมพิวเตอร์ HP</t>
  </si>
  <si>
    <t>ปกศ.</t>
  </si>
  <si>
    <t>7110-002-0007/521-002</t>
  </si>
  <si>
    <t>โต๊ะทำงานระดับ 1 - 2 พร้อมเก้าอี้</t>
  </si>
  <si>
    <t>กล้องดิจิตอล CANON POWER SHOT A 590 IS</t>
  </si>
  <si>
    <t>เครื่องพิมพ์มัลติฟังชั่น HP LASER M 1120 MFP</t>
  </si>
  <si>
    <t>เครื่องอ่านบาร์โค๊ต TYSSO BMR-R-33 UM</t>
  </si>
  <si>
    <t>เครื่องมัลติฟังชั่น BAOTHER DCP 8056</t>
  </si>
  <si>
    <t>เครื่องปริ้น CANON 4800 *1200 DPI PIXMA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</si>
  <si>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</si>
  <si>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</si>
  <si>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</si>
  <si>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ชุดฝึกเครื่องยนต์แก๊สโซลีนใช้หัวฉีดแบบ อิเล็กทรอนิกส์</t>
  </si>
  <si>
    <t>ชุดอุปกรณ์เซนเซอร์สำหรับระบบ คอมมอลเรล</t>
  </si>
  <si>
    <t>ชุดโปรแกรมการวัดและการทดลองแบบ  CBT พร้อมแหล่งจ่ายไฟ</t>
  </si>
  <si>
    <t xml:space="preserve">เครื่องยนต์ดีเซลเล็กไม่ต่ำกว่า 9.5 แรง พร้อมชุดเกียร์ </t>
  </si>
  <si>
    <t>เครื่องมือถอดประกอบชุดระบบส่งกำลัง และเครื่องล่างรถยนต์</t>
  </si>
  <si>
    <t>เครื่องเชื่อมทิก ขนาด 250 A WIM MODEL: TG300P</t>
  </si>
  <si>
    <t>เครื่องเชื่อมมิก ขนาด 250 A MODEL : KEMPOWELD 4000</t>
  </si>
  <si>
    <t>หินเจียระไนแบบตั้งพื้น SHINETOOL MODEL : GR12</t>
  </si>
  <si>
    <t>เครื่องไฟเบอร์ตัดเหล็ก Winner แผ่นตัด 16"
พร้อมมอเตอร์ฮิตาชิ ระบบไฟ 220 V 2 เฟส</t>
  </si>
  <si>
    <t xml:space="preserve">7 ก.พ.60 </t>
  </si>
  <si>
    <t>เครื่องวัดความต้านทานแบบดีเดลสำหรับฝึก</t>
  </si>
  <si>
    <t xml:space="preserve">ชุดห้องเรียนอัฉริยะ  </t>
  </si>
  <si>
    <t>6.3 ลำโพง NTS NC-802  2 ใบ</t>
  </si>
  <si>
    <t>ครุภัณฑ์ห้องปฏิบัติการทางภาษา ประกอบด้วย</t>
  </si>
  <si>
    <t>12.ชุดไมโครโฟนมือถือแบบมีสายพร้อมขาตั้งแบบตั้งโต๊ะ</t>
  </si>
  <si>
    <t>15.โต๊ะสำหรับวางเครื่องคอมพิวเตอร์แม่ข่าย พร้อมเก้าอี้</t>
  </si>
  <si>
    <t xml:space="preserve"> 29 มิ.ย.58</t>
  </si>
  <si>
    <t xml:space="preserve"> 23 ก.ค.63</t>
  </si>
  <si>
    <t>23 ก.ค.63</t>
  </si>
  <si>
    <t>6625-003-0004/391-001-391-002/
391-015,022-024</t>
  </si>
  <si>
    <t xml:space="preserve">งปม.  </t>
  </si>
  <si>
    <t xml:space="preserve">ครบ </t>
  </si>
  <si>
    <t xml:space="preserve">ชำรุด </t>
  </si>
  <si>
    <t>ชำรุด 2</t>
  </si>
  <si>
    <t>ลำดับ
ที่</t>
  </si>
  <si>
    <t>ได้มา
โดยวิธี</t>
  </si>
  <si>
    <t>ราคา
หน่วยละ</t>
  </si>
  <si>
    <t>001ครบ
002ชำรุด</t>
  </si>
  <si>
    <t>วัน เดือน ปี 
ที่ได้รับ</t>
  </si>
  <si>
    <t xml:space="preserve">หมายเลขประจำ
วัสดุ-ครุภัณฑ์ </t>
  </si>
  <si>
    <t>012 ครบ
013 ชำรุด</t>
  </si>
  <si>
    <t>019-020 ครบ
021 ชำรุด</t>
  </si>
  <si>
    <t xml:space="preserve">รวมเป็นเงิน </t>
  </si>
  <si>
    <t>เป็นเงิน</t>
  </si>
  <si>
    <t>บัญชีรายการครุภัณฑ์  งานพัสดุ คงเหลือ</t>
  </si>
  <si>
    <t xml:space="preserve">ใช้งานอยู่ </t>
  </si>
  <si>
    <t>ยอดยกไป</t>
  </si>
  <si>
    <t>ยอดยกมา</t>
  </si>
  <si>
    <t>บัญชีรายการครุภัณฑ์  งานบัญชี คงเหลือ</t>
  </si>
  <si>
    <t xml:space="preserve"> ใช้งานไม่ได้</t>
  </si>
  <si>
    <t>12 มิ.ย.63</t>
  </si>
  <si>
    <t xml:space="preserve"> ....................................................</t>
  </si>
  <si>
    <t>4610-007-0001/602-001 (4)</t>
  </si>
  <si>
    <t>บัญชีรายการครุภัณฑ์ งานวางแผน คงเหลือ</t>
  </si>
  <si>
    <t>โปรแกรมจัดเก็บ Log File ตามพรบ. คอมพิวเตอร์ พ.ศ.2552</t>
  </si>
  <si>
    <t>11พ.ค.58</t>
  </si>
  <si>
    <t>20 ต.ค.57</t>
  </si>
  <si>
    <t>บัญชีรายการครุภัณฑ์ งานอาชีวศึกษาระบบทวิภาคี  คงเหลือ</t>
  </si>
  <si>
    <t>ชุดปฏิบัติการช่วงล่างรถยนต์แบบกล้อง 3D ประกอบด้วย</t>
  </si>
  <si>
    <t>เครื่องจักรยานยนต์ 1 สูบ 4 จังหวะ ขนาด 90-125 cc</t>
  </si>
  <si>
    <t>เครื่องจักรยานยนต์ 1 สูบ 4 จังหวะ ขนาด 80-125 cc</t>
  </si>
  <si>
    <t>(นายคัคเนศวร์  โกมลศรี)</t>
  </si>
  <si>
    <t>6625-003-0004/462-002,003,008,
010,011,012,029,030</t>
  </si>
  <si>
    <t>เก้าอี้ ชำรุด</t>
  </si>
  <si>
    <t xml:space="preserve">ชำรุด 60 ตัว </t>
  </si>
  <si>
    <t xml:space="preserve">ชำรุด 70 ตัว </t>
  </si>
  <si>
    <t>ชำรุด 14 ตัว</t>
  </si>
  <si>
    <t xml:space="preserve">  25 ก.ย.62</t>
  </si>
  <si>
    <t>ชำรุด1</t>
  </si>
  <si>
    <t xml:space="preserve"> ..............................................</t>
  </si>
  <si>
    <t>(นายอภินันท์  อนุสินธุ์)</t>
  </si>
  <si>
    <t>(นางสาวคำโฮม  คูณสว่าง)</t>
  </si>
  <si>
    <t>(นางสาวไพรินทร์  ทองกันยา)</t>
  </si>
  <si>
    <t>(นายสมาน  คำขาว</t>
  </si>
  <si>
    <t>(นายธนะศักดิ์  บุญเพ็ง)</t>
  </si>
  <si>
    <t>(นายไกรศร  ผิวผัน)</t>
  </si>
  <si>
    <t>(นายไพฑูรย์  พ่อค้า)</t>
  </si>
  <si>
    <t>(นายสิริปัญญ์  เสริมสิริพิพัฒน์)</t>
  </si>
  <si>
    <t xml:space="preserve"> ............................................</t>
  </si>
  <si>
    <t>(นายชาตรี  ศรีสะอาด)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</si>
</sst>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0.00;[Red]0.00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5"/>
      <color theme="1"/>
      <name val="TH SarabunPSK"/>
      <family val="2"/>
    </font>
    <font>
      <sz val="15"/>
      <color theme="1"/>
      <name val="TH SarabunPSK"/>
      <family val="2"/>
    </font>
    <font>
      <sz val="14"/>
      <name val="TH SarabunPSK"/>
      <family val="2"/>
    </font>
    <font>
      <sz val="14"/>
      <name val="Cordia New"/>
      <family val="2"/>
    </font>
    <font>
      <sz val="15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sz val="16"/>
      <color theme="1"/>
      <name val="TH SarabunIT๙"/>
      <family val="2"/>
    </font>
    <font>
      <sz val="12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  <font>
      <sz val="12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</cellStyleXfs>
  <cellXfs count="391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/>
    <xf numFmtId="49" fontId="4" fillId="0" borderId="1" xfId="0" applyNumberFormat="1" applyFont="1" applyBorder="1"/>
    <xf numFmtId="0" fontId="4" fillId="0" borderId="1" xfId="6" applyFont="1" applyBorder="1" applyAlignment="1">
      <alignment horizontal="left"/>
    </xf>
    <xf numFmtId="0" fontId="4" fillId="0" borderId="1" xfId="6" applyFont="1" applyBorder="1"/>
    <xf numFmtId="43" fontId="6" fillId="0" borderId="1" xfId="1" applyFont="1" applyBorder="1" applyAlignment="1">
      <alignment horizontal="center"/>
    </xf>
    <xf numFmtId="43" fontId="6" fillId="0" borderId="1" xfId="1" applyFont="1" applyBorder="1"/>
    <xf numFmtId="0" fontId="4" fillId="2" borderId="1" xfId="6" applyFont="1" applyFill="1" applyBorder="1"/>
    <xf numFmtId="0" fontId="4" fillId="0" borderId="5" xfId="6" applyFont="1" applyBorder="1"/>
    <xf numFmtId="0" fontId="6" fillId="0" borderId="1" xfId="6" applyFont="1" applyBorder="1"/>
    <xf numFmtId="0" fontId="7" fillId="0" borderId="1" xfId="6" applyFont="1" applyBorder="1"/>
    <xf numFmtId="0" fontId="8" fillId="0" borderId="0" xfId="0" applyFont="1"/>
    <xf numFmtId="0" fontId="6" fillId="0" borderId="1" xfId="2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49" fontId="4" fillId="0" borderId="1" xfId="8" applyNumberFormat="1" applyFont="1" applyBorder="1" applyAlignment="1">
      <alignment horizontal="left"/>
    </xf>
    <xf numFmtId="0" fontId="3" fillId="0" borderId="0" xfId="0" applyFont="1" applyBorder="1"/>
    <xf numFmtId="15" fontId="6" fillId="2" borderId="1" xfId="0" applyNumberFormat="1" applyFont="1" applyFill="1" applyBorder="1" applyAlignment="1">
      <alignment horizontal="center"/>
    </xf>
    <xf numFmtId="49" fontId="6" fillId="0" borderId="1" xfId="6" applyNumberFormat="1" applyFont="1" applyBorder="1" applyAlignment="1">
      <alignment horizontal="left"/>
    </xf>
    <xf numFmtId="43" fontId="6" fillId="0" borderId="1" xfId="1" applyFont="1" applyBorder="1" applyAlignment="1"/>
    <xf numFmtId="0" fontId="6" fillId="0" borderId="1" xfId="6" applyFont="1" applyBorder="1" applyAlignment="1"/>
    <xf numFmtId="0" fontId="6" fillId="0" borderId="1" xfId="6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8" fillId="0" borderId="1" xfId="0" applyFont="1" applyBorder="1"/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2" xfId="1" applyFont="1" applyBorder="1"/>
    <xf numFmtId="0" fontId="7" fillId="0" borderId="1" xfId="6" applyFont="1" applyBorder="1" applyAlignment="1">
      <alignment horizontal="center"/>
    </xf>
    <xf numFmtId="0" fontId="7" fillId="0" borderId="0" xfId="6" applyFont="1"/>
    <xf numFmtId="0" fontId="11" fillId="0" borderId="0" xfId="0" applyFont="1"/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43" fontId="7" fillId="0" borderId="1" xfId="6" applyNumberFormat="1" applyFont="1" applyBorder="1"/>
    <xf numFmtId="49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3" fontId="8" fillId="0" borderId="1" xfId="1" applyFont="1" applyBorder="1"/>
    <xf numFmtId="0" fontId="6" fillId="0" borderId="1" xfId="5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6" applyFont="1" applyFill="1" applyBorder="1"/>
    <xf numFmtId="0" fontId="6" fillId="0" borderId="7" xfId="2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0" fontId="12" fillId="0" borderId="1" xfId="0" applyFont="1" applyBorder="1"/>
    <xf numFmtId="43" fontId="7" fillId="0" borderId="1" xfId="5" applyNumberFormat="1" applyFont="1" applyBorder="1" applyAlignment="1"/>
    <xf numFmtId="43" fontId="7" fillId="0" borderId="4" xfId="5" applyNumberFormat="1" applyFont="1" applyBorder="1" applyAlignment="1"/>
    <xf numFmtId="0" fontId="2" fillId="0" borderId="0" xfId="0" applyFont="1" applyBorder="1" applyAlignment="1">
      <alignment horizontal="center" vertical="center"/>
    </xf>
    <xf numFmtId="43" fontId="3" fillId="0" borderId="1" xfId="0" applyNumberFormat="1" applyFont="1" applyBorder="1" applyAlignment="1"/>
    <xf numFmtId="0" fontId="3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8" fillId="0" borderId="0" xfId="0" applyFont="1" applyBorder="1"/>
    <xf numFmtId="0" fontId="3" fillId="0" borderId="1" xfId="0" applyFont="1" applyBorder="1" applyAlignment="1">
      <alignment horizontal="center"/>
    </xf>
    <xf numFmtId="0" fontId="8" fillId="0" borderId="1" xfId="6" applyFont="1" applyBorder="1"/>
    <xf numFmtId="0" fontId="8" fillId="0" borderId="1" xfId="6" applyFont="1" applyBorder="1" applyAlignment="1">
      <alignment horizontal="left"/>
    </xf>
    <xf numFmtId="0" fontId="8" fillId="0" borderId="1" xfId="6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43" fontId="7" fillId="2" borderId="1" xfId="1" applyFont="1" applyFill="1" applyBorder="1" applyAlignment="1">
      <alignment horizontal="center"/>
    </xf>
    <xf numFmtId="4" fontId="7" fillId="0" borderId="1" xfId="5" applyNumberFormat="1" applyFont="1" applyBorder="1" applyAlignment="1"/>
    <xf numFmtId="0" fontId="7" fillId="0" borderId="0" xfId="5" applyFont="1" applyBorder="1" applyAlignment="1">
      <alignment horizontal="center"/>
    </xf>
    <xf numFmtId="43" fontId="7" fillId="0" borderId="0" xfId="5" applyNumberFormat="1" applyFont="1" applyBorder="1" applyAlignment="1"/>
    <xf numFmtId="43" fontId="8" fillId="0" borderId="0" xfId="1" applyFont="1" applyBorder="1"/>
    <xf numFmtId="0" fontId="8" fillId="0" borderId="0" xfId="0" applyFont="1" applyFill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7" fillId="0" borderId="1" xfId="12" applyNumberFormat="1" applyFont="1" applyFill="1" applyBorder="1" applyAlignment="1">
      <alignment horizontal="center"/>
    </xf>
    <xf numFmtId="43" fontId="7" fillId="0" borderId="1" xfId="12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7" fillId="0" borderId="1" xfId="6" applyFont="1" applyBorder="1" applyAlignment="1"/>
    <xf numFmtId="0" fontId="8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3" fontId="7" fillId="0" borderId="1" xfId="1" applyFont="1" applyBorder="1" applyAlignment="1">
      <alignment horizontal="right"/>
    </xf>
    <xf numFmtId="0" fontId="7" fillId="0" borderId="1" xfId="0" applyFont="1" applyBorder="1"/>
    <xf numFmtId="15" fontId="7" fillId="2" borderId="1" xfId="0" applyNumberFormat="1" applyFont="1" applyFill="1" applyBorder="1" applyAlignment="1">
      <alignment horizontal="center"/>
    </xf>
    <xf numFmtId="15" fontId="8" fillId="2" borderId="1" xfId="0" applyNumberFormat="1" applyFont="1" applyFill="1" applyBorder="1" applyAlignment="1">
      <alignment horizontal="center"/>
    </xf>
    <xf numFmtId="0" fontId="7" fillId="2" borderId="1" xfId="6" applyFont="1" applyFill="1" applyBorder="1"/>
    <xf numFmtId="0" fontId="8" fillId="2" borderId="1" xfId="0" applyFont="1" applyFill="1" applyBorder="1" applyAlignment="1">
      <alignment horizontal="center"/>
    </xf>
    <xf numFmtId="0" fontId="11" fillId="0" borderId="1" xfId="0" applyFont="1" applyBorder="1"/>
    <xf numFmtId="0" fontId="8" fillId="2" borderId="1" xfId="0" applyFont="1" applyFill="1" applyBorder="1"/>
    <xf numFmtId="0" fontId="7" fillId="0" borderId="1" xfId="6" applyFont="1" applyBorder="1" applyAlignment="1">
      <alignment horizontal="left" vertical="center"/>
    </xf>
    <xf numFmtId="49" fontId="7" fillId="0" borderId="1" xfId="7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3" fontId="8" fillId="0" borderId="1" xfId="0" applyNumberFormat="1" applyFont="1" applyBorder="1" applyAlignment="1">
      <alignment horizontal="center"/>
    </xf>
    <xf numFmtId="0" fontId="7" fillId="0" borderId="1" xfId="2" applyFont="1" applyFill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NumberFormat="1" applyFont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7" fillId="0" borderId="1" xfId="6" applyFont="1" applyFill="1" applyBorder="1" applyAlignment="1">
      <alignment horizontal="center"/>
    </xf>
    <xf numFmtId="49" fontId="7" fillId="0" borderId="1" xfId="13" applyNumberFormat="1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43" fontId="7" fillId="0" borderId="1" xfId="1" applyFont="1" applyFill="1" applyBorder="1"/>
    <xf numFmtId="49" fontId="7" fillId="0" borderId="1" xfId="6" applyNumberFormat="1" applyFont="1" applyBorder="1" applyAlignment="1">
      <alignment horizontal="left"/>
    </xf>
    <xf numFmtId="43" fontId="7" fillId="0" borderId="1" xfId="12" applyFont="1" applyBorder="1" applyAlignment="1">
      <alignment horizontal="center"/>
    </xf>
    <xf numFmtId="49" fontId="7" fillId="0" borderId="1" xfId="6" applyNumberFormat="1" applyFont="1" applyBorder="1"/>
    <xf numFmtId="49" fontId="7" fillId="2" borderId="1" xfId="7" applyNumberFormat="1" applyFont="1" applyFill="1" applyBorder="1" applyAlignment="1">
      <alignment horizontal="center"/>
    </xf>
    <xf numFmtId="0" fontId="7" fillId="2" borderId="1" xfId="0" applyFont="1" applyFill="1" applyBorder="1"/>
    <xf numFmtId="0" fontId="7" fillId="0" borderId="1" xfId="0" applyFont="1" applyBorder="1" applyAlignment="1">
      <alignment horizontal="left" vertical="center"/>
    </xf>
    <xf numFmtId="49" fontId="7" fillId="2" borderId="1" xfId="13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3" fontId="8" fillId="0" borderId="1" xfId="0" applyNumberFormat="1" applyFont="1" applyBorder="1"/>
    <xf numFmtId="0" fontId="8" fillId="0" borderId="1" xfId="0" applyFont="1" applyBorder="1" applyAlignment="1">
      <alignment horizontal="center" vertical="top"/>
    </xf>
    <xf numFmtId="0" fontId="8" fillId="0" borderId="0" xfId="0" applyFont="1" applyAlignment="1">
      <alignment vertical="top"/>
    </xf>
    <xf numFmtId="49" fontId="7" fillId="3" borderId="1" xfId="0" applyNumberFormat="1" applyFont="1" applyFill="1" applyBorder="1" applyAlignment="1">
      <alignment horizontal="center" vertical="top"/>
    </xf>
    <xf numFmtId="0" fontId="7" fillId="0" borderId="1" xfId="6" applyFont="1" applyBorder="1" applyAlignment="1">
      <alignment vertical="top"/>
    </xf>
    <xf numFmtId="49" fontId="7" fillId="0" borderId="1" xfId="8" applyNumberFormat="1" applyFont="1" applyBorder="1" applyAlignment="1">
      <alignment horizontal="left"/>
    </xf>
    <xf numFmtId="0" fontId="7" fillId="0" borderId="1" xfId="6" applyFont="1" applyFill="1" applyBorder="1"/>
    <xf numFmtId="0" fontId="7" fillId="0" borderId="1" xfId="8" applyFont="1" applyBorder="1"/>
    <xf numFmtId="49" fontId="7" fillId="0" borderId="1" xfId="6" applyNumberFormat="1" applyFont="1" applyBorder="1" applyAlignment="1">
      <alignment horizontal="left" vertical="center"/>
    </xf>
    <xf numFmtId="0" fontId="7" fillId="0" borderId="1" xfId="6" applyFont="1" applyBorder="1" applyAlignment="1">
      <alignment vertical="top" wrapText="1"/>
    </xf>
    <xf numFmtId="0" fontId="7" fillId="0" borderId="1" xfId="6" applyFont="1" applyBorder="1" applyAlignment="1">
      <alignment horizontal="left" vertical="top"/>
    </xf>
    <xf numFmtId="0" fontId="7" fillId="0" borderId="1" xfId="8" applyFont="1" applyBorder="1" applyAlignment="1">
      <alignment horizontal="left"/>
    </xf>
    <xf numFmtId="43" fontId="4" fillId="0" borderId="1" xfId="12" applyNumberFormat="1" applyFont="1" applyFill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 vertical="top"/>
    </xf>
    <xf numFmtId="43" fontId="7" fillId="2" borderId="1" xfId="12" applyNumberFormat="1" applyFont="1" applyFill="1" applyBorder="1" applyAlignment="1">
      <alignment horizontal="center"/>
    </xf>
    <xf numFmtId="0" fontId="7" fillId="2" borderId="1" xfId="6" applyFont="1" applyFill="1" applyBorder="1" applyAlignment="1">
      <alignment horizontal="center"/>
    </xf>
    <xf numFmtId="43" fontId="7" fillId="0" borderId="1" xfId="12" applyNumberFormat="1" applyFont="1" applyBorder="1" applyAlignment="1">
      <alignment horizontal="center" vertical="top"/>
    </xf>
    <xf numFmtId="43" fontId="7" fillId="2" borderId="1" xfId="12" applyFont="1" applyFill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3" fontId="7" fillId="0" borderId="1" xfId="6" applyNumberFormat="1" applyFont="1" applyFill="1" applyBorder="1"/>
    <xf numFmtId="164" fontId="7" fillId="0" borderId="1" xfId="1" applyNumberFormat="1" applyFont="1" applyBorder="1"/>
    <xf numFmtId="43" fontId="8" fillId="0" borderId="1" xfId="6" applyNumberFormat="1" applyFont="1" applyBorder="1"/>
    <xf numFmtId="43" fontId="8" fillId="0" borderId="1" xfId="1" applyFont="1" applyBorder="1" applyAlignment="1">
      <alignment horizontal="center"/>
    </xf>
    <xf numFmtId="43" fontId="7" fillId="0" borderId="1" xfId="1" applyFont="1" applyBorder="1" applyAlignment="1"/>
    <xf numFmtId="43" fontId="7" fillId="0" borderId="1" xfId="1" applyFont="1" applyBorder="1" applyAlignment="1">
      <alignment vertical="top"/>
    </xf>
    <xf numFmtId="43" fontId="7" fillId="0" borderId="1" xfId="1" applyNumberFormat="1" applyFont="1" applyBorder="1"/>
    <xf numFmtId="0" fontId="7" fillId="0" borderId="1" xfId="6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2" borderId="1" xfId="0" applyNumberFormat="1" applyFont="1" applyFill="1" applyBorder="1" applyAlignment="1">
      <alignment horizontal="center"/>
    </xf>
    <xf numFmtId="0" fontId="8" fillId="0" borderId="1" xfId="6" applyFont="1" applyBorder="1" applyAlignment="1">
      <alignment horizontal="center" vertical="center"/>
    </xf>
    <xf numFmtId="0" fontId="7" fillId="0" borderId="1" xfId="8" applyFont="1" applyBorder="1" applyAlignment="1">
      <alignment horizontal="center"/>
    </xf>
    <xf numFmtId="0" fontId="7" fillId="0" borderId="1" xfId="6" applyFont="1" applyBorder="1" applyAlignment="1">
      <alignment horizontal="center" vertical="top"/>
    </xf>
    <xf numFmtId="3" fontId="7" fillId="0" borderId="1" xfId="6" applyNumberFormat="1" applyFont="1" applyBorder="1" applyAlignment="1">
      <alignment horizontal="center"/>
    </xf>
    <xf numFmtId="0" fontId="7" fillId="0" borderId="1" xfId="1" applyNumberFormat="1" applyFont="1" applyBorder="1" applyAlignment="1">
      <alignment horizontal="center"/>
    </xf>
    <xf numFmtId="0" fontId="7" fillId="0" borderId="1" xfId="8" applyFont="1" applyFill="1" applyBorder="1" applyAlignment="1">
      <alignment horizontal="center"/>
    </xf>
    <xf numFmtId="0" fontId="7" fillId="0" borderId="1" xfId="6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vertical="top"/>
    </xf>
    <xf numFmtId="49" fontId="7" fillId="0" borderId="1" xfId="0" applyNumberFormat="1" applyFont="1" applyBorder="1" applyAlignment="1">
      <alignment horizontal="left" vertical="top"/>
    </xf>
    <xf numFmtId="0" fontId="7" fillId="0" borderId="1" xfId="5" applyFont="1" applyBorder="1" applyAlignment="1">
      <alignment horizontal="center" vertical="top"/>
    </xf>
    <xf numFmtId="43" fontId="7" fillId="0" borderId="1" xfId="1" applyFont="1" applyBorder="1" applyAlignment="1">
      <alignment horizontal="right" vertical="top"/>
    </xf>
    <xf numFmtId="0" fontId="8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49" fontId="7" fillId="0" borderId="5" xfId="0" applyNumberFormat="1" applyFont="1" applyBorder="1" applyAlignment="1">
      <alignment horizontal="left"/>
    </xf>
    <xf numFmtId="43" fontId="7" fillId="0" borderId="5" xfId="1" applyFont="1" applyBorder="1" applyAlignment="1">
      <alignment horizontal="right"/>
    </xf>
    <xf numFmtId="0" fontId="8" fillId="0" borderId="5" xfId="0" applyFont="1" applyBorder="1"/>
    <xf numFmtId="49" fontId="7" fillId="0" borderId="5" xfId="0" applyNumberFormat="1" applyFont="1" applyBorder="1"/>
    <xf numFmtId="0" fontId="7" fillId="0" borderId="5" xfId="2" applyFont="1" applyBorder="1" applyAlignment="1">
      <alignment horizontal="center"/>
    </xf>
    <xf numFmtId="0" fontId="7" fillId="0" borderId="5" xfId="5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/>
    <xf numFmtId="49" fontId="7" fillId="0" borderId="7" xfId="0" applyNumberFormat="1" applyFont="1" applyBorder="1" applyAlignment="1">
      <alignment horizontal="left"/>
    </xf>
    <xf numFmtId="49" fontId="7" fillId="0" borderId="7" xfId="0" applyNumberFormat="1" applyFont="1" applyBorder="1"/>
    <xf numFmtId="0" fontId="8" fillId="0" borderId="7" xfId="0" applyFont="1" applyBorder="1" applyAlignment="1">
      <alignment horizontal="center"/>
    </xf>
    <xf numFmtId="0" fontId="7" fillId="0" borderId="7" xfId="5" applyFont="1" applyBorder="1" applyAlignment="1">
      <alignment horizontal="center"/>
    </xf>
    <xf numFmtId="43" fontId="7" fillId="0" borderId="7" xfId="1" applyFont="1" applyBorder="1" applyAlignment="1">
      <alignment horizontal="right"/>
    </xf>
    <xf numFmtId="49" fontId="7" fillId="0" borderId="1" xfId="0" applyNumberFormat="1" applyFont="1" applyFill="1" applyBorder="1" applyAlignment="1">
      <alignment horizontal="left" vertical="top"/>
    </xf>
    <xf numFmtId="49" fontId="7" fillId="0" borderId="1" xfId="0" applyNumberFormat="1" applyFont="1" applyBorder="1" applyAlignment="1">
      <alignment vertical="top"/>
    </xf>
    <xf numFmtId="43" fontId="7" fillId="0" borderId="1" xfId="1" applyFont="1" applyFill="1" applyBorder="1" applyAlignment="1">
      <alignment horizontal="right" vertical="top"/>
    </xf>
    <xf numFmtId="165" fontId="8" fillId="0" borderId="1" xfId="0" applyNumberFormat="1" applyFont="1" applyBorder="1" applyAlignment="1">
      <alignment vertical="top"/>
    </xf>
    <xf numFmtId="165" fontId="7" fillId="0" borderId="1" xfId="0" applyNumberFormat="1" applyFont="1" applyBorder="1" applyAlignment="1">
      <alignment horizontal="left" vertical="top"/>
    </xf>
    <xf numFmtId="165" fontId="7" fillId="0" borderId="1" xfId="0" applyNumberFormat="1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165" fontId="7" fillId="0" borderId="1" xfId="1" applyNumberFormat="1" applyFont="1" applyBorder="1" applyAlignment="1">
      <alignment horizontal="right" vertical="top"/>
    </xf>
    <xf numFmtId="165" fontId="8" fillId="0" borderId="1" xfId="0" applyNumberFormat="1" applyFont="1" applyBorder="1" applyAlignment="1">
      <alignment horizontal="center" vertical="top" wrapText="1"/>
    </xf>
    <xf numFmtId="165" fontId="8" fillId="0" borderId="0" xfId="0" applyNumberFormat="1" applyFont="1" applyBorder="1" applyAlignment="1">
      <alignment vertical="top"/>
    </xf>
    <xf numFmtId="165" fontId="11" fillId="0" borderId="0" xfId="0" applyNumberFormat="1" applyFont="1" applyAlignment="1">
      <alignment vertical="top"/>
    </xf>
    <xf numFmtId="0" fontId="7" fillId="2" borderId="1" xfId="6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43" fontId="7" fillId="0" borderId="2" xfId="5" applyNumberFormat="1" applyFont="1" applyBorder="1" applyAlignment="1"/>
    <xf numFmtId="43" fontId="7" fillId="0" borderId="0" xfId="5" applyNumberFormat="1" applyFont="1" applyBorder="1" applyAlignment="1">
      <alignment horizontal="center"/>
    </xf>
    <xf numFmtId="43" fontId="7" fillId="0" borderId="2" xfId="1" applyFont="1" applyBorder="1" applyAlignment="1">
      <alignment horizontal="center"/>
    </xf>
    <xf numFmtId="43" fontId="7" fillId="0" borderId="2" xfId="6" applyNumberFormat="1" applyFont="1" applyBorder="1"/>
    <xf numFmtId="0" fontId="7" fillId="0" borderId="5" xfId="6" applyFont="1" applyBorder="1" applyAlignment="1">
      <alignment horizontal="center"/>
    </xf>
    <xf numFmtId="0" fontId="7" fillId="0" borderId="5" xfId="6" applyFont="1" applyBorder="1"/>
    <xf numFmtId="43" fontId="7" fillId="0" borderId="5" xfId="1" applyFont="1" applyBorder="1"/>
    <xf numFmtId="49" fontId="7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43" fontId="7" fillId="0" borderId="5" xfId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8" fillId="0" borderId="0" xfId="0" applyNumberFormat="1" applyFont="1" applyBorder="1" applyAlignment="1">
      <alignment horizontal="center"/>
    </xf>
    <xf numFmtId="0" fontId="7" fillId="0" borderId="6" xfId="2" applyFont="1" applyFill="1" applyBorder="1" applyAlignment="1">
      <alignment horizontal="center"/>
    </xf>
    <xf numFmtId="0" fontId="7" fillId="0" borderId="5" xfId="6" applyFont="1" applyBorder="1" applyAlignment="1">
      <alignment horizontal="left"/>
    </xf>
    <xf numFmtId="43" fontId="7" fillId="0" borderId="0" xfId="12" applyNumberFormat="1" applyFont="1" applyBorder="1" applyAlignment="1">
      <alignment horizontal="center"/>
    </xf>
    <xf numFmtId="43" fontId="8" fillId="0" borderId="0" xfId="0" applyNumberFormat="1" applyFont="1"/>
    <xf numFmtId="0" fontId="7" fillId="3" borderId="1" xfId="0" applyFont="1" applyFill="1" applyBorder="1" applyAlignment="1">
      <alignment horizontal="center" vertical="center"/>
    </xf>
    <xf numFmtId="0" fontId="7" fillId="0" borderId="7" xfId="6" applyFont="1" applyBorder="1" applyAlignment="1">
      <alignment horizontal="left"/>
    </xf>
    <xf numFmtId="0" fontId="7" fillId="0" borderId="8" xfId="6" applyFont="1" applyBorder="1" applyAlignment="1">
      <alignment horizontal="left" vertical="center"/>
    </xf>
    <xf numFmtId="43" fontId="7" fillId="0" borderId="7" xfId="1" applyFont="1" applyFill="1" applyBorder="1" applyAlignment="1">
      <alignment horizontal="center"/>
    </xf>
    <xf numFmtId="15" fontId="7" fillId="0" borderId="0" xfId="0" applyNumberFormat="1" applyFont="1" applyBorder="1" applyAlignment="1">
      <alignment horizontal="center"/>
    </xf>
    <xf numFmtId="43" fontId="7" fillId="0" borderId="4" xfId="12" applyNumberFormat="1" applyFont="1" applyBorder="1" applyAlignment="1">
      <alignment horizontal="center"/>
    </xf>
    <xf numFmtId="43" fontId="7" fillId="0" borderId="0" xfId="12" applyFont="1" applyBorder="1" applyAlignment="1">
      <alignment horizontal="center"/>
    </xf>
    <xf numFmtId="0" fontId="7" fillId="0" borderId="5" xfId="6" applyFont="1" applyFill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0" fontId="7" fillId="2" borderId="5" xfId="6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43" fontId="8" fillId="0" borderId="0" xfId="0" applyNumberFormat="1" applyFont="1" applyFill="1" applyBorder="1" applyAlignment="1">
      <alignment horizontal="center"/>
    </xf>
    <xf numFmtId="43" fontId="8" fillId="0" borderId="0" xfId="0" applyNumberFormat="1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Fill="1" applyBorder="1"/>
    <xf numFmtId="43" fontId="15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Fill="1"/>
    <xf numFmtId="43" fontId="7" fillId="0" borderId="0" xfId="1" applyFont="1" applyBorder="1" applyAlignment="1"/>
    <xf numFmtId="0" fontId="7" fillId="0" borderId="7" xfId="6" applyFont="1" applyBorder="1" applyAlignment="1">
      <alignment horizontal="left" vertical="center"/>
    </xf>
    <xf numFmtId="43" fontId="7" fillId="0" borderId="9" xfId="1" applyFont="1" applyBorder="1" applyAlignment="1">
      <alignment horizontal="center"/>
    </xf>
    <xf numFmtId="0" fontId="7" fillId="0" borderId="4" xfId="5" applyFont="1" applyBorder="1" applyAlignment="1"/>
    <xf numFmtId="43" fontId="7" fillId="0" borderId="4" xfId="5" applyNumberFormat="1" applyFont="1" applyBorder="1" applyAlignment="1">
      <alignment horizontal="center"/>
    </xf>
    <xf numFmtId="0" fontId="7" fillId="0" borderId="0" xfId="5" applyFont="1" applyBorder="1" applyAlignment="1"/>
    <xf numFmtId="0" fontId="7" fillId="0" borderId="1" xfId="5" applyFont="1" applyBorder="1" applyAlignment="1"/>
    <xf numFmtId="43" fontId="7" fillId="0" borderId="1" xfId="5" applyNumberFormat="1" applyFont="1" applyBorder="1" applyAlignment="1">
      <alignment horizontal="center"/>
    </xf>
    <xf numFmtId="43" fontId="7" fillId="0" borderId="0" xfId="12" applyNumberFormat="1" applyFont="1" applyBorder="1" applyAlignment="1"/>
    <xf numFmtId="43" fontId="8" fillId="0" borderId="1" xfId="0" applyNumberFormat="1" applyFont="1" applyBorder="1" applyAlignment="1"/>
    <xf numFmtId="43" fontId="8" fillId="0" borderId="4" xfId="0" applyNumberFormat="1" applyFont="1" applyBorder="1" applyAlignment="1"/>
    <xf numFmtId="0" fontId="7" fillId="0" borderId="11" xfId="2" applyFont="1" applyBorder="1" applyAlignment="1">
      <alignment horizontal="center"/>
    </xf>
    <xf numFmtId="43" fontId="7" fillId="0" borderId="2" xfId="1" applyFont="1" applyBorder="1" applyAlignment="1">
      <alignment horizontal="right"/>
    </xf>
    <xf numFmtId="43" fontId="7" fillId="0" borderId="10" xfId="1" applyFont="1" applyBorder="1"/>
    <xf numFmtId="43" fontId="7" fillId="0" borderId="10" xfId="1" applyFont="1" applyBorder="1" applyAlignment="1">
      <alignment horizontal="center"/>
    </xf>
    <xf numFmtId="43" fontId="8" fillId="0" borderId="2" xfId="0" applyNumberFormat="1" applyFont="1" applyBorder="1" applyAlignment="1"/>
    <xf numFmtId="0" fontId="8" fillId="0" borderId="4" xfId="0" applyFont="1" applyBorder="1" applyAlignment="1"/>
    <xf numFmtId="0" fontId="8" fillId="0" borderId="0" xfId="0" applyFont="1" applyBorder="1" applyAlignment="1"/>
    <xf numFmtId="0" fontId="7" fillId="3" borderId="1" xfId="0" applyFont="1" applyFill="1" applyBorder="1" applyAlignment="1">
      <alignment vertical="center"/>
    </xf>
    <xf numFmtId="43" fontId="8" fillId="0" borderId="0" xfId="0" applyNumberFormat="1" applyFont="1" applyBorder="1"/>
    <xf numFmtId="43" fontId="8" fillId="0" borderId="0" xfId="0" applyNumberFormat="1" applyFont="1" applyBorder="1" applyAlignment="1"/>
    <xf numFmtId="43" fontId="7" fillId="0" borderId="0" xfId="12" applyFont="1" applyBorder="1"/>
    <xf numFmtId="0" fontId="7" fillId="0" borderId="1" xfId="13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43" fontId="7" fillId="0" borderId="9" xfId="1" applyFont="1" applyBorder="1"/>
    <xf numFmtId="0" fontId="7" fillId="0" borderId="7" xfId="2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6" applyFont="1" applyFill="1" applyBorder="1"/>
    <xf numFmtId="0" fontId="7" fillId="0" borderId="0" xfId="2" applyFont="1" applyBorder="1" applyAlignment="1">
      <alignment horizontal="center"/>
    </xf>
    <xf numFmtId="0" fontId="7" fillId="2" borderId="1" xfId="6" applyFont="1" applyFill="1" applyBorder="1" applyAlignment="1">
      <alignment horizontal="left" indent="1"/>
    </xf>
    <xf numFmtId="0" fontId="7" fillId="2" borderId="1" xfId="6" applyFont="1" applyFill="1" applyBorder="1" applyAlignment="1">
      <alignment horizontal="left" indent="3"/>
    </xf>
    <xf numFmtId="49" fontId="4" fillId="0" borderId="8" xfId="6" applyNumberFormat="1" applyFont="1" applyBorder="1" applyAlignment="1">
      <alignment horizontal="left" vertical="center"/>
    </xf>
    <xf numFmtId="49" fontId="7" fillId="0" borderId="7" xfId="6" applyNumberFormat="1" applyFont="1" applyBorder="1" applyAlignment="1">
      <alignment horizontal="left" vertical="center"/>
    </xf>
    <xf numFmtId="49" fontId="7" fillId="0" borderId="8" xfId="6" applyNumberFormat="1" applyFont="1" applyBorder="1" applyAlignment="1">
      <alignment horizontal="left" vertical="center"/>
    </xf>
    <xf numFmtId="0" fontId="7" fillId="0" borderId="8" xfId="6" applyNumberFormat="1" applyFont="1" applyBorder="1" applyAlignment="1">
      <alignment horizontal="center" vertical="center"/>
    </xf>
    <xf numFmtId="43" fontId="7" fillId="0" borderId="7" xfId="1" applyFont="1" applyBorder="1" applyAlignment="1">
      <alignment horizontal="center"/>
    </xf>
    <xf numFmtId="0" fontId="7" fillId="0" borderId="2" xfId="6" applyFont="1" applyBorder="1" applyAlignment="1">
      <alignment horizontal="center"/>
    </xf>
    <xf numFmtId="0" fontId="7" fillId="0" borderId="7" xfId="6" applyFont="1" applyBorder="1"/>
    <xf numFmtId="0" fontId="7" fillId="0" borderId="9" xfId="6" applyFont="1" applyBorder="1" applyAlignment="1">
      <alignment horizontal="center"/>
    </xf>
    <xf numFmtId="0" fontId="7" fillId="3" borderId="1" xfId="0" applyFont="1" applyFill="1" applyBorder="1" applyAlignment="1">
      <alignment horizontal="center" vertical="top"/>
    </xf>
    <xf numFmtId="0" fontId="7" fillId="0" borderId="7" xfId="0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0" fontId="7" fillId="0" borderId="7" xfId="6" applyFont="1" applyBorder="1" applyAlignment="1">
      <alignment horizontal="center"/>
    </xf>
    <xf numFmtId="43" fontId="7" fillId="0" borderId="7" xfId="1" applyFont="1" applyBorder="1"/>
    <xf numFmtId="43" fontId="7" fillId="0" borderId="7" xfId="12" applyNumberFormat="1" applyFont="1" applyBorder="1" applyAlignment="1">
      <alignment horizontal="center"/>
    </xf>
    <xf numFmtId="43" fontId="16" fillId="0" borderId="1" xfId="12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6" xfId="6" applyFont="1" applyBorder="1" applyAlignment="1">
      <alignment horizontal="left"/>
    </xf>
    <xf numFmtId="2" fontId="7" fillId="0" borderId="1" xfId="0" applyNumberFormat="1" applyFont="1" applyBorder="1" applyAlignment="1">
      <alignment horizontal="center" vertical="top"/>
    </xf>
    <xf numFmtId="2" fontId="7" fillId="0" borderId="7" xfId="6" applyNumberFormat="1" applyFont="1" applyBorder="1" applyAlignment="1">
      <alignment horizontal="left" vertical="top" wrapText="1"/>
    </xf>
    <xf numFmtId="2" fontId="7" fillId="0" borderId="1" xfId="6" applyNumberFormat="1" applyFont="1" applyBorder="1" applyAlignment="1">
      <alignment horizontal="left" vertical="top"/>
    </xf>
    <xf numFmtId="2" fontId="7" fillId="0" borderId="1" xfId="2" applyNumberFormat="1" applyFont="1" applyBorder="1" applyAlignment="1">
      <alignment horizontal="center" vertical="top"/>
    </xf>
    <xf numFmtId="2" fontId="7" fillId="0" borderId="1" xfId="1" applyNumberFormat="1" applyFont="1" applyBorder="1" applyAlignment="1">
      <alignment vertical="top"/>
    </xf>
    <xf numFmtId="2" fontId="7" fillId="0" borderId="1" xfId="12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43" fontId="7" fillId="0" borderId="7" xfId="1" applyFont="1" applyBorder="1" applyAlignment="1">
      <alignment vertical="top"/>
    </xf>
    <xf numFmtId="1" fontId="7" fillId="0" borderId="1" xfId="6" applyNumberFormat="1" applyFont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/>
    </xf>
    <xf numFmtId="43" fontId="7" fillId="0" borderId="5" xfId="12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3" fontId="7" fillId="0" borderId="5" xfId="12" applyFont="1" applyBorder="1" applyAlignment="1">
      <alignment horizontal="center"/>
    </xf>
    <xf numFmtId="0" fontId="7" fillId="0" borderId="7" xfId="1" applyNumberFormat="1" applyFont="1" applyBorder="1" applyAlignment="1">
      <alignment horizontal="center"/>
    </xf>
    <xf numFmtId="0" fontId="7" fillId="0" borderId="5" xfId="1" applyNumberFormat="1" applyFont="1" applyBorder="1" applyAlignment="1">
      <alignment horizontal="center"/>
    </xf>
    <xf numFmtId="49" fontId="7" fillId="0" borderId="5" xfId="13" applyNumberFormat="1" applyFont="1" applyBorder="1" applyAlignment="1">
      <alignment horizontal="center"/>
    </xf>
    <xf numFmtId="0" fontId="7" fillId="0" borderId="1" xfId="6" applyFont="1" applyFill="1" applyBorder="1" applyAlignment="1">
      <alignment horizontal="left"/>
    </xf>
    <xf numFmtId="0" fontId="7" fillId="3" borderId="5" xfId="0" applyFont="1" applyFill="1" applyBorder="1" applyAlignment="1">
      <alignment horizontal="center" vertical="top"/>
    </xf>
    <xf numFmtId="0" fontId="7" fillId="0" borderId="1" xfId="6" applyFont="1" applyBorder="1" applyAlignment="1">
      <alignment horizontal="left" vertical="top" wrapText="1"/>
    </xf>
    <xf numFmtId="49" fontId="4" fillId="0" borderId="1" xfId="8" applyNumberFormat="1" applyFont="1" applyBorder="1" applyAlignment="1">
      <alignment horizontal="left" indent="2"/>
    </xf>
    <xf numFmtId="0" fontId="4" fillId="0" borderId="1" xfId="6" applyFont="1" applyBorder="1" applyAlignment="1">
      <alignment horizontal="left" indent="2"/>
    </xf>
    <xf numFmtId="43" fontId="7" fillId="0" borderId="5" xfId="1" applyFont="1" applyFill="1" applyBorder="1"/>
    <xf numFmtId="0" fontId="7" fillId="0" borderId="7" xfId="6" applyFont="1" applyFill="1" applyBorder="1" applyAlignment="1">
      <alignment horizontal="center"/>
    </xf>
    <xf numFmtId="43" fontId="7" fillId="0" borderId="7" xfId="1" applyFont="1" applyFill="1" applyBorder="1"/>
    <xf numFmtId="0" fontId="7" fillId="0" borderId="1" xfId="8" applyFont="1" applyBorder="1" applyAlignment="1">
      <alignment horizontal="left" indent="1"/>
    </xf>
    <xf numFmtId="0" fontId="7" fillId="0" borderId="0" xfId="8" applyFont="1" applyFill="1" applyAlignment="1">
      <alignment horizontal="center"/>
    </xf>
    <xf numFmtId="0" fontId="7" fillId="0" borderId="5" xfId="8" applyFont="1" applyFill="1" applyBorder="1" applyAlignment="1">
      <alignment horizontal="center"/>
    </xf>
    <xf numFmtId="0" fontId="7" fillId="0" borderId="1" xfId="6" applyFont="1" applyBorder="1" applyAlignment="1">
      <alignment horizontal="left" indent="2"/>
    </xf>
    <xf numFmtId="0" fontId="7" fillId="0" borderId="1" xfId="6" applyFont="1" applyBorder="1" applyAlignment="1">
      <alignment horizontal="left" indent="1"/>
    </xf>
    <xf numFmtId="49" fontId="7" fillId="0" borderId="1" xfId="8" applyNumberFormat="1" applyFont="1" applyBorder="1" applyAlignment="1">
      <alignment horizontal="left" indent="1"/>
    </xf>
    <xf numFmtId="43" fontId="8" fillId="0" borderId="1" xfId="0" applyNumberFormat="1" applyFont="1" applyFill="1" applyBorder="1" applyAlignment="1"/>
    <xf numFmtId="0" fontId="8" fillId="0" borderId="4" xfId="0" applyFont="1" applyFill="1" applyBorder="1" applyAlignment="1"/>
    <xf numFmtId="0" fontId="7" fillId="0" borderId="11" xfId="2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43" fontId="8" fillId="0" borderId="0" xfId="0" applyNumberFormat="1" applyFont="1" applyBorder="1" applyAlignment="1">
      <alignment vertical="top"/>
    </xf>
    <xf numFmtId="43" fontId="8" fillId="0" borderId="0" xfId="0" applyNumberFormat="1" applyFont="1" applyAlignment="1">
      <alignment vertical="top"/>
    </xf>
    <xf numFmtId="43" fontId="7" fillId="0" borderId="1" xfId="1" applyFont="1" applyFill="1" applyBorder="1" applyAlignment="1">
      <alignment horizontal="center" vertical="top"/>
    </xf>
    <xf numFmtId="0" fontId="10" fillId="0" borderId="0" xfId="0" applyFont="1" applyBorder="1" applyAlignment="1">
      <alignment horizontal="center"/>
    </xf>
    <xf numFmtId="0" fontId="7" fillId="0" borderId="5" xfId="6" applyFont="1" applyBorder="1" applyAlignment="1"/>
    <xf numFmtId="49" fontId="7" fillId="0" borderId="1" xfId="6" applyNumberFormat="1" applyFont="1" applyBorder="1" applyAlignment="1"/>
    <xf numFmtId="0" fontId="7" fillId="0" borderId="6" xfId="2" applyFont="1" applyBorder="1" applyAlignment="1">
      <alignment horizontal="center"/>
    </xf>
    <xf numFmtId="43" fontId="8" fillId="0" borderId="12" xfId="0" applyNumberFormat="1" applyFont="1" applyBorder="1" applyAlignment="1"/>
    <xf numFmtId="43" fontId="8" fillId="0" borderId="12" xfId="0" applyNumberFormat="1" applyFont="1" applyBorder="1" applyAlignment="1">
      <alignment horizontal="center"/>
    </xf>
    <xf numFmtId="43" fontId="7" fillId="0" borderId="0" xfId="1" applyFont="1" applyBorder="1" applyAlignment="1">
      <alignment horizontal="center"/>
    </xf>
    <xf numFmtId="0" fontId="7" fillId="0" borderId="5" xfId="8" applyFont="1" applyBorder="1" applyAlignment="1">
      <alignment horizontal="left"/>
    </xf>
    <xf numFmtId="0" fontId="7" fillId="0" borderId="5" xfId="8" applyFont="1" applyBorder="1"/>
    <xf numFmtId="0" fontId="7" fillId="2" borderId="2" xfId="2" applyFont="1" applyFill="1" applyBorder="1" applyAlignment="1">
      <alignment horizontal="center"/>
    </xf>
    <xf numFmtId="43" fontId="7" fillId="2" borderId="4" xfId="1" applyFont="1" applyFill="1" applyBorder="1"/>
    <xf numFmtId="0" fontId="11" fillId="0" borderId="1" xfId="0" applyFont="1" applyBorder="1" applyAlignment="1">
      <alignment horizontal="left"/>
    </xf>
    <xf numFmtId="49" fontId="7" fillId="2" borderId="1" xfId="0" applyNumberFormat="1" applyFont="1" applyFill="1" applyBorder="1" applyAlignment="1">
      <alignment horizontal="left" indent="1"/>
    </xf>
    <xf numFmtId="0" fontId="7" fillId="2" borderId="5" xfId="6" applyFont="1" applyFill="1" applyBorder="1" applyAlignment="1">
      <alignment horizontal="left" indent="1"/>
    </xf>
    <xf numFmtId="0" fontId="11" fillId="0" borderId="0" xfId="0" applyFont="1" applyAlignment="1">
      <alignment horizontal="left"/>
    </xf>
    <xf numFmtId="43" fontId="4" fillId="0" borderId="1" xfId="1" applyFont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43" fontId="7" fillId="0" borderId="1" xfId="1" applyNumberFormat="1" applyFont="1" applyFill="1" applyBorder="1"/>
    <xf numFmtId="0" fontId="7" fillId="3" borderId="1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9" applyFont="1" applyAlignment="1">
      <alignment horizontal="center" vertic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3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right"/>
    </xf>
    <xf numFmtId="49" fontId="7" fillId="0" borderId="2" xfId="13" applyNumberFormat="1" applyFont="1" applyBorder="1" applyAlignment="1">
      <alignment horizontal="right"/>
    </xf>
    <xf numFmtId="49" fontId="7" fillId="0" borderId="3" xfId="13" applyNumberFormat="1" applyFont="1" applyBorder="1" applyAlignment="1">
      <alignment horizontal="right"/>
    </xf>
    <xf numFmtId="49" fontId="7" fillId="0" borderId="4" xfId="13" applyNumberFormat="1" applyFont="1" applyBorder="1" applyAlignment="1">
      <alignment horizontal="right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57150</xdr:rowOff>
    </xdr:from>
    <xdr:to>
      <xdr:col>8</xdr:col>
      <xdr:colOff>581025</xdr:colOff>
      <xdr:row>1</xdr:row>
      <xdr:rowOff>76200</xdr:rowOff>
    </xdr:to>
    <xdr:sp macro="" textlink="">
      <xdr:nvSpPr>
        <xdr:cNvPr id="2" name="กล่องข้อความ 1"/>
        <xdr:cNvSpPr txBox="1"/>
      </xdr:nvSpPr>
      <xdr:spPr>
        <a:xfrm>
          <a:off x="7829550" y="5715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0</xdr:row>
      <xdr:rowOff>57150</xdr:rowOff>
    </xdr:from>
    <xdr:to>
      <xdr:col>8</xdr:col>
      <xdr:colOff>504825</xdr:colOff>
      <xdr:row>1</xdr:row>
      <xdr:rowOff>76200</xdr:rowOff>
    </xdr:to>
    <xdr:sp macro="" textlink="">
      <xdr:nvSpPr>
        <xdr:cNvPr id="2" name="กล่องข้อความ 1"/>
        <xdr:cNvSpPr txBox="1"/>
      </xdr:nvSpPr>
      <xdr:spPr>
        <a:xfrm>
          <a:off x="7239000" y="5715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0</xdr:row>
      <xdr:rowOff>76200</xdr:rowOff>
    </xdr:from>
    <xdr:to>
      <xdr:col>8</xdr:col>
      <xdr:colOff>590550</xdr:colOff>
      <xdr:row>1</xdr:row>
      <xdr:rowOff>95250</xdr:rowOff>
    </xdr:to>
    <xdr:sp macro="" textlink="">
      <xdr:nvSpPr>
        <xdr:cNvPr id="2" name="กล่องข้อความ 1"/>
        <xdr:cNvSpPr txBox="1"/>
      </xdr:nvSpPr>
      <xdr:spPr>
        <a:xfrm>
          <a:off x="8048625" y="7620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66675</xdr:rowOff>
    </xdr:from>
    <xdr:to>
      <xdr:col>8</xdr:col>
      <xdr:colOff>752475</xdr:colOff>
      <xdr:row>1</xdr:row>
      <xdr:rowOff>85725</xdr:rowOff>
    </xdr:to>
    <xdr:sp macro="" textlink="">
      <xdr:nvSpPr>
        <xdr:cNvPr id="2" name="กล่องข้อความ 1"/>
        <xdr:cNvSpPr txBox="1"/>
      </xdr:nvSpPr>
      <xdr:spPr>
        <a:xfrm>
          <a:off x="7896225" y="6667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0</xdr:row>
      <xdr:rowOff>47625</xdr:rowOff>
    </xdr:from>
    <xdr:to>
      <xdr:col>8</xdr:col>
      <xdr:colOff>581025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524750" y="4762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0</xdr:row>
      <xdr:rowOff>47625</xdr:rowOff>
    </xdr:from>
    <xdr:to>
      <xdr:col>8</xdr:col>
      <xdr:colOff>561975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200900" y="4762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0</xdr:row>
      <xdr:rowOff>142875</xdr:rowOff>
    </xdr:from>
    <xdr:to>
      <xdr:col>8</xdr:col>
      <xdr:colOff>381000</xdr:colOff>
      <xdr:row>1</xdr:row>
      <xdr:rowOff>161925</xdr:rowOff>
    </xdr:to>
    <xdr:sp macro="" textlink="">
      <xdr:nvSpPr>
        <xdr:cNvPr id="2" name="กล่องข้อความ 1"/>
        <xdr:cNvSpPr txBox="1"/>
      </xdr:nvSpPr>
      <xdr:spPr>
        <a:xfrm>
          <a:off x="7648575" y="142875"/>
          <a:ext cx="18764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47625</xdr:rowOff>
    </xdr:from>
    <xdr:to>
      <xdr:col>8</xdr:col>
      <xdr:colOff>762000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715250" y="4762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0</xdr:row>
      <xdr:rowOff>38100</xdr:rowOff>
    </xdr:from>
    <xdr:to>
      <xdr:col>8</xdr:col>
      <xdr:colOff>762000</xdr:colOff>
      <xdr:row>1</xdr:row>
      <xdr:rowOff>57150</xdr:rowOff>
    </xdr:to>
    <xdr:sp macro="" textlink="">
      <xdr:nvSpPr>
        <xdr:cNvPr id="2" name="กล่องข้อความ 1"/>
        <xdr:cNvSpPr txBox="1"/>
      </xdr:nvSpPr>
      <xdr:spPr>
        <a:xfrm>
          <a:off x="7791450" y="3810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0</xdr:row>
      <xdr:rowOff>38100</xdr:rowOff>
    </xdr:from>
    <xdr:to>
      <xdr:col>8</xdr:col>
      <xdr:colOff>923925</xdr:colOff>
      <xdr:row>1</xdr:row>
      <xdr:rowOff>57150</xdr:rowOff>
    </xdr:to>
    <xdr:sp macro="" textlink="">
      <xdr:nvSpPr>
        <xdr:cNvPr id="3" name="กล่องข้อความ 2"/>
        <xdr:cNvSpPr txBox="1"/>
      </xdr:nvSpPr>
      <xdr:spPr>
        <a:xfrm>
          <a:off x="7134225" y="3810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0</xdr:row>
      <xdr:rowOff>47625</xdr:rowOff>
    </xdr:from>
    <xdr:to>
      <xdr:col>8</xdr:col>
      <xdr:colOff>695325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781925" y="4762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66675</xdr:rowOff>
    </xdr:from>
    <xdr:to>
      <xdr:col>8</xdr:col>
      <xdr:colOff>857250</xdr:colOff>
      <xdr:row>1</xdr:row>
      <xdr:rowOff>85725</xdr:rowOff>
    </xdr:to>
    <xdr:sp macro="" textlink="">
      <xdr:nvSpPr>
        <xdr:cNvPr id="2" name="กล่องข้อความ 1"/>
        <xdr:cNvSpPr txBox="1"/>
      </xdr:nvSpPr>
      <xdr:spPr>
        <a:xfrm>
          <a:off x="7648575" y="6667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133349</xdr:rowOff>
    </xdr:from>
    <xdr:to>
      <xdr:col>8</xdr:col>
      <xdr:colOff>447675</xdr:colOff>
      <xdr:row>1</xdr:row>
      <xdr:rowOff>180974</xdr:rowOff>
    </xdr:to>
    <xdr:sp macro="" textlink="">
      <xdr:nvSpPr>
        <xdr:cNvPr id="2" name="กล่องข้อความ 1"/>
        <xdr:cNvSpPr txBox="1"/>
      </xdr:nvSpPr>
      <xdr:spPr>
        <a:xfrm>
          <a:off x="7696200" y="133349"/>
          <a:ext cx="17526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0</xdr:row>
      <xdr:rowOff>57150</xdr:rowOff>
    </xdr:from>
    <xdr:to>
      <xdr:col>8</xdr:col>
      <xdr:colOff>819150</xdr:colOff>
      <xdr:row>1</xdr:row>
      <xdr:rowOff>76200</xdr:rowOff>
    </xdr:to>
    <xdr:sp macro="" textlink="">
      <xdr:nvSpPr>
        <xdr:cNvPr id="2" name="กล่องข้อความ 1"/>
        <xdr:cNvSpPr txBox="1"/>
      </xdr:nvSpPr>
      <xdr:spPr>
        <a:xfrm>
          <a:off x="7258050" y="5715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828675</xdr:colOff>
      <xdr:row>0</xdr:row>
      <xdr:rowOff>47625</xdr:rowOff>
    </xdr:from>
    <xdr:to>
      <xdr:col>8</xdr:col>
      <xdr:colOff>762000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191375" y="4762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0</xdr:row>
      <xdr:rowOff>57150</xdr:rowOff>
    </xdr:from>
    <xdr:to>
      <xdr:col>8</xdr:col>
      <xdr:colOff>676275</xdr:colOff>
      <xdr:row>1</xdr:row>
      <xdr:rowOff>76200</xdr:rowOff>
    </xdr:to>
    <xdr:sp macro="" textlink="">
      <xdr:nvSpPr>
        <xdr:cNvPr id="2" name="กล่องข้อความ 1"/>
        <xdr:cNvSpPr txBox="1"/>
      </xdr:nvSpPr>
      <xdr:spPr>
        <a:xfrm>
          <a:off x="7239000" y="5715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0</xdr:row>
      <xdr:rowOff>57150</xdr:rowOff>
    </xdr:from>
    <xdr:to>
      <xdr:col>8</xdr:col>
      <xdr:colOff>685800</xdr:colOff>
      <xdr:row>1</xdr:row>
      <xdr:rowOff>76200</xdr:rowOff>
    </xdr:to>
    <xdr:sp macro="" textlink="">
      <xdr:nvSpPr>
        <xdr:cNvPr id="2" name="กล่องข้อความ 1"/>
        <xdr:cNvSpPr txBox="1"/>
      </xdr:nvSpPr>
      <xdr:spPr>
        <a:xfrm>
          <a:off x="7162800" y="57150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47625</xdr:rowOff>
    </xdr:from>
    <xdr:to>
      <xdr:col>8</xdr:col>
      <xdr:colOff>581025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353300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0</xdr:row>
      <xdr:rowOff>38100</xdr:rowOff>
    </xdr:from>
    <xdr:to>
      <xdr:col>8</xdr:col>
      <xdr:colOff>638175</xdr:colOff>
      <xdr:row>1</xdr:row>
      <xdr:rowOff>47625</xdr:rowOff>
    </xdr:to>
    <xdr:sp macro="" textlink="">
      <xdr:nvSpPr>
        <xdr:cNvPr id="2" name="กล่องข้อความ 1"/>
        <xdr:cNvSpPr txBox="1"/>
      </xdr:nvSpPr>
      <xdr:spPr>
        <a:xfrm>
          <a:off x="7324725" y="38100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0</xdr:row>
      <xdr:rowOff>66675</xdr:rowOff>
    </xdr:from>
    <xdr:to>
      <xdr:col>8</xdr:col>
      <xdr:colOff>523875</xdr:colOff>
      <xdr:row>1</xdr:row>
      <xdr:rowOff>104775</xdr:rowOff>
    </xdr:to>
    <xdr:sp macro="" textlink="">
      <xdr:nvSpPr>
        <xdr:cNvPr id="2" name="กล่องข้อความ 1"/>
        <xdr:cNvSpPr txBox="1"/>
      </xdr:nvSpPr>
      <xdr:spPr>
        <a:xfrm>
          <a:off x="7315200" y="6667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828675</xdr:colOff>
      <xdr:row>0</xdr:row>
      <xdr:rowOff>57150</xdr:rowOff>
    </xdr:from>
    <xdr:to>
      <xdr:col>8</xdr:col>
      <xdr:colOff>666750</xdr:colOff>
      <xdr:row>1</xdr:row>
      <xdr:rowOff>76200</xdr:rowOff>
    </xdr:to>
    <xdr:sp macro="" textlink="">
      <xdr:nvSpPr>
        <xdr:cNvPr id="2" name="กล่องข้อความ 1"/>
        <xdr:cNvSpPr txBox="1"/>
      </xdr:nvSpPr>
      <xdr:spPr>
        <a:xfrm>
          <a:off x="7334250" y="57150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838200</xdr:colOff>
      <xdr:row>0</xdr:row>
      <xdr:rowOff>85725</xdr:rowOff>
    </xdr:from>
    <xdr:to>
      <xdr:col>8</xdr:col>
      <xdr:colOff>695325</xdr:colOff>
      <xdr:row>1</xdr:row>
      <xdr:rowOff>114300</xdr:rowOff>
    </xdr:to>
    <xdr:sp macro="" textlink="">
      <xdr:nvSpPr>
        <xdr:cNvPr id="2" name="กล่องข้อความ 1"/>
        <xdr:cNvSpPr txBox="1"/>
      </xdr:nvSpPr>
      <xdr:spPr>
        <a:xfrm>
          <a:off x="7305675" y="857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0</xdr:row>
      <xdr:rowOff>38100</xdr:rowOff>
    </xdr:from>
    <xdr:to>
      <xdr:col>8</xdr:col>
      <xdr:colOff>609600</xdr:colOff>
      <xdr:row>1</xdr:row>
      <xdr:rowOff>57150</xdr:rowOff>
    </xdr:to>
    <xdr:sp macro="" textlink="">
      <xdr:nvSpPr>
        <xdr:cNvPr id="2" name="กล่องข้อความ 1"/>
        <xdr:cNvSpPr txBox="1"/>
      </xdr:nvSpPr>
      <xdr:spPr>
        <a:xfrm>
          <a:off x="7334250" y="38100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752475</xdr:colOff>
      <xdr:row>0</xdr:row>
      <xdr:rowOff>47625</xdr:rowOff>
    </xdr:from>
    <xdr:to>
      <xdr:col>8</xdr:col>
      <xdr:colOff>657225</xdr:colOff>
      <xdr:row>1</xdr:row>
      <xdr:rowOff>47625</xdr:rowOff>
    </xdr:to>
    <xdr:sp macro="" textlink="">
      <xdr:nvSpPr>
        <xdr:cNvPr id="2" name="กล่องข้อความ 1"/>
        <xdr:cNvSpPr txBox="1"/>
      </xdr:nvSpPr>
      <xdr:spPr>
        <a:xfrm>
          <a:off x="7296150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47625</xdr:rowOff>
    </xdr:from>
    <xdr:to>
      <xdr:col>8</xdr:col>
      <xdr:colOff>723900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343775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0</xdr:row>
      <xdr:rowOff>47625</xdr:rowOff>
    </xdr:from>
    <xdr:to>
      <xdr:col>8</xdr:col>
      <xdr:colOff>609600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315200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752475</xdr:colOff>
      <xdr:row>0</xdr:row>
      <xdr:rowOff>47625</xdr:rowOff>
    </xdr:from>
    <xdr:to>
      <xdr:col>8</xdr:col>
      <xdr:colOff>666750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334250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0</xdr:row>
      <xdr:rowOff>47625</xdr:rowOff>
    </xdr:from>
    <xdr:to>
      <xdr:col>8</xdr:col>
      <xdr:colOff>647700</xdr:colOff>
      <xdr:row>1</xdr:row>
      <xdr:rowOff>38100</xdr:rowOff>
    </xdr:to>
    <xdr:sp macro="" textlink="">
      <xdr:nvSpPr>
        <xdr:cNvPr id="2" name="กล่องข้อความ 1"/>
        <xdr:cNvSpPr txBox="1"/>
      </xdr:nvSpPr>
      <xdr:spPr>
        <a:xfrm>
          <a:off x="7324725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0</xdr:row>
      <xdr:rowOff>38100</xdr:rowOff>
    </xdr:from>
    <xdr:to>
      <xdr:col>8</xdr:col>
      <xdr:colOff>781050</xdr:colOff>
      <xdr:row>1</xdr:row>
      <xdr:rowOff>95250</xdr:rowOff>
    </xdr:to>
    <xdr:sp macro="" textlink="">
      <xdr:nvSpPr>
        <xdr:cNvPr id="2" name="กล่องข้อความ 1"/>
        <xdr:cNvSpPr txBox="1"/>
      </xdr:nvSpPr>
      <xdr:spPr>
        <a:xfrm>
          <a:off x="7334250" y="38100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876300</xdr:colOff>
      <xdr:row>0</xdr:row>
      <xdr:rowOff>47625</xdr:rowOff>
    </xdr:from>
    <xdr:to>
      <xdr:col>8</xdr:col>
      <xdr:colOff>676275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324725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838200</xdr:colOff>
      <xdr:row>0</xdr:row>
      <xdr:rowOff>47625</xdr:rowOff>
    </xdr:from>
    <xdr:to>
      <xdr:col>8</xdr:col>
      <xdr:colOff>666750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353300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47625</xdr:rowOff>
    </xdr:from>
    <xdr:to>
      <xdr:col>8</xdr:col>
      <xdr:colOff>809625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343775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0</xdr:row>
      <xdr:rowOff>38100</xdr:rowOff>
    </xdr:from>
    <xdr:to>
      <xdr:col>8</xdr:col>
      <xdr:colOff>504825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305675" y="38100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47625</xdr:rowOff>
    </xdr:from>
    <xdr:to>
      <xdr:col>8</xdr:col>
      <xdr:colOff>781050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134225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0</xdr:row>
      <xdr:rowOff>38100</xdr:rowOff>
    </xdr:from>
    <xdr:to>
      <xdr:col>8</xdr:col>
      <xdr:colOff>676275</xdr:colOff>
      <xdr:row>1</xdr:row>
      <xdr:rowOff>57150</xdr:rowOff>
    </xdr:to>
    <xdr:sp macro="" textlink="">
      <xdr:nvSpPr>
        <xdr:cNvPr id="2" name="กล่องข้อความ 1"/>
        <xdr:cNvSpPr txBox="1"/>
      </xdr:nvSpPr>
      <xdr:spPr>
        <a:xfrm>
          <a:off x="7343775" y="38100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57150</xdr:rowOff>
    </xdr:from>
    <xdr:to>
      <xdr:col>8</xdr:col>
      <xdr:colOff>723900</xdr:colOff>
      <xdr:row>1</xdr:row>
      <xdr:rowOff>76200</xdr:rowOff>
    </xdr:to>
    <xdr:sp macro="" textlink="">
      <xdr:nvSpPr>
        <xdr:cNvPr id="2" name="กล่องข้อความ 1"/>
        <xdr:cNvSpPr txBox="1"/>
      </xdr:nvSpPr>
      <xdr:spPr>
        <a:xfrm>
          <a:off x="7277100" y="57150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0</xdr:row>
      <xdr:rowOff>47625</xdr:rowOff>
    </xdr:from>
    <xdr:to>
      <xdr:col>8</xdr:col>
      <xdr:colOff>647700</xdr:colOff>
      <xdr:row>1</xdr:row>
      <xdr:rowOff>66675</xdr:rowOff>
    </xdr:to>
    <xdr:sp macro="" textlink="">
      <xdr:nvSpPr>
        <xdr:cNvPr id="2" name="กล่องข้อความ 1"/>
        <xdr:cNvSpPr txBox="1"/>
      </xdr:nvSpPr>
      <xdr:spPr>
        <a:xfrm>
          <a:off x="7258050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47625</xdr:rowOff>
    </xdr:from>
    <xdr:to>
      <xdr:col>8</xdr:col>
      <xdr:colOff>590550</xdr:colOff>
      <xdr:row>1</xdr:row>
      <xdr:rowOff>76200</xdr:rowOff>
    </xdr:to>
    <xdr:sp macro="" textlink="">
      <xdr:nvSpPr>
        <xdr:cNvPr id="2" name="กล่องข้อความ 1"/>
        <xdr:cNvSpPr txBox="1"/>
      </xdr:nvSpPr>
      <xdr:spPr>
        <a:xfrm>
          <a:off x="7334250" y="47625"/>
          <a:ext cx="16859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เอกสารประกอบหมายเลข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105"/>
  <sheetViews>
    <sheetView zoomScaleNormal="100" workbookViewId="0">
      <selection activeCell="N16" sqref="N16"/>
    </sheetView>
  </sheetViews>
  <sheetFormatPr defaultColWidth="9" defaultRowHeight="24"/>
  <cols>
    <col min="1" max="1" width="5.28515625" style="14" customWidth="1"/>
    <col min="2" max="2" width="11.5703125" style="261" customWidth="1"/>
    <col min="3" max="3" width="31.85546875" style="233" customWidth="1"/>
    <col min="4" max="4" width="46.85546875" style="14" customWidth="1"/>
    <col min="5" max="5" width="6.5703125" style="14" customWidth="1"/>
    <col min="6" max="6" width="6.42578125" style="14" customWidth="1"/>
    <col min="7" max="7" width="13.7109375" style="14" customWidth="1"/>
    <col min="8" max="8" width="15.140625" style="14" customWidth="1"/>
    <col min="9" max="9" width="8.42578125" style="261" customWidth="1"/>
    <col min="10" max="16384" width="9" style="14"/>
  </cols>
  <sheetData>
    <row r="1" spans="1:9">
      <c r="A1" s="354" t="s">
        <v>664</v>
      </c>
      <c r="B1" s="354"/>
      <c r="C1" s="354"/>
      <c r="D1" s="354"/>
      <c r="E1" s="354"/>
      <c r="F1" s="354"/>
      <c r="G1" s="354"/>
      <c r="H1" s="354"/>
      <c r="I1" s="354"/>
    </row>
    <row r="2" spans="1:9">
      <c r="A2" s="355" t="s">
        <v>884</v>
      </c>
      <c r="B2" s="355"/>
      <c r="C2" s="355"/>
      <c r="D2" s="355"/>
      <c r="E2" s="355"/>
      <c r="F2" s="355"/>
      <c r="G2" s="355"/>
      <c r="H2" s="355"/>
      <c r="I2" s="355"/>
    </row>
    <row r="3" spans="1:9">
      <c r="A3" s="356" t="s">
        <v>1781</v>
      </c>
      <c r="B3" s="356"/>
      <c r="C3" s="356"/>
      <c r="D3" s="356"/>
      <c r="E3" s="356"/>
      <c r="F3" s="356"/>
      <c r="G3" s="356"/>
      <c r="H3" s="356"/>
      <c r="I3" s="356"/>
    </row>
    <row r="4" spans="1:9" ht="42.7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</row>
    <row r="5" spans="1:9">
      <c r="A5" s="216">
        <v>1</v>
      </c>
      <c r="B5" s="100"/>
      <c r="C5" s="27" t="s">
        <v>885</v>
      </c>
      <c r="D5" s="13" t="s">
        <v>886</v>
      </c>
      <c r="E5" s="28" t="s">
        <v>61</v>
      </c>
      <c r="F5" s="31">
        <v>1</v>
      </c>
      <c r="G5" s="35">
        <v>478800</v>
      </c>
      <c r="H5" s="35">
        <f>SUM(F5*G5)</f>
        <v>478800</v>
      </c>
      <c r="I5" s="99" t="s">
        <v>77</v>
      </c>
    </row>
    <row r="6" spans="1:9">
      <c r="A6" s="95">
        <v>2</v>
      </c>
      <c r="B6" s="37"/>
      <c r="C6" s="27" t="s">
        <v>887</v>
      </c>
      <c r="D6" s="13" t="s">
        <v>1871</v>
      </c>
      <c r="E6" s="28" t="s">
        <v>61</v>
      </c>
      <c r="F6" s="31">
        <v>1</v>
      </c>
      <c r="G6" s="35">
        <v>30000</v>
      </c>
      <c r="H6" s="35">
        <f>SUM(F6*G6)</f>
        <v>30000</v>
      </c>
      <c r="I6" s="99" t="s">
        <v>78</v>
      </c>
    </row>
    <row r="7" spans="1:9">
      <c r="A7" s="216">
        <v>3</v>
      </c>
      <c r="B7" s="95"/>
      <c r="C7" s="27" t="s">
        <v>888</v>
      </c>
      <c r="D7" s="13" t="s">
        <v>889</v>
      </c>
      <c r="E7" s="28" t="s">
        <v>61</v>
      </c>
      <c r="F7" s="31">
        <v>1</v>
      </c>
      <c r="G7" s="35">
        <v>158800</v>
      </c>
      <c r="H7" s="35">
        <f t="shared" ref="H7:H72" si="0">SUM(F7*G7)</f>
        <v>158800</v>
      </c>
      <c r="I7" s="99" t="s">
        <v>77</v>
      </c>
    </row>
    <row r="8" spans="1:9">
      <c r="A8" s="95">
        <v>4</v>
      </c>
      <c r="B8" s="37"/>
      <c r="C8" s="27" t="s">
        <v>890</v>
      </c>
      <c r="D8" s="13" t="s">
        <v>891</v>
      </c>
      <c r="E8" s="28" t="s">
        <v>61</v>
      </c>
      <c r="F8" s="31">
        <v>1</v>
      </c>
      <c r="G8" s="35">
        <v>498800</v>
      </c>
      <c r="H8" s="35">
        <f t="shared" si="0"/>
        <v>498800</v>
      </c>
      <c r="I8" s="99" t="s">
        <v>77</v>
      </c>
    </row>
    <row r="9" spans="1:9">
      <c r="A9" s="216">
        <v>5</v>
      </c>
      <c r="B9" s="37"/>
      <c r="C9" s="27" t="s">
        <v>892</v>
      </c>
      <c r="D9" s="13" t="s">
        <v>893</v>
      </c>
      <c r="E9" s="28" t="s">
        <v>61</v>
      </c>
      <c r="F9" s="31">
        <v>2</v>
      </c>
      <c r="G9" s="35">
        <v>18500</v>
      </c>
      <c r="H9" s="35">
        <f t="shared" si="0"/>
        <v>37000</v>
      </c>
      <c r="I9" s="99" t="s">
        <v>78</v>
      </c>
    </row>
    <row r="10" spans="1:9">
      <c r="A10" s="95">
        <v>6</v>
      </c>
      <c r="B10" s="37"/>
      <c r="C10" s="27" t="s">
        <v>894</v>
      </c>
      <c r="D10" s="13" t="s">
        <v>895</v>
      </c>
      <c r="E10" s="28" t="s">
        <v>61</v>
      </c>
      <c r="F10" s="31">
        <v>8</v>
      </c>
      <c r="G10" s="35">
        <v>4850</v>
      </c>
      <c r="H10" s="35">
        <f t="shared" si="0"/>
        <v>38800</v>
      </c>
      <c r="I10" s="107" t="s">
        <v>78</v>
      </c>
    </row>
    <row r="11" spans="1:9">
      <c r="A11" s="216">
        <v>7</v>
      </c>
      <c r="B11" s="102"/>
      <c r="C11" s="27" t="s">
        <v>896</v>
      </c>
      <c r="D11" s="27" t="s">
        <v>897</v>
      </c>
      <c r="E11" s="28" t="s">
        <v>61</v>
      </c>
      <c r="F11" s="31">
        <v>5</v>
      </c>
      <c r="G11" s="35">
        <v>5000</v>
      </c>
      <c r="H11" s="35">
        <f t="shared" si="0"/>
        <v>25000</v>
      </c>
      <c r="I11" s="107" t="s">
        <v>78</v>
      </c>
    </row>
    <row r="12" spans="1:9">
      <c r="A12" s="95">
        <v>8</v>
      </c>
      <c r="B12" s="102"/>
      <c r="C12" s="27" t="s">
        <v>898</v>
      </c>
      <c r="D12" s="27" t="s">
        <v>899</v>
      </c>
      <c r="E12" s="28" t="s">
        <v>61</v>
      </c>
      <c r="F12" s="31">
        <v>1</v>
      </c>
      <c r="G12" s="35">
        <v>78000</v>
      </c>
      <c r="H12" s="35">
        <f t="shared" si="0"/>
        <v>78000</v>
      </c>
      <c r="I12" s="206" t="s">
        <v>78</v>
      </c>
    </row>
    <row r="13" spans="1:9">
      <c r="A13" s="216">
        <v>9</v>
      </c>
      <c r="B13" s="102"/>
      <c r="C13" s="27" t="s">
        <v>900</v>
      </c>
      <c r="D13" s="27" t="s">
        <v>901</v>
      </c>
      <c r="E13" s="28" t="s">
        <v>61</v>
      </c>
      <c r="F13" s="31">
        <v>1</v>
      </c>
      <c r="G13" s="35">
        <v>24000</v>
      </c>
      <c r="H13" s="35">
        <f t="shared" si="0"/>
        <v>24000</v>
      </c>
      <c r="I13" s="206" t="s">
        <v>78</v>
      </c>
    </row>
    <row r="14" spans="1:9">
      <c r="A14" s="95">
        <v>10</v>
      </c>
      <c r="B14" s="102"/>
      <c r="C14" s="27" t="s">
        <v>902</v>
      </c>
      <c r="D14" s="27" t="s">
        <v>903</v>
      </c>
      <c r="E14" s="28" t="s">
        <v>61</v>
      </c>
      <c r="F14" s="31">
        <v>1</v>
      </c>
      <c r="G14" s="35">
        <v>24000</v>
      </c>
      <c r="H14" s="35">
        <f t="shared" si="0"/>
        <v>24000</v>
      </c>
      <c r="I14" s="206" t="s">
        <v>78</v>
      </c>
    </row>
    <row r="15" spans="1:9">
      <c r="A15" s="216">
        <v>11</v>
      </c>
      <c r="B15" s="94"/>
      <c r="C15" s="27" t="s">
        <v>904</v>
      </c>
      <c r="D15" s="27" t="s">
        <v>905</v>
      </c>
      <c r="E15" s="28" t="s">
        <v>61</v>
      </c>
      <c r="F15" s="31">
        <v>1</v>
      </c>
      <c r="G15" s="35">
        <v>82000</v>
      </c>
      <c r="H15" s="35">
        <f t="shared" si="0"/>
        <v>82000</v>
      </c>
      <c r="I15" s="206" t="s">
        <v>78</v>
      </c>
    </row>
    <row r="16" spans="1:9">
      <c r="A16" s="95">
        <v>12</v>
      </c>
      <c r="B16" s="94"/>
      <c r="C16" s="27" t="s">
        <v>906</v>
      </c>
      <c r="D16" s="27" t="s">
        <v>907</v>
      </c>
      <c r="E16" s="28" t="s">
        <v>61</v>
      </c>
      <c r="F16" s="31">
        <v>1</v>
      </c>
      <c r="G16" s="35">
        <v>98000</v>
      </c>
      <c r="H16" s="35">
        <f t="shared" si="0"/>
        <v>98000</v>
      </c>
      <c r="I16" s="206" t="s">
        <v>78</v>
      </c>
    </row>
    <row r="17" spans="1:9">
      <c r="A17" s="216">
        <v>13</v>
      </c>
      <c r="B17" s="94"/>
      <c r="C17" s="27" t="s">
        <v>908</v>
      </c>
      <c r="D17" s="6" t="s">
        <v>1878</v>
      </c>
      <c r="E17" s="28" t="s">
        <v>61</v>
      </c>
      <c r="F17" s="31">
        <v>1</v>
      </c>
      <c r="G17" s="35">
        <v>178000</v>
      </c>
      <c r="H17" s="35">
        <f t="shared" si="0"/>
        <v>178000</v>
      </c>
      <c r="I17" s="206" t="s">
        <v>77</v>
      </c>
    </row>
    <row r="18" spans="1:9">
      <c r="A18" s="95">
        <v>14</v>
      </c>
      <c r="B18" s="206"/>
      <c r="C18" s="27" t="s">
        <v>909</v>
      </c>
      <c r="D18" s="27" t="s">
        <v>910</v>
      </c>
      <c r="E18" s="206" t="s">
        <v>61</v>
      </c>
      <c r="F18" s="31">
        <v>2</v>
      </c>
      <c r="G18" s="35">
        <v>46500</v>
      </c>
      <c r="H18" s="35">
        <f t="shared" si="0"/>
        <v>93000</v>
      </c>
      <c r="I18" s="206" t="s">
        <v>78</v>
      </c>
    </row>
    <row r="19" spans="1:9">
      <c r="A19" s="216">
        <v>15</v>
      </c>
      <c r="B19" s="206"/>
      <c r="C19" s="27" t="s">
        <v>911</v>
      </c>
      <c r="D19" s="27" t="s">
        <v>912</v>
      </c>
      <c r="E19" s="206" t="s">
        <v>61</v>
      </c>
      <c r="F19" s="31">
        <v>1</v>
      </c>
      <c r="G19" s="35">
        <v>72000</v>
      </c>
      <c r="H19" s="35">
        <f t="shared" si="0"/>
        <v>72000</v>
      </c>
      <c r="I19" s="206" t="s">
        <v>78</v>
      </c>
    </row>
    <row r="20" spans="1:9">
      <c r="A20" s="95">
        <v>16</v>
      </c>
      <c r="B20" s="206"/>
      <c r="C20" s="27" t="s">
        <v>913</v>
      </c>
      <c r="D20" s="27" t="s">
        <v>914</v>
      </c>
      <c r="E20" s="206" t="s">
        <v>61</v>
      </c>
      <c r="F20" s="31">
        <v>1</v>
      </c>
      <c r="G20" s="35">
        <v>480000</v>
      </c>
      <c r="H20" s="35">
        <f t="shared" si="0"/>
        <v>480000</v>
      </c>
      <c r="I20" s="206" t="s">
        <v>78</v>
      </c>
    </row>
    <row r="21" spans="1:9">
      <c r="A21" s="216">
        <v>17</v>
      </c>
      <c r="B21" s="206"/>
      <c r="C21" s="27" t="s">
        <v>915</v>
      </c>
      <c r="D21" s="27" t="s">
        <v>916</v>
      </c>
      <c r="E21" s="206" t="s">
        <v>61</v>
      </c>
      <c r="F21" s="31">
        <v>1</v>
      </c>
      <c r="G21" s="35">
        <v>96000</v>
      </c>
      <c r="H21" s="35">
        <f t="shared" si="0"/>
        <v>96000</v>
      </c>
      <c r="I21" s="206" t="s">
        <v>78</v>
      </c>
    </row>
    <row r="22" spans="1:9">
      <c r="A22" s="95">
        <v>18</v>
      </c>
      <c r="B22" s="206"/>
      <c r="C22" s="27" t="s">
        <v>917</v>
      </c>
      <c r="D22" s="27" t="s">
        <v>918</v>
      </c>
      <c r="E22" s="206" t="s">
        <v>61</v>
      </c>
      <c r="F22" s="31">
        <v>1</v>
      </c>
      <c r="G22" s="35">
        <v>39000</v>
      </c>
      <c r="H22" s="35">
        <f t="shared" si="0"/>
        <v>39000</v>
      </c>
      <c r="I22" s="206" t="s">
        <v>78</v>
      </c>
    </row>
    <row r="23" spans="1:9">
      <c r="A23" s="216">
        <v>19</v>
      </c>
      <c r="B23" s="206"/>
      <c r="C23" s="27" t="s">
        <v>919</v>
      </c>
      <c r="D23" s="27" t="s">
        <v>1669</v>
      </c>
      <c r="E23" s="206" t="s">
        <v>61</v>
      </c>
      <c r="F23" s="31">
        <v>1</v>
      </c>
      <c r="G23" s="35">
        <v>142000</v>
      </c>
      <c r="H23" s="35">
        <f t="shared" si="0"/>
        <v>142000</v>
      </c>
      <c r="I23" s="206" t="s">
        <v>78</v>
      </c>
    </row>
    <row r="24" spans="1:9">
      <c r="A24" s="95">
        <v>20</v>
      </c>
      <c r="B24" s="206"/>
      <c r="C24" s="27" t="s">
        <v>920</v>
      </c>
      <c r="D24" s="13" t="s">
        <v>921</v>
      </c>
      <c r="E24" s="206" t="s">
        <v>61</v>
      </c>
      <c r="F24" s="31">
        <v>1</v>
      </c>
      <c r="G24" s="35">
        <v>41800</v>
      </c>
      <c r="H24" s="35">
        <f t="shared" si="0"/>
        <v>41800</v>
      </c>
      <c r="I24" s="206" t="s">
        <v>78</v>
      </c>
    </row>
    <row r="25" spans="1:9">
      <c r="A25" s="216">
        <v>21</v>
      </c>
      <c r="B25" s="206"/>
      <c r="C25" s="27" t="s">
        <v>922</v>
      </c>
      <c r="D25" s="13" t="s">
        <v>923</v>
      </c>
      <c r="E25" s="206" t="s">
        <v>61</v>
      </c>
      <c r="F25" s="28">
        <v>1</v>
      </c>
      <c r="G25" s="35">
        <v>95000</v>
      </c>
      <c r="H25" s="35">
        <f t="shared" si="0"/>
        <v>95000</v>
      </c>
      <c r="I25" s="206" t="s">
        <v>78</v>
      </c>
    </row>
    <row r="26" spans="1:9">
      <c r="A26" s="95">
        <v>22</v>
      </c>
      <c r="B26" s="206"/>
      <c r="C26" s="27" t="s">
        <v>924</v>
      </c>
      <c r="D26" s="13" t="s">
        <v>925</v>
      </c>
      <c r="E26" s="206" t="s">
        <v>61</v>
      </c>
      <c r="F26" s="28">
        <v>1</v>
      </c>
      <c r="G26" s="35">
        <v>43800</v>
      </c>
      <c r="H26" s="35">
        <f t="shared" si="0"/>
        <v>43800</v>
      </c>
      <c r="I26" s="206" t="s">
        <v>78</v>
      </c>
    </row>
    <row r="27" spans="1:9">
      <c r="A27" s="216">
        <v>23</v>
      </c>
      <c r="B27" s="104"/>
      <c r="C27" s="27" t="s">
        <v>926</v>
      </c>
      <c r="D27" s="13" t="s">
        <v>927</v>
      </c>
      <c r="E27" s="206" t="s">
        <v>61</v>
      </c>
      <c r="F27" s="28">
        <v>1</v>
      </c>
      <c r="G27" s="35">
        <v>14500</v>
      </c>
      <c r="H27" s="35">
        <f t="shared" si="0"/>
        <v>14500</v>
      </c>
      <c r="I27" s="206" t="s">
        <v>78</v>
      </c>
    </row>
    <row r="28" spans="1:9">
      <c r="A28" s="95">
        <v>24</v>
      </c>
      <c r="B28" s="37"/>
      <c r="C28" s="27" t="s">
        <v>928</v>
      </c>
      <c r="D28" s="13" t="s">
        <v>929</v>
      </c>
      <c r="E28" s="206" t="s">
        <v>61</v>
      </c>
      <c r="F28" s="31">
        <v>1</v>
      </c>
      <c r="G28" s="35">
        <v>95000</v>
      </c>
      <c r="H28" s="35">
        <f t="shared" si="0"/>
        <v>95000</v>
      </c>
      <c r="I28" s="99" t="s">
        <v>78</v>
      </c>
    </row>
    <row r="29" spans="1:9">
      <c r="A29" s="216">
        <v>25</v>
      </c>
      <c r="B29" s="100"/>
      <c r="C29" s="27" t="s">
        <v>930</v>
      </c>
      <c r="D29" s="13" t="s">
        <v>1872</v>
      </c>
      <c r="E29" s="28" t="s">
        <v>61</v>
      </c>
      <c r="F29" s="31">
        <v>1</v>
      </c>
      <c r="G29" s="35">
        <v>43800</v>
      </c>
      <c r="H29" s="35">
        <f t="shared" si="0"/>
        <v>43800</v>
      </c>
      <c r="I29" s="99" t="s">
        <v>78</v>
      </c>
    </row>
    <row r="30" spans="1:9">
      <c r="A30" s="95">
        <v>26</v>
      </c>
      <c r="B30" s="37"/>
      <c r="C30" s="27" t="s">
        <v>931</v>
      </c>
      <c r="D30" s="13" t="s">
        <v>932</v>
      </c>
      <c r="E30" s="28" t="s">
        <v>61</v>
      </c>
      <c r="F30" s="31">
        <v>1</v>
      </c>
      <c r="G30" s="35">
        <v>62000</v>
      </c>
      <c r="H30" s="35">
        <f t="shared" si="0"/>
        <v>62000</v>
      </c>
      <c r="I30" s="99" t="s">
        <v>78</v>
      </c>
    </row>
    <row r="31" spans="1:9">
      <c r="A31" s="216">
        <v>27</v>
      </c>
      <c r="B31" s="37"/>
      <c r="C31" s="27" t="s">
        <v>933</v>
      </c>
      <c r="D31" s="13" t="s">
        <v>934</v>
      </c>
      <c r="E31" s="28" t="s">
        <v>61</v>
      </c>
      <c r="F31" s="31">
        <v>1</v>
      </c>
      <c r="G31" s="35">
        <v>84000</v>
      </c>
      <c r="H31" s="35">
        <f t="shared" si="0"/>
        <v>84000</v>
      </c>
      <c r="I31" s="99" t="s">
        <v>78</v>
      </c>
    </row>
    <row r="32" spans="1:9">
      <c r="A32" s="95">
        <v>28</v>
      </c>
      <c r="B32" s="37"/>
      <c r="C32" s="27" t="s">
        <v>935</v>
      </c>
      <c r="D32" s="13" t="s">
        <v>936</v>
      </c>
      <c r="E32" s="28" t="s">
        <v>61</v>
      </c>
      <c r="F32" s="31">
        <v>1</v>
      </c>
      <c r="G32" s="35">
        <v>84000</v>
      </c>
      <c r="H32" s="35">
        <f t="shared" si="0"/>
        <v>84000</v>
      </c>
      <c r="I32" s="99" t="s">
        <v>78</v>
      </c>
    </row>
    <row r="33" spans="1:9">
      <c r="A33" s="216">
        <v>29</v>
      </c>
      <c r="B33" s="95"/>
      <c r="C33" s="27" t="s">
        <v>937</v>
      </c>
      <c r="D33" s="13" t="s">
        <v>938</v>
      </c>
      <c r="E33" s="28" t="s">
        <v>61</v>
      </c>
      <c r="F33" s="31">
        <v>1</v>
      </c>
      <c r="G33" s="35">
        <v>28500</v>
      </c>
      <c r="H33" s="35">
        <f t="shared" si="0"/>
        <v>28500</v>
      </c>
      <c r="I33" s="99" t="s">
        <v>78</v>
      </c>
    </row>
    <row r="34" spans="1:9">
      <c r="A34" s="95">
        <v>30</v>
      </c>
      <c r="B34" s="37"/>
      <c r="C34" s="27" t="s">
        <v>939</v>
      </c>
      <c r="D34" s="13" t="s">
        <v>940</v>
      </c>
      <c r="E34" s="28" t="s">
        <v>61</v>
      </c>
      <c r="F34" s="31">
        <v>1</v>
      </c>
      <c r="G34" s="35">
        <v>56000</v>
      </c>
      <c r="H34" s="35">
        <f t="shared" si="0"/>
        <v>56000</v>
      </c>
      <c r="I34" s="99" t="s">
        <v>78</v>
      </c>
    </row>
    <row r="35" spans="1:9">
      <c r="A35" s="216">
        <v>31</v>
      </c>
      <c r="B35" s="37"/>
      <c r="C35" s="27" t="s">
        <v>941</v>
      </c>
      <c r="D35" s="13" t="s">
        <v>942</v>
      </c>
      <c r="E35" s="28" t="s">
        <v>61</v>
      </c>
      <c r="F35" s="31">
        <v>1</v>
      </c>
      <c r="G35" s="35">
        <v>94000</v>
      </c>
      <c r="H35" s="35">
        <f t="shared" si="0"/>
        <v>94000</v>
      </c>
      <c r="I35" s="99" t="s">
        <v>77</v>
      </c>
    </row>
    <row r="36" spans="1:9">
      <c r="A36" s="95">
        <v>32</v>
      </c>
      <c r="B36" s="102"/>
      <c r="C36" s="27" t="s">
        <v>943</v>
      </c>
      <c r="D36" s="13" t="s">
        <v>944</v>
      </c>
      <c r="E36" s="28" t="s">
        <v>61</v>
      </c>
      <c r="F36" s="31">
        <v>1</v>
      </c>
      <c r="G36" s="35">
        <v>22500</v>
      </c>
      <c r="H36" s="35">
        <f t="shared" si="0"/>
        <v>22500</v>
      </c>
      <c r="I36" s="107" t="s">
        <v>77</v>
      </c>
    </row>
    <row r="37" spans="1:9">
      <c r="A37" s="216">
        <v>33</v>
      </c>
      <c r="B37" s="102"/>
      <c r="C37" s="27" t="s">
        <v>945</v>
      </c>
      <c r="D37" s="7" t="s">
        <v>1873</v>
      </c>
      <c r="E37" s="28" t="s">
        <v>61</v>
      </c>
      <c r="F37" s="31">
        <v>1</v>
      </c>
      <c r="G37" s="35">
        <v>65000</v>
      </c>
      <c r="H37" s="35">
        <f t="shared" si="0"/>
        <v>65000</v>
      </c>
      <c r="I37" s="206" t="s">
        <v>78</v>
      </c>
    </row>
    <row r="38" spans="1:9">
      <c r="A38" s="95">
        <v>34</v>
      </c>
      <c r="B38" s="102"/>
      <c r="C38" s="27" t="s">
        <v>946</v>
      </c>
      <c r="D38" s="13" t="s">
        <v>947</v>
      </c>
      <c r="E38" s="28" t="s">
        <v>61</v>
      </c>
      <c r="F38" s="31">
        <v>1</v>
      </c>
      <c r="G38" s="35">
        <v>12000</v>
      </c>
      <c r="H38" s="35">
        <f t="shared" si="0"/>
        <v>12000</v>
      </c>
      <c r="I38" s="206" t="s">
        <v>78</v>
      </c>
    </row>
    <row r="39" spans="1:9">
      <c r="A39" s="216">
        <v>35</v>
      </c>
      <c r="B39" s="94"/>
      <c r="C39" s="27" t="s">
        <v>948</v>
      </c>
      <c r="D39" s="13" t="s">
        <v>949</v>
      </c>
      <c r="E39" s="28" t="s">
        <v>61</v>
      </c>
      <c r="F39" s="31">
        <v>3</v>
      </c>
      <c r="G39" s="35">
        <v>17800</v>
      </c>
      <c r="H39" s="35">
        <f t="shared" si="0"/>
        <v>53400</v>
      </c>
      <c r="I39" s="206" t="s">
        <v>78</v>
      </c>
    </row>
    <row r="40" spans="1:9">
      <c r="A40" s="95">
        <v>36</v>
      </c>
      <c r="B40" s="94"/>
      <c r="C40" s="27" t="s">
        <v>950</v>
      </c>
      <c r="D40" s="13" t="s">
        <v>951</v>
      </c>
      <c r="E40" s="28" t="s">
        <v>61</v>
      </c>
      <c r="F40" s="31">
        <v>3</v>
      </c>
      <c r="G40" s="35">
        <v>12800</v>
      </c>
      <c r="H40" s="35">
        <f t="shared" si="0"/>
        <v>38400</v>
      </c>
      <c r="I40" s="206" t="s">
        <v>78</v>
      </c>
    </row>
    <row r="41" spans="1:9">
      <c r="A41" s="216">
        <v>37</v>
      </c>
      <c r="B41" s="94"/>
      <c r="C41" s="27" t="s">
        <v>952</v>
      </c>
      <c r="D41" s="13" t="s">
        <v>1670</v>
      </c>
      <c r="E41" s="28" t="s">
        <v>61</v>
      </c>
      <c r="F41" s="31">
        <v>5</v>
      </c>
      <c r="G41" s="35">
        <v>8400</v>
      </c>
      <c r="H41" s="35">
        <f t="shared" si="0"/>
        <v>42000</v>
      </c>
      <c r="I41" s="206" t="s">
        <v>78</v>
      </c>
    </row>
    <row r="42" spans="1:9">
      <c r="A42" s="95">
        <v>38</v>
      </c>
      <c r="B42" s="104"/>
      <c r="C42" s="27" t="s">
        <v>953</v>
      </c>
      <c r="D42" s="13" t="s">
        <v>1671</v>
      </c>
      <c r="E42" s="28" t="s">
        <v>61</v>
      </c>
      <c r="F42" s="31">
        <v>5</v>
      </c>
      <c r="G42" s="35">
        <v>8400</v>
      </c>
      <c r="H42" s="35">
        <f t="shared" si="0"/>
        <v>42000</v>
      </c>
      <c r="I42" s="206" t="s">
        <v>78</v>
      </c>
    </row>
    <row r="43" spans="1:9">
      <c r="A43" s="216">
        <v>39</v>
      </c>
      <c r="B43" s="206"/>
      <c r="C43" s="27" t="s">
        <v>954</v>
      </c>
      <c r="D43" s="13" t="s">
        <v>955</v>
      </c>
      <c r="E43" s="206" t="s">
        <v>61</v>
      </c>
      <c r="F43" s="31">
        <v>3</v>
      </c>
      <c r="G43" s="35">
        <v>36500</v>
      </c>
      <c r="H43" s="35">
        <f t="shared" si="0"/>
        <v>109500</v>
      </c>
      <c r="I43" s="206" t="s">
        <v>78</v>
      </c>
    </row>
    <row r="44" spans="1:9">
      <c r="A44" s="95">
        <v>40</v>
      </c>
      <c r="B44" s="206"/>
      <c r="C44" s="27" t="s">
        <v>956</v>
      </c>
      <c r="D44" s="13" t="s">
        <v>957</v>
      </c>
      <c r="E44" s="206" t="s">
        <v>61</v>
      </c>
      <c r="F44" s="31">
        <v>1</v>
      </c>
      <c r="G44" s="35">
        <v>29700</v>
      </c>
      <c r="H44" s="35">
        <f t="shared" si="0"/>
        <v>29700</v>
      </c>
      <c r="I44" s="206" t="s">
        <v>78</v>
      </c>
    </row>
    <row r="45" spans="1:9">
      <c r="A45" s="216">
        <v>41</v>
      </c>
      <c r="B45" s="206"/>
      <c r="C45" s="27" t="s">
        <v>958</v>
      </c>
      <c r="D45" s="13" t="s">
        <v>959</v>
      </c>
      <c r="E45" s="206" t="s">
        <v>61</v>
      </c>
      <c r="F45" s="31">
        <v>1</v>
      </c>
      <c r="G45" s="35">
        <v>49800</v>
      </c>
      <c r="H45" s="35">
        <f t="shared" si="0"/>
        <v>49800</v>
      </c>
      <c r="I45" s="206" t="s">
        <v>78</v>
      </c>
    </row>
    <row r="46" spans="1:9">
      <c r="A46" s="95">
        <v>42</v>
      </c>
      <c r="B46" s="206"/>
      <c r="C46" s="27" t="s">
        <v>960</v>
      </c>
      <c r="D46" s="106" t="s">
        <v>961</v>
      </c>
      <c r="E46" s="206" t="s">
        <v>61</v>
      </c>
      <c r="F46" s="31">
        <v>1</v>
      </c>
      <c r="G46" s="85">
        <v>50900</v>
      </c>
      <c r="H46" s="35">
        <f>SUM(F46*G46)</f>
        <v>50900</v>
      </c>
      <c r="I46" s="206" t="s">
        <v>78</v>
      </c>
    </row>
    <row r="47" spans="1:9">
      <c r="A47" s="352" t="s">
        <v>1910</v>
      </c>
      <c r="B47" s="352"/>
      <c r="C47" s="352"/>
      <c r="D47" s="352"/>
      <c r="E47" s="206"/>
      <c r="F47" s="31"/>
      <c r="G47" s="35"/>
      <c r="H47" s="35">
        <f>SUM(H5:H46)</f>
        <v>3930800</v>
      </c>
      <c r="I47" s="206"/>
    </row>
    <row r="48" spans="1:9">
      <c r="A48" s="352" t="s">
        <v>1911</v>
      </c>
      <c r="B48" s="352"/>
      <c r="C48" s="352"/>
      <c r="D48" s="352"/>
      <c r="E48" s="206"/>
      <c r="F48" s="31"/>
      <c r="G48" s="35"/>
      <c r="H48" s="35">
        <f>SUM(H47)</f>
        <v>3930800</v>
      </c>
      <c r="I48" s="206"/>
    </row>
    <row r="49" spans="1:9">
      <c r="A49" s="216">
        <v>43</v>
      </c>
      <c r="B49" s="206"/>
      <c r="C49" s="27" t="s">
        <v>962</v>
      </c>
      <c r="D49" s="27" t="s">
        <v>963</v>
      </c>
      <c r="E49" s="206" t="s">
        <v>61</v>
      </c>
      <c r="F49" s="31">
        <v>1</v>
      </c>
      <c r="G49" s="85">
        <v>68900</v>
      </c>
      <c r="H49" s="35">
        <f t="shared" si="0"/>
        <v>68900</v>
      </c>
      <c r="I49" s="206" t="s">
        <v>78</v>
      </c>
    </row>
    <row r="50" spans="1:9">
      <c r="A50" s="95">
        <v>44</v>
      </c>
      <c r="B50" s="104"/>
      <c r="C50" s="27" t="s">
        <v>964</v>
      </c>
      <c r="D50" s="27" t="s">
        <v>965</v>
      </c>
      <c r="E50" s="206" t="s">
        <v>61</v>
      </c>
      <c r="F50" s="31">
        <v>1</v>
      </c>
      <c r="G50" s="85">
        <v>880000</v>
      </c>
      <c r="H50" s="35">
        <f t="shared" si="0"/>
        <v>880000</v>
      </c>
      <c r="I50" s="206" t="s">
        <v>78</v>
      </c>
    </row>
    <row r="51" spans="1:9">
      <c r="A51" s="216">
        <v>45</v>
      </c>
      <c r="B51" s="37"/>
      <c r="C51" s="27" t="s">
        <v>966</v>
      </c>
      <c r="D51" s="27" t="s">
        <v>967</v>
      </c>
      <c r="E51" s="206" t="s">
        <v>61</v>
      </c>
      <c r="F51" s="31">
        <v>1</v>
      </c>
      <c r="G51" s="85">
        <v>159500</v>
      </c>
      <c r="H51" s="35">
        <f t="shared" si="0"/>
        <v>159500</v>
      </c>
      <c r="I51" s="99" t="s">
        <v>78</v>
      </c>
    </row>
    <row r="52" spans="1:9">
      <c r="A52" s="95">
        <v>46</v>
      </c>
      <c r="B52" s="100"/>
      <c r="C52" s="27" t="s">
        <v>968</v>
      </c>
      <c r="D52" s="27" t="s">
        <v>969</v>
      </c>
      <c r="E52" s="28" t="s">
        <v>62</v>
      </c>
      <c r="F52" s="31">
        <v>1</v>
      </c>
      <c r="G52" s="85">
        <v>30000</v>
      </c>
      <c r="H52" s="35">
        <f t="shared" si="0"/>
        <v>30000</v>
      </c>
      <c r="I52" s="99" t="s">
        <v>78</v>
      </c>
    </row>
    <row r="53" spans="1:9">
      <c r="A53" s="216">
        <v>47</v>
      </c>
      <c r="B53" s="37"/>
      <c r="C53" s="27" t="s">
        <v>970</v>
      </c>
      <c r="D53" s="27" t="s">
        <v>653</v>
      </c>
      <c r="E53" s="28" t="s">
        <v>61</v>
      </c>
      <c r="F53" s="31">
        <v>1</v>
      </c>
      <c r="G53" s="85">
        <v>33000</v>
      </c>
      <c r="H53" s="35">
        <f t="shared" si="0"/>
        <v>33000</v>
      </c>
      <c r="I53" s="99" t="s">
        <v>78</v>
      </c>
    </row>
    <row r="54" spans="1:9">
      <c r="A54" s="95">
        <v>48</v>
      </c>
      <c r="B54" s="37"/>
      <c r="C54" s="27" t="s">
        <v>971</v>
      </c>
      <c r="D54" s="106" t="s">
        <v>972</v>
      </c>
      <c r="E54" s="28" t="s">
        <v>61</v>
      </c>
      <c r="F54" s="31">
        <v>1</v>
      </c>
      <c r="G54" s="34">
        <v>79000</v>
      </c>
      <c r="H54" s="35">
        <f t="shared" si="0"/>
        <v>79000</v>
      </c>
      <c r="I54" s="99" t="s">
        <v>78</v>
      </c>
    </row>
    <row r="55" spans="1:9">
      <c r="A55" s="216">
        <v>49</v>
      </c>
      <c r="B55" s="37"/>
      <c r="C55" s="27" t="s">
        <v>973</v>
      </c>
      <c r="D55" s="13" t="s">
        <v>974</v>
      </c>
      <c r="E55" s="28" t="s">
        <v>61</v>
      </c>
      <c r="F55" s="31">
        <v>1</v>
      </c>
      <c r="G55" s="35">
        <v>9309</v>
      </c>
      <c r="H55" s="35">
        <f t="shared" si="0"/>
        <v>9309</v>
      </c>
      <c r="I55" s="99" t="s">
        <v>78</v>
      </c>
    </row>
    <row r="56" spans="1:9">
      <c r="A56" s="95">
        <v>50</v>
      </c>
      <c r="B56" s="95"/>
      <c r="C56" s="27" t="s">
        <v>975</v>
      </c>
      <c r="D56" s="106" t="s">
        <v>976</v>
      </c>
      <c r="E56" s="28" t="s">
        <v>61</v>
      </c>
      <c r="F56" s="31">
        <v>1</v>
      </c>
      <c r="G56" s="34">
        <v>234490</v>
      </c>
      <c r="H56" s="35">
        <f t="shared" si="0"/>
        <v>234490</v>
      </c>
      <c r="I56" s="99" t="s">
        <v>78</v>
      </c>
    </row>
    <row r="57" spans="1:9">
      <c r="A57" s="216">
        <v>51</v>
      </c>
      <c r="B57" s="37"/>
      <c r="C57" s="27" t="s">
        <v>977</v>
      </c>
      <c r="D57" s="106" t="s">
        <v>978</v>
      </c>
      <c r="E57" s="28" t="s">
        <v>61</v>
      </c>
      <c r="F57" s="31">
        <v>1</v>
      </c>
      <c r="G57" s="34">
        <v>36490</v>
      </c>
      <c r="H57" s="35">
        <f t="shared" si="0"/>
        <v>36490</v>
      </c>
      <c r="I57" s="99" t="s">
        <v>78</v>
      </c>
    </row>
    <row r="58" spans="1:9">
      <c r="A58" s="95">
        <v>52</v>
      </c>
      <c r="B58" s="37"/>
      <c r="C58" s="27" t="s">
        <v>979</v>
      </c>
      <c r="D58" s="106" t="s">
        <v>980</v>
      </c>
      <c r="E58" s="28" t="s">
        <v>61</v>
      </c>
      <c r="F58" s="31">
        <v>1</v>
      </c>
      <c r="G58" s="35">
        <v>9309</v>
      </c>
      <c r="H58" s="35">
        <f t="shared" si="0"/>
        <v>9309</v>
      </c>
      <c r="I58" s="99" t="s">
        <v>78</v>
      </c>
    </row>
    <row r="59" spans="1:9">
      <c r="A59" s="216">
        <v>53</v>
      </c>
      <c r="B59" s="37"/>
      <c r="C59" s="27" t="s">
        <v>981</v>
      </c>
      <c r="D59" s="13" t="s">
        <v>982</v>
      </c>
      <c r="E59" s="28" t="s">
        <v>61</v>
      </c>
      <c r="F59" s="31">
        <v>1</v>
      </c>
      <c r="G59" s="35">
        <v>45903</v>
      </c>
      <c r="H59" s="35">
        <f t="shared" si="0"/>
        <v>45903</v>
      </c>
      <c r="I59" s="107" t="s">
        <v>78</v>
      </c>
    </row>
    <row r="60" spans="1:9">
      <c r="A60" s="95">
        <v>54</v>
      </c>
      <c r="B60" s="102"/>
      <c r="C60" s="27" t="s">
        <v>983</v>
      </c>
      <c r="D60" s="13" t="s">
        <v>984</v>
      </c>
      <c r="E60" s="28" t="s">
        <v>61</v>
      </c>
      <c r="F60" s="31">
        <v>4</v>
      </c>
      <c r="G60" s="35">
        <v>55961</v>
      </c>
      <c r="H60" s="35">
        <f t="shared" si="0"/>
        <v>223844</v>
      </c>
      <c r="I60" s="107" t="s">
        <v>78</v>
      </c>
    </row>
    <row r="61" spans="1:9">
      <c r="A61" s="216">
        <v>55</v>
      </c>
      <c r="B61" s="102"/>
      <c r="C61" s="27" t="s">
        <v>985</v>
      </c>
      <c r="D61" s="13" t="s">
        <v>986</v>
      </c>
      <c r="E61" s="28" t="s">
        <v>61</v>
      </c>
      <c r="F61" s="31">
        <v>4</v>
      </c>
      <c r="G61" s="35">
        <v>70000</v>
      </c>
      <c r="H61" s="35">
        <f t="shared" si="0"/>
        <v>280000</v>
      </c>
      <c r="I61" s="206" t="s">
        <v>78</v>
      </c>
    </row>
    <row r="62" spans="1:9">
      <c r="A62" s="95">
        <v>56</v>
      </c>
      <c r="B62" s="102"/>
      <c r="C62" s="27" t="s">
        <v>987</v>
      </c>
      <c r="D62" s="13" t="s">
        <v>986</v>
      </c>
      <c r="E62" s="28" t="s">
        <v>61</v>
      </c>
      <c r="F62" s="31">
        <v>1</v>
      </c>
      <c r="G62" s="35">
        <v>80000</v>
      </c>
      <c r="H62" s="35">
        <f t="shared" si="0"/>
        <v>80000</v>
      </c>
      <c r="I62" s="206" t="s">
        <v>78</v>
      </c>
    </row>
    <row r="63" spans="1:9">
      <c r="A63" s="216">
        <v>57</v>
      </c>
      <c r="B63" s="102"/>
      <c r="C63" s="27" t="s">
        <v>988</v>
      </c>
      <c r="D63" s="13" t="s">
        <v>1874</v>
      </c>
      <c r="E63" s="28" t="s">
        <v>61</v>
      </c>
      <c r="F63" s="31">
        <v>1</v>
      </c>
      <c r="G63" s="35">
        <v>95000</v>
      </c>
      <c r="H63" s="35">
        <f t="shared" si="0"/>
        <v>95000</v>
      </c>
      <c r="I63" s="206" t="s">
        <v>78</v>
      </c>
    </row>
    <row r="64" spans="1:9">
      <c r="A64" s="95">
        <v>58</v>
      </c>
      <c r="B64" s="94"/>
      <c r="C64" s="27" t="s">
        <v>989</v>
      </c>
      <c r="D64" s="13" t="s">
        <v>990</v>
      </c>
      <c r="E64" s="28" t="s">
        <v>61</v>
      </c>
      <c r="F64" s="31">
        <v>1</v>
      </c>
      <c r="G64" s="35">
        <v>147490</v>
      </c>
      <c r="H64" s="35">
        <f t="shared" si="0"/>
        <v>147490</v>
      </c>
      <c r="I64" s="206" t="s">
        <v>78</v>
      </c>
    </row>
    <row r="65" spans="1:9">
      <c r="A65" s="216">
        <v>59</v>
      </c>
      <c r="B65" s="94"/>
      <c r="C65" s="27" t="s">
        <v>991</v>
      </c>
      <c r="D65" s="13" t="s">
        <v>992</v>
      </c>
      <c r="E65" s="28" t="s">
        <v>61</v>
      </c>
      <c r="F65" s="31">
        <v>2</v>
      </c>
      <c r="G65" s="35">
        <v>28490</v>
      </c>
      <c r="H65" s="35">
        <f t="shared" si="0"/>
        <v>56980</v>
      </c>
      <c r="I65" s="206" t="s">
        <v>78</v>
      </c>
    </row>
    <row r="66" spans="1:9">
      <c r="A66" s="95">
        <v>60</v>
      </c>
      <c r="B66" s="94"/>
      <c r="C66" s="27" t="s">
        <v>993</v>
      </c>
      <c r="D66" s="13" t="s">
        <v>994</v>
      </c>
      <c r="E66" s="28" t="s">
        <v>61</v>
      </c>
      <c r="F66" s="31">
        <v>1</v>
      </c>
      <c r="G66" s="35">
        <v>40000</v>
      </c>
      <c r="H66" s="35">
        <f t="shared" si="0"/>
        <v>40000</v>
      </c>
      <c r="I66" s="206" t="s">
        <v>78</v>
      </c>
    </row>
    <row r="67" spans="1:9">
      <c r="A67" s="216">
        <v>61</v>
      </c>
      <c r="B67" s="206"/>
      <c r="C67" s="27" t="s">
        <v>995</v>
      </c>
      <c r="D67" s="13" t="s">
        <v>996</v>
      </c>
      <c r="E67" s="206" t="s">
        <v>61</v>
      </c>
      <c r="F67" s="31">
        <v>1</v>
      </c>
      <c r="G67" s="35">
        <v>27300</v>
      </c>
      <c r="H67" s="35">
        <f t="shared" si="0"/>
        <v>27300</v>
      </c>
      <c r="I67" s="206" t="s">
        <v>78</v>
      </c>
    </row>
    <row r="68" spans="1:9">
      <c r="A68" s="95">
        <v>62</v>
      </c>
      <c r="B68" s="206"/>
      <c r="C68" s="27" t="s">
        <v>997</v>
      </c>
      <c r="D68" s="13" t="s">
        <v>998</v>
      </c>
      <c r="E68" s="206" t="s">
        <v>62</v>
      </c>
      <c r="F68" s="31">
        <v>3</v>
      </c>
      <c r="G68" s="35">
        <v>3478</v>
      </c>
      <c r="H68" s="35">
        <f t="shared" si="0"/>
        <v>10434</v>
      </c>
      <c r="I68" s="206" t="s">
        <v>78</v>
      </c>
    </row>
    <row r="69" spans="1:9">
      <c r="A69" s="216">
        <v>63</v>
      </c>
      <c r="B69" s="206"/>
      <c r="C69" s="27" t="s">
        <v>999</v>
      </c>
      <c r="D69" s="13" t="s">
        <v>1000</v>
      </c>
      <c r="E69" s="206" t="s">
        <v>62</v>
      </c>
      <c r="F69" s="31">
        <v>3</v>
      </c>
      <c r="G69" s="35">
        <v>6440</v>
      </c>
      <c r="H69" s="35">
        <f t="shared" si="0"/>
        <v>19320</v>
      </c>
      <c r="I69" s="206" t="s">
        <v>78</v>
      </c>
    </row>
    <row r="70" spans="1:9">
      <c r="A70" s="95">
        <v>64</v>
      </c>
      <c r="B70" s="206"/>
      <c r="C70" s="27" t="s">
        <v>1001</v>
      </c>
      <c r="D70" s="13" t="s">
        <v>1002</v>
      </c>
      <c r="E70" s="206" t="s">
        <v>62</v>
      </c>
      <c r="F70" s="31">
        <v>3</v>
      </c>
      <c r="G70" s="35">
        <v>4466</v>
      </c>
      <c r="H70" s="35">
        <f t="shared" si="0"/>
        <v>13398</v>
      </c>
      <c r="I70" s="206" t="s">
        <v>78</v>
      </c>
    </row>
    <row r="71" spans="1:9">
      <c r="A71" s="216">
        <v>65</v>
      </c>
      <c r="B71" s="206"/>
      <c r="C71" s="27" t="s">
        <v>1003</v>
      </c>
      <c r="D71" s="13" t="s">
        <v>1004</v>
      </c>
      <c r="E71" s="206" t="s">
        <v>62</v>
      </c>
      <c r="F71" s="31">
        <v>6</v>
      </c>
      <c r="G71" s="35">
        <v>1175</v>
      </c>
      <c r="H71" s="35">
        <f t="shared" si="0"/>
        <v>7050</v>
      </c>
      <c r="I71" s="206" t="s">
        <v>78</v>
      </c>
    </row>
    <row r="72" spans="1:9">
      <c r="A72" s="95">
        <v>66</v>
      </c>
      <c r="B72" s="206"/>
      <c r="C72" s="27" t="s">
        <v>1005</v>
      </c>
      <c r="D72" s="120" t="s">
        <v>1006</v>
      </c>
      <c r="E72" s="28" t="s">
        <v>1825</v>
      </c>
      <c r="F72" s="31">
        <v>1</v>
      </c>
      <c r="G72" s="35">
        <v>45000</v>
      </c>
      <c r="H72" s="35">
        <f t="shared" si="0"/>
        <v>45000</v>
      </c>
      <c r="I72" s="206" t="s">
        <v>78</v>
      </c>
    </row>
    <row r="73" spans="1:9">
      <c r="A73" s="216">
        <v>67</v>
      </c>
      <c r="B73" s="206"/>
      <c r="C73" s="27" t="s">
        <v>1007</v>
      </c>
      <c r="D73" s="120" t="s">
        <v>1008</v>
      </c>
      <c r="E73" s="206" t="s">
        <v>61</v>
      </c>
      <c r="F73" s="31">
        <v>1</v>
      </c>
      <c r="G73" s="35">
        <v>16332</v>
      </c>
      <c r="H73" s="35">
        <f t="shared" ref="H73:H93" si="1">SUM(F73*G73)</f>
        <v>16332</v>
      </c>
      <c r="I73" s="206" t="s">
        <v>78</v>
      </c>
    </row>
    <row r="74" spans="1:9">
      <c r="A74" s="95">
        <v>68</v>
      </c>
      <c r="B74" s="206"/>
      <c r="C74" s="27" t="s">
        <v>1009</v>
      </c>
      <c r="D74" s="120" t="s">
        <v>1010</v>
      </c>
      <c r="E74" s="206" t="s">
        <v>61</v>
      </c>
      <c r="F74" s="31">
        <v>1</v>
      </c>
      <c r="G74" s="35">
        <v>16355</v>
      </c>
      <c r="H74" s="35">
        <f t="shared" si="1"/>
        <v>16355</v>
      </c>
      <c r="I74" s="206" t="s">
        <v>78</v>
      </c>
    </row>
    <row r="75" spans="1:9">
      <c r="A75" s="216">
        <v>69</v>
      </c>
      <c r="B75" s="206"/>
      <c r="C75" s="27" t="s">
        <v>1011</v>
      </c>
      <c r="D75" s="120" t="s">
        <v>1012</v>
      </c>
      <c r="E75" s="206" t="s">
        <v>61</v>
      </c>
      <c r="F75" s="31">
        <v>1</v>
      </c>
      <c r="G75" s="35">
        <v>797000</v>
      </c>
      <c r="H75" s="35">
        <f t="shared" si="1"/>
        <v>797000</v>
      </c>
      <c r="I75" s="206" t="s">
        <v>78</v>
      </c>
    </row>
    <row r="76" spans="1:9">
      <c r="A76" s="95">
        <v>70</v>
      </c>
      <c r="B76" s="37"/>
      <c r="C76" s="27" t="s">
        <v>1013</v>
      </c>
      <c r="D76" s="120" t="s">
        <v>1875</v>
      </c>
      <c r="E76" s="28" t="s">
        <v>61</v>
      </c>
      <c r="F76" s="31">
        <v>1</v>
      </c>
      <c r="G76" s="35">
        <v>995000</v>
      </c>
      <c r="H76" s="35">
        <f t="shared" si="1"/>
        <v>995000</v>
      </c>
      <c r="I76" s="99" t="s">
        <v>78</v>
      </c>
    </row>
    <row r="77" spans="1:9">
      <c r="A77" s="216">
        <v>71</v>
      </c>
      <c r="B77" s="37"/>
      <c r="C77" s="27" t="s">
        <v>1014</v>
      </c>
      <c r="D77" s="267" t="s">
        <v>1876</v>
      </c>
      <c r="E77" s="28" t="s">
        <v>61</v>
      </c>
      <c r="F77" s="31">
        <v>1</v>
      </c>
      <c r="G77" s="35">
        <v>498000</v>
      </c>
      <c r="H77" s="35">
        <f t="shared" si="1"/>
        <v>498000</v>
      </c>
      <c r="I77" s="99" t="s">
        <v>78</v>
      </c>
    </row>
    <row r="78" spans="1:9">
      <c r="A78" s="95">
        <v>72</v>
      </c>
      <c r="B78" s="37"/>
      <c r="C78" s="27" t="s">
        <v>1015</v>
      </c>
      <c r="D78" s="120" t="s">
        <v>1877</v>
      </c>
      <c r="E78" s="28" t="s">
        <v>62</v>
      </c>
      <c r="F78" s="31">
        <v>1</v>
      </c>
      <c r="G78" s="35">
        <v>56400</v>
      </c>
      <c r="H78" s="35">
        <f t="shared" si="1"/>
        <v>56400</v>
      </c>
      <c r="I78" s="99" t="s">
        <v>78</v>
      </c>
    </row>
    <row r="79" spans="1:9">
      <c r="A79" s="216">
        <v>73</v>
      </c>
      <c r="B79" s="95"/>
      <c r="C79" s="27" t="s">
        <v>1016</v>
      </c>
      <c r="D79" s="120" t="s">
        <v>56</v>
      </c>
      <c r="E79" s="28" t="s">
        <v>62</v>
      </c>
      <c r="F79" s="31">
        <v>2</v>
      </c>
      <c r="G79" s="35">
        <v>3000</v>
      </c>
      <c r="H79" s="35">
        <f t="shared" si="1"/>
        <v>6000</v>
      </c>
      <c r="I79" s="99" t="s">
        <v>78</v>
      </c>
    </row>
    <row r="80" spans="1:9">
      <c r="A80" s="95">
        <v>74</v>
      </c>
      <c r="B80" s="37"/>
      <c r="C80" s="27" t="s">
        <v>1017</v>
      </c>
      <c r="D80" s="106" t="s">
        <v>1018</v>
      </c>
      <c r="E80" s="28" t="s">
        <v>62</v>
      </c>
      <c r="F80" s="31">
        <v>1</v>
      </c>
      <c r="G80" s="85">
        <v>60000</v>
      </c>
      <c r="H80" s="35">
        <f t="shared" si="1"/>
        <v>60000</v>
      </c>
      <c r="I80" s="99" t="s">
        <v>78</v>
      </c>
    </row>
    <row r="81" spans="1:9">
      <c r="A81" s="216">
        <v>75</v>
      </c>
      <c r="B81" s="37"/>
      <c r="C81" s="27" t="s">
        <v>1019</v>
      </c>
      <c r="D81" s="13" t="s">
        <v>1020</v>
      </c>
      <c r="E81" s="28" t="s">
        <v>62</v>
      </c>
      <c r="F81" s="31">
        <v>2</v>
      </c>
      <c r="G81" s="35">
        <v>3000</v>
      </c>
      <c r="H81" s="35">
        <f t="shared" si="1"/>
        <v>6000</v>
      </c>
      <c r="I81" s="99" t="s">
        <v>78</v>
      </c>
    </row>
    <row r="82" spans="1:9">
      <c r="A82" s="95">
        <v>76</v>
      </c>
      <c r="B82" s="37"/>
      <c r="C82" s="27" t="s">
        <v>1021</v>
      </c>
      <c r="D82" s="267" t="s">
        <v>1672</v>
      </c>
      <c r="E82" s="28" t="s">
        <v>1825</v>
      </c>
      <c r="F82" s="31">
        <v>1</v>
      </c>
      <c r="G82" s="35">
        <v>200000</v>
      </c>
      <c r="H82" s="35">
        <f t="shared" si="1"/>
        <v>200000</v>
      </c>
      <c r="I82" s="107" t="s">
        <v>78</v>
      </c>
    </row>
    <row r="83" spans="1:9">
      <c r="A83" s="216">
        <v>77</v>
      </c>
      <c r="B83" s="102"/>
      <c r="C83" s="27" t="s">
        <v>1022</v>
      </c>
      <c r="D83" s="120" t="s">
        <v>1023</v>
      </c>
      <c r="E83" s="28" t="s">
        <v>1825</v>
      </c>
      <c r="F83" s="31">
        <v>1</v>
      </c>
      <c r="G83" s="35">
        <v>31796</v>
      </c>
      <c r="H83" s="35">
        <f t="shared" si="1"/>
        <v>31796</v>
      </c>
      <c r="I83" s="206" t="s">
        <v>78</v>
      </c>
    </row>
    <row r="84" spans="1:9">
      <c r="A84" s="95">
        <v>78</v>
      </c>
      <c r="B84" s="102"/>
      <c r="C84" s="27" t="s">
        <v>1024</v>
      </c>
      <c r="D84" s="13" t="s">
        <v>1025</v>
      </c>
      <c r="E84" s="28" t="s">
        <v>61</v>
      </c>
      <c r="F84" s="31">
        <v>1</v>
      </c>
      <c r="G84" s="35">
        <v>59100</v>
      </c>
      <c r="H84" s="35">
        <f t="shared" si="1"/>
        <v>59100</v>
      </c>
      <c r="I84" s="206" t="s">
        <v>78</v>
      </c>
    </row>
    <row r="85" spans="1:9">
      <c r="A85" s="216">
        <v>79</v>
      </c>
      <c r="B85" s="94"/>
      <c r="C85" s="125" t="s">
        <v>1026</v>
      </c>
      <c r="D85" s="121" t="s">
        <v>1027</v>
      </c>
      <c r="E85" s="28" t="s">
        <v>61</v>
      </c>
      <c r="F85" s="146">
        <v>11</v>
      </c>
      <c r="G85" s="35">
        <v>77000</v>
      </c>
      <c r="H85" s="35">
        <f t="shared" si="1"/>
        <v>847000</v>
      </c>
      <c r="I85" s="206" t="s">
        <v>78</v>
      </c>
    </row>
    <row r="86" spans="1:9">
      <c r="A86" s="95">
        <v>80</v>
      </c>
      <c r="B86" s="94"/>
      <c r="C86" s="125" t="s">
        <v>1028</v>
      </c>
      <c r="D86" s="121" t="s">
        <v>1029</v>
      </c>
      <c r="E86" s="28" t="s">
        <v>61</v>
      </c>
      <c r="F86" s="146">
        <v>1</v>
      </c>
      <c r="G86" s="35">
        <v>157000</v>
      </c>
      <c r="H86" s="35">
        <f t="shared" si="1"/>
        <v>157000</v>
      </c>
      <c r="I86" s="206" t="s">
        <v>78</v>
      </c>
    </row>
    <row r="87" spans="1:9">
      <c r="A87" s="216">
        <v>81</v>
      </c>
      <c r="B87" s="94"/>
      <c r="C87" s="27" t="s">
        <v>1030</v>
      </c>
      <c r="D87" s="13" t="s">
        <v>1673</v>
      </c>
      <c r="E87" s="28" t="s">
        <v>61</v>
      </c>
      <c r="F87" s="31">
        <v>1</v>
      </c>
      <c r="G87" s="35">
        <v>370000</v>
      </c>
      <c r="H87" s="35">
        <f t="shared" si="1"/>
        <v>370000</v>
      </c>
      <c r="I87" s="206" t="s">
        <v>78</v>
      </c>
    </row>
    <row r="88" spans="1:9">
      <c r="A88" s="95">
        <v>82</v>
      </c>
      <c r="B88" s="104"/>
      <c r="C88" s="27" t="s">
        <v>1031</v>
      </c>
      <c r="D88" s="13" t="s">
        <v>1032</v>
      </c>
      <c r="E88" s="28" t="s">
        <v>61</v>
      </c>
      <c r="F88" s="31">
        <v>1</v>
      </c>
      <c r="G88" s="35">
        <v>199800</v>
      </c>
      <c r="H88" s="35">
        <f t="shared" si="1"/>
        <v>199800</v>
      </c>
      <c r="I88" s="206" t="s">
        <v>78</v>
      </c>
    </row>
    <row r="89" spans="1:9">
      <c r="A89" s="216">
        <v>83</v>
      </c>
      <c r="B89" s="88">
        <v>22114</v>
      </c>
      <c r="C89" s="190"/>
      <c r="D89" s="89" t="s">
        <v>1033</v>
      </c>
      <c r="E89" s="28" t="s">
        <v>61</v>
      </c>
      <c r="F89" s="130">
        <v>1</v>
      </c>
      <c r="G89" s="66">
        <v>6200</v>
      </c>
      <c r="H89" s="35">
        <f t="shared" si="1"/>
        <v>6200</v>
      </c>
      <c r="I89" s="90" t="s">
        <v>78</v>
      </c>
    </row>
    <row r="90" spans="1:9">
      <c r="A90" s="352" t="s">
        <v>1910</v>
      </c>
      <c r="B90" s="352"/>
      <c r="C90" s="352"/>
      <c r="D90" s="352"/>
      <c r="E90" s="28"/>
      <c r="F90" s="130"/>
      <c r="G90" s="66"/>
      <c r="H90" s="35">
        <f>SUM(H48:H89)</f>
        <v>10884500</v>
      </c>
      <c r="I90" s="90"/>
    </row>
    <row r="91" spans="1:9">
      <c r="A91" s="352" t="s">
        <v>1911</v>
      </c>
      <c r="B91" s="352"/>
      <c r="C91" s="352"/>
      <c r="D91" s="352"/>
      <c r="E91" s="28"/>
      <c r="F91" s="130"/>
      <c r="G91" s="66"/>
      <c r="H91" s="35">
        <f>SUM(H90)</f>
        <v>10884500</v>
      </c>
      <c r="I91" s="90"/>
    </row>
    <row r="92" spans="1:9">
      <c r="A92" s="95">
        <v>84</v>
      </c>
      <c r="B92" s="58">
        <v>22189</v>
      </c>
      <c r="C92" s="190"/>
      <c r="D92" s="13" t="s">
        <v>1034</v>
      </c>
      <c r="E92" s="206" t="s">
        <v>563</v>
      </c>
      <c r="F92" s="31">
        <v>2</v>
      </c>
      <c r="G92" s="35">
        <v>16217.5</v>
      </c>
      <c r="H92" s="35">
        <f t="shared" si="1"/>
        <v>32435</v>
      </c>
      <c r="I92" s="90" t="s">
        <v>77</v>
      </c>
    </row>
    <row r="93" spans="1:9">
      <c r="A93" s="216">
        <v>85</v>
      </c>
      <c r="B93" s="88">
        <v>22327</v>
      </c>
      <c r="C93" s="190" t="s">
        <v>1682</v>
      </c>
      <c r="D93" s="10" t="s">
        <v>1922</v>
      </c>
      <c r="E93" s="90" t="s">
        <v>61</v>
      </c>
      <c r="F93" s="130">
        <v>1</v>
      </c>
      <c r="G93" s="66">
        <v>1429940</v>
      </c>
      <c r="H93" s="35">
        <f t="shared" si="1"/>
        <v>1429940</v>
      </c>
      <c r="I93" s="90" t="s">
        <v>78</v>
      </c>
    </row>
    <row r="94" spans="1:9">
      <c r="A94" s="266"/>
      <c r="B94" s="88"/>
      <c r="C94" s="190"/>
      <c r="D94" s="269" t="s">
        <v>1684</v>
      </c>
      <c r="E94" s="90"/>
      <c r="F94" s="130"/>
      <c r="G94" s="66"/>
      <c r="H94" s="66"/>
      <c r="I94" s="90"/>
    </row>
    <row r="95" spans="1:9">
      <c r="A95" s="266"/>
      <c r="B95" s="88"/>
      <c r="C95" s="190"/>
      <c r="D95" s="270" t="s">
        <v>1683</v>
      </c>
      <c r="E95" s="90"/>
      <c r="F95" s="130"/>
      <c r="G95" s="66"/>
      <c r="H95" s="66"/>
      <c r="I95" s="90"/>
    </row>
    <row r="96" spans="1:9">
      <c r="A96" s="266"/>
      <c r="B96" s="88"/>
      <c r="C96" s="190"/>
      <c r="D96" s="269" t="s">
        <v>1685</v>
      </c>
      <c r="E96" s="90"/>
      <c r="F96" s="130"/>
      <c r="G96" s="66"/>
      <c r="H96" s="66"/>
      <c r="I96" s="90"/>
    </row>
    <row r="97" spans="1:9">
      <c r="A97" s="266"/>
      <c r="B97" s="88"/>
      <c r="C97" s="190"/>
      <c r="D97" s="269" t="s">
        <v>1686</v>
      </c>
      <c r="E97" s="90"/>
      <c r="F97" s="130"/>
      <c r="G97" s="66"/>
      <c r="H97" s="66"/>
      <c r="I97" s="90"/>
    </row>
    <row r="98" spans="1:9">
      <c r="A98" s="266"/>
      <c r="B98" s="88"/>
      <c r="C98" s="190"/>
      <c r="D98" s="269" t="s">
        <v>1687</v>
      </c>
      <c r="E98" s="90"/>
      <c r="F98" s="130"/>
      <c r="G98" s="66"/>
      <c r="H98" s="66"/>
      <c r="I98" s="90"/>
    </row>
    <row r="99" spans="1:9">
      <c r="A99" s="266"/>
      <c r="B99" s="88"/>
      <c r="C99" s="190"/>
      <c r="D99" s="269" t="s">
        <v>1688</v>
      </c>
      <c r="E99" s="90"/>
      <c r="F99" s="130"/>
      <c r="G99" s="66"/>
      <c r="H99" s="66"/>
      <c r="I99" s="90"/>
    </row>
    <row r="100" spans="1:9">
      <c r="A100" s="357" t="s">
        <v>465</v>
      </c>
      <c r="B100" s="357"/>
      <c r="C100" s="357"/>
      <c r="D100" s="357"/>
      <c r="E100" s="357"/>
      <c r="F100" s="28"/>
      <c r="G100" s="244"/>
      <c r="H100" s="244">
        <f>SUM(H91:H99)</f>
        <v>12346875</v>
      </c>
      <c r="I100" s="206"/>
    </row>
    <row r="101" spans="1:9">
      <c r="A101" s="334"/>
      <c r="B101" s="260"/>
      <c r="C101" s="260"/>
      <c r="D101" s="260"/>
      <c r="E101" s="260"/>
      <c r="F101" s="268"/>
      <c r="G101" s="255"/>
      <c r="H101" s="255"/>
      <c r="I101" s="258"/>
    </row>
    <row r="102" spans="1:9">
      <c r="A102" s="53"/>
      <c r="B102" s="258"/>
      <c r="C102" s="230"/>
      <c r="D102" s="53"/>
      <c r="E102" s="53"/>
      <c r="F102" s="268"/>
      <c r="G102" s="53"/>
      <c r="H102" s="53"/>
      <c r="I102" s="258"/>
    </row>
    <row r="103" spans="1:9">
      <c r="A103" s="53"/>
      <c r="B103" s="258"/>
      <c r="C103" s="230"/>
      <c r="D103" s="53"/>
      <c r="E103" s="53"/>
      <c r="F103" s="353" t="s">
        <v>1915</v>
      </c>
      <c r="G103" s="353"/>
      <c r="H103" s="353"/>
      <c r="I103" s="353"/>
    </row>
    <row r="104" spans="1:9">
      <c r="A104" s="53"/>
      <c r="B104" s="258"/>
      <c r="C104" s="230"/>
      <c r="D104" s="53"/>
      <c r="E104" s="53"/>
      <c r="F104" s="353" t="s">
        <v>1760</v>
      </c>
      <c r="G104" s="353"/>
      <c r="H104" s="353"/>
      <c r="I104" s="353"/>
    </row>
    <row r="105" spans="1:9">
      <c r="A105" s="53"/>
      <c r="B105" s="258"/>
      <c r="C105" s="230"/>
      <c r="D105" s="53"/>
      <c r="E105" s="53"/>
      <c r="F105" s="353" t="s">
        <v>226</v>
      </c>
      <c r="G105" s="353"/>
      <c r="H105" s="353"/>
      <c r="I105" s="353"/>
    </row>
  </sheetData>
  <mergeCells count="11">
    <mergeCell ref="A90:D90"/>
    <mergeCell ref="A91:D91"/>
    <mergeCell ref="F105:I105"/>
    <mergeCell ref="A1:I1"/>
    <mergeCell ref="A2:I2"/>
    <mergeCell ref="A3:I3"/>
    <mergeCell ref="A100:E100"/>
    <mergeCell ref="F103:I103"/>
    <mergeCell ref="F104:I104"/>
    <mergeCell ref="A47:D47"/>
    <mergeCell ref="A48:D48"/>
  </mergeCells>
  <printOptions horizontalCentered="1"/>
  <pageMargins left="0.19685039370078741" right="0" top="0.59055118110236227" bottom="0.19685039370078741" header="0" footer="0"/>
  <pageSetup paperSize="9" scale="70" fitToHeight="0" orientation="portrait" r:id="rId1"/>
  <rowBreaks count="2" manualBreakCount="2">
    <brk id="47" max="16383" man="1"/>
    <brk id="9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4"/>
  <sheetViews>
    <sheetView topLeftCell="A4" zoomScaleNormal="100" workbookViewId="0">
      <selection activeCell="L13" sqref="L13"/>
    </sheetView>
  </sheetViews>
  <sheetFormatPr defaultColWidth="9" defaultRowHeight="24"/>
  <cols>
    <col min="1" max="1" width="5.42578125" style="14" customWidth="1"/>
    <col min="2" max="2" width="12.28515625" style="14" customWidth="1"/>
    <col min="3" max="3" width="29.28515625" style="14" customWidth="1"/>
    <col min="4" max="4" width="39.7109375" style="14" customWidth="1"/>
    <col min="5" max="5" width="6.7109375" style="14" customWidth="1"/>
    <col min="6" max="6" width="7" style="14" customWidth="1"/>
    <col min="7" max="7" width="12.5703125" style="14" customWidth="1"/>
    <col min="8" max="8" width="14.28515625" style="14" customWidth="1"/>
    <col min="9" max="9" width="8.7109375" style="261" customWidth="1"/>
    <col min="10" max="10" width="14.28515625" style="14" customWidth="1"/>
    <col min="11" max="12" width="10.140625" style="14" customWidth="1"/>
    <col min="13" max="16384" width="9" style="14"/>
  </cols>
  <sheetData>
    <row r="1" spans="1:12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61"/>
      <c r="K1" s="261"/>
      <c r="L1" s="261"/>
    </row>
    <row r="2" spans="1:12">
      <c r="A2" s="355" t="s">
        <v>1629</v>
      </c>
      <c r="B2" s="355"/>
      <c r="C2" s="355"/>
      <c r="D2" s="355"/>
      <c r="E2" s="355"/>
      <c r="F2" s="355"/>
      <c r="G2" s="355"/>
      <c r="H2" s="355"/>
      <c r="I2" s="355"/>
      <c r="J2" s="263"/>
      <c r="K2" s="263"/>
      <c r="L2" s="263"/>
    </row>
    <row r="3" spans="1:12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58"/>
      <c r="K3" s="258"/>
      <c r="L3" s="258"/>
    </row>
    <row r="4" spans="1:12" s="261" customFormat="1" ht="42.7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  <c r="J4" s="262"/>
      <c r="K4" s="262"/>
      <c r="L4" s="262"/>
    </row>
    <row r="5" spans="1:12">
      <c r="A5" s="95">
        <v>1</v>
      </c>
      <c r="B5" s="37"/>
      <c r="C5" s="272" t="s">
        <v>1630</v>
      </c>
      <c r="D5" s="273" t="s">
        <v>895</v>
      </c>
      <c r="E5" s="28" t="s">
        <v>61</v>
      </c>
      <c r="F5" s="274">
        <v>4</v>
      </c>
      <c r="G5" s="275">
        <v>4850</v>
      </c>
      <c r="H5" s="275">
        <f>SUM(F5*G5)</f>
        <v>19400</v>
      </c>
      <c r="I5" s="99" t="s">
        <v>78</v>
      </c>
      <c r="J5" s="243"/>
      <c r="K5" s="243"/>
      <c r="L5" s="243"/>
    </row>
    <row r="6" spans="1:12">
      <c r="A6" s="216">
        <v>2</v>
      </c>
      <c r="B6" s="100"/>
      <c r="C6" s="272" t="s">
        <v>1631</v>
      </c>
      <c r="D6" s="273" t="s">
        <v>897</v>
      </c>
      <c r="E6" s="28" t="s">
        <v>61</v>
      </c>
      <c r="F6" s="274">
        <v>5</v>
      </c>
      <c r="G6" s="275">
        <v>5000</v>
      </c>
      <c r="H6" s="275">
        <f t="shared" ref="H6:H18" si="0">SUM(F6*G6)</f>
        <v>25000</v>
      </c>
      <c r="I6" s="99" t="s">
        <v>78</v>
      </c>
      <c r="J6" s="243"/>
      <c r="K6" s="243"/>
      <c r="L6" s="243"/>
    </row>
    <row r="7" spans="1:12">
      <c r="A7" s="95">
        <v>3</v>
      </c>
      <c r="B7" s="37"/>
      <c r="C7" s="272" t="s">
        <v>1632</v>
      </c>
      <c r="D7" s="273" t="s">
        <v>893</v>
      </c>
      <c r="E7" s="28" t="s">
        <v>61</v>
      </c>
      <c r="F7" s="274">
        <v>1</v>
      </c>
      <c r="G7" s="275">
        <v>18500</v>
      </c>
      <c r="H7" s="275">
        <f t="shared" si="0"/>
        <v>18500</v>
      </c>
      <c r="I7" s="99" t="s">
        <v>77</v>
      </c>
      <c r="J7" s="243"/>
      <c r="K7" s="243"/>
      <c r="L7" s="243"/>
    </row>
    <row r="8" spans="1:12">
      <c r="A8" s="216">
        <v>4</v>
      </c>
      <c r="B8" s="37"/>
      <c r="C8" s="272" t="s">
        <v>1633</v>
      </c>
      <c r="D8" s="271" t="s">
        <v>1923</v>
      </c>
      <c r="E8" s="28" t="s">
        <v>61</v>
      </c>
      <c r="F8" s="274">
        <v>1</v>
      </c>
      <c r="G8" s="275">
        <v>8400</v>
      </c>
      <c r="H8" s="275">
        <f t="shared" si="0"/>
        <v>8400</v>
      </c>
      <c r="I8" s="99" t="s">
        <v>78</v>
      </c>
      <c r="J8" s="243"/>
      <c r="K8" s="243"/>
      <c r="L8" s="243"/>
    </row>
    <row r="9" spans="1:12">
      <c r="A9" s="216">
        <v>5</v>
      </c>
      <c r="B9" s="37"/>
      <c r="C9" s="44" t="s">
        <v>1634</v>
      </c>
      <c r="D9" s="271" t="s">
        <v>1924</v>
      </c>
      <c r="E9" s="28" t="s">
        <v>61</v>
      </c>
      <c r="F9" s="143">
        <v>1</v>
      </c>
      <c r="G9" s="275">
        <v>8400</v>
      </c>
      <c r="H9" s="275">
        <f t="shared" si="0"/>
        <v>8400</v>
      </c>
      <c r="I9" s="99" t="s">
        <v>78</v>
      </c>
      <c r="J9" s="243"/>
      <c r="K9" s="243"/>
      <c r="L9" s="243"/>
    </row>
    <row r="10" spans="1:12">
      <c r="A10" s="216">
        <v>6</v>
      </c>
      <c r="B10" s="37"/>
      <c r="C10" s="272" t="s">
        <v>1635</v>
      </c>
      <c r="D10" s="273" t="s">
        <v>1636</v>
      </c>
      <c r="E10" s="28" t="s">
        <v>61</v>
      </c>
      <c r="F10" s="274">
        <v>1</v>
      </c>
      <c r="G10" s="275">
        <v>55961</v>
      </c>
      <c r="H10" s="275">
        <f t="shared" si="0"/>
        <v>55961</v>
      </c>
      <c r="I10" s="99" t="s">
        <v>78</v>
      </c>
      <c r="J10" s="243"/>
      <c r="K10" s="243"/>
      <c r="L10" s="243"/>
    </row>
    <row r="11" spans="1:12">
      <c r="A11" s="95">
        <v>7</v>
      </c>
      <c r="B11" s="37"/>
      <c r="C11" s="272" t="s">
        <v>1637</v>
      </c>
      <c r="D11" s="273" t="s">
        <v>1638</v>
      </c>
      <c r="E11" s="28" t="s">
        <v>61</v>
      </c>
      <c r="F11" s="274">
        <v>1</v>
      </c>
      <c r="G11" s="275">
        <v>19795</v>
      </c>
      <c r="H11" s="275">
        <f t="shared" si="0"/>
        <v>19795</v>
      </c>
      <c r="I11" s="99" t="s">
        <v>77</v>
      </c>
      <c r="J11" s="243"/>
      <c r="K11" s="243"/>
      <c r="L11" s="243"/>
    </row>
    <row r="12" spans="1:12">
      <c r="A12" s="216">
        <v>8</v>
      </c>
      <c r="B12" s="37"/>
      <c r="C12" s="272" t="s">
        <v>1639</v>
      </c>
      <c r="D12" s="273" t="s">
        <v>986</v>
      </c>
      <c r="E12" s="28" t="s">
        <v>61</v>
      </c>
      <c r="F12" s="274">
        <v>3</v>
      </c>
      <c r="G12" s="275">
        <v>70000</v>
      </c>
      <c r="H12" s="275">
        <f t="shared" si="0"/>
        <v>210000</v>
      </c>
      <c r="I12" s="107" t="s">
        <v>78</v>
      </c>
      <c r="J12" s="256"/>
      <c r="K12" s="256"/>
      <c r="L12" s="256"/>
    </row>
    <row r="13" spans="1:12">
      <c r="A13" s="95">
        <v>9</v>
      </c>
      <c r="B13" s="102"/>
      <c r="C13" s="272" t="s">
        <v>1640</v>
      </c>
      <c r="D13" s="273" t="s">
        <v>1641</v>
      </c>
      <c r="E13" s="28" t="s">
        <v>62</v>
      </c>
      <c r="F13" s="274">
        <v>1</v>
      </c>
      <c r="G13" s="275">
        <v>3478</v>
      </c>
      <c r="H13" s="275">
        <f t="shared" si="0"/>
        <v>3478</v>
      </c>
      <c r="I13" s="107" t="s">
        <v>78</v>
      </c>
      <c r="J13" s="256"/>
      <c r="K13" s="256"/>
      <c r="L13" s="256"/>
    </row>
    <row r="14" spans="1:12">
      <c r="A14" s="216">
        <v>10</v>
      </c>
      <c r="B14" s="102"/>
      <c r="C14" s="272" t="s">
        <v>1642</v>
      </c>
      <c r="D14" s="273" t="s">
        <v>1643</v>
      </c>
      <c r="E14" s="28" t="s">
        <v>62</v>
      </c>
      <c r="F14" s="274">
        <v>2</v>
      </c>
      <c r="G14" s="275">
        <v>3000</v>
      </c>
      <c r="H14" s="275">
        <f t="shared" si="0"/>
        <v>6000</v>
      </c>
      <c r="I14" s="206" t="s">
        <v>78</v>
      </c>
      <c r="J14" s="53"/>
      <c r="K14" s="53"/>
      <c r="L14" s="53"/>
    </row>
    <row r="15" spans="1:12">
      <c r="A15" s="95">
        <v>11</v>
      </c>
      <c r="B15" s="102"/>
      <c r="C15" s="125" t="s">
        <v>1644</v>
      </c>
      <c r="D15" s="122" t="s">
        <v>1645</v>
      </c>
      <c r="E15" s="28" t="s">
        <v>61</v>
      </c>
      <c r="F15" s="146">
        <v>2</v>
      </c>
      <c r="G15" s="35">
        <v>15000</v>
      </c>
      <c r="H15" s="275">
        <f t="shared" si="0"/>
        <v>30000</v>
      </c>
      <c r="I15" s="206" t="s">
        <v>78</v>
      </c>
      <c r="J15" s="53"/>
      <c r="K15" s="53"/>
      <c r="L15" s="53"/>
    </row>
    <row r="16" spans="1:12">
      <c r="A16" s="216">
        <v>12</v>
      </c>
      <c r="B16" s="102"/>
      <c r="C16" s="125" t="s">
        <v>538</v>
      </c>
      <c r="D16" s="122" t="s">
        <v>1646</v>
      </c>
      <c r="E16" s="28" t="s">
        <v>61</v>
      </c>
      <c r="F16" s="146">
        <v>1</v>
      </c>
      <c r="G16" s="35">
        <v>25000</v>
      </c>
      <c r="H16" s="275">
        <f t="shared" si="0"/>
        <v>25000</v>
      </c>
      <c r="I16" s="206" t="s">
        <v>77</v>
      </c>
      <c r="J16" s="53"/>
      <c r="K16" s="53"/>
      <c r="L16" s="53"/>
    </row>
    <row r="17" spans="1:12">
      <c r="A17" s="95">
        <v>13</v>
      </c>
      <c r="B17" s="94"/>
      <c r="C17" s="125" t="s">
        <v>1647</v>
      </c>
      <c r="D17" s="122" t="s">
        <v>125</v>
      </c>
      <c r="E17" s="28" t="s">
        <v>61</v>
      </c>
      <c r="F17" s="146">
        <v>1</v>
      </c>
      <c r="G17" s="35">
        <v>4000</v>
      </c>
      <c r="H17" s="275">
        <f t="shared" si="0"/>
        <v>4000</v>
      </c>
      <c r="I17" s="206" t="s">
        <v>77</v>
      </c>
      <c r="J17" s="53"/>
      <c r="K17" s="53"/>
      <c r="L17" s="53"/>
    </row>
    <row r="18" spans="1:12">
      <c r="A18" s="216">
        <v>14</v>
      </c>
      <c r="B18" s="94"/>
      <c r="C18" s="106" t="s">
        <v>1648</v>
      </c>
      <c r="D18" s="106" t="s">
        <v>1649</v>
      </c>
      <c r="E18" s="28" t="s">
        <v>61</v>
      </c>
      <c r="F18" s="142">
        <v>1</v>
      </c>
      <c r="G18" s="34">
        <v>588000</v>
      </c>
      <c r="H18" s="275">
        <f t="shared" si="0"/>
        <v>588000</v>
      </c>
      <c r="I18" s="206" t="s">
        <v>78</v>
      </c>
      <c r="J18" s="53"/>
      <c r="K18" s="53"/>
      <c r="L18" s="53"/>
    </row>
    <row r="19" spans="1:12">
      <c r="A19" s="358" t="s">
        <v>465</v>
      </c>
      <c r="B19" s="359"/>
      <c r="C19" s="359"/>
      <c r="D19" s="359"/>
      <c r="E19" s="360"/>
      <c r="F19" s="28"/>
      <c r="G19" s="244"/>
      <c r="H19" s="245">
        <f>SUM(H5:H18)</f>
        <v>1021934</v>
      </c>
      <c r="I19" s="259"/>
      <c r="J19" s="252"/>
      <c r="K19" s="258"/>
      <c r="L19" s="258"/>
    </row>
    <row r="20" spans="1:12">
      <c r="A20" s="260"/>
      <c r="B20" s="260"/>
      <c r="C20" s="260"/>
      <c r="D20" s="260"/>
      <c r="E20" s="260"/>
      <c r="F20" s="268"/>
      <c r="G20" s="255"/>
      <c r="H20" s="255"/>
      <c r="I20" s="258"/>
      <c r="J20" s="252"/>
      <c r="K20" s="258"/>
      <c r="L20" s="258"/>
    </row>
    <row r="21" spans="1:12">
      <c r="A21" s="53"/>
      <c r="B21" s="53"/>
      <c r="C21" s="53"/>
      <c r="D21" s="53"/>
      <c r="E21" s="53"/>
      <c r="F21" s="268"/>
      <c r="G21" s="53"/>
      <c r="H21" s="53"/>
      <c r="I21" s="258"/>
      <c r="J21" s="53"/>
      <c r="K21" s="53"/>
      <c r="L21" s="53"/>
    </row>
    <row r="22" spans="1:12">
      <c r="A22" s="53"/>
      <c r="B22" s="53"/>
      <c r="C22" s="53"/>
      <c r="D22" s="53"/>
      <c r="E22" s="53"/>
      <c r="F22" s="353" t="s">
        <v>1933</v>
      </c>
      <c r="G22" s="353"/>
      <c r="H22" s="353"/>
      <c r="I22" s="353"/>
      <c r="J22" s="258"/>
      <c r="K22" s="258"/>
      <c r="L22" s="258"/>
    </row>
    <row r="23" spans="1:12">
      <c r="A23" s="53"/>
      <c r="B23" s="53"/>
      <c r="C23" s="53"/>
      <c r="D23" s="53"/>
      <c r="E23" s="53"/>
      <c r="F23" s="353" t="s">
        <v>1760</v>
      </c>
      <c r="G23" s="353"/>
      <c r="H23" s="353"/>
      <c r="I23" s="353"/>
      <c r="J23" s="258"/>
      <c r="K23" s="258"/>
      <c r="L23" s="258"/>
    </row>
    <row r="24" spans="1:12">
      <c r="A24" s="53"/>
      <c r="B24" s="53"/>
      <c r="C24" s="53"/>
      <c r="D24" s="53"/>
      <c r="E24" s="53"/>
      <c r="F24" s="353" t="s">
        <v>226</v>
      </c>
      <c r="G24" s="353"/>
      <c r="H24" s="353"/>
      <c r="I24" s="353"/>
      <c r="J24" s="258"/>
      <c r="K24" s="258"/>
      <c r="L24" s="258"/>
    </row>
  </sheetData>
  <mergeCells count="7">
    <mergeCell ref="A19:E19"/>
    <mergeCell ref="F22:I22"/>
    <mergeCell ref="F24:I24"/>
    <mergeCell ref="F23:I2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45"/>
  <sheetViews>
    <sheetView zoomScaleNormal="100" workbookViewId="0">
      <selection activeCell="C5" sqref="C5"/>
    </sheetView>
  </sheetViews>
  <sheetFormatPr defaultColWidth="9" defaultRowHeight="24"/>
  <cols>
    <col min="1" max="1" width="5.28515625" style="14" customWidth="1"/>
    <col min="2" max="2" width="12.85546875" style="14" customWidth="1"/>
    <col min="3" max="3" width="34.28515625" style="14" customWidth="1"/>
    <col min="4" max="4" width="45.5703125" style="14" customWidth="1"/>
    <col min="5" max="5" width="6.5703125" style="14" customWidth="1"/>
    <col min="6" max="6" width="6.28515625" style="14" customWidth="1"/>
    <col min="7" max="7" width="12.7109375" style="14" customWidth="1"/>
    <col min="8" max="8" width="14.5703125" style="14" customWidth="1"/>
    <col min="9" max="9" width="9.7109375" style="261" customWidth="1"/>
    <col min="10" max="16384" width="9" style="14"/>
  </cols>
  <sheetData>
    <row r="1" spans="1:9">
      <c r="A1" s="354" t="s">
        <v>664</v>
      </c>
      <c r="B1" s="354"/>
      <c r="C1" s="354"/>
      <c r="D1" s="354"/>
      <c r="E1" s="354"/>
      <c r="F1" s="354"/>
      <c r="G1" s="354"/>
      <c r="H1" s="354"/>
      <c r="I1" s="354"/>
    </row>
    <row r="2" spans="1:9">
      <c r="A2" s="355" t="s">
        <v>1254</v>
      </c>
      <c r="B2" s="355"/>
      <c r="C2" s="355"/>
      <c r="D2" s="355"/>
      <c r="E2" s="355"/>
      <c r="F2" s="355"/>
      <c r="G2" s="355"/>
      <c r="H2" s="355"/>
      <c r="I2" s="355"/>
    </row>
    <row r="3" spans="1:9">
      <c r="A3" s="361" t="s">
        <v>1781</v>
      </c>
      <c r="B3" s="361"/>
      <c r="C3" s="361"/>
      <c r="D3" s="361"/>
      <c r="E3" s="361"/>
      <c r="F3" s="361"/>
      <c r="G3" s="361"/>
      <c r="H3" s="361"/>
      <c r="I3" s="361"/>
    </row>
    <row r="4" spans="1:9" ht="42.7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</row>
    <row r="5" spans="1:9">
      <c r="A5" s="95">
        <v>1</v>
      </c>
      <c r="B5" s="37"/>
      <c r="C5" s="217" t="s">
        <v>1255</v>
      </c>
      <c r="D5" s="13" t="s">
        <v>1256</v>
      </c>
      <c r="E5" s="28" t="s">
        <v>61</v>
      </c>
      <c r="F5" s="276">
        <v>1</v>
      </c>
      <c r="G5" s="35">
        <v>15400</v>
      </c>
      <c r="H5" s="35">
        <f>SUM(F5*G5)</f>
        <v>15400</v>
      </c>
      <c r="I5" s="99" t="s">
        <v>78</v>
      </c>
    </row>
    <row r="6" spans="1:9">
      <c r="A6" s="216">
        <v>2</v>
      </c>
      <c r="B6" s="100"/>
      <c r="C6" s="217" t="s">
        <v>1257</v>
      </c>
      <c r="D6" s="13" t="s">
        <v>1258</v>
      </c>
      <c r="E6" s="28" t="s">
        <v>61</v>
      </c>
      <c r="F6" s="276">
        <v>1</v>
      </c>
      <c r="G6" s="35">
        <v>56074.76</v>
      </c>
      <c r="H6" s="35">
        <f t="shared" ref="H6:H39" si="0">SUM(F6*G6)</f>
        <v>56074.76</v>
      </c>
      <c r="I6" s="99" t="s">
        <v>77</v>
      </c>
    </row>
    <row r="7" spans="1:9">
      <c r="A7" s="95">
        <v>3</v>
      </c>
      <c r="B7" s="37"/>
      <c r="C7" s="217" t="s">
        <v>1259</v>
      </c>
      <c r="D7" s="13" t="s">
        <v>1260</v>
      </c>
      <c r="E7" s="28" t="s">
        <v>61</v>
      </c>
      <c r="F7" s="276">
        <v>1</v>
      </c>
      <c r="G7" s="35">
        <v>158700</v>
      </c>
      <c r="H7" s="35">
        <f t="shared" si="0"/>
        <v>158700</v>
      </c>
      <c r="I7" s="99" t="s">
        <v>78</v>
      </c>
    </row>
    <row r="8" spans="1:9">
      <c r="A8" s="216">
        <v>4</v>
      </c>
      <c r="B8" s="37"/>
      <c r="C8" s="217" t="s">
        <v>1261</v>
      </c>
      <c r="D8" s="13" t="s">
        <v>1262</v>
      </c>
      <c r="E8" s="28" t="s">
        <v>61</v>
      </c>
      <c r="F8" s="276">
        <v>10</v>
      </c>
      <c r="G8" s="35">
        <v>3000</v>
      </c>
      <c r="H8" s="35">
        <f t="shared" si="0"/>
        <v>30000</v>
      </c>
      <c r="I8" s="99" t="s">
        <v>77</v>
      </c>
    </row>
    <row r="9" spans="1:9">
      <c r="A9" s="95">
        <v>5</v>
      </c>
      <c r="B9" s="37"/>
      <c r="C9" s="217" t="s">
        <v>1263</v>
      </c>
      <c r="D9" s="13" t="s">
        <v>1264</v>
      </c>
      <c r="E9" s="28" t="s">
        <v>61</v>
      </c>
      <c r="F9" s="276">
        <v>10</v>
      </c>
      <c r="G9" s="35">
        <v>10000</v>
      </c>
      <c r="H9" s="35">
        <f t="shared" si="0"/>
        <v>100000</v>
      </c>
      <c r="I9" s="99" t="s">
        <v>78</v>
      </c>
    </row>
    <row r="10" spans="1:9">
      <c r="A10" s="216">
        <v>6</v>
      </c>
      <c r="B10" s="37"/>
      <c r="C10" s="217" t="s">
        <v>1265</v>
      </c>
      <c r="D10" s="27" t="s">
        <v>1266</v>
      </c>
      <c r="E10" s="28" t="s">
        <v>61</v>
      </c>
      <c r="F10" s="276">
        <v>10</v>
      </c>
      <c r="G10" s="35">
        <v>3000</v>
      </c>
      <c r="H10" s="35">
        <f t="shared" si="0"/>
        <v>30000</v>
      </c>
      <c r="I10" s="99" t="s">
        <v>77</v>
      </c>
    </row>
    <row r="11" spans="1:9">
      <c r="A11" s="95">
        <v>7</v>
      </c>
      <c r="B11" s="95"/>
      <c r="C11" s="217" t="s">
        <v>1267</v>
      </c>
      <c r="D11" s="27" t="s">
        <v>1268</v>
      </c>
      <c r="E11" s="28" t="s">
        <v>61</v>
      </c>
      <c r="F11" s="276">
        <v>5</v>
      </c>
      <c r="G11" s="35">
        <v>14980</v>
      </c>
      <c r="H11" s="35">
        <f t="shared" si="0"/>
        <v>74900</v>
      </c>
      <c r="I11" s="99" t="s">
        <v>78</v>
      </c>
    </row>
    <row r="12" spans="1:9">
      <c r="A12" s="95">
        <v>8</v>
      </c>
      <c r="B12" s="37"/>
      <c r="C12" s="217" t="s">
        <v>1269</v>
      </c>
      <c r="D12" s="27" t="s">
        <v>1270</v>
      </c>
      <c r="E12" s="28" t="s">
        <v>61</v>
      </c>
      <c r="F12" s="276">
        <v>1</v>
      </c>
      <c r="G12" s="35">
        <v>59920</v>
      </c>
      <c r="H12" s="35">
        <f t="shared" si="0"/>
        <v>59920</v>
      </c>
      <c r="I12" s="99" t="s">
        <v>78</v>
      </c>
    </row>
    <row r="13" spans="1:9">
      <c r="A13" s="216">
        <v>9</v>
      </c>
      <c r="B13" s="37"/>
      <c r="C13" s="217" t="s">
        <v>1271</v>
      </c>
      <c r="D13" s="13" t="s">
        <v>1272</v>
      </c>
      <c r="E13" s="28" t="s">
        <v>61</v>
      </c>
      <c r="F13" s="276">
        <v>1</v>
      </c>
      <c r="G13" s="35">
        <v>40000</v>
      </c>
      <c r="H13" s="35">
        <f t="shared" si="0"/>
        <v>40000</v>
      </c>
      <c r="I13" s="107" t="s">
        <v>77</v>
      </c>
    </row>
    <row r="14" spans="1:9">
      <c r="A14" s="95">
        <v>10</v>
      </c>
      <c r="B14" s="102"/>
      <c r="C14" s="217" t="s">
        <v>1273</v>
      </c>
      <c r="D14" s="277" t="s">
        <v>1274</v>
      </c>
      <c r="E14" s="28" t="s">
        <v>61</v>
      </c>
      <c r="F14" s="278">
        <v>10</v>
      </c>
      <c r="G14" s="35">
        <v>40000</v>
      </c>
      <c r="H14" s="35">
        <f t="shared" si="0"/>
        <v>400000</v>
      </c>
      <c r="I14" s="107" t="s">
        <v>77</v>
      </c>
    </row>
    <row r="15" spans="1:9">
      <c r="A15" s="216">
        <v>11</v>
      </c>
      <c r="B15" s="102"/>
      <c r="C15" s="217" t="s">
        <v>1275</v>
      </c>
      <c r="D15" s="13" t="s">
        <v>1276</v>
      </c>
      <c r="E15" s="28" t="s">
        <v>61</v>
      </c>
      <c r="F15" s="276">
        <v>5</v>
      </c>
      <c r="G15" s="35">
        <v>4494</v>
      </c>
      <c r="H15" s="35">
        <f t="shared" si="0"/>
        <v>22470</v>
      </c>
      <c r="I15" s="206" t="s">
        <v>78</v>
      </c>
    </row>
    <row r="16" spans="1:9">
      <c r="A16" s="95">
        <v>12</v>
      </c>
      <c r="B16" s="102"/>
      <c r="C16" s="27" t="s">
        <v>1277</v>
      </c>
      <c r="D16" s="13" t="s">
        <v>1278</v>
      </c>
      <c r="E16" s="28" t="s">
        <v>61</v>
      </c>
      <c r="F16" s="276">
        <v>5</v>
      </c>
      <c r="G16" s="35">
        <v>4494</v>
      </c>
      <c r="H16" s="35">
        <f t="shared" si="0"/>
        <v>22470</v>
      </c>
      <c r="I16" s="206" t="s">
        <v>78</v>
      </c>
    </row>
    <row r="17" spans="1:9">
      <c r="A17" s="216">
        <v>13</v>
      </c>
      <c r="B17" s="102"/>
      <c r="C17" s="27" t="s">
        <v>1279</v>
      </c>
      <c r="D17" s="13" t="s">
        <v>1280</v>
      </c>
      <c r="E17" s="28" t="s">
        <v>61</v>
      </c>
      <c r="F17" s="276">
        <v>1</v>
      </c>
      <c r="G17" s="35">
        <v>2461</v>
      </c>
      <c r="H17" s="35">
        <f t="shared" si="0"/>
        <v>2461</v>
      </c>
      <c r="I17" s="206" t="s">
        <v>78</v>
      </c>
    </row>
    <row r="18" spans="1:9">
      <c r="A18" s="95">
        <v>14</v>
      </c>
      <c r="B18" s="94"/>
      <c r="C18" s="217" t="s">
        <v>1281</v>
      </c>
      <c r="D18" s="13" t="s">
        <v>1282</v>
      </c>
      <c r="E18" s="28" t="s">
        <v>61</v>
      </c>
      <c r="F18" s="276">
        <v>1</v>
      </c>
      <c r="G18" s="35">
        <v>199700</v>
      </c>
      <c r="H18" s="35">
        <f t="shared" si="0"/>
        <v>199700</v>
      </c>
      <c r="I18" s="206" t="s">
        <v>77</v>
      </c>
    </row>
    <row r="19" spans="1:9">
      <c r="A19" s="216">
        <v>15</v>
      </c>
      <c r="B19" s="94"/>
      <c r="C19" s="217" t="s">
        <v>1283</v>
      </c>
      <c r="D19" s="13" t="s">
        <v>1680</v>
      </c>
      <c r="E19" s="28" t="s">
        <v>61</v>
      </c>
      <c r="F19" s="276">
        <v>1</v>
      </c>
      <c r="G19" s="35">
        <v>4700</v>
      </c>
      <c r="H19" s="35">
        <f t="shared" si="0"/>
        <v>4700</v>
      </c>
      <c r="I19" s="206" t="s">
        <v>78</v>
      </c>
    </row>
    <row r="20" spans="1:9">
      <c r="A20" s="216">
        <v>16</v>
      </c>
      <c r="B20" s="94"/>
      <c r="C20" s="27" t="s">
        <v>1284</v>
      </c>
      <c r="D20" s="13" t="s">
        <v>1285</v>
      </c>
      <c r="E20" s="28" t="s">
        <v>61</v>
      </c>
      <c r="F20" s="276">
        <v>1</v>
      </c>
      <c r="G20" s="35">
        <v>9950</v>
      </c>
      <c r="H20" s="35">
        <f t="shared" si="0"/>
        <v>9950</v>
      </c>
      <c r="I20" s="206" t="s">
        <v>77</v>
      </c>
    </row>
    <row r="21" spans="1:9">
      <c r="A21" s="95">
        <v>17</v>
      </c>
      <c r="B21" s="220"/>
      <c r="C21" s="27" t="s">
        <v>1286</v>
      </c>
      <c r="D21" s="13" t="s">
        <v>653</v>
      </c>
      <c r="E21" s="28" t="s">
        <v>62</v>
      </c>
      <c r="F21" s="276">
        <v>1</v>
      </c>
      <c r="G21" s="35">
        <v>33000</v>
      </c>
      <c r="H21" s="35">
        <f t="shared" si="0"/>
        <v>33000</v>
      </c>
      <c r="I21" s="206" t="s">
        <v>77</v>
      </c>
    </row>
    <row r="22" spans="1:9">
      <c r="A22" s="216">
        <v>18</v>
      </c>
      <c r="B22" s="206"/>
      <c r="C22" s="27" t="s">
        <v>1287</v>
      </c>
      <c r="D22" s="13" t="s">
        <v>1288</v>
      </c>
      <c r="E22" s="206" t="s">
        <v>61</v>
      </c>
      <c r="F22" s="276">
        <v>1</v>
      </c>
      <c r="G22" s="35">
        <v>60000</v>
      </c>
      <c r="H22" s="35">
        <f t="shared" si="0"/>
        <v>60000</v>
      </c>
      <c r="I22" s="206" t="s">
        <v>78</v>
      </c>
    </row>
    <row r="23" spans="1:9">
      <c r="A23" s="95">
        <v>19</v>
      </c>
      <c r="B23" s="26"/>
      <c r="C23" s="27" t="s">
        <v>1289</v>
      </c>
      <c r="D23" s="13" t="s">
        <v>1290</v>
      </c>
      <c r="E23" s="206" t="s">
        <v>61</v>
      </c>
      <c r="F23" s="276">
        <v>1</v>
      </c>
      <c r="G23" s="35">
        <v>28000</v>
      </c>
      <c r="H23" s="35">
        <f t="shared" si="0"/>
        <v>28000</v>
      </c>
      <c r="I23" s="206" t="s">
        <v>77</v>
      </c>
    </row>
    <row r="24" spans="1:9">
      <c r="A24" s="216">
        <v>20</v>
      </c>
      <c r="B24" s="26"/>
      <c r="C24" s="27" t="s">
        <v>1291</v>
      </c>
      <c r="D24" s="13" t="s">
        <v>1292</v>
      </c>
      <c r="E24" s="206" t="s">
        <v>61</v>
      </c>
      <c r="F24" s="276">
        <v>1</v>
      </c>
      <c r="G24" s="35">
        <v>12550</v>
      </c>
      <c r="H24" s="35">
        <f t="shared" si="0"/>
        <v>12550</v>
      </c>
      <c r="I24" s="206" t="s">
        <v>77</v>
      </c>
    </row>
    <row r="25" spans="1:9">
      <c r="A25" s="95">
        <v>21</v>
      </c>
      <c r="B25" s="26"/>
      <c r="C25" s="27" t="s">
        <v>1293</v>
      </c>
      <c r="D25" s="13" t="s">
        <v>1294</v>
      </c>
      <c r="E25" s="206" t="s">
        <v>62</v>
      </c>
      <c r="F25" s="276">
        <v>2</v>
      </c>
      <c r="G25" s="35">
        <v>2800</v>
      </c>
      <c r="H25" s="35">
        <f t="shared" si="0"/>
        <v>5600</v>
      </c>
      <c r="I25" s="206" t="s">
        <v>78</v>
      </c>
    </row>
    <row r="26" spans="1:9">
      <c r="A26" s="216">
        <v>22</v>
      </c>
      <c r="B26" s="26"/>
      <c r="C26" s="27" t="s">
        <v>1295</v>
      </c>
      <c r="D26" s="13" t="s">
        <v>1296</v>
      </c>
      <c r="E26" s="206" t="s">
        <v>62</v>
      </c>
      <c r="F26" s="276">
        <v>1</v>
      </c>
      <c r="G26" s="35">
        <v>30000</v>
      </c>
      <c r="H26" s="35">
        <f t="shared" si="0"/>
        <v>30000</v>
      </c>
      <c r="I26" s="206" t="s">
        <v>78</v>
      </c>
    </row>
    <row r="27" spans="1:9">
      <c r="A27" s="95">
        <v>23</v>
      </c>
      <c r="B27" s="26"/>
      <c r="C27" s="27" t="s">
        <v>1297</v>
      </c>
      <c r="D27" s="13" t="s">
        <v>1879</v>
      </c>
      <c r="E27" s="206" t="s">
        <v>61</v>
      </c>
      <c r="F27" s="276">
        <v>2</v>
      </c>
      <c r="G27" s="35">
        <v>122836</v>
      </c>
      <c r="H27" s="35">
        <f t="shared" si="0"/>
        <v>245672</v>
      </c>
      <c r="I27" s="206" t="s">
        <v>77</v>
      </c>
    </row>
    <row r="28" spans="1:9">
      <c r="A28" s="95">
        <v>24</v>
      </c>
      <c r="B28" s="26"/>
      <c r="C28" s="27" t="s">
        <v>1298</v>
      </c>
      <c r="D28" s="7" t="s">
        <v>1880</v>
      </c>
      <c r="E28" s="206" t="s">
        <v>61</v>
      </c>
      <c r="F28" s="276">
        <v>2</v>
      </c>
      <c r="G28" s="35">
        <v>117432.5</v>
      </c>
      <c r="H28" s="35">
        <f t="shared" si="0"/>
        <v>234865</v>
      </c>
      <c r="I28" s="206" t="s">
        <v>78</v>
      </c>
    </row>
    <row r="29" spans="1:9">
      <c r="A29" s="95">
        <v>25</v>
      </c>
      <c r="B29" s="26"/>
      <c r="C29" s="27" t="s">
        <v>1299</v>
      </c>
      <c r="D29" s="13" t="s">
        <v>1881</v>
      </c>
      <c r="E29" s="206" t="s">
        <v>61</v>
      </c>
      <c r="F29" s="276">
        <v>1</v>
      </c>
      <c r="G29" s="35">
        <v>78463</v>
      </c>
      <c r="H29" s="35">
        <f t="shared" si="0"/>
        <v>78463</v>
      </c>
      <c r="I29" s="206" t="s">
        <v>77</v>
      </c>
    </row>
    <row r="30" spans="1:9">
      <c r="A30" s="95">
        <v>26</v>
      </c>
      <c r="B30" s="37"/>
      <c r="C30" s="27" t="s">
        <v>1300</v>
      </c>
      <c r="D30" s="13" t="s">
        <v>1301</v>
      </c>
      <c r="E30" s="28" t="s">
        <v>61</v>
      </c>
      <c r="F30" s="31">
        <v>1</v>
      </c>
      <c r="G30" s="35">
        <v>22900</v>
      </c>
      <c r="H30" s="35">
        <f t="shared" si="0"/>
        <v>22900</v>
      </c>
      <c r="I30" s="99" t="s">
        <v>77</v>
      </c>
    </row>
    <row r="31" spans="1:9" ht="43.5" customHeight="1">
      <c r="A31" s="279">
        <v>27</v>
      </c>
      <c r="B31" s="117"/>
      <c r="C31" s="124" t="s">
        <v>1302</v>
      </c>
      <c r="D31" s="123" t="s">
        <v>1882</v>
      </c>
      <c r="E31" s="128" t="s">
        <v>61</v>
      </c>
      <c r="F31" s="147">
        <v>3</v>
      </c>
      <c r="G31" s="140">
        <v>19880</v>
      </c>
      <c r="H31" s="140">
        <f t="shared" si="0"/>
        <v>59640</v>
      </c>
      <c r="I31" s="131" t="s">
        <v>77</v>
      </c>
    </row>
    <row r="32" spans="1:9">
      <c r="A32" s="216">
        <v>28</v>
      </c>
      <c r="B32" s="37"/>
      <c r="C32" s="125" t="s">
        <v>1303</v>
      </c>
      <c r="D32" s="121" t="s">
        <v>1304</v>
      </c>
      <c r="E32" s="28" t="s">
        <v>61</v>
      </c>
      <c r="F32" s="146">
        <v>1</v>
      </c>
      <c r="G32" s="35">
        <v>40000</v>
      </c>
      <c r="H32" s="35">
        <f t="shared" si="0"/>
        <v>40000</v>
      </c>
      <c r="I32" s="99" t="s">
        <v>77</v>
      </c>
    </row>
    <row r="33" spans="1:9">
      <c r="A33" s="95">
        <v>29</v>
      </c>
      <c r="B33" s="37"/>
      <c r="C33" s="125" t="s">
        <v>1305</v>
      </c>
      <c r="D33" s="121" t="s">
        <v>1306</v>
      </c>
      <c r="E33" s="28" t="s">
        <v>61</v>
      </c>
      <c r="F33" s="146">
        <v>1</v>
      </c>
      <c r="G33" s="35">
        <v>46500</v>
      </c>
      <c r="H33" s="35">
        <f t="shared" si="0"/>
        <v>46500</v>
      </c>
      <c r="I33" s="99" t="s">
        <v>77</v>
      </c>
    </row>
    <row r="34" spans="1:9">
      <c r="A34" s="216">
        <v>30</v>
      </c>
      <c r="B34" s="37"/>
      <c r="C34" s="125" t="s">
        <v>1307</v>
      </c>
      <c r="D34" s="121" t="s">
        <v>1308</v>
      </c>
      <c r="E34" s="28" t="s">
        <v>61</v>
      </c>
      <c r="F34" s="146">
        <v>4</v>
      </c>
      <c r="G34" s="35">
        <v>23000</v>
      </c>
      <c r="H34" s="35">
        <f t="shared" si="0"/>
        <v>92000</v>
      </c>
      <c r="I34" s="99" t="s">
        <v>78</v>
      </c>
    </row>
    <row r="35" spans="1:9">
      <c r="A35" s="95">
        <v>31</v>
      </c>
      <c r="B35" s="95"/>
      <c r="C35" s="125" t="s">
        <v>1309</v>
      </c>
      <c r="D35" s="121" t="s">
        <v>1308</v>
      </c>
      <c r="E35" s="28" t="s">
        <v>61</v>
      </c>
      <c r="F35" s="146">
        <v>4</v>
      </c>
      <c r="G35" s="35">
        <v>23000</v>
      </c>
      <c r="H35" s="35">
        <f t="shared" si="0"/>
        <v>92000</v>
      </c>
      <c r="I35" s="99" t="s">
        <v>78</v>
      </c>
    </row>
    <row r="36" spans="1:9">
      <c r="A36" s="216">
        <v>32</v>
      </c>
      <c r="B36" s="37"/>
      <c r="C36" s="125" t="s">
        <v>1310</v>
      </c>
      <c r="D36" s="121" t="s">
        <v>1311</v>
      </c>
      <c r="E36" s="28" t="s">
        <v>61</v>
      </c>
      <c r="F36" s="146">
        <v>1</v>
      </c>
      <c r="G36" s="35">
        <v>37500</v>
      </c>
      <c r="H36" s="35">
        <f t="shared" si="0"/>
        <v>37500</v>
      </c>
      <c r="I36" s="99" t="s">
        <v>77</v>
      </c>
    </row>
    <row r="37" spans="1:9">
      <c r="A37" s="113">
        <v>33</v>
      </c>
      <c r="B37" s="61"/>
      <c r="C37" s="190" t="s">
        <v>1312</v>
      </c>
      <c r="D37" s="89" t="s">
        <v>543</v>
      </c>
      <c r="E37" s="64" t="s">
        <v>61</v>
      </c>
      <c r="F37" s="130">
        <v>1</v>
      </c>
      <c r="G37" s="66">
        <v>45000</v>
      </c>
      <c r="H37" s="35">
        <f t="shared" si="0"/>
        <v>45000</v>
      </c>
      <c r="I37" s="129" t="s">
        <v>78</v>
      </c>
    </row>
    <row r="38" spans="1:9">
      <c r="A38" s="266">
        <v>34</v>
      </c>
      <c r="B38" s="61"/>
      <c r="C38" s="190" t="s">
        <v>1313</v>
      </c>
      <c r="D38" s="89" t="s">
        <v>1314</v>
      </c>
      <c r="E38" s="64" t="s">
        <v>61</v>
      </c>
      <c r="F38" s="130">
        <v>1</v>
      </c>
      <c r="G38" s="66">
        <v>80000</v>
      </c>
      <c r="H38" s="35">
        <f t="shared" si="0"/>
        <v>80000</v>
      </c>
      <c r="I38" s="132" t="s">
        <v>77</v>
      </c>
    </row>
    <row r="39" spans="1:9">
      <c r="A39" s="113">
        <v>35</v>
      </c>
      <c r="B39" s="112"/>
      <c r="C39" s="190" t="s">
        <v>1315</v>
      </c>
      <c r="D39" s="89" t="s">
        <v>1316</v>
      </c>
      <c r="E39" s="64" t="s">
        <v>61</v>
      </c>
      <c r="F39" s="130">
        <v>5</v>
      </c>
      <c r="G39" s="66">
        <v>98000</v>
      </c>
      <c r="H39" s="35">
        <f t="shared" si="0"/>
        <v>490000</v>
      </c>
      <c r="I39" s="132" t="s">
        <v>78</v>
      </c>
    </row>
    <row r="40" spans="1:9">
      <c r="A40" s="358" t="s">
        <v>465</v>
      </c>
      <c r="B40" s="359"/>
      <c r="C40" s="359"/>
      <c r="D40" s="359"/>
      <c r="E40" s="360"/>
      <c r="F40" s="170"/>
      <c r="G40" s="250"/>
      <c r="H40" s="244">
        <f>SUM(H5:H39)</f>
        <v>2960435.76</v>
      </c>
      <c r="I40" s="259"/>
    </row>
    <row r="41" spans="1:9">
      <c r="A41" s="53"/>
      <c r="B41" s="53"/>
      <c r="C41" s="53"/>
      <c r="D41" s="53"/>
      <c r="E41" s="53"/>
      <c r="F41" s="246"/>
      <c r="G41" s="53"/>
      <c r="H41" s="53"/>
      <c r="I41" s="258"/>
    </row>
    <row r="42" spans="1:9">
      <c r="A42" s="53"/>
      <c r="B42" s="53"/>
      <c r="C42" s="53"/>
      <c r="D42" s="53"/>
      <c r="E42" s="53"/>
      <c r="F42" s="268"/>
      <c r="G42" s="53"/>
      <c r="H42" s="53"/>
      <c r="I42" s="258"/>
    </row>
    <row r="43" spans="1:9">
      <c r="A43" s="53"/>
      <c r="B43" s="53"/>
      <c r="C43" s="53"/>
      <c r="D43" s="53"/>
      <c r="E43" s="53"/>
      <c r="F43" s="353" t="s">
        <v>225</v>
      </c>
      <c r="G43" s="353"/>
      <c r="H43" s="353"/>
      <c r="I43" s="353"/>
    </row>
    <row r="44" spans="1:9">
      <c r="A44" s="53"/>
      <c r="B44" s="53"/>
      <c r="C44" s="53"/>
      <c r="D44" s="53"/>
      <c r="E44" s="53"/>
      <c r="F44" s="353" t="s">
        <v>1762</v>
      </c>
      <c r="G44" s="353"/>
      <c r="H44" s="353"/>
      <c r="I44" s="353"/>
    </row>
    <row r="45" spans="1:9">
      <c r="A45" s="53"/>
      <c r="B45" s="53"/>
      <c r="C45" s="53"/>
      <c r="D45" s="53"/>
      <c r="E45" s="53"/>
      <c r="F45" s="353" t="s">
        <v>226</v>
      </c>
      <c r="G45" s="353"/>
      <c r="H45" s="353"/>
      <c r="I45" s="353"/>
    </row>
  </sheetData>
  <mergeCells count="7">
    <mergeCell ref="A1:I1"/>
    <mergeCell ref="F45:I45"/>
    <mergeCell ref="A40:E40"/>
    <mergeCell ref="F43:I43"/>
    <mergeCell ref="F44:I44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6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32"/>
  <sheetViews>
    <sheetView topLeftCell="A13" workbookViewId="0">
      <selection activeCell="C23" sqref="C23"/>
    </sheetView>
  </sheetViews>
  <sheetFormatPr defaultColWidth="9" defaultRowHeight="24"/>
  <cols>
    <col min="1" max="1" width="5.42578125" style="14" customWidth="1"/>
    <col min="2" max="2" width="11.7109375" style="14" customWidth="1"/>
    <col min="3" max="3" width="29.28515625" style="14" customWidth="1"/>
    <col min="4" max="4" width="46.28515625" style="14" customWidth="1"/>
    <col min="5" max="6" width="7.140625" style="14" customWidth="1"/>
    <col min="7" max="7" width="12.140625" style="14" customWidth="1"/>
    <col min="8" max="8" width="14.28515625" style="14" customWidth="1"/>
    <col min="9" max="9" width="12.28515625" style="261" customWidth="1"/>
    <col min="10" max="10" width="13" style="14" customWidth="1"/>
    <col min="11" max="11" width="9.140625" style="14" customWidth="1"/>
    <col min="12" max="12" width="2.140625" style="14" customWidth="1"/>
    <col min="13" max="16384" width="9" style="14"/>
  </cols>
  <sheetData>
    <row r="1" spans="1:11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61"/>
      <c r="K1" s="261"/>
    </row>
    <row r="2" spans="1:11">
      <c r="A2" s="355" t="s">
        <v>1213</v>
      </c>
      <c r="B2" s="355"/>
      <c r="C2" s="355"/>
      <c r="D2" s="355"/>
      <c r="E2" s="355"/>
      <c r="F2" s="355"/>
      <c r="G2" s="355"/>
      <c r="H2" s="355"/>
      <c r="I2" s="355"/>
      <c r="J2" s="263"/>
      <c r="K2" s="263"/>
    </row>
    <row r="3" spans="1:11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58"/>
      <c r="K3" s="258"/>
    </row>
    <row r="4" spans="1:11" ht="43.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  <c r="J4" s="262"/>
      <c r="K4" s="262"/>
    </row>
    <row r="5" spans="1:11">
      <c r="A5" s="280">
        <v>1</v>
      </c>
      <c r="B5" s="281"/>
      <c r="C5" s="217" t="s">
        <v>1214</v>
      </c>
      <c r="D5" s="277" t="s">
        <v>895</v>
      </c>
      <c r="E5" s="265" t="s">
        <v>61</v>
      </c>
      <c r="F5" s="282">
        <v>5</v>
      </c>
      <c r="G5" s="283">
        <v>5000</v>
      </c>
      <c r="H5" s="283">
        <f>SUM(F5*G5)</f>
        <v>25000</v>
      </c>
      <c r="I5" s="284" t="s">
        <v>78</v>
      </c>
      <c r="J5" s="243"/>
      <c r="K5" s="243"/>
    </row>
    <row r="6" spans="1:11">
      <c r="A6" s="95">
        <v>2</v>
      </c>
      <c r="B6" s="100"/>
      <c r="C6" s="217" t="s">
        <v>1215</v>
      </c>
      <c r="D6" s="27" t="s">
        <v>1216</v>
      </c>
      <c r="E6" s="28" t="s">
        <v>61</v>
      </c>
      <c r="F6" s="31">
        <v>4</v>
      </c>
      <c r="G6" s="35">
        <v>3000</v>
      </c>
      <c r="H6" s="283">
        <f t="shared" ref="H6:H26" si="0">SUM(F6*G6)</f>
        <v>12000</v>
      </c>
      <c r="I6" s="99" t="s">
        <v>1897</v>
      </c>
      <c r="J6" s="243"/>
      <c r="K6" s="243"/>
    </row>
    <row r="7" spans="1:11">
      <c r="A7" s="280">
        <v>3</v>
      </c>
      <c r="B7" s="37"/>
      <c r="C7" s="217" t="s">
        <v>1217</v>
      </c>
      <c r="D7" s="13" t="s">
        <v>1218</v>
      </c>
      <c r="E7" s="28" t="s">
        <v>61</v>
      </c>
      <c r="F7" s="31">
        <v>1</v>
      </c>
      <c r="G7" s="35">
        <v>99900</v>
      </c>
      <c r="H7" s="283">
        <f t="shared" si="0"/>
        <v>99900</v>
      </c>
      <c r="I7" s="285" t="s">
        <v>1830</v>
      </c>
      <c r="J7" s="243"/>
      <c r="K7" s="243"/>
    </row>
    <row r="8" spans="1:11">
      <c r="A8" s="95">
        <v>4</v>
      </c>
      <c r="B8" s="95"/>
      <c r="C8" s="217" t="s">
        <v>1219</v>
      </c>
      <c r="D8" s="13" t="s">
        <v>1220</v>
      </c>
      <c r="E8" s="28" t="s">
        <v>61</v>
      </c>
      <c r="F8" s="31">
        <v>1</v>
      </c>
      <c r="G8" s="35">
        <v>69800</v>
      </c>
      <c r="H8" s="283">
        <f t="shared" si="0"/>
        <v>69800</v>
      </c>
      <c r="I8" s="285" t="s">
        <v>1830</v>
      </c>
      <c r="J8" s="243"/>
      <c r="K8" s="243"/>
    </row>
    <row r="9" spans="1:11">
      <c r="A9" s="280">
        <v>5</v>
      </c>
      <c r="B9" s="37"/>
      <c r="C9" s="27" t="s">
        <v>1221</v>
      </c>
      <c r="D9" s="13" t="s">
        <v>1222</v>
      </c>
      <c r="E9" s="28" t="s">
        <v>61</v>
      </c>
      <c r="F9" s="31">
        <v>1</v>
      </c>
      <c r="G9" s="35">
        <v>2300</v>
      </c>
      <c r="H9" s="283">
        <f t="shared" si="0"/>
        <v>2300</v>
      </c>
      <c r="I9" s="99" t="s">
        <v>1895</v>
      </c>
      <c r="J9" s="243"/>
      <c r="K9" s="243"/>
    </row>
    <row r="10" spans="1:11">
      <c r="A10" s="95">
        <v>6</v>
      </c>
      <c r="B10" s="37"/>
      <c r="C10" s="27" t="s">
        <v>1223</v>
      </c>
      <c r="D10" s="13" t="s">
        <v>1224</v>
      </c>
      <c r="E10" s="28" t="s">
        <v>62</v>
      </c>
      <c r="F10" s="31">
        <v>1</v>
      </c>
      <c r="G10" s="35">
        <v>9500</v>
      </c>
      <c r="H10" s="283">
        <f t="shared" si="0"/>
        <v>9500</v>
      </c>
      <c r="I10" s="99" t="s">
        <v>1895</v>
      </c>
      <c r="J10" s="243"/>
      <c r="K10" s="243"/>
    </row>
    <row r="11" spans="1:11">
      <c r="A11" s="280">
        <v>7</v>
      </c>
      <c r="B11" s="37"/>
      <c r="C11" s="27" t="s">
        <v>1225</v>
      </c>
      <c r="D11" s="13" t="s">
        <v>1226</v>
      </c>
      <c r="E11" s="28" t="s">
        <v>62</v>
      </c>
      <c r="F11" s="31">
        <v>1</v>
      </c>
      <c r="G11" s="35">
        <v>1850</v>
      </c>
      <c r="H11" s="283">
        <f t="shared" si="0"/>
        <v>1850</v>
      </c>
      <c r="I11" s="99" t="s">
        <v>1895</v>
      </c>
      <c r="J11" s="256"/>
      <c r="K11" s="256"/>
    </row>
    <row r="12" spans="1:11">
      <c r="A12" s="95">
        <v>8</v>
      </c>
      <c r="B12" s="37"/>
      <c r="C12" s="27" t="s">
        <v>1227</v>
      </c>
      <c r="D12" s="13" t="s">
        <v>1228</v>
      </c>
      <c r="E12" s="28" t="s">
        <v>1825</v>
      </c>
      <c r="F12" s="31">
        <v>1</v>
      </c>
      <c r="G12" s="35">
        <v>69950</v>
      </c>
      <c r="H12" s="283">
        <f t="shared" si="0"/>
        <v>69950</v>
      </c>
      <c r="I12" s="286" t="s">
        <v>1830</v>
      </c>
      <c r="J12" s="256"/>
      <c r="K12" s="256"/>
    </row>
    <row r="13" spans="1:11">
      <c r="A13" s="280">
        <v>9</v>
      </c>
      <c r="B13" s="37"/>
      <c r="C13" s="27" t="s">
        <v>1229</v>
      </c>
      <c r="D13" s="13" t="s">
        <v>1228</v>
      </c>
      <c r="E13" s="28" t="s">
        <v>1825</v>
      </c>
      <c r="F13" s="31">
        <v>1</v>
      </c>
      <c r="G13" s="35">
        <v>86000</v>
      </c>
      <c r="H13" s="283">
        <f t="shared" si="0"/>
        <v>86000</v>
      </c>
      <c r="I13" s="286" t="s">
        <v>1830</v>
      </c>
      <c r="J13" s="53"/>
      <c r="K13" s="53"/>
    </row>
    <row r="14" spans="1:11">
      <c r="A14" s="95">
        <v>10</v>
      </c>
      <c r="B14" s="102"/>
      <c r="C14" s="27" t="s">
        <v>1230</v>
      </c>
      <c r="D14" s="13" t="s">
        <v>1231</v>
      </c>
      <c r="E14" s="28" t="s">
        <v>62</v>
      </c>
      <c r="F14" s="31">
        <v>6</v>
      </c>
      <c r="G14" s="35">
        <v>1448.6</v>
      </c>
      <c r="H14" s="283">
        <f t="shared" si="0"/>
        <v>8691.5999999999985</v>
      </c>
      <c r="I14" s="206" t="s">
        <v>78</v>
      </c>
      <c r="J14" s="53"/>
      <c r="K14" s="53"/>
    </row>
    <row r="15" spans="1:11">
      <c r="A15" s="280">
        <v>11</v>
      </c>
      <c r="B15" s="102"/>
      <c r="C15" s="27" t="s">
        <v>1232</v>
      </c>
      <c r="D15" s="13" t="s">
        <v>1233</v>
      </c>
      <c r="E15" s="28" t="s">
        <v>62</v>
      </c>
      <c r="F15" s="31">
        <v>6</v>
      </c>
      <c r="G15" s="35">
        <v>1635.51</v>
      </c>
      <c r="H15" s="283">
        <f t="shared" si="0"/>
        <v>9813.06</v>
      </c>
      <c r="I15" s="206" t="s">
        <v>78</v>
      </c>
      <c r="J15" s="53"/>
      <c r="K15" s="53"/>
    </row>
    <row r="16" spans="1:11">
      <c r="A16" s="95">
        <v>12</v>
      </c>
      <c r="B16" s="94"/>
      <c r="C16" s="27" t="s">
        <v>1234</v>
      </c>
      <c r="D16" s="13" t="s">
        <v>1235</v>
      </c>
      <c r="E16" s="28" t="s">
        <v>62</v>
      </c>
      <c r="F16" s="31">
        <v>4</v>
      </c>
      <c r="G16" s="35">
        <v>1722</v>
      </c>
      <c r="H16" s="283">
        <f t="shared" si="0"/>
        <v>6888</v>
      </c>
      <c r="I16" s="206" t="s">
        <v>77</v>
      </c>
      <c r="J16" s="53"/>
      <c r="K16" s="53"/>
    </row>
    <row r="17" spans="1:11">
      <c r="A17" s="280">
        <v>13</v>
      </c>
      <c r="B17" s="94"/>
      <c r="C17" s="213" t="s">
        <v>1236</v>
      </c>
      <c r="D17" s="197" t="s">
        <v>1237</v>
      </c>
      <c r="E17" s="28" t="s">
        <v>62</v>
      </c>
      <c r="F17" s="196">
        <v>1</v>
      </c>
      <c r="G17" s="198">
        <v>6000</v>
      </c>
      <c r="H17" s="283">
        <f t="shared" si="0"/>
        <v>6000</v>
      </c>
      <c r="I17" s="206" t="s">
        <v>77</v>
      </c>
      <c r="J17" s="53"/>
      <c r="K17" s="53"/>
    </row>
    <row r="18" spans="1:11">
      <c r="A18" s="95">
        <v>14</v>
      </c>
      <c r="B18" s="94"/>
      <c r="C18" s="27" t="s">
        <v>1238</v>
      </c>
      <c r="D18" s="13" t="s">
        <v>1239</v>
      </c>
      <c r="E18" s="28" t="s">
        <v>62</v>
      </c>
      <c r="F18" s="31">
        <v>1</v>
      </c>
      <c r="G18" s="35">
        <v>20000</v>
      </c>
      <c r="H18" s="283">
        <f t="shared" si="0"/>
        <v>20000</v>
      </c>
      <c r="I18" s="206" t="s">
        <v>77</v>
      </c>
      <c r="J18" s="53"/>
      <c r="K18" s="53"/>
    </row>
    <row r="19" spans="1:11">
      <c r="A19" s="280">
        <v>15</v>
      </c>
      <c r="B19" s="94"/>
      <c r="C19" s="27" t="s">
        <v>1240</v>
      </c>
      <c r="D19" s="13" t="s">
        <v>1241</v>
      </c>
      <c r="E19" s="28" t="s">
        <v>61</v>
      </c>
      <c r="F19" s="31">
        <v>3</v>
      </c>
      <c r="G19" s="35">
        <v>8200</v>
      </c>
      <c r="H19" s="283">
        <f t="shared" si="0"/>
        <v>24600</v>
      </c>
      <c r="I19" s="206" t="s">
        <v>78</v>
      </c>
      <c r="J19" s="53"/>
      <c r="K19" s="53"/>
    </row>
    <row r="20" spans="1:11">
      <c r="A20" s="95">
        <v>16</v>
      </c>
      <c r="B20" s="104"/>
      <c r="C20" s="27" t="s">
        <v>1242</v>
      </c>
      <c r="D20" s="13" t="s">
        <v>1243</v>
      </c>
      <c r="E20" s="28" t="s">
        <v>61</v>
      </c>
      <c r="F20" s="31">
        <v>2</v>
      </c>
      <c r="G20" s="35">
        <v>257850.47</v>
      </c>
      <c r="H20" s="283">
        <f t="shared" si="0"/>
        <v>515700.94</v>
      </c>
      <c r="I20" s="206" t="s">
        <v>78</v>
      </c>
      <c r="J20" s="53"/>
      <c r="K20" s="53"/>
    </row>
    <row r="21" spans="1:11">
      <c r="A21" s="280">
        <v>17</v>
      </c>
      <c r="B21" s="206"/>
      <c r="C21" s="27" t="s">
        <v>1244</v>
      </c>
      <c r="D21" s="13" t="s">
        <v>1245</v>
      </c>
      <c r="E21" s="206" t="s">
        <v>61</v>
      </c>
      <c r="F21" s="148">
        <v>1</v>
      </c>
      <c r="G21" s="35">
        <v>222453</v>
      </c>
      <c r="H21" s="283">
        <f t="shared" si="0"/>
        <v>222453</v>
      </c>
      <c r="I21" s="206" t="s">
        <v>78</v>
      </c>
      <c r="J21" s="53"/>
      <c r="K21" s="53"/>
    </row>
    <row r="22" spans="1:11">
      <c r="A22" s="95">
        <v>18</v>
      </c>
      <c r="B22" s="26"/>
      <c r="C22" s="27" t="s">
        <v>1246</v>
      </c>
      <c r="D22" s="12" t="s">
        <v>1679</v>
      </c>
      <c r="E22" s="206" t="s">
        <v>61</v>
      </c>
      <c r="F22" s="31">
        <v>1</v>
      </c>
      <c r="G22" s="35">
        <v>0</v>
      </c>
      <c r="H22" s="283">
        <f t="shared" si="0"/>
        <v>0</v>
      </c>
      <c r="I22" s="206" t="s">
        <v>78</v>
      </c>
      <c r="J22" s="53"/>
      <c r="K22" s="53"/>
    </row>
    <row r="23" spans="1:11">
      <c r="A23" s="280">
        <v>19</v>
      </c>
      <c r="B23" s="26"/>
      <c r="C23" s="27" t="s">
        <v>1247</v>
      </c>
      <c r="D23" s="13" t="s">
        <v>1248</v>
      </c>
      <c r="E23" s="206" t="s">
        <v>61</v>
      </c>
      <c r="F23" s="148">
        <v>1</v>
      </c>
      <c r="G23" s="35">
        <v>15400</v>
      </c>
      <c r="H23" s="283">
        <f t="shared" si="0"/>
        <v>15400</v>
      </c>
      <c r="I23" s="206" t="s">
        <v>78</v>
      </c>
      <c r="J23" s="53"/>
      <c r="K23" s="53"/>
    </row>
    <row r="24" spans="1:11">
      <c r="A24" s="95">
        <v>20</v>
      </c>
      <c r="B24" s="26"/>
      <c r="C24" s="27" t="s">
        <v>1249</v>
      </c>
      <c r="D24" s="13" t="s">
        <v>1838</v>
      </c>
      <c r="E24" s="206" t="s">
        <v>61</v>
      </c>
      <c r="F24" s="148">
        <v>1</v>
      </c>
      <c r="G24" s="35">
        <v>0</v>
      </c>
      <c r="H24" s="283">
        <f t="shared" si="0"/>
        <v>0</v>
      </c>
      <c r="I24" s="206" t="s">
        <v>78</v>
      </c>
      <c r="J24" s="53"/>
      <c r="K24" s="53"/>
    </row>
    <row r="25" spans="1:11">
      <c r="A25" s="280">
        <v>21</v>
      </c>
      <c r="B25" s="26"/>
      <c r="C25" s="27" t="s">
        <v>1832</v>
      </c>
      <c r="D25" s="13" t="s">
        <v>1250</v>
      </c>
      <c r="E25" s="206" t="s">
        <v>61</v>
      </c>
      <c r="F25" s="148">
        <v>1</v>
      </c>
      <c r="G25" s="35">
        <v>37500</v>
      </c>
      <c r="H25" s="283">
        <f t="shared" si="0"/>
        <v>37500</v>
      </c>
      <c r="I25" s="206" t="s">
        <v>78</v>
      </c>
      <c r="J25" s="53"/>
      <c r="K25" s="53"/>
    </row>
    <row r="26" spans="1:11">
      <c r="A26" s="95">
        <v>22</v>
      </c>
      <c r="B26" s="104"/>
      <c r="C26" s="27" t="s">
        <v>1797</v>
      </c>
      <c r="D26" s="27" t="s">
        <v>1798</v>
      </c>
      <c r="E26" s="206" t="s">
        <v>62</v>
      </c>
      <c r="F26" s="31">
        <v>1</v>
      </c>
      <c r="G26" s="35">
        <v>4990</v>
      </c>
      <c r="H26" s="283">
        <f t="shared" si="0"/>
        <v>4990</v>
      </c>
      <c r="I26" s="206" t="s">
        <v>78</v>
      </c>
      <c r="J26" s="53"/>
      <c r="K26" s="53"/>
    </row>
    <row r="27" spans="1:11">
      <c r="A27" s="358" t="s">
        <v>465</v>
      </c>
      <c r="B27" s="359"/>
      <c r="C27" s="359"/>
      <c r="D27" s="359"/>
      <c r="E27" s="360"/>
      <c r="F27" s="28"/>
      <c r="G27" s="250"/>
      <c r="H27" s="244">
        <f>SUM(H5:H26)</f>
        <v>1248336.6000000001</v>
      </c>
      <c r="I27" s="259"/>
      <c r="J27" s="258"/>
      <c r="K27" s="258"/>
    </row>
    <row r="28" spans="1:11">
      <c r="A28" s="260"/>
      <c r="B28" s="260"/>
      <c r="C28" s="260"/>
      <c r="D28" s="260"/>
      <c r="E28" s="260"/>
      <c r="F28" s="268"/>
      <c r="G28" s="255"/>
      <c r="H28" s="255"/>
      <c r="I28" s="258"/>
      <c r="J28" s="258"/>
      <c r="K28" s="258"/>
    </row>
    <row r="29" spans="1:11">
      <c r="A29" s="53"/>
      <c r="B29" s="53"/>
      <c r="C29" s="53"/>
      <c r="D29" s="53"/>
      <c r="E29" s="53"/>
      <c r="F29" s="268"/>
      <c r="G29" s="53"/>
      <c r="H29" s="53"/>
      <c r="I29" s="258"/>
      <c r="J29" s="53"/>
      <c r="K29" s="53"/>
    </row>
    <row r="30" spans="1:11">
      <c r="A30" s="53"/>
      <c r="B30" s="53"/>
      <c r="C30" s="53"/>
      <c r="D30" s="53"/>
      <c r="E30" s="53"/>
      <c r="F30" s="353" t="s">
        <v>1821</v>
      </c>
      <c r="G30" s="353"/>
      <c r="H30" s="353"/>
      <c r="I30" s="353"/>
      <c r="J30" s="258"/>
      <c r="K30" s="258"/>
    </row>
    <row r="31" spans="1:11">
      <c r="A31" s="53"/>
      <c r="B31" s="53"/>
      <c r="C31" s="53"/>
      <c r="D31" s="53"/>
      <c r="E31" s="53"/>
      <c r="F31" s="353" t="s">
        <v>1759</v>
      </c>
      <c r="G31" s="353"/>
      <c r="H31" s="353"/>
      <c r="I31" s="353"/>
      <c r="J31" s="258"/>
      <c r="K31" s="258"/>
    </row>
    <row r="32" spans="1:11">
      <c r="A32" s="53"/>
      <c r="B32" s="53"/>
      <c r="C32" s="53"/>
      <c r="D32" s="53"/>
      <c r="E32" s="53"/>
      <c r="F32" s="353" t="s">
        <v>226</v>
      </c>
      <c r="G32" s="353"/>
      <c r="H32" s="353"/>
      <c r="I32" s="353"/>
      <c r="J32" s="258"/>
      <c r="K32" s="258"/>
    </row>
  </sheetData>
  <mergeCells count="7">
    <mergeCell ref="F32:I32"/>
    <mergeCell ref="A27:E27"/>
    <mergeCell ref="F30:I30"/>
    <mergeCell ref="F31:I31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K69"/>
  <sheetViews>
    <sheetView zoomScaleNormal="100" workbookViewId="0">
      <selection activeCell="K5" sqref="K5"/>
    </sheetView>
  </sheetViews>
  <sheetFormatPr defaultColWidth="9" defaultRowHeight="24"/>
  <cols>
    <col min="1" max="1" width="5.7109375" style="14" customWidth="1"/>
    <col min="2" max="2" width="11.5703125" style="14" customWidth="1"/>
    <col min="3" max="3" width="32.85546875" style="14" customWidth="1"/>
    <col min="4" max="4" width="41" style="14" customWidth="1"/>
    <col min="5" max="5" width="6.7109375" style="14" customWidth="1"/>
    <col min="6" max="6" width="6.42578125" style="14" customWidth="1"/>
    <col min="7" max="7" width="12.140625" style="14" customWidth="1"/>
    <col min="8" max="8" width="14" style="14" customWidth="1"/>
    <col min="9" max="9" width="9.28515625" style="261" customWidth="1"/>
    <col min="10" max="10" width="14.28515625" style="14" customWidth="1"/>
    <col min="11" max="16384" width="9" style="14"/>
  </cols>
  <sheetData>
    <row r="1" spans="1:10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61"/>
    </row>
    <row r="2" spans="1:10">
      <c r="A2" s="355" t="s">
        <v>1317</v>
      </c>
      <c r="B2" s="355"/>
      <c r="C2" s="355"/>
      <c r="D2" s="355"/>
      <c r="E2" s="355"/>
      <c r="F2" s="355"/>
      <c r="G2" s="355"/>
      <c r="H2" s="355"/>
      <c r="I2" s="355"/>
      <c r="J2" s="263"/>
    </row>
    <row r="3" spans="1:10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58"/>
    </row>
    <row r="4" spans="1:10" ht="45.7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</row>
    <row r="5" spans="1:10">
      <c r="A5" s="95">
        <v>1</v>
      </c>
      <c r="B5" s="37"/>
      <c r="C5" s="217" t="s">
        <v>1318</v>
      </c>
      <c r="D5" s="13" t="s">
        <v>1319</v>
      </c>
      <c r="E5" s="28" t="s">
        <v>61</v>
      </c>
      <c r="F5" s="31">
        <v>10</v>
      </c>
      <c r="G5" s="283">
        <v>3271.03</v>
      </c>
      <c r="H5" s="283">
        <f>SUM(F5*G5)</f>
        <v>32710.300000000003</v>
      </c>
      <c r="I5" s="99" t="s">
        <v>77</v>
      </c>
      <c r="J5" s="243"/>
    </row>
    <row r="6" spans="1:10">
      <c r="A6" s="95">
        <v>2</v>
      </c>
      <c r="B6" s="37"/>
      <c r="C6" s="27" t="s">
        <v>1320</v>
      </c>
      <c r="D6" s="13" t="s">
        <v>1321</v>
      </c>
      <c r="E6" s="28" t="s">
        <v>61</v>
      </c>
      <c r="F6" s="31">
        <v>1</v>
      </c>
      <c r="G6" s="35">
        <v>499900</v>
      </c>
      <c r="H6" s="283">
        <f t="shared" ref="H6:H62" si="0">SUM(F6*G6)</f>
        <v>499900</v>
      </c>
      <c r="I6" s="99" t="s">
        <v>77</v>
      </c>
      <c r="J6" s="243"/>
    </row>
    <row r="7" spans="1:10">
      <c r="A7" s="95">
        <v>3</v>
      </c>
      <c r="B7" s="37"/>
      <c r="C7" s="27" t="s">
        <v>1322</v>
      </c>
      <c r="D7" s="13" t="s">
        <v>1323</v>
      </c>
      <c r="E7" s="28" t="s">
        <v>61</v>
      </c>
      <c r="F7" s="31">
        <v>7</v>
      </c>
      <c r="G7" s="35">
        <v>49972</v>
      </c>
      <c r="H7" s="283">
        <f t="shared" si="0"/>
        <v>349804</v>
      </c>
      <c r="I7" s="99" t="s">
        <v>77</v>
      </c>
      <c r="J7" s="243"/>
    </row>
    <row r="8" spans="1:10">
      <c r="A8" s="95">
        <v>4</v>
      </c>
      <c r="B8" s="37"/>
      <c r="C8" s="27" t="s">
        <v>1324</v>
      </c>
      <c r="D8" s="13" t="s">
        <v>1325</v>
      </c>
      <c r="E8" s="28" t="s">
        <v>61</v>
      </c>
      <c r="F8" s="31">
        <v>20</v>
      </c>
      <c r="G8" s="35">
        <v>1985</v>
      </c>
      <c r="H8" s="283">
        <f t="shared" si="0"/>
        <v>39700</v>
      </c>
      <c r="I8" s="99" t="s">
        <v>77</v>
      </c>
      <c r="J8" s="243"/>
    </row>
    <row r="9" spans="1:10">
      <c r="A9" s="95">
        <v>5</v>
      </c>
      <c r="B9" s="37"/>
      <c r="C9" s="27" t="s">
        <v>1326</v>
      </c>
      <c r="D9" s="13" t="s">
        <v>1327</v>
      </c>
      <c r="E9" s="28" t="s">
        <v>61</v>
      </c>
      <c r="F9" s="31">
        <v>10</v>
      </c>
      <c r="G9" s="35">
        <v>14970</v>
      </c>
      <c r="H9" s="283">
        <f t="shared" si="0"/>
        <v>149700</v>
      </c>
      <c r="I9" s="99" t="s">
        <v>77</v>
      </c>
      <c r="J9" s="243"/>
    </row>
    <row r="10" spans="1:10">
      <c r="A10" s="95">
        <v>6</v>
      </c>
      <c r="B10" s="37"/>
      <c r="C10" s="217" t="s">
        <v>1328</v>
      </c>
      <c r="D10" s="13" t="s">
        <v>1843</v>
      </c>
      <c r="E10" s="28" t="s">
        <v>61</v>
      </c>
      <c r="F10" s="31">
        <v>10</v>
      </c>
      <c r="G10" s="35">
        <v>4970</v>
      </c>
      <c r="H10" s="283">
        <f t="shared" si="0"/>
        <v>49700</v>
      </c>
      <c r="I10" s="99" t="s">
        <v>77</v>
      </c>
      <c r="J10" s="256"/>
    </row>
    <row r="11" spans="1:10">
      <c r="A11" s="95">
        <v>7</v>
      </c>
      <c r="B11" s="102"/>
      <c r="C11" s="217" t="s">
        <v>1329</v>
      </c>
      <c r="D11" s="13" t="s">
        <v>1330</v>
      </c>
      <c r="E11" s="28" t="s">
        <v>61</v>
      </c>
      <c r="F11" s="31">
        <v>6</v>
      </c>
      <c r="G11" s="35">
        <v>9950</v>
      </c>
      <c r="H11" s="283">
        <f t="shared" si="0"/>
        <v>59700</v>
      </c>
      <c r="I11" s="99" t="s">
        <v>77</v>
      </c>
      <c r="J11" s="53"/>
    </row>
    <row r="12" spans="1:10">
      <c r="A12" s="95">
        <v>8</v>
      </c>
      <c r="B12" s="94"/>
      <c r="C12" s="288" t="s">
        <v>1331</v>
      </c>
      <c r="D12" s="213" t="s">
        <v>1332</v>
      </c>
      <c r="E12" s="28" t="s">
        <v>61</v>
      </c>
      <c r="F12" s="196">
        <v>1</v>
      </c>
      <c r="G12" s="198">
        <v>484700</v>
      </c>
      <c r="H12" s="283">
        <f t="shared" si="0"/>
        <v>484700</v>
      </c>
      <c r="I12" s="99" t="s">
        <v>77</v>
      </c>
      <c r="J12" s="53"/>
    </row>
    <row r="13" spans="1:10">
      <c r="A13" s="95">
        <v>9</v>
      </c>
      <c r="B13" s="94"/>
      <c r="C13" s="27" t="s">
        <v>1333</v>
      </c>
      <c r="D13" s="27" t="s">
        <v>1334</v>
      </c>
      <c r="E13" s="28" t="s">
        <v>61</v>
      </c>
      <c r="F13" s="31">
        <v>10</v>
      </c>
      <c r="G13" s="35">
        <v>4470</v>
      </c>
      <c r="H13" s="283">
        <f t="shared" si="0"/>
        <v>44700</v>
      </c>
      <c r="I13" s="99" t="s">
        <v>78</v>
      </c>
      <c r="J13" s="53"/>
    </row>
    <row r="14" spans="1:10">
      <c r="A14" s="95">
        <v>10</v>
      </c>
      <c r="B14" s="220"/>
      <c r="C14" s="27" t="s">
        <v>1335</v>
      </c>
      <c r="D14" s="27" t="s">
        <v>1336</v>
      </c>
      <c r="E14" s="28" t="s">
        <v>61</v>
      </c>
      <c r="F14" s="31">
        <v>5</v>
      </c>
      <c r="G14" s="35">
        <v>6940</v>
      </c>
      <c r="H14" s="283">
        <f t="shared" si="0"/>
        <v>34700</v>
      </c>
      <c r="I14" s="99" t="s">
        <v>77</v>
      </c>
      <c r="J14" s="53"/>
    </row>
    <row r="15" spans="1:10">
      <c r="A15" s="95">
        <v>11</v>
      </c>
      <c r="B15" s="206"/>
      <c r="C15" s="27" t="s">
        <v>1337</v>
      </c>
      <c r="D15" s="27" t="s">
        <v>1338</v>
      </c>
      <c r="E15" s="206" t="s">
        <v>61</v>
      </c>
      <c r="F15" s="31">
        <v>10</v>
      </c>
      <c r="G15" s="35">
        <v>9975</v>
      </c>
      <c r="H15" s="283">
        <f t="shared" si="0"/>
        <v>99750</v>
      </c>
      <c r="I15" s="99" t="s">
        <v>77</v>
      </c>
      <c r="J15" s="53"/>
    </row>
    <row r="16" spans="1:10">
      <c r="A16" s="95">
        <v>12</v>
      </c>
      <c r="B16" s="26"/>
      <c r="C16" s="27" t="s">
        <v>1339</v>
      </c>
      <c r="D16" s="27" t="s">
        <v>1340</v>
      </c>
      <c r="E16" s="206" t="s">
        <v>61</v>
      </c>
      <c r="F16" s="31">
        <v>5</v>
      </c>
      <c r="G16" s="35">
        <v>2985</v>
      </c>
      <c r="H16" s="283">
        <f t="shared" si="0"/>
        <v>14925</v>
      </c>
      <c r="I16" s="99" t="s">
        <v>77</v>
      </c>
      <c r="J16" s="53"/>
    </row>
    <row r="17" spans="1:11">
      <c r="A17" s="95">
        <v>13</v>
      </c>
      <c r="B17" s="26"/>
      <c r="C17" s="27" t="s">
        <v>1341</v>
      </c>
      <c r="D17" s="27" t="s">
        <v>1342</v>
      </c>
      <c r="E17" s="206" t="s">
        <v>61</v>
      </c>
      <c r="F17" s="31">
        <v>2</v>
      </c>
      <c r="G17" s="35">
        <v>17200</v>
      </c>
      <c r="H17" s="283">
        <f t="shared" si="0"/>
        <v>34400</v>
      </c>
      <c r="I17" s="99" t="s">
        <v>77</v>
      </c>
      <c r="J17" s="53"/>
    </row>
    <row r="18" spans="1:11">
      <c r="A18" s="95">
        <v>14</v>
      </c>
      <c r="B18" s="26"/>
      <c r="C18" s="217" t="s">
        <v>1343</v>
      </c>
      <c r="D18" s="27" t="s">
        <v>1344</v>
      </c>
      <c r="E18" s="206" t="s">
        <v>61</v>
      </c>
      <c r="F18" s="31">
        <v>2</v>
      </c>
      <c r="G18" s="35">
        <v>7950</v>
      </c>
      <c r="H18" s="283">
        <f t="shared" si="0"/>
        <v>15900</v>
      </c>
      <c r="I18" s="99" t="s">
        <v>77</v>
      </c>
      <c r="J18" s="53"/>
    </row>
    <row r="19" spans="1:11">
      <c r="A19" s="95">
        <v>15</v>
      </c>
      <c r="B19" s="104"/>
      <c r="C19" s="217" t="s">
        <v>1345</v>
      </c>
      <c r="D19" s="27" t="s">
        <v>1064</v>
      </c>
      <c r="E19" s="206" t="s">
        <v>61</v>
      </c>
      <c r="F19" s="31">
        <v>1</v>
      </c>
      <c r="G19" s="35">
        <v>79500</v>
      </c>
      <c r="H19" s="283">
        <f t="shared" si="0"/>
        <v>79500</v>
      </c>
      <c r="I19" s="99" t="s">
        <v>77</v>
      </c>
      <c r="J19" s="53"/>
    </row>
    <row r="20" spans="1:11" ht="42.75" customHeight="1">
      <c r="A20" s="295">
        <v>16</v>
      </c>
      <c r="B20" s="289"/>
      <c r="C20" s="290" t="s">
        <v>1893</v>
      </c>
      <c r="D20" s="291" t="s">
        <v>1038</v>
      </c>
      <c r="E20" s="292" t="s">
        <v>61</v>
      </c>
      <c r="F20" s="297">
        <v>2</v>
      </c>
      <c r="G20" s="293">
        <v>7925</v>
      </c>
      <c r="H20" s="296">
        <f t="shared" si="0"/>
        <v>15850</v>
      </c>
      <c r="I20" s="294" t="s">
        <v>77</v>
      </c>
      <c r="J20" s="243"/>
    </row>
    <row r="21" spans="1:11">
      <c r="A21" s="95">
        <v>17</v>
      </c>
      <c r="B21" s="37"/>
      <c r="C21" s="27" t="s">
        <v>1346</v>
      </c>
      <c r="D21" s="13" t="s">
        <v>1347</v>
      </c>
      <c r="E21" s="28" t="s">
        <v>61</v>
      </c>
      <c r="F21" s="31">
        <v>4</v>
      </c>
      <c r="G21" s="35">
        <v>5925</v>
      </c>
      <c r="H21" s="283">
        <f t="shared" si="0"/>
        <v>23700</v>
      </c>
      <c r="I21" s="99" t="s">
        <v>1824</v>
      </c>
      <c r="J21" s="243"/>
      <c r="K21" s="32"/>
    </row>
    <row r="22" spans="1:11">
      <c r="A22" s="95">
        <v>18</v>
      </c>
      <c r="B22" s="37"/>
      <c r="C22" s="27" t="s">
        <v>1348</v>
      </c>
      <c r="D22" s="13" t="s">
        <v>1349</v>
      </c>
      <c r="E22" s="28" t="s">
        <v>61</v>
      </c>
      <c r="F22" s="31">
        <v>24</v>
      </c>
      <c r="G22" s="35">
        <v>4487.5</v>
      </c>
      <c r="H22" s="283">
        <f t="shared" si="0"/>
        <v>107700</v>
      </c>
      <c r="I22" s="99" t="s">
        <v>1824</v>
      </c>
      <c r="J22" s="243"/>
      <c r="K22" s="32"/>
    </row>
    <row r="23" spans="1:11">
      <c r="A23" s="95">
        <v>19</v>
      </c>
      <c r="B23" s="95"/>
      <c r="C23" s="27" t="s">
        <v>1350</v>
      </c>
      <c r="D23" s="13" t="s">
        <v>1351</v>
      </c>
      <c r="E23" s="28" t="s">
        <v>61</v>
      </c>
      <c r="F23" s="31">
        <v>25</v>
      </c>
      <c r="G23" s="35">
        <v>2992</v>
      </c>
      <c r="H23" s="283">
        <f t="shared" si="0"/>
        <v>74800</v>
      </c>
      <c r="I23" s="99" t="s">
        <v>77</v>
      </c>
      <c r="J23" s="243"/>
      <c r="K23" s="32"/>
    </row>
    <row r="24" spans="1:11">
      <c r="A24" s="95">
        <v>20</v>
      </c>
      <c r="B24" s="37"/>
      <c r="C24" s="27" t="s">
        <v>1352</v>
      </c>
      <c r="D24" s="13" t="s">
        <v>1353</v>
      </c>
      <c r="E24" s="28" t="s">
        <v>61</v>
      </c>
      <c r="F24" s="31">
        <v>1</v>
      </c>
      <c r="G24" s="35">
        <v>925000</v>
      </c>
      <c r="H24" s="283">
        <f t="shared" si="0"/>
        <v>925000</v>
      </c>
      <c r="I24" s="99" t="s">
        <v>77</v>
      </c>
      <c r="J24" s="243"/>
      <c r="K24" s="32"/>
    </row>
    <row r="25" spans="1:11">
      <c r="A25" s="95">
        <v>21</v>
      </c>
      <c r="B25" s="37"/>
      <c r="C25" s="27" t="s">
        <v>1354</v>
      </c>
      <c r="D25" s="13" t="s">
        <v>1355</v>
      </c>
      <c r="E25" s="28" t="s">
        <v>61</v>
      </c>
      <c r="F25" s="31">
        <v>1</v>
      </c>
      <c r="G25" s="35">
        <v>541900</v>
      </c>
      <c r="H25" s="283">
        <f t="shared" si="0"/>
        <v>541900</v>
      </c>
      <c r="I25" s="99" t="s">
        <v>77</v>
      </c>
      <c r="J25" s="256"/>
      <c r="K25" s="32"/>
    </row>
    <row r="26" spans="1:11">
      <c r="A26" s="95">
        <v>22</v>
      </c>
      <c r="B26" s="102"/>
      <c r="C26" s="27" t="s">
        <v>1356</v>
      </c>
      <c r="D26" s="13" t="s">
        <v>1357</v>
      </c>
      <c r="E26" s="28" t="s">
        <v>61</v>
      </c>
      <c r="F26" s="31">
        <v>1</v>
      </c>
      <c r="G26" s="35">
        <v>121300</v>
      </c>
      <c r="H26" s="283">
        <f t="shared" si="0"/>
        <v>121300</v>
      </c>
      <c r="I26" s="99" t="s">
        <v>77</v>
      </c>
      <c r="J26" s="256"/>
      <c r="K26" s="32"/>
    </row>
    <row r="27" spans="1:11">
      <c r="A27" s="95">
        <v>23</v>
      </c>
      <c r="B27" s="102"/>
      <c r="C27" s="27" t="s">
        <v>1358</v>
      </c>
      <c r="D27" s="13" t="s">
        <v>1359</v>
      </c>
      <c r="E27" s="28" t="s">
        <v>61</v>
      </c>
      <c r="F27" s="31">
        <v>5</v>
      </c>
      <c r="G27" s="35">
        <v>89880</v>
      </c>
      <c r="H27" s="283">
        <f t="shared" si="0"/>
        <v>449400</v>
      </c>
      <c r="I27" s="99" t="s">
        <v>77</v>
      </c>
      <c r="J27" s="53"/>
      <c r="K27" s="32"/>
    </row>
    <row r="28" spans="1:11">
      <c r="A28" s="95">
        <v>24</v>
      </c>
      <c r="B28" s="102"/>
      <c r="C28" s="27" t="s">
        <v>1360</v>
      </c>
      <c r="D28" s="13" t="s">
        <v>1361</v>
      </c>
      <c r="E28" s="28" t="s">
        <v>61</v>
      </c>
      <c r="F28" s="31">
        <v>5</v>
      </c>
      <c r="G28" s="35">
        <v>34882</v>
      </c>
      <c r="H28" s="283">
        <f t="shared" si="0"/>
        <v>174410</v>
      </c>
      <c r="I28" s="99" t="s">
        <v>77</v>
      </c>
      <c r="J28" s="53"/>
      <c r="K28" s="32"/>
    </row>
    <row r="29" spans="1:11">
      <c r="A29" s="95">
        <v>25</v>
      </c>
      <c r="B29" s="102"/>
      <c r="C29" s="27" t="s">
        <v>1362</v>
      </c>
      <c r="D29" s="13" t="s">
        <v>1363</v>
      </c>
      <c r="E29" s="28" t="s">
        <v>61</v>
      </c>
      <c r="F29" s="31">
        <v>5</v>
      </c>
      <c r="G29" s="35">
        <v>34882</v>
      </c>
      <c r="H29" s="283">
        <f t="shared" si="0"/>
        <v>174410</v>
      </c>
      <c r="I29" s="99" t="s">
        <v>77</v>
      </c>
      <c r="J29" s="53"/>
      <c r="K29" s="32"/>
    </row>
    <row r="30" spans="1:11">
      <c r="A30" s="95">
        <v>26</v>
      </c>
      <c r="B30" s="94"/>
      <c r="C30" s="27" t="s">
        <v>1364</v>
      </c>
      <c r="D30" s="13" t="s">
        <v>1365</v>
      </c>
      <c r="E30" s="28" t="s">
        <v>61</v>
      </c>
      <c r="F30" s="31">
        <v>1</v>
      </c>
      <c r="G30" s="35">
        <v>499690</v>
      </c>
      <c r="H30" s="283">
        <f t="shared" si="0"/>
        <v>499690</v>
      </c>
      <c r="I30" s="99" t="s">
        <v>77</v>
      </c>
      <c r="J30" s="53"/>
      <c r="K30" s="32"/>
    </row>
    <row r="31" spans="1:11">
      <c r="A31" s="95">
        <v>27</v>
      </c>
      <c r="B31" s="94"/>
      <c r="C31" s="27" t="s">
        <v>1366</v>
      </c>
      <c r="D31" s="13" t="s">
        <v>1039</v>
      </c>
      <c r="E31" s="28" t="s">
        <v>61</v>
      </c>
      <c r="F31" s="31">
        <v>10</v>
      </c>
      <c r="G31" s="35">
        <v>23861</v>
      </c>
      <c r="H31" s="283">
        <f t="shared" si="0"/>
        <v>238610</v>
      </c>
      <c r="I31" s="206" t="s">
        <v>78</v>
      </c>
      <c r="J31" s="53"/>
      <c r="K31" s="32"/>
    </row>
    <row r="32" spans="1:11">
      <c r="A32" s="95">
        <v>28</v>
      </c>
      <c r="B32" s="94"/>
      <c r="C32" s="27" t="s">
        <v>1367</v>
      </c>
      <c r="D32" s="13" t="s">
        <v>1368</v>
      </c>
      <c r="E32" s="28" t="s">
        <v>61</v>
      </c>
      <c r="F32" s="31">
        <v>1</v>
      </c>
      <c r="G32" s="35">
        <v>179760</v>
      </c>
      <c r="H32" s="283">
        <f t="shared" si="0"/>
        <v>179760</v>
      </c>
      <c r="I32" s="206" t="s">
        <v>77</v>
      </c>
      <c r="J32" s="53"/>
      <c r="K32" s="32"/>
    </row>
    <row r="33" spans="1:11">
      <c r="A33" s="95">
        <v>29</v>
      </c>
      <c r="B33" s="94"/>
      <c r="C33" s="217" t="s">
        <v>1369</v>
      </c>
      <c r="D33" s="13" t="s">
        <v>1370</v>
      </c>
      <c r="E33" s="28" t="s">
        <v>61</v>
      </c>
      <c r="F33" s="31">
        <v>5</v>
      </c>
      <c r="G33" s="35">
        <v>92234</v>
      </c>
      <c r="H33" s="283">
        <f t="shared" si="0"/>
        <v>461170</v>
      </c>
      <c r="I33" s="206" t="s">
        <v>77</v>
      </c>
      <c r="J33" s="53"/>
      <c r="K33" s="32"/>
    </row>
    <row r="34" spans="1:11">
      <c r="A34" s="95">
        <v>30</v>
      </c>
      <c r="B34" s="220"/>
      <c r="C34" s="217" t="s">
        <v>1371</v>
      </c>
      <c r="D34" s="13" t="s">
        <v>1372</v>
      </c>
      <c r="E34" s="28" t="s">
        <v>61</v>
      </c>
      <c r="F34" s="31">
        <v>5</v>
      </c>
      <c r="G34" s="35">
        <v>59706</v>
      </c>
      <c r="H34" s="283">
        <f t="shared" si="0"/>
        <v>298530</v>
      </c>
      <c r="I34" s="206" t="s">
        <v>77</v>
      </c>
      <c r="J34" s="53"/>
      <c r="K34" s="32"/>
    </row>
    <row r="35" spans="1:11">
      <c r="A35" s="95">
        <v>31</v>
      </c>
      <c r="B35" s="206"/>
      <c r="C35" s="217" t="s">
        <v>1373</v>
      </c>
      <c r="D35" s="13" t="s">
        <v>1374</v>
      </c>
      <c r="E35" s="206" t="s">
        <v>61</v>
      </c>
      <c r="F35" s="31">
        <v>1</v>
      </c>
      <c r="G35" s="35">
        <v>200000</v>
      </c>
      <c r="H35" s="283">
        <f t="shared" si="0"/>
        <v>200000</v>
      </c>
      <c r="I35" s="206" t="s">
        <v>77</v>
      </c>
      <c r="J35" s="53"/>
      <c r="K35" s="32"/>
    </row>
    <row r="36" spans="1:11">
      <c r="A36" s="95">
        <v>32</v>
      </c>
      <c r="B36" s="26"/>
      <c r="C36" s="217" t="s">
        <v>1375</v>
      </c>
      <c r="D36" s="13" t="s">
        <v>1376</v>
      </c>
      <c r="E36" s="206" t="s">
        <v>61</v>
      </c>
      <c r="F36" s="31">
        <v>1</v>
      </c>
      <c r="G36" s="35">
        <v>48950</v>
      </c>
      <c r="H36" s="283">
        <f t="shared" si="0"/>
        <v>48950</v>
      </c>
      <c r="I36" s="206" t="s">
        <v>77</v>
      </c>
      <c r="J36" s="53"/>
      <c r="K36" s="32"/>
    </row>
    <row r="37" spans="1:11">
      <c r="A37" s="95">
        <v>33</v>
      </c>
      <c r="B37" s="26"/>
      <c r="C37" s="217" t="s">
        <v>1377</v>
      </c>
      <c r="D37" s="13" t="s">
        <v>1378</v>
      </c>
      <c r="E37" s="206" t="s">
        <v>61</v>
      </c>
      <c r="F37" s="31">
        <v>1</v>
      </c>
      <c r="G37" s="35">
        <v>29700</v>
      </c>
      <c r="H37" s="283">
        <f t="shared" si="0"/>
        <v>29700</v>
      </c>
      <c r="I37" s="206" t="s">
        <v>77</v>
      </c>
      <c r="J37" s="53"/>
    </row>
    <row r="38" spans="1:11">
      <c r="A38" s="95">
        <v>34</v>
      </c>
      <c r="B38" s="26"/>
      <c r="C38" s="217" t="s">
        <v>1379</v>
      </c>
      <c r="D38" s="13" t="s">
        <v>1380</v>
      </c>
      <c r="E38" s="206" t="s">
        <v>61</v>
      </c>
      <c r="F38" s="31">
        <v>1</v>
      </c>
      <c r="G38" s="35">
        <v>115060</v>
      </c>
      <c r="H38" s="283">
        <f t="shared" si="0"/>
        <v>115060</v>
      </c>
      <c r="I38" s="206" t="s">
        <v>77</v>
      </c>
      <c r="J38" s="53"/>
    </row>
    <row r="39" spans="1:11">
      <c r="A39" s="95">
        <v>35</v>
      </c>
      <c r="B39" s="26"/>
      <c r="C39" s="217" t="s">
        <v>1381</v>
      </c>
      <c r="D39" s="13" t="s">
        <v>1382</v>
      </c>
      <c r="E39" s="206" t="s">
        <v>61</v>
      </c>
      <c r="F39" s="31">
        <v>1</v>
      </c>
      <c r="G39" s="35">
        <v>99000</v>
      </c>
      <c r="H39" s="283">
        <f t="shared" si="0"/>
        <v>99000</v>
      </c>
      <c r="I39" s="206" t="s">
        <v>77</v>
      </c>
      <c r="J39" s="53"/>
    </row>
    <row r="40" spans="1:11">
      <c r="A40" s="95">
        <v>36</v>
      </c>
      <c r="B40" s="26"/>
      <c r="C40" s="27" t="s">
        <v>1381</v>
      </c>
      <c r="D40" s="13" t="s">
        <v>1383</v>
      </c>
      <c r="E40" s="206" t="s">
        <v>61</v>
      </c>
      <c r="F40" s="31">
        <v>1</v>
      </c>
      <c r="G40" s="35">
        <v>46750</v>
      </c>
      <c r="H40" s="283">
        <f t="shared" si="0"/>
        <v>46750</v>
      </c>
      <c r="I40" s="206" t="s">
        <v>1824</v>
      </c>
      <c r="J40" s="53"/>
    </row>
    <row r="41" spans="1:11">
      <c r="A41" s="95">
        <v>37</v>
      </c>
      <c r="B41" s="26"/>
      <c r="C41" s="217" t="s">
        <v>1384</v>
      </c>
      <c r="D41" s="277" t="s">
        <v>1385</v>
      </c>
      <c r="E41" s="206" t="s">
        <v>61</v>
      </c>
      <c r="F41" s="282">
        <v>1</v>
      </c>
      <c r="G41" s="283">
        <v>44990</v>
      </c>
      <c r="H41" s="283">
        <f t="shared" si="0"/>
        <v>44990</v>
      </c>
      <c r="I41" s="206" t="s">
        <v>1824</v>
      </c>
      <c r="J41" s="53"/>
    </row>
    <row r="42" spans="1:11">
      <c r="A42" s="95">
        <v>38</v>
      </c>
      <c r="B42" s="26"/>
      <c r="C42" s="217" t="s">
        <v>1386</v>
      </c>
      <c r="D42" s="13" t="s">
        <v>1387</v>
      </c>
      <c r="E42" s="206" t="s">
        <v>61</v>
      </c>
      <c r="F42" s="31">
        <v>1</v>
      </c>
      <c r="G42" s="35">
        <v>29920</v>
      </c>
      <c r="H42" s="283">
        <f t="shared" si="0"/>
        <v>29920</v>
      </c>
      <c r="I42" s="206" t="s">
        <v>1824</v>
      </c>
      <c r="J42" s="53"/>
    </row>
    <row r="43" spans="1:11">
      <c r="A43" s="95">
        <v>39</v>
      </c>
      <c r="B43" s="26"/>
      <c r="C43" s="27" t="s">
        <v>1388</v>
      </c>
      <c r="D43" s="13" t="s">
        <v>1389</v>
      </c>
      <c r="E43" s="206" t="s">
        <v>61</v>
      </c>
      <c r="F43" s="31">
        <v>1</v>
      </c>
      <c r="G43" s="35">
        <v>179960</v>
      </c>
      <c r="H43" s="283">
        <f t="shared" si="0"/>
        <v>179960</v>
      </c>
      <c r="I43" s="206" t="s">
        <v>1824</v>
      </c>
      <c r="J43" s="53"/>
    </row>
    <row r="44" spans="1:11">
      <c r="A44" s="95">
        <v>40</v>
      </c>
      <c r="B44" s="26"/>
      <c r="C44" s="217" t="s">
        <v>1390</v>
      </c>
      <c r="D44" s="13" t="s">
        <v>1391</v>
      </c>
      <c r="E44" s="206" t="s">
        <v>61</v>
      </c>
      <c r="F44" s="31">
        <v>1</v>
      </c>
      <c r="G44" s="35">
        <v>49940</v>
      </c>
      <c r="H44" s="283">
        <f t="shared" si="0"/>
        <v>49940</v>
      </c>
      <c r="I44" s="206" t="s">
        <v>1824</v>
      </c>
      <c r="J44" s="53"/>
    </row>
    <row r="45" spans="1:11">
      <c r="A45" s="362" t="s">
        <v>1910</v>
      </c>
      <c r="B45" s="363"/>
      <c r="C45" s="363"/>
      <c r="D45" s="364"/>
      <c r="E45" s="206"/>
      <c r="F45" s="31"/>
      <c r="G45" s="35"/>
      <c r="H45" s="283">
        <f>SUM(H5:H44)</f>
        <v>7120289.2999999998</v>
      </c>
      <c r="I45" s="206"/>
      <c r="J45" s="53"/>
    </row>
    <row r="46" spans="1:11">
      <c r="A46" s="362" t="s">
        <v>1911</v>
      </c>
      <c r="B46" s="363"/>
      <c r="C46" s="363"/>
      <c r="D46" s="364"/>
      <c r="E46" s="206"/>
      <c r="F46" s="31"/>
      <c r="G46" s="35"/>
      <c r="H46" s="283">
        <f>SUM(H45)</f>
        <v>7120289.2999999998</v>
      </c>
      <c r="I46" s="206"/>
      <c r="J46" s="53"/>
    </row>
    <row r="47" spans="1:11">
      <c r="A47" s="95">
        <v>41</v>
      </c>
      <c r="B47" s="104"/>
      <c r="C47" s="27" t="s">
        <v>1392</v>
      </c>
      <c r="D47" s="13" t="s">
        <v>1393</v>
      </c>
      <c r="E47" s="206" t="s">
        <v>61</v>
      </c>
      <c r="F47" s="31">
        <v>1</v>
      </c>
      <c r="G47" s="35">
        <v>119900</v>
      </c>
      <c r="H47" s="283">
        <f t="shared" si="0"/>
        <v>119900</v>
      </c>
      <c r="I47" s="206" t="s">
        <v>1824</v>
      </c>
      <c r="J47" s="53"/>
    </row>
    <row r="48" spans="1:11">
      <c r="A48" s="95">
        <v>42</v>
      </c>
      <c r="B48" s="37"/>
      <c r="C48" s="27" t="s">
        <v>1394</v>
      </c>
      <c r="D48" s="13" t="s">
        <v>1395</v>
      </c>
      <c r="E48" s="206" t="s">
        <v>61</v>
      </c>
      <c r="F48" s="31">
        <v>1</v>
      </c>
      <c r="G48" s="35">
        <v>271500</v>
      </c>
      <c r="H48" s="283">
        <f t="shared" si="0"/>
        <v>271500</v>
      </c>
      <c r="I48" s="99" t="s">
        <v>77</v>
      </c>
      <c r="J48" s="243"/>
    </row>
    <row r="49" spans="1:10">
      <c r="A49" s="95">
        <v>43</v>
      </c>
      <c r="B49" s="100"/>
      <c r="C49" s="27" t="s">
        <v>1396</v>
      </c>
      <c r="D49" s="12" t="s">
        <v>1397</v>
      </c>
      <c r="E49" s="206" t="s">
        <v>61</v>
      </c>
      <c r="F49" s="31">
        <v>1</v>
      </c>
      <c r="G49" s="35">
        <v>58300</v>
      </c>
      <c r="H49" s="283">
        <f t="shared" si="0"/>
        <v>58300</v>
      </c>
      <c r="I49" s="99" t="s">
        <v>77</v>
      </c>
      <c r="J49" s="243"/>
    </row>
    <row r="50" spans="1:10">
      <c r="A50" s="95">
        <v>44</v>
      </c>
      <c r="B50" s="37"/>
      <c r="C50" s="27" t="s">
        <v>1398</v>
      </c>
      <c r="D50" s="13" t="s">
        <v>1399</v>
      </c>
      <c r="E50" s="206" t="s">
        <v>61</v>
      </c>
      <c r="F50" s="31">
        <v>1</v>
      </c>
      <c r="G50" s="35">
        <v>46200</v>
      </c>
      <c r="H50" s="283">
        <f t="shared" si="0"/>
        <v>46200</v>
      </c>
      <c r="I50" s="99" t="s">
        <v>77</v>
      </c>
      <c r="J50" s="243"/>
    </row>
    <row r="51" spans="1:10">
      <c r="A51" s="95">
        <v>45</v>
      </c>
      <c r="B51" s="37"/>
      <c r="C51" s="27" t="s">
        <v>1400</v>
      </c>
      <c r="D51" s="13" t="s">
        <v>1401</v>
      </c>
      <c r="E51" s="206" t="s">
        <v>61</v>
      </c>
      <c r="F51" s="31">
        <v>1</v>
      </c>
      <c r="G51" s="35">
        <v>42900</v>
      </c>
      <c r="H51" s="283">
        <f t="shared" si="0"/>
        <v>42900</v>
      </c>
      <c r="I51" s="99" t="s">
        <v>77</v>
      </c>
      <c r="J51" s="243"/>
    </row>
    <row r="52" spans="1:10">
      <c r="A52" s="95">
        <v>46</v>
      </c>
      <c r="B52" s="37"/>
      <c r="C52" s="27" t="s">
        <v>1402</v>
      </c>
      <c r="D52" s="13" t="s">
        <v>1403</v>
      </c>
      <c r="E52" s="206" t="s">
        <v>61</v>
      </c>
      <c r="F52" s="31">
        <v>1</v>
      </c>
      <c r="G52" s="35">
        <v>11000</v>
      </c>
      <c r="H52" s="283">
        <f t="shared" si="0"/>
        <v>11000</v>
      </c>
      <c r="I52" s="99" t="s">
        <v>1824</v>
      </c>
      <c r="J52" s="243"/>
    </row>
    <row r="53" spans="1:10">
      <c r="A53" s="95">
        <v>47</v>
      </c>
      <c r="B53" s="37"/>
      <c r="C53" s="27" t="s">
        <v>1404</v>
      </c>
      <c r="D53" s="13" t="s">
        <v>1405</v>
      </c>
      <c r="E53" s="206" t="s">
        <v>61</v>
      </c>
      <c r="F53" s="31">
        <v>1</v>
      </c>
      <c r="G53" s="35">
        <v>12100</v>
      </c>
      <c r="H53" s="283">
        <f t="shared" si="0"/>
        <v>12100</v>
      </c>
      <c r="I53" s="99" t="s">
        <v>77</v>
      </c>
      <c r="J53" s="243"/>
    </row>
    <row r="54" spans="1:10">
      <c r="A54" s="95">
        <v>48</v>
      </c>
      <c r="B54" s="95"/>
      <c r="C54" s="27" t="s">
        <v>1406</v>
      </c>
      <c r="D54" s="13" t="s">
        <v>1407</v>
      </c>
      <c r="E54" s="206" t="s">
        <v>61</v>
      </c>
      <c r="F54" s="31">
        <v>1</v>
      </c>
      <c r="G54" s="35">
        <v>176550</v>
      </c>
      <c r="H54" s="283">
        <f t="shared" si="0"/>
        <v>176550</v>
      </c>
      <c r="I54" s="99" t="s">
        <v>77</v>
      </c>
      <c r="J54" s="243"/>
    </row>
    <row r="55" spans="1:10">
      <c r="A55" s="95">
        <v>49</v>
      </c>
      <c r="B55" s="37"/>
      <c r="C55" s="27" t="s">
        <v>1408</v>
      </c>
      <c r="D55" s="81" t="s">
        <v>1409</v>
      </c>
      <c r="E55" s="206" t="s">
        <v>61</v>
      </c>
      <c r="F55" s="31">
        <v>9</v>
      </c>
      <c r="G55" s="139">
        <v>131182</v>
      </c>
      <c r="H55" s="283">
        <f t="shared" si="0"/>
        <v>1180638</v>
      </c>
      <c r="I55" s="99" t="s">
        <v>77</v>
      </c>
      <c r="J55" s="243"/>
    </row>
    <row r="56" spans="1:10">
      <c r="A56" s="95">
        <v>50</v>
      </c>
      <c r="B56" s="37"/>
      <c r="C56" s="27" t="s">
        <v>1410</v>
      </c>
      <c r="D56" s="81" t="s">
        <v>1105</v>
      </c>
      <c r="E56" s="206" t="s">
        <v>61</v>
      </c>
      <c r="F56" s="31">
        <v>10</v>
      </c>
      <c r="G56" s="139">
        <v>1605</v>
      </c>
      <c r="H56" s="283">
        <f t="shared" si="0"/>
        <v>16050</v>
      </c>
      <c r="I56" s="99" t="s">
        <v>77</v>
      </c>
      <c r="J56" s="243"/>
    </row>
    <row r="57" spans="1:10">
      <c r="A57" s="95">
        <v>51</v>
      </c>
      <c r="B57" s="37"/>
      <c r="C57" s="27" t="s">
        <v>1411</v>
      </c>
      <c r="D57" s="23" t="s">
        <v>1412</v>
      </c>
      <c r="E57" s="206" t="s">
        <v>61</v>
      </c>
      <c r="F57" s="31">
        <v>1</v>
      </c>
      <c r="G57" s="139">
        <v>219350</v>
      </c>
      <c r="H57" s="283">
        <f t="shared" si="0"/>
        <v>219350</v>
      </c>
      <c r="I57" s="107" t="s">
        <v>1824</v>
      </c>
      <c r="J57" s="256"/>
    </row>
    <row r="58" spans="1:10">
      <c r="A58" s="95">
        <v>52</v>
      </c>
      <c r="B58" s="102"/>
      <c r="C58" s="27" t="s">
        <v>1413</v>
      </c>
      <c r="D58" s="81" t="s">
        <v>1414</v>
      </c>
      <c r="E58" s="206" t="s">
        <v>61</v>
      </c>
      <c r="F58" s="31">
        <v>1</v>
      </c>
      <c r="G58" s="139">
        <v>119305</v>
      </c>
      <c r="H58" s="283">
        <f t="shared" si="0"/>
        <v>119305</v>
      </c>
      <c r="I58" s="107" t="s">
        <v>1824</v>
      </c>
      <c r="J58" s="256"/>
    </row>
    <row r="59" spans="1:10">
      <c r="A59" s="95">
        <v>53</v>
      </c>
      <c r="B59" s="102"/>
      <c r="C59" s="27" t="s">
        <v>1415</v>
      </c>
      <c r="D59" s="81" t="s">
        <v>1416</v>
      </c>
      <c r="E59" s="206" t="s">
        <v>61</v>
      </c>
      <c r="F59" s="31">
        <v>1</v>
      </c>
      <c r="G59" s="139">
        <v>4900</v>
      </c>
      <c r="H59" s="283">
        <f t="shared" si="0"/>
        <v>4900</v>
      </c>
      <c r="I59" s="107" t="s">
        <v>1824</v>
      </c>
      <c r="J59" s="53"/>
    </row>
    <row r="60" spans="1:10">
      <c r="A60" s="95">
        <v>54</v>
      </c>
      <c r="B60" s="102"/>
      <c r="C60" s="27" t="s">
        <v>1417</v>
      </c>
      <c r="D60" s="81" t="s">
        <v>1418</v>
      </c>
      <c r="E60" s="206" t="s">
        <v>61</v>
      </c>
      <c r="F60" s="31">
        <v>15</v>
      </c>
      <c r="G60" s="139">
        <v>2490</v>
      </c>
      <c r="H60" s="283">
        <f t="shared" si="0"/>
        <v>37350</v>
      </c>
      <c r="I60" s="107" t="s">
        <v>1824</v>
      </c>
      <c r="J60" s="53"/>
    </row>
    <row r="61" spans="1:10">
      <c r="A61" s="95">
        <v>55</v>
      </c>
      <c r="B61" s="102"/>
      <c r="C61" s="27" t="s">
        <v>1419</v>
      </c>
      <c r="D61" s="81" t="s">
        <v>1418</v>
      </c>
      <c r="E61" s="206" t="s">
        <v>61</v>
      </c>
      <c r="F61" s="31">
        <v>10</v>
      </c>
      <c r="G61" s="139">
        <v>2490</v>
      </c>
      <c r="H61" s="283">
        <f t="shared" si="0"/>
        <v>24900</v>
      </c>
      <c r="I61" s="107" t="s">
        <v>1824</v>
      </c>
      <c r="J61" s="53"/>
    </row>
    <row r="62" spans="1:10">
      <c r="A62" s="95">
        <v>56</v>
      </c>
      <c r="B62" s="94"/>
      <c r="C62" s="27" t="s">
        <v>1420</v>
      </c>
      <c r="D62" s="81" t="s">
        <v>1421</v>
      </c>
      <c r="E62" s="206" t="s">
        <v>61</v>
      </c>
      <c r="F62" s="31">
        <v>1</v>
      </c>
      <c r="G62" s="139">
        <v>5684.5</v>
      </c>
      <c r="H62" s="283">
        <f t="shared" si="0"/>
        <v>5684.5</v>
      </c>
      <c r="I62" s="107" t="s">
        <v>1824</v>
      </c>
      <c r="J62" s="53"/>
    </row>
    <row r="63" spans="1:10">
      <c r="A63" s="358" t="s">
        <v>465</v>
      </c>
      <c r="B63" s="359"/>
      <c r="C63" s="359"/>
      <c r="D63" s="359"/>
      <c r="E63" s="360"/>
      <c r="F63" s="28"/>
      <c r="G63" s="244" t="s">
        <v>1857</v>
      </c>
      <c r="H63" s="245">
        <f>SUM(H46:H62)</f>
        <v>9466916.8000000007</v>
      </c>
      <c r="I63" s="259"/>
      <c r="J63" s="252"/>
    </row>
    <row r="64" spans="1:10">
      <c r="A64" s="260"/>
      <c r="B64" s="260"/>
      <c r="C64" s="260"/>
      <c r="D64" s="260"/>
      <c r="E64" s="260"/>
      <c r="F64" s="268"/>
      <c r="G64" s="255"/>
      <c r="H64" s="255"/>
      <c r="I64" s="258"/>
      <c r="J64" s="252"/>
    </row>
    <row r="65" spans="1:10">
      <c r="A65" s="53"/>
      <c r="B65" s="53"/>
      <c r="C65" s="53"/>
      <c r="D65" s="53"/>
      <c r="E65" s="53"/>
      <c r="F65" s="268"/>
      <c r="G65" s="53"/>
      <c r="H65" s="53"/>
      <c r="I65" s="258"/>
      <c r="J65" s="53"/>
    </row>
    <row r="66" spans="1:10">
      <c r="A66" s="53"/>
      <c r="B66" s="53"/>
      <c r="C66" s="53"/>
      <c r="D66" s="53"/>
      <c r="E66" s="53"/>
      <c r="F66" s="353" t="s">
        <v>225</v>
      </c>
      <c r="G66" s="353"/>
      <c r="H66" s="353"/>
      <c r="I66" s="353"/>
      <c r="J66" s="258"/>
    </row>
    <row r="67" spans="1:10">
      <c r="A67" s="53"/>
      <c r="B67" s="53"/>
      <c r="C67" s="53"/>
      <c r="D67" s="53"/>
      <c r="E67" s="53"/>
      <c r="F67" s="353" t="s">
        <v>1925</v>
      </c>
      <c r="G67" s="353"/>
      <c r="H67" s="353"/>
      <c r="I67" s="353"/>
      <c r="J67" s="258"/>
    </row>
    <row r="68" spans="1:10">
      <c r="A68" s="53"/>
      <c r="B68" s="53"/>
      <c r="C68" s="53"/>
      <c r="D68" s="53"/>
      <c r="E68" s="53"/>
      <c r="F68" s="353" t="s">
        <v>226</v>
      </c>
      <c r="G68" s="353"/>
      <c r="H68" s="353"/>
      <c r="I68" s="353"/>
      <c r="J68" s="258"/>
    </row>
    <row r="69" spans="1:10">
      <c r="A69" s="53"/>
      <c r="B69" s="53"/>
      <c r="C69" s="53"/>
      <c r="D69" s="53"/>
      <c r="E69" s="53"/>
      <c r="F69" s="258"/>
      <c r="G69" s="258"/>
      <c r="H69" s="258"/>
      <c r="I69" s="258"/>
      <c r="J69" s="258"/>
    </row>
  </sheetData>
  <mergeCells count="9">
    <mergeCell ref="A46:D46"/>
    <mergeCell ref="F68:I68"/>
    <mergeCell ref="A1:I1"/>
    <mergeCell ref="A2:I2"/>
    <mergeCell ref="A3:I3"/>
    <mergeCell ref="A63:E63"/>
    <mergeCell ref="F66:I66"/>
    <mergeCell ref="F67:I67"/>
    <mergeCell ref="A45:D45"/>
  </mergeCells>
  <printOptions horizontalCentered="1"/>
  <pageMargins left="0.19685039370078741" right="0" top="0.59055118110236227" bottom="0.19685039370078741" header="0" footer="0"/>
  <pageSetup paperSize="9" scale="73" orientation="portrait" r:id="rId1"/>
  <rowBreaks count="1" manualBreakCount="1">
    <brk id="47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7"/>
  <sheetViews>
    <sheetView workbookViewId="0">
      <selection activeCell="K6" sqref="K6"/>
    </sheetView>
  </sheetViews>
  <sheetFormatPr defaultColWidth="9" defaultRowHeight="21"/>
  <cols>
    <col min="1" max="1" width="5.42578125" style="33" customWidth="1"/>
    <col min="2" max="2" width="12.85546875" style="33" customWidth="1"/>
    <col min="3" max="3" width="28.140625" style="33" customWidth="1"/>
    <col min="4" max="4" width="35.7109375" style="33" customWidth="1"/>
    <col min="5" max="5" width="7.85546875" style="33" customWidth="1"/>
    <col min="6" max="6" width="7.140625" style="33" customWidth="1"/>
    <col min="7" max="7" width="13.7109375" style="33" customWidth="1"/>
    <col min="8" max="8" width="15" style="33" customWidth="1"/>
    <col min="9" max="9" width="9.28515625" style="287" customWidth="1"/>
    <col min="10" max="10" width="14.42578125" style="33" customWidth="1"/>
    <col min="11" max="11" width="14.28515625" style="33" customWidth="1"/>
    <col min="12" max="12" width="2.5703125" style="33" hidden="1" customWidth="1"/>
    <col min="13" max="16384" width="9" style="33"/>
  </cols>
  <sheetData>
    <row r="1" spans="1:11" ht="24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61"/>
      <c r="K1" s="261"/>
    </row>
    <row r="2" spans="1:11" ht="24">
      <c r="A2" s="355" t="s">
        <v>1251</v>
      </c>
      <c r="B2" s="355"/>
      <c r="C2" s="355"/>
      <c r="D2" s="355"/>
      <c r="E2" s="355"/>
      <c r="F2" s="355"/>
      <c r="G2" s="355"/>
      <c r="H2" s="355"/>
      <c r="I2" s="355"/>
      <c r="J2" s="263"/>
      <c r="K2" s="263"/>
    </row>
    <row r="3" spans="1:11" ht="24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58"/>
      <c r="K3" s="258"/>
    </row>
    <row r="4" spans="1:11" ht="42.7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  <c r="K4" s="262"/>
    </row>
    <row r="5" spans="1:11" ht="24">
      <c r="A5" s="95">
        <v>1</v>
      </c>
      <c r="B5" s="102"/>
      <c r="C5" s="27" t="s">
        <v>1227</v>
      </c>
      <c r="D5" s="13" t="s">
        <v>1228</v>
      </c>
      <c r="E5" s="28" t="s">
        <v>1825</v>
      </c>
      <c r="F5" s="31">
        <v>1</v>
      </c>
      <c r="G5" s="35">
        <v>69950</v>
      </c>
      <c r="H5" s="35">
        <f>SUM(F5*G5)</f>
        <v>69950</v>
      </c>
      <c r="I5" s="107" t="s">
        <v>78</v>
      </c>
      <c r="J5" s="256"/>
      <c r="K5" s="256"/>
    </row>
    <row r="6" spans="1:11" ht="24">
      <c r="A6" s="216">
        <v>2</v>
      </c>
      <c r="B6" s="102"/>
      <c r="C6" s="27" t="s">
        <v>1229</v>
      </c>
      <c r="D6" s="13" t="s">
        <v>1228</v>
      </c>
      <c r="E6" s="28" t="s">
        <v>1825</v>
      </c>
      <c r="F6" s="31">
        <v>1</v>
      </c>
      <c r="G6" s="35">
        <v>86000</v>
      </c>
      <c r="H6" s="35">
        <f t="shared" ref="H6:H15" si="0">SUM(F6*G6)</f>
        <v>86000</v>
      </c>
      <c r="I6" s="206" t="s">
        <v>78</v>
      </c>
      <c r="J6" s="53"/>
      <c r="K6" s="254"/>
    </row>
    <row r="7" spans="1:11" ht="24">
      <c r="A7" s="95">
        <v>3</v>
      </c>
      <c r="B7" s="37"/>
      <c r="C7" s="217" t="s">
        <v>1252</v>
      </c>
      <c r="D7" s="13" t="s">
        <v>1253</v>
      </c>
      <c r="E7" s="28" t="s">
        <v>61</v>
      </c>
      <c r="F7" s="31">
        <v>2</v>
      </c>
      <c r="G7" s="35">
        <v>294800</v>
      </c>
      <c r="H7" s="35">
        <f t="shared" si="0"/>
        <v>589600</v>
      </c>
      <c r="I7" s="99" t="s">
        <v>78</v>
      </c>
      <c r="J7" s="243"/>
      <c r="K7" s="243"/>
    </row>
    <row r="8" spans="1:11" ht="24">
      <c r="A8" s="216">
        <v>4</v>
      </c>
      <c r="B8" s="37" t="s">
        <v>1883</v>
      </c>
      <c r="C8" s="217" t="s">
        <v>1799</v>
      </c>
      <c r="D8" s="13" t="s">
        <v>1800</v>
      </c>
      <c r="E8" s="28" t="s">
        <v>61</v>
      </c>
      <c r="F8" s="31">
        <v>6</v>
      </c>
      <c r="G8" s="35">
        <v>2395000</v>
      </c>
      <c r="H8" s="35">
        <f t="shared" si="0"/>
        <v>14370000</v>
      </c>
      <c r="I8" s="99" t="s">
        <v>78</v>
      </c>
      <c r="J8" s="243"/>
      <c r="K8" s="243"/>
    </row>
    <row r="9" spans="1:11" ht="24">
      <c r="A9" s="95">
        <v>5</v>
      </c>
      <c r="B9" s="37"/>
      <c r="C9" s="217" t="s">
        <v>1847</v>
      </c>
      <c r="D9" s="13" t="s">
        <v>1801</v>
      </c>
      <c r="E9" s="28" t="s">
        <v>62</v>
      </c>
      <c r="F9" s="31">
        <v>1</v>
      </c>
      <c r="G9" s="35">
        <v>3500</v>
      </c>
      <c r="H9" s="35">
        <f t="shared" si="0"/>
        <v>3500</v>
      </c>
      <c r="I9" s="99" t="s">
        <v>78</v>
      </c>
      <c r="J9" s="243"/>
      <c r="K9" s="243"/>
    </row>
    <row r="10" spans="1:11" ht="24">
      <c r="A10" s="216">
        <v>6</v>
      </c>
      <c r="B10" s="37" t="s">
        <v>1774</v>
      </c>
      <c r="C10" s="217" t="s">
        <v>1770</v>
      </c>
      <c r="D10" s="46" t="s">
        <v>1845</v>
      </c>
      <c r="E10" s="28" t="s">
        <v>1825</v>
      </c>
      <c r="F10" s="31">
        <v>6</v>
      </c>
      <c r="G10" s="35">
        <v>38000</v>
      </c>
      <c r="H10" s="35">
        <f t="shared" si="0"/>
        <v>228000</v>
      </c>
      <c r="I10" s="99" t="s">
        <v>78</v>
      </c>
      <c r="J10" s="243"/>
      <c r="K10" s="243"/>
    </row>
    <row r="11" spans="1:11" ht="24">
      <c r="A11" s="95">
        <v>7</v>
      </c>
      <c r="B11" s="37" t="s">
        <v>1774</v>
      </c>
      <c r="C11" s="217" t="s">
        <v>1772</v>
      </c>
      <c r="D11" s="46" t="s">
        <v>1767</v>
      </c>
      <c r="E11" s="28" t="s">
        <v>1825</v>
      </c>
      <c r="F11" s="31">
        <v>2</v>
      </c>
      <c r="G11" s="35">
        <v>31000</v>
      </c>
      <c r="H11" s="35">
        <f t="shared" si="0"/>
        <v>62000</v>
      </c>
      <c r="I11" s="99" t="s">
        <v>78</v>
      </c>
      <c r="J11" s="243"/>
      <c r="K11" s="243"/>
    </row>
    <row r="12" spans="1:11" ht="24">
      <c r="A12" s="216">
        <v>8</v>
      </c>
      <c r="B12" s="37" t="s">
        <v>1774</v>
      </c>
      <c r="C12" s="217" t="s">
        <v>1771</v>
      </c>
      <c r="D12" s="46" t="s">
        <v>1768</v>
      </c>
      <c r="E12" s="28" t="s">
        <v>1825</v>
      </c>
      <c r="F12" s="31">
        <v>1</v>
      </c>
      <c r="G12" s="35">
        <v>35000</v>
      </c>
      <c r="H12" s="35">
        <f t="shared" si="0"/>
        <v>35000</v>
      </c>
      <c r="I12" s="99" t="s">
        <v>78</v>
      </c>
      <c r="J12" s="243"/>
      <c r="K12" s="243"/>
    </row>
    <row r="13" spans="1:11" ht="24">
      <c r="A13" s="95">
        <v>9</v>
      </c>
      <c r="B13" s="37" t="s">
        <v>1774</v>
      </c>
      <c r="C13" s="217" t="s">
        <v>1773</v>
      </c>
      <c r="D13" s="46" t="s">
        <v>1769</v>
      </c>
      <c r="E13" s="28" t="s">
        <v>1825</v>
      </c>
      <c r="F13" s="31">
        <v>1</v>
      </c>
      <c r="G13" s="35">
        <v>25000</v>
      </c>
      <c r="H13" s="35">
        <f t="shared" si="0"/>
        <v>25000</v>
      </c>
      <c r="I13" s="99" t="s">
        <v>78</v>
      </c>
      <c r="J13" s="243"/>
      <c r="K13" s="243"/>
    </row>
    <row r="14" spans="1:11" ht="24">
      <c r="A14" s="216">
        <v>10</v>
      </c>
      <c r="B14" s="37" t="s">
        <v>1805</v>
      </c>
      <c r="C14" s="217" t="s">
        <v>1846</v>
      </c>
      <c r="D14" s="46" t="s">
        <v>1806</v>
      </c>
      <c r="E14" s="28" t="s">
        <v>62</v>
      </c>
      <c r="F14" s="31">
        <v>1</v>
      </c>
      <c r="G14" s="35">
        <v>2900</v>
      </c>
      <c r="H14" s="35">
        <f t="shared" si="0"/>
        <v>2900</v>
      </c>
      <c r="I14" s="99" t="s">
        <v>78</v>
      </c>
      <c r="J14" s="243"/>
      <c r="K14" s="243"/>
    </row>
    <row r="15" spans="1:11" ht="24">
      <c r="A15" s="95">
        <v>11</v>
      </c>
      <c r="B15" s="37" t="s">
        <v>1802</v>
      </c>
      <c r="C15" s="27" t="s">
        <v>1803</v>
      </c>
      <c r="D15" s="46" t="s">
        <v>1804</v>
      </c>
      <c r="E15" s="28" t="s">
        <v>62</v>
      </c>
      <c r="F15" s="31">
        <v>1</v>
      </c>
      <c r="G15" s="35">
        <v>12260</v>
      </c>
      <c r="H15" s="35">
        <f t="shared" si="0"/>
        <v>12260</v>
      </c>
      <c r="I15" s="99" t="s">
        <v>78</v>
      </c>
      <c r="J15" s="243"/>
      <c r="K15" s="243"/>
    </row>
    <row r="16" spans="1:11" ht="24">
      <c r="A16" s="357" t="s">
        <v>465</v>
      </c>
      <c r="B16" s="357"/>
      <c r="C16" s="357"/>
      <c r="D16" s="357"/>
      <c r="E16" s="357"/>
      <c r="F16" s="28"/>
      <c r="G16" s="244" t="s">
        <v>1857</v>
      </c>
      <c r="H16" s="245">
        <f>SUM(H5:H15)</f>
        <v>15484210</v>
      </c>
      <c r="I16" s="259"/>
      <c r="J16" s="258"/>
      <c r="K16" s="258"/>
    </row>
    <row r="17" spans="1:11" ht="24">
      <c r="A17" s="260"/>
      <c r="B17" s="260"/>
      <c r="C17" s="260"/>
      <c r="D17" s="260"/>
      <c r="E17" s="260"/>
      <c r="F17" s="268"/>
      <c r="G17" s="255"/>
      <c r="H17" s="255"/>
      <c r="I17" s="258"/>
      <c r="J17" s="258"/>
      <c r="K17" s="258"/>
    </row>
    <row r="18" spans="1:11" ht="24">
      <c r="A18" s="260"/>
      <c r="B18" s="260"/>
      <c r="C18" s="260"/>
      <c r="D18" s="260"/>
      <c r="E18" s="260"/>
      <c r="F18" s="268"/>
      <c r="G18" s="255"/>
      <c r="H18" s="255"/>
      <c r="I18" s="258"/>
      <c r="J18" s="258"/>
      <c r="K18" s="258"/>
    </row>
    <row r="19" spans="1:11" ht="23.25" customHeight="1">
      <c r="A19" s="53"/>
      <c r="B19" s="53"/>
      <c r="C19" s="53"/>
      <c r="D19" s="53"/>
      <c r="E19" s="53"/>
      <c r="F19" s="353" t="s">
        <v>225</v>
      </c>
      <c r="G19" s="353"/>
      <c r="H19" s="353"/>
      <c r="I19" s="353"/>
      <c r="J19" s="258"/>
      <c r="K19" s="258"/>
    </row>
    <row r="20" spans="1:11" ht="19.5" customHeight="1">
      <c r="A20" s="53"/>
      <c r="B20" s="53"/>
      <c r="C20" s="53"/>
      <c r="D20" s="53"/>
      <c r="E20" s="53"/>
      <c r="F20" s="353" t="s">
        <v>1761</v>
      </c>
      <c r="G20" s="353"/>
      <c r="H20" s="353"/>
      <c r="I20" s="353"/>
      <c r="J20" s="258"/>
      <c r="K20" s="258"/>
    </row>
    <row r="21" spans="1:11" ht="18.75" customHeight="1">
      <c r="A21" s="53"/>
      <c r="B21" s="53"/>
      <c r="C21" s="53"/>
      <c r="D21" s="53"/>
      <c r="E21" s="53"/>
      <c r="F21" s="353" t="s">
        <v>226</v>
      </c>
      <c r="G21" s="353"/>
      <c r="H21" s="353"/>
      <c r="I21" s="353"/>
      <c r="J21" s="258"/>
      <c r="K21" s="258"/>
    </row>
    <row r="22" spans="1:11" ht="18.75" customHeight="1">
      <c r="A22" s="53"/>
      <c r="B22" s="53"/>
      <c r="C22" s="53"/>
      <c r="D22" s="53"/>
      <c r="E22" s="53"/>
      <c r="F22" s="258"/>
      <c r="G22" s="258"/>
      <c r="H22" s="258"/>
      <c r="I22" s="258"/>
      <c r="J22" s="258"/>
      <c r="K22" s="258"/>
    </row>
    <row r="23" spans="1:11" s="14" customFormat="1" ht="24">
      <c r="I23" s="261"/>
    </row>
    <row r="24" spans="1:11" s="14" customFormat="1" ht="24">
      <c r="I24" s="261"/>
    </row>
    <row r="25" spans="1:11" s="14" customFormat="1" ht="24">
      <c r="I25" s="261"/>
    </row>
    <row r="26" spans="1:11" s="14" customFormat="1" ht="24">
      <c r="I26" s="261"/>
    </row>
    <row r="27" spans="1:11" s="14" customFormat="1" ht="24">
      <c r="I27" s="261"/>
    </row>
  </sheetData>
  <mergeCells count="7">
    <mergeCell ref="F21:I21"/>
    <mergeCell ref="A16:E16"/>
    <mergeCell ref="F19:I19"/>
    <mergeCell ref="F20:I20"/>
    <mergeCell ref="A1:I1"/>
    <mergeCell ref="A2:I2"/>
    <mergeCell ref="A3:I3"/>
  </mergeCells>
  <printOptions horizontalCentered="1"/>
  <pageMargins left="0.19685039370078741" right="0" top="0.59055118110236227" bottom="0" header="0" footer="0"/>
  <pageSetup paperSize="9" scale="75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113"/>
  <sheetViews>
    <sheetView tabSelected="1" zoomScaleNormal="100" workbookViewId="0">
      <selection activeCell="K5" sqref="K5"/>
    </sheetView>
  </sheetViews>
  <sheetFormatPr defaultColWidth="9" defaultRowHeight="24"/>
  <cols>
    <col min="1" max="1" width="5.28515625" style="14" customWidth="1"/>
    <col min="2" max="2" width="10.5703125" style="14" customWidth="1"/>
    <col min="3" max="3" width="40.28515625" style="14" customWidth="1"/>
    <col min="4" max="4" width="38.5703125" style="14" customWidth="1"/>
    <col min="5" max="5" width="6.5703125" style="14" customWidth="1"/>
    <col min="6" max="6" width="6.7109375" style="14" customWidth="1"/>
    <col min="7" max="7" width="14.140625" style="14" customWidth="1"/>
    <col min="8" max="8" width="15" style="14" customWidth="1"/>
    <col min="9" max="9" width="7.85546875" style="261" customWidth="1"/>
    <col min="10" max="11" width="14.28515625" style="14" customWidth="1"/>
    <col min="12" max="16384" width="9" style="14"/>
  </cols>
  <sheetData>
    <row r="1" spans="1:11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61"/>
      <c r="K1" s="261"/>
    </row>
    <row r="2" spans="1:11">
      <c r="A2" s="355" t="s">
        <v>1035</v>
      </c>
      <c r="B2" s="355"/>
      <c r="C2" s="355"/>
      <c r="D2" s="355"/>
      <c r="E2" s="355"/>
      <c r="F2" s="355"/>
      <c r="G2" s="355"/>
      <c r="H2" s="355"/>
      <c r="I2" s="355"/>
      <c r="J2" s="263"/>
      <c r="K2" s="263"/>
    </row>
    <row r="3" spans="1:11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58"/>
      <c r="K3" s="258"/>
    </row>
    <row r="4" spans="1:11" ht="45.7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  <c r="J4" s="262"/>
      <c r="K4" s="262"/>
    </row>
    <row r="5" spans="1:11">
      <c r="A5" s="95">
        <v>1</v>
      </c>
      <c r="B5" s="37"/>
      <c r="C5" s="27" t="s">
        <v>1036</v>
      </c>
      <c r="D5" s="13" t="s">
        <v>1037</v>
      </c>
      <c r="E5" s="28" t="s">
        <v>61</v>
      </c>
      <c r="F5" s="31">
        <v>20</v>
      </c>
      <c r="G5" s="35">
        <v>9990</v>
      </c>
      <c r="H5" s="35">
        <f>SUM(F5*G5)</f>
        <v>199800</v>
      </c>
      <c r="I5" s="99" t="s">
        <v>78</v>
      </c>
      <c r="J5" s="243"/>
      <c r="K5" s="243"/>
    </row>
    <row r="6" spans="1:11">
      <c r="A6" s="298">
        <v>2</v>
      </c>
      <c r="B6" s="299"/>
      <c r="C6" s="213" t="s">
        <v>1674</v>
      </c>
      <c r="D6" s="197" t="s">
        <v>1038</v>
      </c>
      <c r="E6" s="170" t="s">
        <v>61</v>
      </c>
      <c r="F6" s="196">
        <v>10</v>
      </c>
      <c r="G6" s="198">
        <v>4980</v>
      </c>
      <c r="H6" s="35">
        <f t="shared" ref="H6:H71" si="0">SUM(F6*G6)</f>
        <v>49800</v>
      </c>
      <c r="I6" s="300" t="s">
        <v>78</v>
      </c>
      <c r="J6" s="243"/>
      <c r="K6" s="243"/>
    </row>
    <row r="7" spans="1:11">
      <c r="A7" s="95">
        <v>3</v>
      </c>
      <c r="B7" s="301"/>
      <c r="C7" s="213" t="s">
        <v>1040</v>
      </c>
      <c r="D7" s="11" t="s">
        <v>1675</v>
      </c>
      <c r="E7" s="170" t="s">
        <v>61</v>
      </c>
      <c r="F7" s="196">
        <v>10</v>
      </c>
      <c r="G7" s="198">
        <v>34970</v>
      </c>
      <c r="H7" s="35">
        <f t="shared" si="0"/>
        <v>349700</v>
      </c>
      <c r="I7" s="300" t="s">
        <v>78</v>
      </c>
      <c r="J7" s="243"/>
      <c r="K7" s="243"/>
    </row>
    <row r="8" spans="1:11">
      <c r="A8" s="298">
        <v>4</v>
      </c>
      <c r="B8" s="95"/>
      <c r="C8" s="27" t="s">
        <v>1041</v>
      </c>
      <c r="D8" s="13" t="s">
        <v>1042</v>
      </c>
      <c r="E8" s="28" t="s">
        <v>61</v>
      </c>
      <c r="F8" s="31">
        <v>20</v>
      </c>
      <c r="G8" s="35">
        <v>14980</v>
      </c>
      <c r="H8" s="35">
        <f t="shared" si="0"/>
        <v>299600</v>
      </c>
      <c r="I8" s="99" t="s">
        <v>78</v>
      </c>
      <c r="J8" s="243"/>
      <c r="K8" s="243"/>
    </row>
    <row r="9" spans="1:11">
      <c r="A9" s="95">
        <v>5</v>
      </c>
      <c r="B9" s="37"/>
      <c r="C9" s="27" t="s">
        <v>1043</v>
      </c>
      <c r="D9" s="13" t="s">
        <v>1044</v>
      </c>
      <c r="E9" s="28" t="s">
        <v>61</v>
      </c>
      <c r="F9" s="31">
        <v>9</v>
      </c>
      <c r="G9" s="35">
        <v>57950</v>
      </c>
      <c r="H9" s="35">
        <f t="shared" si="0"/>
        <v>521550</v>
      </c>
      <c r="I9" s="99" t="s">
        <v>78</v>
      </c>
      <c r="J9" s="243"/>
      <c r="K9" s="243"/>
    </row>
    <row r="10" spans="1:11">
      <c r="A10" s="298">
        <v>6</v>
      </c>
      <c r="B10" s="37"/>
      <c r="C10" s="27" t="s">
        <v>1045</v>
      </c>
      <c r="D10" s="13" t="s">
        <v>1046</v>
      </c>
      <c r="E10" s="28" t="s">
        <v>61</v>
      </c>
      <c r="F10" s="31">
        <v>9</v>
      </c>
      <c r="G10" s="35">
        <v>3450</v>
      </c>
      <c r="H10" s="35">
        <f t="shared" si="0"/>
        <v>31050</v>
      </c>
      <c r="I10" s="99" t="s">
        <v>78</v>
      </c>
      <c r="J10" s="243"/>
      <c r="K10" s="243"/>
    </row>
    <row r="11" spans="1:11">
      <c r="A11" s="95">
        <v>7</v>
      </c>
      <c r="B11" s="301"/>
      <c r="C11" s="213" t="s">
        <v>1047</v>
      </c>
      <c r="D11" s="11" t="s">
        <v>1676</v>
      </c>
      <c r="E11" s="170" t="s">
        <v>61</v>
      </c>
      <c r="F11" s="196">
        <v>10</v>
      </c>
      <c r="G11" s="198">
        <v>57950</v>
      </c>
      <c r="H11" s="35">
        <f t="shared" si="0"/>
        <v>579500</v>
      </c>
      <c r="I11" s="302" t="s">
        <v>78</v>
      </c>
      <c r="J11" s="256"/>
      <c r="K11" s="256"/>
    </row>
    <row r="12" spans="1:11">
      <c r="A12" s="298">
        <v>8</v>
      </c>
      <c r="B12" s="102"/>
      <c r="C12" s="27" t="s">
        <v>1048</v>
      </c>
      <c r="D12" s="13" t="s">
        <v>1049</v>
      </c>
      <c r="E12" s="28" t="s">
        <v>61</v>
      </c>
      <c r="F12" s="149">
        <v>9</v>
      </c>
      <c r="G12" s="35">
        <v>57950</v>
      </c>
      <c r="H12" s="35">
        <f t="shared" si="0"/>
        <v>521550</v>
      </c>
      <c r="I12" s="206" t="s">
        <v>78</v>
      </c>
      <c r="J12" s="53"/>
      <c r="K12" s="53"/>
    </row>
    <row r="13" spans="1:11">
      <c r="A13" s="95">
        <v>9</v>
      </c>
      <c r="B13" s="102"/>
      <c r="C13" s="27" t="s">
        <v>1050</v>
      </c>
      <c r="D13" s="13" t="s">
        <v>1051</v>
      </c>
      <c r="E13" s="28" t="s">
        <v>61</v>
      </c>
      <c r="F13" s="303">
        <v>15</v>
      </c>
      <c r="G13" s="283">
        <v>34980</v>
      </c>
      <c r="H13" s="35">
        <f t="shared" si="0"/>
        <v>524700</v>
      </c>
      <c r="I13" s="206" t="s">
        <v>78</v>
      </c>
      <c r="J13" s="53"/>
      <c r="K13" s="53"/>
    </row>
    <row r="14" spans="1:11">
      <c r="A14" s="298">
        <v>10</v>
      </c>
      <c r="B14" s="102"/>
      <c r="C14" s="27" t="s">
        <v>1052</v>
      </c>
      <c r="D14" s="27" t="s">
        <v>1053</v>
      </c>
      <c r="E14" s="28" t="s">
        <v>61</v>
      </c>
      <c r="F14" s="149">
        <v>1</v>
      </c>
      <c r="G14" s="35">
        <v>84700</v>
      </c>
      <c r="H14" s="35">
        <f t="shared" si="0"/>
        <v>84700</v>
      </c>
      <c r="I14" s="206" t="s">
        <v>78</v>
      </c>
      <c r="J14" s="53"/>
      <c r="K14" s="53"/>
    </row>
    <row r="15" spans="1:11">
      <c r="A15" s="95">
        <v>11</v>
      </c>
      <c r="B15" s="94"/>
      <c r="C15" s="27" t="s">
        <v>1054</v>
      </c>
      <c r="D15" s="27" t="s">
        <v>1055</v>
      </c>
      <c r="E15" s="28" t="s">
        <v>61</v>
      </c>
      <c r="F15" s="149">
        <v>1</v>
      </c>
      <c r="G15" s="35">
        <v>29700</v>
      </c>
      <c r="H15" s="35">
        <f t="shared" si="0"/>
        <v>29700</v>
      </c>
      <c r="I15" s="206" t="s">
        <v>78</v>
      </c>
      <c r="J15" s="53"/>
      <c r="K15" s="53"/>
    </row>
    <row r="16" spans="1:11">
      <c r="A16" s="298">
        <v>12</v>
      </c>
      <c r="B16" s="94"/>
      <c r="C16" s="27" t="s">
        <v>1056</v>
      </c>
      <c r="D16" s="27" t="s">
        <v>1057</v>
      </c>
      <c r="E16" s="28" t="s">
        <v>61</v>
      </c>
      <c r="F16" s="149">
        <v>1</v>
      </c>
      <c r="G16" s="35">
        <v>199800</v>
      </c>
      <c r="H16" s="35">
        <f t="shared" si="0"/>
        <v>199800</v>
      </c>
      <c r="I16" s="206" t="s">
        <v>78</v>
      </c>
      <c r="J16" s="53"/>
      <c r="K16" s="53"/>
    </row>
    <row r="17" spans="1:11">
      <c r="A17" s="95">
        <v>13</v>
      </c>
      <c r="B17" s="94"/>
      <c r="C17" s="213" t="s">
        <v>1058</v>
      </c>
      <c r="D17" s="213" t="s">
        <v>1884</v>
      </c>
      <c r="E17" s="170" t="s">
        <v>61</v>
      </c>
      <c r="F17" s="304">
        <v>10</v>
      </c>
      <c r="G17" s="198">
        <v>5950</v>
      </c>
      <c r="H17" s="35">
        <f t="shared" si="0"/>
        <v>59500</v>
      </c>
      <c r="I17" s="172" t="s">
        <v>78</v>
      </c>
      <c r="J17" s="53"/>
      <c r="K17" s="53"/>
    </row>
    <row r="18" spans="1:11">
      <c r="A18" s="298">
        <v>14</v>
      </c>
      <c r="B18" s="220"/>
      <c r="C18" s="27" t="s">
        <v>1059</v>
      </c>
      <c r="D18" s="27" t="s">
        <v>1060</v>
      </c>
      <c r="E18" s="28" t="s">
        <v>61</v>
      </c>
      <c r="F18" s="31">
        <v>4</v>
      </c>
      <c r="G18" s="35">
        <v>99950</v>
      </c>
      <c r="H18" s="35">
        <f t="shared" si="0"/>
        <v>399800</v>
      </c>
      <c r="I18" s="206" t="s">
        <v>78</v>
      </c>
      <c r="J18" s="53"/>
      <c r="K18" s="53"/>
    </row>
    <row r="19" spans="1:11">
      <c r="A19" s="95">
        <v>15</v>
      </c>
      <c r="B19" s="206"/>
      <c r="C19" s="27" t="s">
        <v>1061</v>
      </c>
      <c r="D19" s="27" t="s">
        <v>1062</v>
      </c>
      <c r="E19" s="206" t="s">
        <v>61</v>
      </c>
      <c r="F19" s="31">
        <v>1</v>
      </c>
      <c r="G19" s="35">
        <v>49700</v>
      </c>
      <c r="H19" s="35">
        <f t="shared" si="0"/>
        <v>49700</v>
      </c>
      <c r="I19" s="206" t="s">
        <v>78</v>
      </c>
      <c r="J19" s="53"/>
      <c r="K19" s="53"/>
    </row>
    <row r="20" spans="1:11">
      <c r="A20" s="298">
        <v>16</v>
      </c>
      <c r="B20" s="26"/>
      <c r="C20" s="27" t="s">
        <v>1063</v>
      </c>
      <c r="D20" s="27" t="s">
        <v>1064</v>
      </c>
      <c r="E20" s="206" t="s">
        <v>61</v>
      </c>
      <c r="F20" s="31">
        <v>10</v>
      </c>
      <c r="G20" s="35">
        <v>49980</v>
      </c>
      <c r="H20" s="35">
        <f t="shared" si="0"/>
        <v>499800</v>
      </c>
      <c r="I20" s="206" t="s">
        <v>78</v>
      </c>
      <c r="J20" s="53"/>
      <c r="K20" s="53"/>
    </row>
    <row r="21" spans="1:11">
      <c r="A21" s="95">
        <v>17</v>
      </c>
      <c r="B21" s="26"/>
      <c r="C21" s="27" t="s">
        <v>1065</v>
      </c>
      <c r="D21" s="13" t="s">
        <v>1066</v>
      </c>
      <c r="E21" s="206" t="s">
        <v>61</v>
      </c>
      <c r="F21" s="31">
        <v>4</v>
      </c>
      <c r="G21" s="35">
        <v>2300</v>
      </c>
      <c r="H21" s="35">
        <f t="shared" si="0"/>
        <v>9200</v>
      </c>
      <c r="I21" s="206" t="s">
        <v>78</v>
      </c>
      <c r="J21" s="53"/>
      <c r="K21" s="53"/>
    </row>
    <row r="22" spans="1:11">
      <c r="A22" s="298">
        <v>18</v>
      </c>
      <c r="B22" s="26"/>
      <c r="C22" s="27" t="s">
        <v>1067</v>
      </c>
      <c r="D22" s="27" t="s">
        <v>1053</v>
      </c>
      <c r="E22" s="206" t="s">
        <v>61</v>
      </c>
      <c r="F22" s="31">
        <v>5</v>
      </c>
      <c r="G22" s="35">
        <v>74500</v>
      </c>
      <c r="H22" s="35">
        <f t="shared" si="0"/>
        <v>372500</v>
      </c>
      <c r="I22" s="206" t="s">
        <v>78</v>
      </c>
      <c r="J22" s="53"/>
      <c r="K22" s="53"/>
    </row>
    <row r="23" spans="1:11">
      <c r="A23" s="95">
        <v>19</v>
      </c>
      <c r="B23" s="26"/>
      <c r="C23" s="27" t="s">
        <v>1068</v>
      </c>
      <c r="D23" s="27" t="s">
        <v>1069</v>
      </c>
      <c r="E23" s="206" t="s">
        <v>61</v>
      </c>
      <c r="F23" s="31">
        <v>4</v>
      </c>
      <c r="G23" s="35">
        <v>29853</v>
      </c>
      <c r="H23" s="35">
        <f t="shared" si="0"/>
        <v>119412</v>
      </c>
      <c r="I23" s="206" t="s">
        <v>77</v>
      </c>
      <c r="J23" s="53"/>
      <c r="K23" s="53"/>
    </row>
    <row r="24" spans="1:11">
      <c r="A24" s="298">
        <v>20</v>
      </c>
      <c r="B24" s="26"/>
      <c r="C24" s="27" t="s">
        <v>1070</v>
      </c>
      <c r="D24" s="27" t="s">
        <v>1071</v>
      </c>
      <c r="E24" s="206" t="s">
        <v>61</v>
      </c>
      <c r="F24" s="31">
        <v>2</v>
      </c>
      <c r="G24" s="35">
        <v>50000</v>
      </c>
      <c r="H24" s="35">
        <f t="shared" si="0"/>
        <v>100000</v>
      </c>
      <c r="I24" s="206" t="s">
        <v>78</v>
      </c>
      <c r="J24" s="53"/>
      <c r="K24" s="53"/>
    </row>
    <row r="25" spans="1:11">
      <c r="A25" s="95">
        <v>21</v>
      </c>
      <c r="B25" s="26"/>
      <c r="C25" s="27" t="s">
        <v>1072</v>
      </c>
      <c r="D25" s="27" t="s">
        <v>1073</v>
      </c>
      <c r="E25" s="206" t="s">
        <v>61</v>
      </c>
      <c r="F25" s="31">
        <v>2</v>
      </c>
      <c r="G25" s="35">
        <v>75000</v>
      </c>
      <c r="H25" s="35">
        <f t="shared" si="0"/>
        <v>150000</v>
      </c>
      <c r="I25" s="206" t="s">
        <v>78</v>
      </c>
      <c r="J25" s="53"/>
      <c r="K25" s="53"/>
    </row>
    <row r="26" spans="1:11">
      <c r="A26" s="298">
        <v>22</v>
      </c>
      <c r="B26" s="26"/>
      <c r="C26" s="27" t="s">
        <v>1074</v>
      </c>
      <c r="D26" s="27" t="s">
        <v>1075</v>
      </c>
      <c r="E26" s="206" t="s">
        <v>61</v>
      </c>
      <c r="F26" s="31">
        <v>2</v>
      </c>
      <c r="G26" s="35">
        <v>50000</v>
      </c>
      <c r="H26" s="35">
        <f t="shared" si="0"/>
        <v>100000</v>
      </c>
      <c r="I26" s="206" t="s">
        <v>78</v>
      </c>
      <c r="J26" s="53"/>
      <c r="K26" s="53"/>
    </row>
    <row r="27" spans="1:11">
      <c r="A27" s="95">
        <v>23</v>
      </c>
      <c r="B27" s="26"/>
      <c r="C27" s="27" t="s">
        <v>1076</v>
      </c>
      <c r="D27" s="27" t="s">
        <v>1077</v>
      </c>
      <c r="E27" s="206" t="s">
        <v>61</v>
      </c>
      <c r="F27" s="31">
        <v>2</v>
      </c>
      <c r="G27" s="35">
        <v>50000</v>
      </c>
      <c r="H27" s="35">
        <f t="shared" si="0"/>
        <v>100000</v>
      </c>
      <c r="I27" s="206" t="s">
        <v>78</v>
      </c>
      <c r="J27" s="53"/>
      <c r="K27" s="53"/>
    </row>
    <row r="28" spans="1:11">
      <c r="A28" s="298">
        <v>24</v>
      </c>
      <c r="B28" s="26"/>
      <c r="C28" s="27" t="s">
        <v>1078</v>
      </c>
      <c r="D28" s="27" t="s">
        <v>1079</v>
      </c>
      <c r="E28" s="206" t="s">
        <v>61</v>
      </c>
      <c r="F28" s="31">
        <v>5</v>
      </c>
      <c r="G28" s="35">
        <v>67987.8</v>
      </c>
      <c r="H28" s="35">
        <f t="shared" si="0"/>
        <v>339939</v>
      </c>
      <c r="I28" s="206" t="s">
        <v>77</v>
      </c>
      <c r="J28" s="53"/>
      <c r="K28" s="53"/>
    </row>
    <row r="29" spans="1:11">
      <c r="A29" s="95">
        <v>25</v>
      </c>
      <c r="B29" s="104"/>
      <c r="C29" s="27" t="s">
        <v>1080</v>
      </c>
      <c r="D29" s="27" t="s">
        <v>1081</v>
      </c>
      <c r="E29" s="206" t="s">
        <v>61</v>
      </c>
      <c r="F29" s="31">
        <v>2</v>
      </c>
      <c r="G29" s="35">
        <v>59385</v>
      </c>
      <c r="H29" s="35">
        <f t="shared" si="0"/>
        <v>118770</v>
      </c>
      <c r="I29" s="206" t="s">
        <v>78</v>
      </c>
      <c r="J29" s="53"/>
      <c r="K29" s="53"/>
    </row>
    <row r="30" spans="1:11">
      <c r="A30" s="298">
        <v>26</v>
      </c>
      <c r="B30" s="37"/>
      <c r="C30" s="27" t="s">
        <v>1082</v>
      </c>
      <c r="D30" s="27" t="s">
        <v>1083</v>
      </c>
      <c r="E30" s="28" t="s">
        <v>61</v>
      </c>
      <c r="F30" s="31">
        <v>20</v>
      </c>
      <c r="G30" s="35">
        <v>7918</v>
      </c>
      <c r="H30" s="35">
        <f t="shared" si="0"/>
        <v>158360</v>
      </c>
      <c r="I30" s="99" t="s">
        <v>77</v>
      </c>
      <c r="J30" s="243"/>
      <c r="K30" s="243"/>
    </row>
    <row r="31" spans="1:11">
      <c r="A31" s="95">
        <v>27</v>
      </c>
      <c r="B31" s="100"/>
      <c r="C31" s="27" t="s">
        <v>1084</v>
      </c>
      <c r="D31" s="27" t="s">
        <v>1085</v>
      </c>
      <c r="E31" s="28" t="s">
        <v>61</v>
      </c>
      <c r="F31" s="31">
        <v>1</v>
      </c>
      <c r="G31" s="35">
        <v>186700</v>
      </c>
      <c r="H31" s="35">
        <f t="shared" si="0"/>
        <v>186700</v>
      </c>
      <c r="I31" s="99" t="s">
        <v>78</v>
      </c>
      <c r="J31" s="243"/>
      <c r="K31" s="243"/>
    </row>
    <row r="32" spans="1:11">
      <c r="A32" s="298">
        <v>28</v>
      </c>
      <c r="B32" s="37"/>
      <c r="C32" s="27" t="s">
        <v>1086</v>
      </c>
      <c r="D32" s="27" t="s">
        <v>1087</v>
      </c>
      <c r="E32" s="28" t="s">
        <v>61</v>
      </c>
      <c r="F32" s="31">
        <v>2</v>
      </c>
      <c r="G32" s="35">
        <v>65000</v>
      </c>
      <c r="H32" s="35">
        <f t="shared" si="0"/>
        <v>130000</v>
      </c>
      <c r="I32" s="99" t="s">
        <v>77</v>
      </c>
      <c r="J32" s="243"/>
      <c r="K32" s="243"/>
    </row>
    <row r="33" spans="1:11">
      <c r="A33" s="95">
        <v>29</v>
      </c>
      <c r="B33" s="37"/>
      <c r="C33" s="27" t="s">
        <v>1088</v>
      </c>
      <c r="D33" s="13" t="s">
        <v>1089</v>
      </c>
      <c r="E33" s="28" t="s">
        <v>61</v>
      </c>
      <c r="F33" s="31">
        <v>10</v>
      </c>
      <c r="G33" s="35">
        <v>57780</v>
      </c>
      <c r="H33" s="35">
        <f t="shared" si="0"/>
        <v>577800</v>
      </c>
      <c r="I33" s="99" t="s">
        <v>78</v>
      </c>
      <c r="J33" s="243"/>
      <c r="K33" s="243"/>
    </row>
    <row r="34" spans="1:11">
      <c r="A34" s="298">
        <v>30</v>
      </c>
      <c r="B34" s="37"/>
      <c r="C34" s="27" t="s">
        <v>1090</v>
      </c>
      <c r="D34" s="13" t="s">
        <v>1091</v>
      </c>
      <c r="E34" s="28" t="s">
        <v>61</v>
      </c>
      <c r="F34" s="31">
        <v>10</v>
      </c>
      <c r="G34" s="35">
        <v>57780</v>
      </c>
      <c r="H34" s="35">
        <f t="shared" si="0"/>
        <v>577800</v>
      </c>
      <c r="I34" s="99" t="s">
        <v>78</v>
      </c>
      <c r="J34" s="243"/>
      <c r="K34" s="243"/>
    </row>
    <row r="35" spans="1:11">
      <c r="A35" s="95">
        <v>31</v>
      </c>
      <c r="B35" s="37"/>
      <c r="C35" s="27" t="s">
        <v>1092</v>
      </c>
      <c r="D35" s="13" t="s">
        <v>1093</v>
      </c>
      <c r="E35" s="28" t="s">
        <v>61</v>
      </c>
      <c r="F35" s="31">
        <v>2</v>
      </c>
      <c r="G35" s="35">
        <v>79400</v>
      </c>
      <c r="H35" s="35">
        <f t="shared" si="0"/>
        <v>158800</v>
      </c>
      <c r="I35" s="99" t="s">
        <v>78</v>
      </c>
      <c r="J35" s="243"/>
      <c r="K35" s="243"/>
    </row>
    <row r="36" spans="1:11">
      <c r="A36" s="298">
        <v>32</v>
      </c>
      <c r="B36" s="95"/>
      <c r="C36" s="27" t="s">
        <v>1094</v>
      </c>
      <c r="D36" s="13" t="s">
        <v>1095</v>
      </c>
      <c r="E36" s="28" t="s">
        <v>61</v>
      </c>
      <c r="F36" s="31">
        <v>4</v>
      </c>
      <c r="G36" s="35">
        <v>23500</v>
      </c>
      <c r="H36" s="35">
        <f t="shared" si="0"/>
        <v>94000</v>
      </c>
      <c r="I36" s="99" t="s">
        <v>78</v>
      </c>
      <c r="J36" s="243"/>
      <c r="K36" s="243"/>
    </row>
    <row r="37" spans="1:11">
      <c r="A37" s="95">
        <v>33</v>
      </c>
      <c r="B37" s="37"/>
      <c r="C37" s="27" t="s">
        <v>1096</v>
      </c>
      <c r="D37" s="13" t="s">
        <v>1097</v>
      </c>
      <c r="E37" s="28" t="s">
        <v>61</v>
      </c>
      <c r="F37" s="31">
        <v>4</v>
      </c>
      <c r="G37" s="35">
        <v>39550</v>
      </c>
      <c r="H37" s="35">
        <f t="shared" si="0"/>
        <v>158200</v>
      </c>
      <c r="I37" s="99" t="s">
        <v>78</v>
      </c>
      <c r="J37" s="243"/>
      <c r="K37" s="243"/>
    </row>
    <row r="38" spans="1:11">
      <c r="A38" s="298">
        <v>34</v>
      </c>
      <c r="B38" s="37"/>
      <c r="C38" s="27" t="s">
        <v>1098</v>
      </c>
      <c r="D38" s="13" t="s">
        <v>1099</v>
      </c>
      <c r="E38" s="28" t="s">
        <v>61</v>
      </c>
      <c r="F38" s="31">
        <v>2</v>
      </c>
      <c r="G38" s="35">
        <v>14780</v>
      </c>
      <c r="H38" s="35">
        <f t="shared" si="0"/>
        <v>29560</v>
      </c>
      <c r="I38" s="99" t="s">
        <v>78</v>
      </c>
      <c r="J38" s="243"/>
      <c r="K38" s="243"/>
    </row>
    <row r="39" spans="1:11">
      <c r="A39" s="95">
        <v>35</v>
      </c>
      <c r="B39" s="37"/>
      <c r="C39" s="27" t="s">
        <v>1100</v>
      </c>
      <c r="D39" s="13" t="s">
        <v>1101</v>
      </c>
      <c r="E39" s="28" t="s">
        <v>61</v>
      </c>
      <c r="F39" s="31">
        <v>2</v>
      </c>
      <c r="G39" s="35">
        <v>12700</v>
      </c>
      <c r="H39" s="35">
        <f t="shared" si="0"/>
        <v>25400</v>
      </c>
      <c r="I39" s="107" t="s">
        <v>78</v>
      </c>
      <c r="J39" s="256"/>
      <c r="K39" s="256"/>
    </row>
    <row r="40" spans="1:11">
      <c r="A40" s="298">
        <v>36</v>
      </c>
      <c r="B40" s="102"/>
      <c r="C40" s="27" t="s">
        <v>1102</v>
      </c>
      <c r="D40" s="13" t="s">
        <v>1103</v>
      </c>
      <c r="E40" s="28" t="s">
        <v>62</v>
      </c>
      <c r="F40" s="31">
        <v>1</v>
      </c>
      <c r="G40" s="34">
        <v>4400</v>
      </c>
      <c r="H40" s="35">
        <f t="shared" si="0"/>
        <v>4400</v>
      </c>
      <c r="I40" s="107" t="s">
        <v>78</v>
      </c>
      <c r="J40" s="256"/>
      <c r="K40" s="256"/>
    </row>
    <row r="41" spans="1:11">
      <c r="A41" s="95">
        <v>37</v>
      </c>
      <c r="B41" s="102"/>
      <c r="C41" s="27" t="s">
        <v>1104</v>
      </c>
      <c r="D41" s="13" t="s">
        <v>1105</v>
      </c>
      <c r="E41" s="28" t="s">
        <v>61</v>
      </c>
      <c r="F41" s="31">
        <v>10</v>
      </c>
      <c r="G41" s="35">
        <v>1605</v>
      </c>
      <c r="H41" s="35">
        <f t="shared" si="0"/>
        <v>16050</v>
      </c>
      <c r="I41" s="206" t="s">
        <v>77</v>
      </c>
      <c r="J41" s="53"/>
      <c r="K41" s="53"/>
    </row>
    <row r="42" spans="1:11">
      <c r="A42" s="298">
        <v>38</v>
      </c>
      <c r="B42" s="305"/>
      <c r="C42" s="213" t="s">
        <v>1106</v>
      </c>
      <c r="D42" s="11" t="s">
        <v>1677</v>
      </c>
      <c r="E42" s="170" t="s">
        <v>62</v>
      </c>
      <c r="F42" s="196">
        <v>1</v>
      </c>
      <c r="G42" s="198">
        <v>7490</v>
      </c>
      <c r="H42" s="35">
        <f t="shared" si="0"/>
        <v>7490</v>
      </c>
      <c r="I42" s="172" t="s">
        <v>78</v>
      </c>
      <c r="J42" s="53"/>
      <c r="K42" s="53"/>
    </row>
    <row r="43" spans="1:11">
      <c r="A43" s="95">
        <v>39</v>
      </c>
      <c r="B43" s="94"/>
      <c r="C43" s="27" t="s">
        <v>523</v>
      </c>
      <c r="D43" s="7" t="s">
        <v>1678</v>
      </c>
      <c r="E43" s="28" t="s">
        <v>62</v>
      </c>
      <c r="F43" s="31">
        <v>1</v>
      </c>
      <c r="G43" s="35">
        <v>5990</v>
      </c>
      <c r="H43" s="35">
        <f t="shared" si="0"/>
        <v>5990</v>
      </c>
      <c r="I43" s="206" t="s">
        <v>78</v>
      </c>
      <c r="J43" s="53"/>
      <c r="K43" s="53"/>
    </row>
    <row r="44" spans="1:11">
      <c r="A44" s="298">
        <v>40</v>
      </c>
      <c r="B44" s="94"/>
      <c r="C44" s="27" t="s">
        <v>1107</v>
      </c>
      <c r="D44" s="13" t="s">
        <v>1108</v>
      </c>
      <c r="E44" s="28" t="s">
        <v>62</v>
      </c>
      <c r="F44" s="31">
        <v>1</v>
      </c>
      <c r="G44" s="35">
        <v>3600</v>
      </c>
      <c r="H44" s="35">
        <f t="shared" si="0"/>
        <v>3600</v>
      </c>
      <c r="I44" s="206" t="s">
        <v>78</v>
      </c>
      <c r="J44" s="53"/>
      <c r="K44" s="53"/>
    </row>
    <row r="45" spans="1:11">
      <c r="A45" s="95">
        <v>41</v>
      </c>
      <c r="B45" s="94"/>
      <c r="C45" s="27" t="s">
        <v>1109</v>
      </c>
      <c r="D45" s="13" t="s">
        <v>1110</v>
      </c>
      <c r="E45" s="28" t="s">
        <v>62</v>
      </c>
      <c r="F45" s="31">
        <v>1</v>
      </c>
      <c r="G45" s="35">
        <v>10990</v>
      </c>
      <c r="H45" s="35">
        <f t="shared" si="0"/>
        <v>10990</v>
      </c>
      <c r="I45" s="206" t="s">
        <v>78</v>
      </c>
      <c r="J45" s="53"/>
      <c r="K45" s="53"/>
    </row>
    <row r="46" spans="1:11">
      <c r="A46" s="298">
        <v>42</v>
      </c>
      <c r="B46" s="104"/>
      <c r="C46" s="27" t="s">
        <v>1111</v>
      </c>
      <c r="D46" s="13" t="s">
        <v>1112</v>
      </c>
      <c r="E46" s="28" t="s">
        <v>61</v>
      </c>
      <c r="F46" s="31">
        <v>1</v>
      </c>
      <c r="G46" s="35">
        <v>149500</v>
      </c>
      <c r="H46" s="35">
        <f t="shared" si="0"/>
        <v>149500</v>
      </c>
      <c r="I46" s="206" t="s">
        <v>78</v>
      </c>
      <c r="J46" s="53"/>
      <c r="K46" s="53"/>
    </row>
    <row r="47" spans="1:11">
      <c r="A47" s="365" t="s">
        <v>1910</v>
      </c>
      <c r="B47" s="366"/>
      <c r="C47" s="366"/>
      <c r="D47" s="367"/>
      <c r="E47" s="28"/>
      <c r="F47" s="31"/>
      <c r="G47" s="35"/>
      <c r="H47" s="35">
        <f>SUM(H5:H46)</f>
        <v>8104711</v>
      </c>
      <c r="I47" s="206"/>
      <c r="J47" s="53"/>
      <c r="K47" s="53"/>
    </row>
    <row r="48" spans="1:11">
      <c r="A48" s="365" t="s">
        <v>1911</v>
      </c>
      <c r="B48" s="366"/>
      <c r="C48" s="366"/>
      <c r="D48" s="367"/>
      <c r="E48" s="28"/>
      <c r="F48" s="31"/>
      <c r="G48" s="35"/>
      <c r="H48" s="35">
        <f>SUM(H47)</f>
        <v>8104711</v>
      </c>
      <c r="I48" s="206"/>
      <c r="J48" s="53"/>
      <c r="K48" s="53"/>
    </row>
    <row r="49" spans="1:11">
      <c r="A49" s="95">
        <v>43</v>
      </c>
      <c r="B49" s="206"/>
      <c r="C49" s="27" t="s">
        <v>1113</v>
      </c>
      <c r="D49" s="13" t="s">
        <v>1114</v>
      </c>
      <c r="E49" s="206" t="s">
        <v>61</v>
      </c>
      <c r="F49" s="31">
        <v>1</v>
      </c>
      <c r="G49" s="35">
        <v>249500</v>
      </c>
      <c r="H49" s="35">
        <f t="shared" si="0"/>
        <v>249500</v>
      </c>
      <c r="I49" s="206" t="s">
        <v>78</v>
      </c>
      <c r="J49" s="53"/>
      <c r="K49" s="53"/>
    </row>
    <row r="50" spans="1:11">
      <c r="A50" s="298">
        <v>44</v>
      </c>
      <c r="B50" s="26"/>
      <c r="C50" s="27" t="s">
        <v>1115</v>
      </c>
      <c r="D50" s="13" t="s">
        <v>1116</v>
      </c>
      <c r="E50" s="206" t="s">
        <v>62</v>
      </c>
      <c r="F50" s="31">
        <v>1</v>
      </c>
      <c r="G50" s="35">
        <v>6200</v>
      </c>
      <c r="H50" s="35">
        <f t="shared" si="0"/>
        <v>6200</v>
      </c>
      <c r="I50" s="206" t="s">
        <v>77</v>
      </c>
      <c r="J50" s="53"/>
      <c r="K50" s="53"/>
    </row>
    <row r="51" spans="1:11">
      <c r="A51" s="95">
        <v>45</v>
      </c>
      <c r="B51" s="26"/>
      <c r="C51" s="27" t="s">
        <v>1117</v>
      </c>
      <c r="D51" s="13" t="s">
        <v>1118</v>
      </c>
      <c r="E51" s="206" t="s">
        <v>61</v>
      </c>
      <c r="F51" s="31">
        <v>5</v>
      </c>
      <c r="G51" s="35">
        <v>20000</v>
      </c>
      <c r="H51" s="35">
        <f t="shared" si="0"/>
        <v>100000</v>
      </c>
      <c r="I51" s="206" t="s">
        <v>78</v>
      </c>
      <c r="J51" s="53"/>
      <c r="K51" s="53"/>
    </row>
    <row r="52" spans="1:11">
      <c r="A52" s="298">
        <v>46</v>
      </c>
      <c r="B52" s="26"/>
      <c r="C52" s="27" t="s">
        <v>1119</v>
      </c>
      <c r="D52" s="13" t="s">
        <v>1120</v>
      </c>
      <c r="E52" s="206" t="s">
        <v>61</v>
      </c>
      <c r="F52" s="31">
        <v>1</v>
      </c>
      <c r="G52" s="35">
        <v>65000</v>
      </c>
      <c r="H52" s="35">
        <f t="shared" si="0"/>
        <v>65000</v>
      </c>
      <c r="I52" s="206" t="s">
        <v>78</v>
      </c>
      <c r="J52" s="53"/>
      <c r="K52" s="53"/>
    </row>
    <row r="53" spans="1:11">
      <c r="A53" s="95">
        <v>47</v>
      </c>
      <c r="B53" s="26"/>
      <c r="C53" s="27" t="s">
        <v>1121</v>
      </c>
      <c r="D53" s="27" t="s">
        <v>1122</v>
      </c>
      <c r="E53" s="206" t="s">
        <v>61</v>
      </c>
      <c r="F53" s="31">
        <v>2</v>
      </c>
      <c r="G53" s="35">
        <v>79850</v>
      </c>
      <c r="H53" s="35">
        <f t="shared" si="0"/>
        <v>159700</v>
      </c>
      <c r="I53" s="206" t="s">
        <v>77</v>
      </c>
      <c r="J53" s="53"/>
      <c r="K53" s="53"/>
    </row>
    <row r="54" spans="1:11" s="116" customFormat="1" ht="42.75" customHeight="1">
      <c r="A54" s="307">
        <v>48</v>
      </c>
      <c r="B54" s="160"/>
      <c r="C54" s="308" t="s">
        <v>1926</v>
      </c>
      <c r="D54" s="118" t="s">
        <v>1038</v>
      </c>
      <c r="E54" s="115" t="s">
        <v>62</v>
      </c>
      <c r="F54" s="147">
        <v>11</v>
      </c>
      <c r="G54" s="140">
        <v>350</v>
      </c>
      <c r="H54" s="140">
        <f t="shared" si="0"/>
        <v>3850</v>
      </c>
      <c r="I54" s="115" t="s">
        <v>78</v>
      </c>
      <c r="J54" s="164"/>
      <c r="K54" s="164"/>
    </row>
    <row r="55" spans="1:11">
      <c r="A55" s="95">
        <v>49</v>
      </c>
      <c r="B55" s="26"/>
      <c r="C55" s="27" t="s">
        <v>1123</v>
      </c>
      <c r="D55" s="13" t="s">
        <v>653</v>
      </c>
      <c r="E55" s="206" t="s">
        <v>62</v>
      </c>
      <c r="F55" s="31">
        <v>1</v>
      </c>
      <c r="G55" s="35">
        <v>33000</v>
      </c>
      <c r="H55" s="35">
        <f t="shared" si="0"/>
        <v>33000</v>
      </c>
      <c r="I55" s="206" t="s">
        <v>77</v>
      </c>
      <c r="J55" s="53"/>
      <c r="K55" s="53"/>
    </row>
    <row r="56" spans="1:11">
      <c r="A56" s="298">
        <v>50</v>
      </c>
      <c r="B56" s="26"/>
      <c r="C56" s="27" t="s">
        <v>1124</v>
      </c>
      <c r="D56" s="13" t="s">
        <v>1125</v>
      </c>
      <c r="E56" s="206" t="s">
        <v>62</v>
      </c>
      <c r="F56" s="31">
        <v>25</v>
      </c>
      <c r="G56" s="35">
        <v>2490</v>
      </c>
      <c r="H56" s="35">
        <f t="shared" si="0"/>
        <v>62250</v>
      </c>
      <c r="I56" s="206" t="s">
        <v>78</v>
      </c>
      <c r="J56" s="53"/>
      <c r="K56" s="53"/>
    </row>
    <row r="57" spans="1:11">
      <c r="A57" s="95">
        <v>51</v>
      </c>
      <c r="B57" s="26"/>
      <c r="C57" s="27" t="s">
        <v>1126</v>
      </c>
      <c r="D57" s="13" t="s">
        <v>1127</v>
      </c>
      <c r="E57" s="206" t="s">
        <v>62</v>
      </c>
      <c r="F57" s="31">
        <v>3</v>
      </c>
      <c r="G57" s="35">
        <v>7080</v>
      </c>
      <c r="H57" s="35">
        <f t="shared" si="0"/>
        <v>21240</v>
      </c>
      <c r="I57" s="206" t="s">
        <v>78</v>
      </c>
      <c r="J57" s="53"/>
      <c r="K57" s="53"/>
    </row>
    <row r="58" spans="1:11">
      <c r="A58" s="298">
        <v>52</v>
      </c>
      <c r="B58" s="104"/>
      <c r="C58" s="27" t="s">
        <v>330</v>
      </c>
      <c r="D58" s="13" t="s">
        <v>1128</v>
      </c>
      <c r="E58" s="206" t="s">
        <v>62</v>
      </c>
      <c r="F58" s="31">
        <v>1</v>
      </c>
      <c r="G58" s="35">
        <v>5940</v>
      </c>
      <c r="H58" s="35">
        <f t="shared" si="0"/>
        <v>5940</v>
      </c>
      <c r="I58" s="206" t="s">
        <v>78</v>
      </c>
      <c r="J58" s="53"/>
      <c r="K58" s="53"/>
    </row>
    <row r="59" spans="1:11">
      <c r="A59" s="95">
        <v>53</v>
      </c>
      <c r="B59" s="37"/>
      <c r="C59" s="27" t="s">
        <v>330</v>
      </c>
      <c r="D59" s="13" t="s">
        <v>1129</v>
      </c>
      <c r="E59" s="28" t="s">
        <v>62</v>
      </c>
      <c r="F59" s="31">
        <v>1</v>
      </c>
      <c r="G59" s="35">
        <v>8500</v>
      </c>
      <c r="H59" s="35">
        <f t="shared" si="0"/>
        <v>8500</v>
      </c>
      <c r="I59" s="99" t="s">
        <v>77</v>
      </c>
      <c r="J59" s="243"/>
      <c r="K59" s="243"/>
    </row>
    <row r="60" spans="1:11">
      <c r="A60" s="298">
        <v>54</v>
      </c>
      <c r="B60" s="100"/>
      <c r="C60" s="27" t="s">
        <v>1130</v>
      </c>
      <c r="D60" s="13" t="s">
        <v>1131</v>
      </c>
      <c r="E60" s="28" t="s">
        <v>62</v>
      </c>
      <c r="F60" s="31">
        <v>1</v>
      </c>
      <c r="G60" s="35">
        <v>22000</v>
      </c>
      <c r="H60" s="35">
        <f t="shared" si="0"/>
        <v>22000</v>
      </c>
      <c r="I60" s="99" t="s">
        <v>77</v>
      </c>
      <c r="J60" s="243"/>
      <c r="K60" s="243"/>
    </row>
    <row r="61" spans="1:11">
      <c r="A61" s="95">
        <v>55</v>
      </c>
      <c r="B61" s="37"/>
      <c r="C61" s="27" t="s">
        <v>1132</v>
      </c>
      <c r="D61" s="13" t="s">
        <v>317</v>
      </c>
      <c r="E61" s="28" t="s">
        <v>62</v>
      </c>
      <c r="F61" s="31">
        <v>1</v>
      </c>
      <c r="G61" s="35">
        <v>1400</v>
      </c>
      <c r="H61" s="35">
        <f t="shared" si="0"/>
        <v>1400</v>
      </c>
      <c r="I61" s="99" t="s">
        <v>77</v>
      </c>
      <c r="J61" s="243"/>
      <c r="K61" s="243"/>
    </row>
    <row r="62" spans="1:11">
      <c r="A62" s="298">
        <v>56</v>
      </c>
      <c r="B62" s="37"/>
      <c r="C62" s="27" t="s">
        <v>1133</v>
      </c>
      <c r="D62" s="13" t="s">
        <v>1134</v>
      </c>
      <c r="E62" s="28" t="s">
        <v>62</v>
      </c>
      <c r="F62" s="31">
        <v>1</v>
      </c>
      <c r="G62" s="35">
        <v>2400</v>
      </c>
      <c r="H62" s="35">
        <f t="shared" si="0"/>
        <v>2400</v>
      </c>
      <c r="I62" s="99" t="s">
        <v>78</v>
      </c>
      <c r="J62" s="243"/>
      <c r="K62" s="243"/>
    </row>
    <row r="63" spans="1:11">
      <c r="A63" s="95">
        <v>57</v>
      </c>
      <c r="B63" s="37"/>
      <c r="C63" s="27" t="s">
        <v>1135</v>
      </c>
      <c r="D63" s="13" t="s">
        <v>1136</v>
      </c>
      <c r="E63" s="28" t="s">
        <v>62</v>
      </c>
      <c r="F63" s="31">
        <v>1</v>
      </c>
      <c r="G63" s="35">
        <v>3400</v>
      </c>
      <c r="H63" s="35">
        <f t="shared" si="0"/>
        <v>3400</v>
      </c>
      <c r="I63" s="99" t="s">
        <v>77</v>
      </c>
      <c r="J63" s="243"/>
      <c r="K63" s="243"/>
    </row>
    <row r="64" spans="1:11">
      <c r="A64" s="298">
        <v>58</v>
      </c>
      <c r="B64" s="37"/>
      <c r="C64" s="27" t="s">
        <v>1137</v>
      </c>
      <c r="D64" s="13" t="s">
        <v>1138</v>
      </c>
      <c r="E64" s="28" t="s">
        <v>62</v>
      </c>
      <c r="F64" s="31">
        <v>1</v>
      </c>
      <c r="G64" s="35">
        <v>13589</v>
      </c>
      <c r="H64" s="35">
        <f t="shared" si="0"/>
        <v>13589</v>
      </c>
      <c r="I64" s="99" t="s">
        <v>77</v>
      </c>
      <c r="J64" s="243"/>
      <c r="K64" s="243"/>
    </row>
    <row r="65" spans="1:11">
      <c r="A65" s="95">
        <v>59</v>
      </c>
      <c r="B65" s="95"/>
      <c r="C65" s="27" t="s">
        <v>1139</v>
      </c>
      <c r="D65" s="13" t="s">
        <v>1140</v>
      </c>
      <c r="E65" s="28" t="s">
        <v>61</v>
      </c>
      <c r="F65" s="31">
        <v>5</v>
      </c>
      <c r="G65" s="35">
        <v>14970</v>
      </c>
      <c r="H65" s="35">
        <f t="shared" si="0"/>
        <v>74850</v>
      </c>
      <c r="I65" s="99" t="s">
        <v>77</v>
      </c>
      <c r="J65" s="243"/>
      <c r="K65" s="243"/>
    </row>
    <row r="66" spans="1:11">
      <c r="A66" s="298">
        <v>60</v>
      </c>
      <c r="B66" s="37"/>
      <c r="C66" s="27" t="s">
        <v>1141</v>
      </c>
      <c r="D66" s="13" t="s">
        <v>1142</v>
      </c>
      <c r="E66" s="28" t="s">
        <v>61</v>
      </c>
      <c r="F66" s="31">
        <v>2</v>
      </c>
      <c r="G66" s="35">
        <v>44900</v>
      </c>
      <c r="H66" s="35">
        <f t="shared" si="0"/>
        <v>89800</v>
      </c>
      <c r="I66" s="99" t="s">
        <v>77</v>
      </c>
      <c r="J66" s="243"/>
      <c r="K66" s="243"/>
    </row>
    <row r="67" spans="1:11">
      <c r="A67" s="95">
        <v>61</v>
      </c>
      <c r="B67" s="37"/>
      <c r="C67" s="27" t="s">
        <v>1143</v>
      </c>
      <c r="D67" s="27" t="s">
        <v>1144</v>
      </c>
      <c r="E67" s="28" t="s">
        <v>61</v>
      </c>
      <c r="F67" s="31">
        <v>1</v>
      </c>
      <c r="G67" s="35">
        <v>22500</v>
      </c>
      <c r="H67" s="35">
        <f t="shared" si="0"/>
        <v>22500</v>
      </c>
      <c r="I67" s="99" t="s">
        <v>77</v>
      </c>
      <c r="J67" s="243"/>
      <c r="K67" s="243"/>
    </row>
    <row r="68" spans="1:11">
      <c r="A68" s="298">
        <v>62</v>
      </c>
      <c r="B68" s="37"/>
      <c r="C68" s="27" t="s">
        <v>1145</v>
      </c>
      <c r="D68" s="27" t="s">
        <v>1146</v>
      </c>
      <c r="E68" s="28" t="s">
        <v>1825</v>
      </c>
      <c r="F68" s="31">
        <v>1</v>
      </c>
      <c r="G68" s="35">
        <v>3990</v>
      </c>
      <c r="H68" s="35">
        <f t="shared" si="0"/>
        <v>3990</v>
      </c>
      <c r="I68" s="107" t="s">
        <v>77</v>
      </c>
      <c r="J68" s="256"/>
      <c r="K68" s="256"/>
    </row>
    <row r="69" spans="1:11">
      <c r="A69" s="95">
        <v>63</v>
      </c>
      <c r="B69" s="102"/>
      <c r="C69" s="27" t="s">
        <v>1147</v>
      </c>
      <c r="D69" s="13" t="s">
        <v>1148</v>
      </c>
      <c r="E69" s="28" t="s">
        <v>61</v>
      </c>
      <c r="F69" s="31">
        <v>1</v>
      </c>
      <c r="G69" s="35">
        <v>149500</v>
      </c>
      <c r="H69" s="35">
        <f t="shared" si="0"/>
        <v>149500</v>
      </c>
      <c r="I69" s="107" t="s">
        <v>78</v>
      </c>
      <c r="J69" s="256"/>
      <c r="K69" s="256"/>
    </row>
    <row r="70" spans="1:11" ht="21" customHeight="1">
      <c r="A70" s="298">
        <v>64</v>
      </c>
      <c r="B70" s="102"/>
      <c r="C70" s="27" t="s">
        <v>18</v>
      </c>
      <c r="D70" s="13" t="s">
        <v>48</v>
      </c>
      <c r="E70" s="28" t="s">
        <v>62</v>
      </c>
      <c r="F70" s="31">
        <v>1</v>
      </c>
      <c r="G70" s="35">
        <v>6990</v>
      </c>
      <c r="H70" s="35">
        <f t="shared" si="0"/>
        <v>6990</v>
      </c>
      <c r="I70" s="206" t="s">
        <v>78</v>
      </c>
      <c r="J70" s="53"/>
      <c r="K70" s="53"/>
    </row>
    <row r="71" spans="1:11" ht="20.25" customHeight="1">
      <c r="A71" s="95">
        <v>65</v>
      </c>
      <c r="B71" s="102"/>
      <c r="C71" s="27" t="s">
        <v>1149</v>
      </c>
      <c r="D71" s="13" t="s">
        <v>1150</v>
      </c>
      <c r="E71" s="28" t="s">
        <v>1825</v>
      </c>
      <c r="F71" s="31">
        <v>6</v>
      </c>
      <c r="G71" s="35">
        <v>1333.33</v>
      </c>
      <c r="H71" s="35">
        <f t="shared" si="0"/>
        <v>7999.98</v>
      </c>
      <c r="I71" s="206" t="s">
        <v>77</v>
      </c>
      <c r="J71" s="53"/>
      <c r="K71" s="53"/>
    </row>
    <row r="72" spans="1:11" ht="21" customHeight="1">
      <c r="A72" s="298">
        <v>66</v>
      </c>
      <c r="B72" s="102"/>
      <c r="C72" s="27" t="s">
        <v>1151</v>
      </c>
      <c r="D72" s="13" t="s">
        <v>767</v>
      </c>
      <c r="E72" s="28" t="s">
        <v>1825</v>
      </c>
      <c r="F72" s="31">
        <v>10</v>
      </c>
      <c r="G72" s="35">
        <v>1020</v>
      </c>
      <c r="H72" s="35">
        <f t="shared" ref="H72:H108" si="1">SUM(F72*G72)</f>
        <v>10200</v>
      </c>
      <c r="I72" s="206" t="s">
        <v>78</v>
      </c>
      <c r="J72" s="53"/>
      <c r="K72" s="53"/>
    </row>
    <row r="73" spans="1:11">
      <c r="A73" s="95">
        <v>67</v>
      </c>
      <c r="B73" s="94"/>
      <c r="C73" s="27" t="s">
        <v>1152</v>
      </c>
      <c r="D73" s="13" t="s">
        <v>1153</v>
      </c>
      <c r="E73" s="28" t="s">
        <v>1825</v>
      </c>
      <c r="F73" s="31">
        <v>2</v>
      </c>
      <c r="G73" s="35">
        <v>10250</v>
      </c>
      <c r="H73" s="35">
        <f t="shared" si="1"/>
        <v>20500</v>
      </c>
      <c r="I73" s="206" t="s">
        <v>78</v>
      </c>
      <c r="J73" s="53"/>
      <c r="K73" s="53"/>
    </row>
    <row r="74" spans="1:11">
      <c r="A74" s="298">
        <v>68</v>
      </c>
      <c r="B74" s="94"/>
      <c r="C74" s="27" t="s">
        <v>1154</v>
      </c>
      <c r="D74" s="13" t="s">
        <v>1155</v>
      </c>
      <c r="E74" s="28" t="s">
        <v>62</v>
      </c>
      <c r="F74" s="31">
        <v>1</v>
      </c>
      <c r="G74" s="35">
        <v>37000</v>
      </c>
      <c r="H74" s="35">
        <f t="shared" si="1"/>
        <v>37000</v>
      </c>
      <c r="I74" s="206" t="s">
        <v>78</v>
      </c>
      <c r="J74" s="53"/>
      <c r="K74" s="53"/>
    </row>
    <row r="75" spans="1:11">
      <c r="A75" s="95">
        <v>69</v>
      </c>
      <c r="B75" s="94"/>
      <c r="C75" s="27" t="s">
        <v>1156</v>
      </c>
      <c r="D75" s="13" t="s">
        <v>1157</v>
      </c>
      <c r="E75" s="28" t="s">
        <v>62</v>
      </c>
      <c r="F75" s="31">
        <v>1</v>
      </c>
      <c r="G75" s="35">
        <v>43870</v>
      </c>
      <c r="H75" s="35">
        <f t="shared" si="1"/>
        <v>43870</v>
      </c>
      <c r="I75" s="206" t="s">
        <v>78</v>
      </c>
      <c r="J75" s="53"/>
      <c r="K75" s="53"/>
    </row>
    <row r="76" spans="1:11">
      <c r="A76" s="298">
        <v>70</v>
      </c>
      <c r="B76" s="94"/>
      <c r="C76" s="27" t="s">
        <v>1158</v>
      </c>
      <c r="D76" s="13" t="s">
        <v>1159</v>
      </c>
      <c r="E76" s="28" t="s">
        <v>62</v>
      </c>
      <c r="F76" s="31">
        <v>1</v>
      </c>
      <c r="G76" s="35">
        <v>50290</v>
      </c>
      <c r="H76" s="35">
        <f t="shared" si="1"/>
        <v>50290</v>
      </c>
      <c r="I76" s="206" t="s">
        <v>77</v>
      </c>
      <c r="J76" s="53"/>
      <c r="K76" s="53"/>
    </row>
    <row r="77" spans="1:11">
      <c r="A77" s="95">
        <v>71</v>
      </c>
      <c r="B77" s="104"/>
      <c r="C77" s="27" t="s">
        <v>1160</v>
      </c>
      <c r="D77" s="13" t="s">
        <v>1161</v>
      </c>
      <c r="E77" s="28" t="s">
        <v>62</v>
      </c>
      <c r="F77" s="31">
        <v>1</v>
      </c>
      <c r="G77" s="35">
        <v>7383</v>
      </c>
      <c r="H77" s="35">
        <f t="shared" si="1"/>
        <v>7383</v>
      </c>
      <c r="I77" s="206" t="s">
        <v>78</v>
      </c>
      <c r="J77" s="53"/>
      <c r="K77" s="53"/>
    </row>
    <row r="78" spans="1:11">
      <c r="A78" s="298">
        <v>72</v>
      </c>
      <c r="B78" s="206"/>
      <c r="C78" s="27" t="s">
        <v>1162</v>
      </c>
      <c r="D78" s="13" t="s">
        <v>1163</v>
      </c>
      <c r="E78" s="206" t="s">
        <v>62</v>
      </c>
      <c r="F78" s="31">
        <v>4</v>
      </c>
      <c r="G78" s="35">
        <v>2075.8000000000002</v>
      </c>
      <c r="H78" s="35">
        <f t="shared" si="1"/>
        <v>8303.2000000000007</v>
      </c>
      <c r="I78" s="206" t="s">
        <v>78</v>
      </c>
      <c r="J78" s="53"/>
      <c r="K78" s="53"/>
    </row>
    <row r="79" spans="1:11">
      <c r="A79" s="95">
        <v>73</v>
      </c>
      <c r="B79" s="26"/>
      <c r="C79" s="27" t="s">
        <v>1164</v>
      </c>
      <c r="D79" s="7" t="s">
        <v>1165</v>
      </c>
      <c r="E79" s="206" t="s">
        <v>62</v>
      </c>
      <c r="F79" s="31">
        <v>4</v>
      </c>
      <c r="G79" s="35">
        <v>5917.1</v>
      </c>
      <c r="H79" s="35">
        <f t="shared" si="1"/>
        <v>23668.400000000001</v>
      </c>
      <c r="I79" s="206" t="s">
        <v>78</v>
      </c>
      <c r="J79" s="53"/>
      <c r="K79" s="53"/>
    </row>
    <row r="80" spans="1:11">
      <c r="A80" s="298">
        <v>74</v>
      </c>
      <c r="B80" s="26"/>
      <c r="C80" s="27" t="s">
        <v>1166</v>
      </c>
      <c r="D80" s="7" t="s">
        <v>1167</v>
      </c>
      <c r="E80" s="206" t="s">
        <v>62</v>
      </c>
      <c r="F80" s="31">
        <v>1</v>
      </c>
      <c r="G80" s="35">
        <v>16050</v>
      </c>
      <c r="H80" s="35">
        <f t="shared" si="1"/>
        <v>16050</v>
      </c>
      <c r="I80" s="206" t="s">
        <v>78</v>
      </c>
      <c r="J80" s="53"/>
      <c r="K80" s="53"/>
    </row>
    <row r="81" spans="1:11">
      <c r="A81" s="95">
        <v>75</v>
      </c>
      <c r="B81" s="26"/>
      <c r="C81" s="27" t="s">
        <v>1168</v>
      </c>
      <c r="D81" s="13" t="s">
        <v>1169</v>
      </c>
      <c r="E81" s="206" t="s">
        <v>62</v>
      </c>
      <c r="F81" s="31">
        <v>5</v>
      </c>
      <c r="G81" s="35">
        <v>1284</v>
      </c>
      <c r="H81" s="35">
        <f t="shared" si="1"/>
        <v>6420</v>
      </c>
      <c r="I81" s="206" t="s">
        <v>78</v>
      </c>
      <c r="J81" s="53"/>
      <c r="K81" s="53"/>
    </row>
    <row r="82" spans="1:11">
      <c r="A82" s="298">
        <v>76</v>
      </c>
      <c r="B82" s="26"/>
      <c r="C82" s="27" t="s">
        <v>1168</v>
      </c>
      <c r="D82" s="13" t="s">
        <v>1170</v>
      </c>
      <c r="E82" s="206" t="s">
        <v>62</v>
      </c>
      <c r="F82" s="31">
        <v>5</v>
      </c>
      <c r="G82" s="35">
        <v>841.5</v>
      </c>
      <c r="H82" s="35">
        <f t="shared" si="1"/>
        <v>4207.5</v>
      </c>
      <c r="I82" s="206" t="s">
        <v>78</v>
      </c>
      <c r="J82" s="53"/>
      <c r="K82" s="53"/>
    </row>
    <row r="83" spans="1:11">
      <c r="A83" s="95">
        <v>77</v>
      </c>
      <c r="B83" s="26"/>
      <c r="C83" s="27" t="s">
        <v>1171</v>
      </c>
      <c r="D83" s="13" t="s">
        <v>1172</v>
      </c>
      <c r="E83" s="206" t="s">
        <v>62</v>
      </c>
      <c r="F83" s="31">
        <v>10</v>
      </c>
      <c r="G83" s="35">
        <v>8185.5</v>
      </c>
      <c r="H83" s="35">
        <f t="shared" si="1"/>
        <v>81855</v>
      </c>
      <c r="I83" s="206" t="s">
        <v>78</v>
      </c>
      <c r="J83" s="53"/>
      <c r="K83" s="53"/>
    </row>
    <row r="84" spans="1:11">
      <c r="A84" s="298">
        <v>78</v>
      </c>
      <c r="B84" s="26"/>
      <c r="C84" s="27" t="s">
        <v>1173</v>
      </c>
      <c r="D84" s="13" t="s">
        <v>1174</v>
      </c>
      <c r="E84" s="206" t="s">
        <v>62</v>
      </c>
      <c r="F84" s="31">
        <v>1</v>
      </c>
      <c r="G84" s="35">
        <v>29000</v>
      </c>
      <c r="H84" s="35">
        <f t="shared" si="1"/>
        <v>29000</v>
      </c>
      <c r="I84" s="206" t="s">
        <v>78</v>
      </c>
      <c r="J84" s="53"/>
      <c r="K84" s="53"/>
    </row>
    <row r="85" spans="1:11">
      <c r="A85" s="95">
        <v>79</v>
      </c>
      <c r="B85" s="26"/>
      <c r="C85" s="27" t="s">
        <v>1175</v>
      </c>
      <c r="D85" s="13" t="s">
        <v>1134</v>
      </c>
      <c r="E85" s="206" t="s">
        <v>62</v>
      </c>
      <c r="F85" s="31">
        <v>1</v>
      </c>
      <c r="G85" s="35">
        <v>1450</v>
      </c>
      <c r="H85" s="35">
        <f t="shared" si="1"/>
        <v>1450</v>
      </c>
      <c r="I85" s="206" t="s">
        <v>78</v>
      </c>
      <c r="J85" s="53"/>
      <c r="K85" s="53"/>
    </row>
    <row r="86" spans="1:11">
      <c r="A86" s="298">
        <v>80</v>
      </c>
      <c r="B86" s="26"/>
      <c r="C86" s="27" t="s">
        <v>1176</v>
      </c>
      <c r="D86" s="13" t="s">
        <v>1177</v>
      </c>
      <c r="E86" s="206" t="s">
        <v>563</v>
      </c>
      <c r="F86" s="31">
        <v>4</v>
      </c>
      <c r="G86" s="35">
        <v>3400</v>
      </c>
      <c r="H86" s="35">
        <f t="shared" si="1"/>
        <v>13600</v>
      </c>
      <c r="I86" s="206" t="s">
        <v>78</v>
      </c>
      <c r="J86" s="53"/>
      <c r="K86" s="53"/>
    </row>
    <row r="87" spans="1:11">
      <c r="A87" s="95">
        <v>81</v>
      </c>
      <c r="B87" s="26"/>
      <c r="C87" s="27" t="s">
        <v>1178</v>
      </c>
      <c r="D87" s="120" t="s">
        <v>1179</v>
      </c>
      <c r="E87" s="206" t="s">
        <v>62</v>
      </c>
      <c r="F87" s="101">
        <v>1</v>
      </c>
      <c r="G87" s="105">
        <v>21000</v>
      </c>
      <c r="H87" s="35">
        <f t="shared" si="1"/>
        <v>21000</v>
      </c>
      <c r="I87" s="206" t="s">
        <v>78</v>
      </c>
      <c r="J87" s="53"/>
      <c r="K87" s="53"/>
    </row>
    <row r="88" spans="1:11">
      <c r="A88" s="298">
        <v>82</v>
      </c>
      <c r="B88" s="104"/>
      <c r="C88" s="27" t="s">
        <v>1180</v>
      </c>
      <c r="D88" s="120" t="s">
        <v>1181</v>
      </c>
      <c r="E88" s="206" t="s">
        <v>62</v>
      </c>
      <c r="F88" s="31">
        <v>1</v>
      </c>
      <c r="G88" s="35">
        <v>2990</v>
      </c>
      <c r="H88" s="35">
        <f t="shared" si="1"/>
        <v>2990</v>
      </c>
      <c r="I88" s="206" t="s">
        <v>77</v>
      </c>
      <c r="J88" s="53"/>
      <c r="K88" s="53"/>
    </row>
    <row r="89" spans="1:11">
      <c r="A89" s="95">
        <v>83</v>
      </c>
      <c r="B89" s="37"/>
      <c r="C89" s="27" t="s">
        <v>1182</v>
      </c>
      <c r="D89" s="120" t="s">
        <v>1183</v>
      </c>
      <c r="E89" s="28" t="s">
        <v>62</v>
      </c>
      <c r="F89" s="31">
        <v>1</v>
      </c>
      <c r="G89" s="35">
        <v>1990</v>
      </c>
      <c r="H89" s="35">
        <f t="shared" si="1"/>
        <v>1990</v>
      </c>
      <c r="I89" s="99" t="s">
        <v>77</v>
      </c>
      <c r="J89" s="243"/>
      <c r="K89" s="243"/>
    </row>
    <row r="90" spans="1:11">
      <c r="A90" s="362" t="s">
        <v>1910</v>
      </c>
      <c r="B90" s="363"/>
      <c r="C90" s="363"/>
      <c r="D90" s="364"/>
      <c r="E90" s="28"/>
      <c r="F90" s="31"/>
      <c r="G90" s="35"/>
      <c r="H90" s="35">
        <f>SUM(H48:H89)</f>
        <v>9598087.0800000001</v>
      </c>
      <c r="I90" s="99"/>
      <c r="J90" s="243"/>
      <c r="K90" s="243"/>
    </row>
    <row r="91" spans="1:11">
      <c r="A91" s="362" t="s">
        <v>1911</v>
      </c>
      <c r="B91" s="363"/>
      <c r="C91" s="363"/>
      <c r="D91" s="364"/>
      <c r="E91" s="28"/>
      <c r="F91" s="31"/>
      <c r="G91" s="35"/>
      <c r="H91" s="35">
        <f>SUM(H90)</f>
        <v>9598087.0800000001</v>
      </c>
      <c r="I91" s="99"/>
      <c r="J91" s="243"/>
      <c r="K91" s="243"/>
    </row>
    <row r="92" spans="1:11">
      <c r="A92" s="298">
        <v>84</v>
      </c>
      <c r="B92" s="100"/>
      <c r="C92" s="27" t="s">
        <v>1184</v>
      </c>
      <c r="D92" s="120" t="s">
        <v>1185</v>
      </c>
      <c r="E92" s="28" t="s">
        <v>62</v>
      </c>
      <c r="F92" s="31">
        <v>6</v>
      </c>
      <c r="G92" s="35">
        <v>2354</v>
      </c>
      <c r="H92" s="35">
        <f t="shared" si="1"/>
        <v>14124</v>
      </c>
      <c r="I92" s="99" t="s">
        <v>77</v>
      </c>
      <c r="J92" s="243"/>
      <c r="K92" s="243"/>
    </row>
    <row r="93" spans="1:11">
      <c r="A93" s="95">
        <v>85</v>
      </c>
      <c r="B93" s="37"/>
      <c r="C93" s="27" t="s">
        <v>1186</v>
      </c>
      <c r="D93" s="120" t="s">
        <v>1187</v>
      </c>
      <c r="E93" s="28" t="s">
        <v>62</v>
      </c>
      <c r="F93" s="31">
        <v>1</v>
      </c>
      <c r="G93" s="35">
        <v>7383</v>
      </c>
      <c r="H93" s="35">
        <f t="shared" si="1"/>
        <v>7383</v>
      </c>
      <c r="I93" s="99" t="s">
        <v>77</v>
      </c>
      <c r="J93" s="243"/>
      <c r="K93" s="243"/>
    </row>
    <row r="94" spans="1:11">
      <c r="A94" s="298">
        <v>86</v>
      </c>
      <c r="B94" s="37"/>
      <c r="C94" s="27" t="s">
        <v>1188</v>
      </c>
      <c r="D94" s="120" t="s">
        <v>1189</v>
      </c>
      <c r="E94" s="28" t="s">
        <v>61</v>
      </c>
      <c r="F94" s="31">
        <v>1</v>
      </c>
      <c r="G94" s="35">
        <v>44960</v>
      </c>
      <c r="H94" s="35">
        <f t="shared" si="1"/>
        <v>44960</v>
      </c>
      <c r="I94" s="99" t="s">
        <v>77</v>
      </c>
      <c r="J94" s="243"/>
      <c r="K94" s="243"/>
    </row>
    <row r="95" spans="1:11">
      <c r="A95" s="95">
        <v>87</v>
      </c>
      <c r="B95" s="37"/>
      <c r="C95" s="306" t="s">
        <v>1190</v>
      </c>
      <c r="D95" s="120" t="s">
        <v>587</v>
      </c>
      <c r="E95" s="28" t="s">
        <v>62</v>
      </c>
      <c r="F95" s="101">
        <v>1</v>
      </c>
      <c r="G95" s="35">
        <v>44800</v>
      </c>
      <c r="H95" s="35">
        <f t="shared" si="1"/>
        <v>44800</v>
      </c>
      <c r="I95" s="99" t="s">
        <v>77</v>
      </c>
      <c r="J95" s="243"/>
      <c r="K95" s="243"/>
    </row>
    <row r="96" spans="1:11">
      <c r="A96" s="298">
        <v>88</v>
      </c>
      <c r="B96" s="37"/>
      <c r="C96" s="306" t="s">
        <v>1191</v>
      </c>
      <c r="D96" s="120" t="s">
        <v>1192</v>
      </c>
      <c r="E96" s="28" t="s">
        <v>61</v>
      </c>
      <c r="F96" s="101">
        <v>1</v>
      </c>
      <c r="G96" s="35">
        <v>25000</v>
      </c>
      <c r="H96" s="35">
        <f t="shared" si="1"/>
        <v>25000</v>
      </c>
      <c r="I96" s="99" t="s">
        <v>78</v>
      </c>
      <c r="J96" s="243"/>
      <c r="K96" s="243"/>
    </row>
    <row r="97" spans="1:11">
      <c r="A97" s="95">
        <v>89</v>
      </c>
      <c r="B97" s="95"/>
      <c r="C97" s="306" t="s">
        <v>1193</v>
      </c>
      <c r="D97" s="120" t="s">
        <v>1664</v>
      </c>
      <c r="E97" s="28" t="s">
        <v>61</v>
      </c>
      <c r="F97" s="101">
        <v>1</v>
      </c>
      <c r="G97" s="35">
        <v>14990</v>
      </c>
      <c r="H97" s="35">
        <f t="shared" si="1"/>
        <v>14990</v>
      </c>
      <c r="I97" s="99" t="s">
        <v>78</v>
      </c>
      <c r="J97" s="243"/>
      <c r="K97" s="243"/>
    </row>
    <row r="98" spans="1:11">
      <c r="A98" s="298">
        <v>90</v>
      </c>
      <c r="B98" s="37"/>
      <c r="C98" s="306" t="s">
        <v>1194</v>
      </c>
      <c r="D98" s="120" t="s">
        <v>1665</v>
      </c>
      <c r="E98" s="28" t="s">
        <v>61</v>
      </c>
      <c r="F98" s="101">
        <v>1</v>
      </c>
      <c r="G98" s="35">
        <v>29900</v>
      </c>
      <c r="H98" s="35">
        <f t="shared" si="1"/>
        <v>29900</v>
      </c>
      <c r="I98" s="99" t="s">
        <v>78</v>
      </c>
      <c r="J98" s="243"/>
      <c r="K98" s="243"/>
    </row>
    <row r="99" spans="1:11">
      <c r="A99" s="95">
        <v>91</v>
      </c>
      <c r="B99" s="37"/>
      <c r="C99" s="306" t="s">
        <v>1195</v>
      </c>
      <c r="D99" s="120" t="s">
        <v>1196</v>
      </c>
      <c r="E99" s="28" t="s">
        <v>61</v>
      </c>
      <c r="F99" s="101">
        <v>2</v>
      </c>
      <c r="G99" s="35">
        <v>16900</v>
      </c>
      <c r="H99" s="35">
        <f t="shared" si="1"/>
        <v>33800</v>
      </c>
      <c r="I99" s="99" t="s">
        <v>78</v>
      </c>
      <c r="J99" s="243"/>
      <c r="K99" s="243"/>
    </row>
    <row r="100" spans="1:11">
      <c r="A100" s="298">
        <v>92</v>
      </c>
      <c r="B100" s="37"/>
      <c r="C100" s="306" t="s">
        <v>1197</v>
      </c>
      <c r="D100" s="120" t="s">
        <v>1198</v>
      </c>
      <c r="E100" s="28" t="s">
        <v>61</v>
      </c>
      <c r="F100" s="101">
        <v>10</v>
      </c>
      <c r="G100" s="141">
        <v>34775</v>
      </c>
      <c r="H100" s="35">
        <f t="shared" si="1"/>
        <v>347750</v>
      </c>
      <c r="I100" s="107" t="s">
        <v>78</v>
      </c>
      <c r="J100" s="256"/>
      <c r="K100" s="256"/>
    </row>
    <row r="101" spans="1:11">
      <c r="A101" s="95">
        <v>93</v>
      </c>
      <c r="B101" s="102"/>
      <c r="C101" s="306" t="s">
        <v>1199</v>
      </c>
      <c r="D101" s="120" t="s">
        <v>1200</v>
      </c>
      <c r="E101" s="28" t="s">
        <v>61</v>
      </c>
      <c r="F101" s="101">
        <v>1</v>
      </c>
      <c r="G101" s="35">
        <v>25000</v>
      </c>
      <c r="H101" s="35">
        <f t="shared" si="1"/>
        <v>25000</v>
      </c>
      <c r="I101" s="107" t="s">
        <v>78</v>
      </c>
      <c r="J101" s="256"/>
      <c r="K101" s="256"/>
    </row>
    <row r="102" spans="1:11">
      <c r="A102" s="298">
        <v>94</v>
      </c>
      <c r="B102" s="102"/>
      <c r="C102" s="306" t="s">
        <v>1201</v>
      </c>
      <c r="D102" s="120" t="s">
        <v>1202</v>
      </c>
      <c r="E102" s="28" t="s">
        <v>61</v>
      </c>
      <c r="F102" s="101">
        <v>17</v>
      </c>
      <c r="G102" s="141">
        <v>1350</v>
      </c>
      <c r="H102" s="35">
        <f t="shared" si="1"/>
        <v>22950</v>
      </c>
      <c r="I102" s="206" t="s">
        <v>78</v>
      </c>
      <c r="J102" s="53"/>
      <c r="K102" s="53"/>
    </row>
    <row r="103" spans="1:11">
      <c r="A103" s="95">
        <v>95</v>
      </c>
      <c r="B103" s="102"/>
      <c r="C103" s="306" t="s">
        <v>1203</v>
      </c>
      <c r="D103" s="120" t="s">
        <v>1204</v>
      </c>
      <c r="E103" s="28" t="s">
        <v>61</v>
      </c>
      <c r="F103" s="101">
        <v>50</v>
      </c>
      <c r="G103" s="141">
        <v>230</v>
      </c>
      <c r="H103" s="35">
        <f t="shared" si="1"/>
        <v>11500</v>
      </c>
      <c r="I103" s="206" t="s">
        <v>78</v>
      </c>
      <c r="J103" s="53"/>
      <c r="K103" s="53"/>
    </row>
    <row r="104" spans="1:11">
      <c r="A104" s="298">
        <v>96</v>
      </c>
      <c r="B104" s="102"/>
      <c r="C104" s="306" t="s">
        <v>1205</v>
      </c>
      <c r="D104" s="120" t="s">
        <v>1206</v>
      </c>
      <c r="E104" s="28" t="s">
        <v>61</v>
      </c>
      <c r="F104" s="101">
        <v>20</v>
      </c>
      <c r="G104" s="141">
        <v>760</v>
      </c>
      <c r="H104" s="35">
        <f t="shared" si="1"/>
        <v>15200</v>
      </c>
      <c r="I104" s="206" t="s">
        <v>78</v>
      </c>
      <c r="J104" s="53"/>
      <c r="K104" s="53"/>
    </row>
    <row r="105" spans="1:11">
      <c r="A105" s="95">
        <v>97</v>
      </c>
      <c r="B105" s="94"/>
      <c r="C105" s="306" t="s">
        <v>1207</v>
      </c>
      <c r="D105" s="120" t="s">
        <v>1208</v>
      </c>
      <c r="E105" s="28" t="s">
        <v>61</v>
      </c>
      <c r="F105" s="101">
        <v>1</v>
      </c>
      <c r="G105" s="141">
        <v>300000</v>
      </c>
      <c r="H105" s="35">
        <f t="shared" si="1"/>
        <v>300000</v>
      </c>
      <c r="I105" s="206" t="s">
        <v>78</v>
      </c>
      <c r="J105" s="53"/>
      <c r="K105" s="53"/>
    </row>
    <row r="106" spans="1:11">
      <c r="A106" s="298">
        <v>98</v>
      </c>
      <c r="B106" s="94"/>
      <c r="C106" s="306" t="s">
        <v>1209</v>
      </c>
      <c r="D106" s="120" t="s">
        <v>1210</v>
      </c>
      <c r="E106" s="28" t="s">
        <v>61</v>
      </c>
      <c r="F106" s="101">
        <v>1</v>
      </c>
      <c r="G106" s="141">
        <v>64000</v>
      </c>
      <c r="H106" s="35">
        <f t="shared" si="1"/>
        <v>64000</v>
      </c>
      <c r="I106" s="206" t="s">
        <v>78</v>
      </c>
      <c r="J106" s="53"/>
      <c r="K106" s="53"/>
    </row>
    <row r="107" spans="1:11">
      <c r="A107" s="95">
        <v>99</v>
      </c>
      <c r="B107" s="94"/>
      <c r="C107" s="306" t="s">
        <v>1211</v>
      </c>
      <c r="D107" s="120" t="s">
        <v>1212</v>
      </c>
      <c r="E107" s="28" t="s">
        <v>61</v>
      </c>
      <c r="F107" s="101">
        <v>1</v>
      </c>
      <c r="G107" s="35">
        <v>300000</v>
      </c>
      <c r="H107" s="35">
        <f t="shared" si="1"/>
        <v>300000</v>
      </c>
      <c r="I107" s="206" t="s">
        <v>78</v>
      </c>
      <c r="J107" s="53"/>
      <c r="K107" s="53"/>
    </row>
    <row r="108" spans="1:11">
      <c r="A108" s="298">
        <v>100</v>
      </c>
      <c r="B108" s="94" t="s">
        <v>1724</v>
      </c>
      <c r="C108" s="306" t="s">
        <v>1723</v>
      </c>
      <c r="D108" s="120" t="s">
        <v>1885</v>
      </c>
      <c r="E108" s="28" t="s">
        <v>61</v>
      </c>
      <c r="F108" s="101">
        <v>1</v>
      </c>
      <c r="G108" s="351">
        <v>1494500</v>
      </c>
      <c r="H108" s="351">
        <f t="shared" si="1"/>
        <v>1494500</v>
      </c>
      <c r="I108" s="206" t="s">
        <v>78</v>
      </c>
      <c r="J108" s="53"/>
      <c r="K108" s="53"/>
    </row>
    <row r="109" spans="1:11">
      <c r="A109" s="357" t="s">
        <v>465</v>
      </c>
      <c r="B109" s="357"/>
      <c r="C109" s="357"/>
      <c r="D109" s="357"/>
      <c r="E109" s="357"/>
      <c r="F109" s="28"/>
      <c r="G109" s="244"/>
      <c r="H109" s="244">
        <f>SUM(H91:H108)</f>
        <v>12393944.08</v>
      </c>
      <c r="I109" s="206"/>
      <c r="J109" s="258"/>
      <c r="K109" s="258"/>
    </row>
    <row r="110" spans="1:11" ht="33.75" customHeight="1">
      <c r="A110" s="260"/>
      <c r="B110" s="260"/>
      <c r="C110" s="260"/>
      <c r="D110" s="260"/>
      <c r="E110" s="260"/>
      <c r="F110" s="268"/>
      <c r="G110" s="255"/>
      <c r="H110" s="255"/>
      <c r="I110" s="258"/>
      <c r="J110" s="258"/>
      <c r="K110" s="258"/>
    </row>
    <row r="111" spans="1:11" ht="27.75" customHeight="1">
      <c r="A111" s="53"/>
      <c r="B111" s="53"/>
      <c r="C111" s="53"/>
      <c r="D111" s="53"/>
      <c r="E111" s="53"/>
      <c r="F111" s="353" t="s">
        <v>1652</v>
      </c>
      <c r="G111" s="353"/>
      <c r="H111" s="353"/>
      <c r="I111" s="353"/>
      <c r="J111" s="258"/>
      <c r="K111" s="258"/>
    </row>
    <row r="112" spans="1:11" ht="18" customHeight="1">
      <c r="A112" s="53"/>
      <c r="B112" s="53"/>
      <c r="C112" s="53"/>
      <c r="D112" s="53"/>
      <c r="E112" s="53"/>
      <c r="F112" s="353" t="s">
        <v>1666</v>
      </c>
      <c r="G112" s="353"/>
      <c r="H112" s="353"/>
      <c r="I112" s="353"/>
      <c r="J112" s="258"/>
      <c r="K112" s="258"/>
    </row>
    <row r="113" spans="1:11" ht="20.25" customHeight="1">
      <c r="A113" s="53"/>
      <c r="B113" s="53"/>
      <c r="C113" s="53"/>
      <c r="D113" s="53"/>
      <c r="E113" s="53"/>
      <c r="F113" s="353" t="s">
        <v>226</v>
      </c>
      <c r="G113" s="353"/>
      <c r="H113" s="353"/>
      <c r="I113" s="353"/>
      <c r="J113" s="258"/>
      <c r="K113" s="258"/>
    </row>
  </sheetData>
  <mergeCells count="11">
    <mergeCell ref="A1:I1"/>
    <mergeCell ref="A2:I2"/>
    <mergeCell ref="A3:I3"/>
    <mergeCell ref="A47:D47"/>
    <mergeCell ref="A48:D48"/>
    <mergeCell ref="A90:D90"/>
    <mergeCell ref="A91:D91"/>
    <mergeCell ref="F113:I113"/>
    <mergeCell ref="A109:E109"/>
    <mergeCell ref="F111:I111"/>
    <mergeCell ref="F112:I112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83"/>
  <sheetViews>
    <sheetView zoomScaleNormal="100" workbookViewId="0">
      <selection activeCell="M6" sqref="M6"/>
    </sheetView>
  </sheetViews>
  <sheetFormatPr defaultColWidth="9" defaultRowHeight="24"/>
  <cols>
    <col min="1" max="1" width="5.42578125" style="14" customWidth="1"/>
    <col min="2" max="2" width="11.28515625" style="14" customWidth="1"/>
    <col min="3" max="3" width="34.140625" style="14" customWidth="1"/>
    <col min="4" max="4" width="36.7109375" style="233" customWidth="1"/>
    <col min="5" max="5" width="8" style="234" customWidth="1"/>
    <col min="6" max="6" width="7.28515625" style="234" customWidth="1"/>
    <col min="7" max="7" width="13.7109375" style="234" customWidth="1"/>
    <col min="8" max="8" width="14" style="234" customWidth="1"/>
    <col min="9" max="9" width="12" style="72" customWidth="1"/>
    <col min="10" max="16384" width="9" style="14"/>
  </cols>
  <sheetData>
    <row r="1" spans="1:9">
      <c r="A1" s="354" t="s">
        <v>664</v>
      </c>
      <c r="B1" s="354"/>
      <c r="C1" s="354"/>
      <c r="D1" s="354"/>
      <c r="E1" s="354"/>
      <c r="F1" s="354"/>
      <c r="G1" s="354"/>
      <c r="H1" s="354"/>
      <c r="I1" s="354"/>
    </row>
    <row r="2" spans="1:9">
      <c r="A2" s="355" t="s">
        <v>1422</v>
      </c>
      <c r="B2" s="355"/>
      <c r="C2" s="355"/>
      <c r="D2" s="355"/>
      <c r="E2" s="355"/>
      <c r="F2" s="355"/>
      <c r="G2" s="355"/>
      <c r="H2" s="355"/>
      <c r="I2" s="355"/>
    </row>
    <row r="3" spans="1:9">
      <c r="A3" s="361" t="s">
        <v>1781</v>
      </c>
      <c r="B3" s="361"/>
      <c r="C3" s="361"/>
      <c r="D3" s="361"/>
      <c r="E3" s="361"/>
      <c r="F3" s="361"/>
      <c r="G3" s="361"/>
      <c r="H3" s="361"/>
      <c r="I3" s="361"/>
    </row>
    <row r="4" spans="1:9" ht="46.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</row>
    <row r="5" spans="1:9">
      <c r="A5" s="95">
        <v>1</v>
      </c>
      <c r="B5" s="37"/>
      <c r="C5" s="27" t="s">
        <v>1423</v>
      </c>
      <c r="D5" s="27" t="s">
        <v>1424</v>
      </c>
      <c r="E5" s="97" t="s">
        <v>61</v>
      </c>
      <c r="F5" s="101">
        <v>4</v>
      </c>
      <c r="G5" s="105">
        <v>35000</v>
      </c>
      <c r="H5" s="105">
        <f>SUM(F5*G5)</f>
        <v>140000</v>
      </c>
      <c r="I5" s="75" t="s">
        <v>77</v>
      </c>
    </row>
    <row r="6" spans="1:9">
      <c r="A6" s="95">
        <v>2</v>
      </c>
      <c r="B6" s="37"/>
      <c r="C6" s="27" t="s">
        <v>1425</v>
      </c>
      <c r="D6" s="27" t="s">
        <v>1426</v>
      </c>
      <c r="E6" s="97" t="s">
        <v>61</v>
      </c>
      <c r="F6" s="101">
        <v>2</v>
      </c>
      <c r="G6" s="105">
        <v>17500</v>
      </c>
      <c r="H6" s="105">
        <f t="shared" ref="H6:H59" si="0">SUM(F6*G6)</f>
        <v>35000</v>
      </c>
      <c r="I6" s="75" t="s">
        <v>77</v>
      </c>
    </row>
    <row r="7" spans="1:9">
      <c r="A7" s="95">
        <v>3</v>
      </c>
      <c r="B7" s="37"/>
      <c r="C7" s="27" t="s">
        <v>1427</v>
      </c>
      <c r="D7" s="27" t="s">
        <v>1428</v>
      </c>
      <c r="E7" s="97" t="s">
        <v>61</v>
      </c>
      <c r="F7" s="101">
        <v>4</v>
      </c>
      <c r="G7" s="105">
        <v>2500</v>
      </c>
      <c r="H7" s="105">
        <f t="shared" si="0"/>
        <v>10000</v>
      </c>
      <c r="I7" s="75" t="s">
        <v>77</v>
      </c>
    </row>
    <row r="8" spans="1:9" ht="21" customHeight="1">
      <c r="A8" s="95">
        <v>4</v>
      </c>
      <c r="B8" s="37"/>
      <c r="C8" s="27" t="s">
        <v>1429</v>
      </c>
      <c r="D8" s="27" t="s">
        <v>183</v>
      </c>
      <c r="E8" s="97" t="s">
        <v>61</v>
      </c>
      <c r="F8" s="101">
        <v>20</v>
      </c>
      <c r="G8" s="105">
        <v>2600</v>
      </c>
      <c r="H8" s="105">
        <f t="shared" si="0"/>
        <v>52000</v>
      </c>
      <c r="I8" s="75" t="s">
        <v>77</v>
      </c>
    </row>
    <row r="9" spans="1:9">
      <c r="A9" s="95">
        <v>5</v>
      </c>
      <c r="B9" s="37"/>
      <c r="C9" s="27" t="s">
        <v>1430</v>
      </c>
      <c r="D9" s="27" t="s">
        <v>1431</v>
      </c>
      <c r="E9" s="97" t="s">
        <v>61</v>
      </c>
      <c r="F9" s="101">
        <v>20</v>
      </c>
      <c r="G9" s="105">
        <v>1200</v>
      </c>
      <c r="H9" s="105">
        <f t="shared" si="0"/>
        <v>24000</v>
      </c>
      <c r="I9" s="75" t="s">
        <v>77</v>
      </c>
    </row>
    <row r="10" spans="1:9">
      <c r="A10" s="95">
        <v>6</v>
      </c>
      <c r="B10" s="95"/>
      <c r="C10" s="27" t="s">
        <v>1432</v>
      </c>
      <c r="D10" s="27" t="s">
        <v>1433</v>
      </c>
      <c r="E10" s="97" t="s">
        <v>61</v>
      </c>
      <c r="F10" s="101">
        <v>1</v>
      </c>
      <c r="G10" s="105">
        <v>12500</v>
      </c>
      <c r="H10" s="105">
        <f t="shared" si="0"/>
        <v>12500</v>
      </c>
      <c r="I10" s="75" t="s">
        <v>77</v>
      </c>
    </row>
    <row r="11" spans="1:9">
      <c r="A11" s="95">
        <v>7</v>
      </c>
      <c r="B11" s="37"/>
      <c r="C11" s="27" t="s">
        <v>1434</v>
      </c>
      <c r="D11" s="27" t="s">
        <v>1424</v>
      </c>
      <c r="E11" s="97" t="s">
        <v>61</v>
      </c>
      <c r="F11" s="101">
        <v>10</v>
      </c>
      <c r="G11" s="105">
        <v>34500</v>
      </c>
      <c r="H11" s="105">
        <f t="shared" si="0"/>
        <v>345000</v>
      </c>
      <c r="I11" s="75" t="s">
        <v>77</v>
      </c>
    </row>
    <row r="12" spans="1:9">
      <c r="A12" s="95">
        <v>8</v>
      </c>
      <c r="B12" s="37"/>
      <c r="C12" s="27" t="s">
        <v>1435</v>
      </c>
      <c r="D12" s="27" t="s">
        <v>1436</v>
      </c>
      <c r="E12" s="97" t="s">
        <v>61</v>
      </c>
      <c r="F12" s="101">
        <v>2</v>
      </c>
      <c r="G12" s="105">
        <v>9000</v>
      </c>
      <c r="H12" s="105">
        <f t="shared" si="0"/>
        <v>18000</v>
      </c>
      <c r="I12" s="75" t="s">
        <v>77</v>
      </c>
    </row>
    <row r="13" spans="1:9">
      <c r="A13" s="95">
        <v>9</v>
      </c>
      <c r="B13" s="37"/>
      <c r="C13" s="27" t="s">
        <v>1437</v>
      </c>
      <c r="D13" s="27" t="s">
        <v>1428</v>
      </c>
      <c r="E13" s="97" t="s">
        <v>61</v>
      </c>
      <c r="F13" s="101">
        <v>2</v>
      </c>
      <c r="G13" s="105">
        <v>2500</v>
      </c>
      <c r="H13" s="105">
        <f t="shared" si="0"/>
        <v>5000</v>
      </c>
      <c r="I13" s="75" t="s">
        <v>77</v>
      </c>
    </row>
    <row r="14" spans="1:9">
      <c r="A14" s="95">
        <v>10</v>
      </c>
      <c r="B14" s="102"/>
      <c r="C14" s="27" t="s">
        <v>1438</v>
      </c>
      <c r="D14" s="27" t="s">
        <v>183</v>
      </c>
      <c r="E14" s="97" t="s">
        <v>61</v>
      </c>
      <c r="F14" s="101">
        <v>10</v>
      </c>
      <c r="G14" s="105">
        <v>2500</v>
      </c>
      <c r="H14" s="105">
        <f t="shared" si="0"/>
        <v>25000</v>
      </c>
      <c r="I14" s="75" t="s">
        <v>77</v>
      </c>
    </row>
    <row r="15" spans="1:9">
      <c r="A15" s="95">
        <v>11</v>
      </c>
      <c r="B15" s="102"/>
      <c r="C15" s="27" t="s">
        <v>1439</v>
      </c>
      <c r="D15" s="27" t="s">
        <v>1431</v>
      </c>
      <c r="E15" s="97" t="s">
        <v>61</v>
      </c>
      <c r="F15" s="101">
        <v>20</v>
      </c>
      <c r="G15" s="105">
        <v>1200</v>
      </c>
      <c r="H15" s="105">
        <f t="shared" si="0"/>
        <v>24000</v>
      </c>
      <c r="I15" s="75" t="s">
        <v>77</v>
      </c>
    </row>
    <row r="16" spans="1:9">
      <c r="A16" s="95">
        <v>12</v>
      </c>
      <c r="B16" s="102"/>
      <c r="C16" s="27" t="s">
        <v>1440</v>
      </c>
      <c r="D16" s="27" t="s">
        <v>1424</v>
      </c>
      <c r="E16" s="97" t="s">
        <v>61</v>
      </c>
      <c r="F16" s="101">
        <v>3</v>
      </c>
      <c r="G16" s="105">
        <v>38900</v>
      </c>
      <c r="H16" s="105">
        <f t="shared" si="0"/>
        <v>116700</v>
      </c>
      <c r="I16" s="75" t="s">
        <v>77</v>
      </c>
    </row>
    <row r="17" spans="1:9">
      <c r="A17" s="95">
        <v>13</v>
      </c>
      <c r="B17" s="102"/>
      <c r="C17" s="27" t="s">
        <v>1441</v>
      </c>
      <c r="D17" s="27" t="s">
        <v>1433</v>
      </c>
      <c r="E17" s="97" t="s">
        <v>61</v>
      </c>
      <c r="F17" s="101">
        <v>1</v>
      </c>
      <c r="G17" s="105">
        <v>20000</v>
      </c>
      <c r="H17" s="105">
        <f t="shared" si="0"/>
        <v>20000</v>
      </c>
      <c r="I17" s="75" t="s">
        <v>77</v>
      </c>
    </row>
    <row r="18" spans="1:9">
      <c r="A18" s="95">
        <v>14</v>
      </c>
      <c r="B18" s="94"/>
      <c r="C18" s="27" t="s">
        <v>1442</v>
      </c>
      <c r="D18" s="27" t="s">
        <v>1443</v>
      </c>
      <c r="E18" s="97" t="s">
        <v>61</v>
      </c>
      <c r="F18" s="101">
        <v>1</v>
      </c>
      <c r="G18" s="105">
        <v>20000</v>
      </c>
      <c r="H18" s="105">
        <f t="shared" si="0"/>
        <v>20000</v>
      </c>
      <c r="I18" s="75" t="s">
        <v>77</v>
      </c>
    </row>
    <row r="19" spans="1:9">
      <c r="A19" s="95">
        <v>15</v>
      </c>
      <c r="B19" s="94"/>
      <c r="C19" s="27" t="s">
        <v>1444</v>
      </c>
      <c r="D19" s="27" t="s">
        <v>1445</v>
      </c>
      <c r="E19" s="97" t="s">
        <v>61</v>
      </c>
      <c r="F19" s="101">
        <v>1</v>
      </c>
      <c r="G19" s="105">
        <v>31500</v>
      </c>
      <c r="H19" s="105">
        <f t="shared" si="0"/>
        <v>31500</v>
      </c>
      <c r="I19" s="75" t="s">
        <v>77</v>
      </c>
    </row>
    <row r="20" spans="1:9">
      <c r="A20" s="95">
        <v>16</v>
      </c>
      <c r="B20" s="94"/>
      <c r="C20" s="27" t="s">
        <v>1446</v>
      </c>
      <c r="D20" s="27" t="s">
        <v>1428</v>
      </c>
      <c r="E20" s="97" t="s">
        <v>61</v>
      </c>
      <c r="F20" s="101">
        <v>2</v>
      </c>
      <c r="G20" s="105">
        <v>2500</v>
      </c>
      <c r="H20" s="105">
        <f t="shared" si="0"/>
        <v>5000</v>
      </c>
      <c r="I20" s="75" t="s">
        <v>77</v>
      </c>
    </row>
    <row r="21" spans="1:9">
      <c r="A21" s="95">
        <v>17</v>
      </c>
      <c r="B21" s="94"/>
      <c r="C21" s="27" t="s">
        <v>1447</v>
      </c>
      <c r="D21" s="27" t="s">
        <v>183</v>
      </c>
      <c r="E21" s="97" t="s">
        <v>61</v>
      </c>
      <c r="F21" s="101">
        <v>5</v>
      </c>
      <c r="G21" s="105">
        <v>2500</v>
      </c>
      <c r="H21" s="105">
        <f t="shared" si="0"/>
        <v>12500</v>
      </c>
      <c r="I21" s="75" t="s">
        <v>77</v>
      </c>
    </row>
    <row r="22" spans="1:9">
      <c r="A22" s="95">
        <v>18</v>
      </c>
      <c r="B22" s="220"/>
      <c r="C22" s="27" t="s">
        <v>1448</v>
      </c>
      <c r="D22" s="27" t="s">
        <v>1431</v>
      </c>
      <c r="E22" s="97" t="s">
        <v>61</v>
      </c>
      <c r="F22" s="101">
        <v>5</v>
      </c>
      <c r="G22" s="105">
        <v>1200</v>
      </c>
      <c r="H22" s="105">
        <f t="shared" si="0"/>
        <v>6000</v>
      </c>
      <c r="I22" s="75" t="s">
        <v>77</v>
      </c>
    </row>
    <row r="23" spans="1:9">
      <c r="A23" s="95">
        <v>19</v>
      </c>
      <c r="B23" s="206"/>
      <c r="C23" s="27" t="s">
        <v>1449</v>
      </c>
      <c r="D23" s="27" t="s">
        <v>1450</v>
      </c>
      <c r="E23" s="73" t="s">
        <v>62</v>
      </c>
      <c r="F23" s="101">
        <v>1</v>
      </c>
      <c r="G23" s="105">
        <v>31850</v>
      </c>
      <c r="H23" s="105">
        <f t="shared" si="0"/>
        <v>31850</v>
      </c>
      <c r="I23" s="75" t="s">
        <v>77</v>
      </c>
    </row>
    <row r="24" spans="1:9">
      <c r="A24" s="95">
        <v>20</v>
      </c>
      <c r="B24" s="26"/>
      <c r="C24" s="27" t="s">
        <v>1451</v>
      </c>
      <c r="D24" s="27" t="s">
        <v>1424</v>
      </c>
      <c r="E24" s="73" t="s">
        <v>62</v>
      </c>
      <c r="F24" s="101">
        <v>21</v>
      </c>
      <c r="G24" s="105">
        <v>24285.71</v>
      </c>
      <c r="H24" s="105">
        <f t="shared" si="0"/>
        <v>509999.91</v>
      </c>
      <c r="I24" s="75" t="s">
        <v>77</v>
      </c>
    </row>
    <row r="25" spans="1:9">
      <c r="A25" s="95">
        <v>21</v>
      </c>
      <c r="B25" s="26"/>
      <c r="C25" s="27" t="s">
        <v>1452</v>
      </c>
      <c r="D25" s="27" t="s">
        <v>1424</v>
      </c>
      <c r="E25" s="73" t="s">
        <v>61</v>
      </c>
      <c r="F25" s="101">
        <v>7</v>
      </c>
      <c r="G25" s="105">
        <v>11862.85</v>
      </c>
      <c r="H25" s="105">
        <f t="shared" si="0"/>
        <v>83039.95</v>
      </c>
      <c r="I25" s="75" t="s">
        <v>77</v>
      </c>
    </row>
    <row r="26" spans="1:9">
      <c r="A26" s="95">
        <v>22</v>
      </c>
      <c r="B26" s="26"/>
      <c r="C26" s="27" t="s">
        <v>1453</v>
      </c>
      <c r="D26" s="27" t="s">
        <v>1424</v>
      </c>
      <c r="E26" s="73" t="s">
        <v>61</v>
      </c>
      <c r="F26" s="101">
        <v>7</v>
      </c>
      <c r="G26" s="105">
        <v>15500</v>
      </c>
      <c r="H26" s="105">
        <f t="shared" si="0"/>
        <v>108500</v>
      </c>
      <c r="I26" s="75" t="s">
        <v>77</v>
      </c>
    </row>
    <row r="27" spans="1:9">
      <c r="A27" s="95">
        <v>23</v>
      </c>
      <c r="B27" s="26"/>
      <c r="C27" s="27" t="s">
        <v>1454</v>
      </c>
      <c r="D27" s="27" t="s">
        <v>1455</v>
      </c>
      <c r="E27" s="73" t="s">
        <v>62</v>
      </c>
      <c r="F27" s="101">
        <v>1</v>
      </c>
      <c r="G27" s="105">
        <v>9900</v>
      </c>
      <c r="H27" s="105">
        <f t="shared" si="0"/>
        <v>9900</v>
      </c>
      <c r="I27" s="75" t="s">
        <v>77</v>
      </c>
    </row>
    <row r="28" spans="1:9">
      <c r="A28" s="95">
        <v>24</v>
      </c>
      <c r="B28" s="26"/>
      <c r="C28" s="27" t="s">
        <v>1456</v>
      </c>
      <c r="D28" s="27" t="s">
        <v>1424</v>
      </c>
      <c r="E28" s="73" t="s">
        <v>62</v>
      </c>
      <c r="F28" s="101">
        <v>5</v>
      </c>
      <c r="G28" s="105">
        <v>16000</v>
      </c>
      <c r="H28" s="105">
        <f t="shared" si="0"/>
        <v>80000</v>
      </c>
      <c r="I28" s="75" t="s">
        <v>77</v>
      </c>
    </row>
    <row r="29" spans="1:9">
      <c r="A29" s="95">
        <v>25</v>
      </c>
      <c r="B29" s="26"/>
      <c r="C29" s="27" t="s">
        <v>1457</v>
      </c>
      <c r="D29" s="27" t="s">
        <v>1424</v>
      </c>
      <c r="E29" s="73" t="s">
        <v>62</v>
      </c>
      <c r="F29" s="101">
        <v>4</v>
      </c>
      <c r="G29" s="105">
        <v>16000</v>
      </c>
      <c r="H29" s="105">
        <f t="shared" si="0"/>
        <v>64000</v>
      </c>
      <c r="I29" s="75" t="s">
        <v>77</v>
      </c>
    </row>
    <row r="30" spans="1:9">
      <c r="A30" s="95">
        <v>26</v>
      </c>
      <c r="B30" s="26"/>
      <c r="C30" s="27" t="s">
        <v>1458</v>
      </c>
      <c r="D30" s="27" t="s">
        <v>1424</v>
      </c>
      <c r="E30" s="73" t="s">
        <v>62</v>
      </c>
      <c r="F30" s="101">
        <v>4</v>
      </c>
      <c r="G30" s="105">
        <v>16000</v>
      </c>
      <c r="H30" s="105">
        <f t="shared" si="0"/>
        <v>64000</v>
      </c>
      <c r="I30" s="75" t="s">
        <v>77</v>
      </c>
    </row>
    <row r="31" spans="1:9">
      <c r="A31" s="95">
        <v>27</v>
      </c>
      <c r="B31" s="26"/>
      <c r="C31" s="27" t="s">
        <v>1459</v>
      </c>
      <c r="D31" s="27" t="s">
        <v>1460</v>
      </c>
      <c r="E31" s="73" t="s">
        <v>62</v>
      </c>
      <c r="F31" s="101">
        <v>1</v>
      </c>
      <c r="G31" s="105">
        <v>6600</v>
      </c>
      <c r="H31" s="105">
        <f t="shared" si="0"/>
        <v>6600</v>
      </c>
      <c r="I31" s="75" t="s">
        <v>77</v>
      </c>
    </row>
    <row r="32" spans="1:9">
      <c r="A32" s="95">
        <v>28</v>
      </c>
      <c r="B32" s="26"/>
      <c r="C32" s="27" t="s">
        <v>1461</v>
      </c>
      <c r="D32" s="27" t="s">
        <v>1462</v>
      </c>
      <c r="E32" s="73" t="s">
        <v>62</v>
      </c>
      <c r="F32" s="101">
        <v>3</v>
      </c>
      <c r="G32" s="105">
        <v>1100</v>
      </c>
      <c r="H32" s="105">
        <f t="shared" si="0"/>
        <v>3300</v>
      </c>
      <c r="I32" s="75" t="s">
        <v>77</v>
      </c>
    </row>
    <row r="33" spans="1:9">
      <c r="A33" s="95">
        <v>29</v>
      </c>
      <c r="B33" s="104"/>
      <c r="C33" s="27" t="s">
        <v>1463</v>
      </c>
      <c r="D33" s="106" t="s">
        <v>767</v>
      </c>
      <c r="E33" s="73" t="s">
        <v>62</v>
      </c>
      <c r="F33" s="101">
        <v>6</v>
      </c>
      <c r="G33" s="98">
        <v>1200</v>
      </c>
      <c r="H33" s="105">
        <f t="shared" si="0"/>
        <v>7200</v>
      </c>
      <c r="I33" s="75" t="s">
        <v>77</v>
      </c>
    </row>
    <row r="34" spans="1:9">
      <c r="A34" s="95">
        <v>30</v>
      </c>
      <c r="B34" s="37"/>
      <c r="C34" s="27" t="s">
        <v>1464</v>
      </c>
      <c r="D34" s="27" t="s">
        <v>1465</v>
      </c>
      <c r="E34" s="73" t="s">
        <v>62</v>
      </c>
      <c r="F34" s="101">
        <v>1</v>
      </c>
      <c r="G34" s="105">
        <v>2500</v>
      </c>
      <c r="H34" s="105">
        <f t="shared" si="0"/>
        <v>2500</v>
      </c>
      <c r="I34" s="76" t="s">
        <v>78</v>
      </c>
    </row>
    <row r="35" spans="1:9">
      <c r="A35" s="95">
        <v>31</v>
      </c>
      <c r="B35" s="100"/>
      <c r="C35" s="27" t="s">
        <v>1466</v>
      </c>
      <c r="D35" s="27" t="s">
        <v>1465</v>
      </c>
      <c r="E35" s="73" t="s">
        <v>62</v>
      </c>
      <c r="F35" s="101">
        <v>1</v>
      </c>
      <c r="G35" s="105">
        <v>2500</v>
      </c>
      <c r="H35" s="105">
        <f t="shared" si="0"/>
        <v>2500</v>
      </c>
      <c r="I35" s="76" t="s">
        <v>78</v>
      </c>
    </row>
    <row r="36" spans="1:9">
      <c r="A36" s="95">
        <v>32</v>
      </c>
      <c r="B36" s="37"/>
      <c r="C36" s="27" t="s">
        <v>1467</v>
      </c>
      <c r="D36" s="27" t="s">
        <v>56</v>
      </c>
      <c r="E36" s="73" t="s">
        <v>62</v>
      </c>
      <c r="F36" s="101">
        <v>1</v>
      </c>
      <c r="G36" s="105">
        <v>2700</v>
      </c>
      <c r="H36" s="105">
        <f t="shared" si="0"/>
        <v>2700</v>
      </c>
      <c r="I36" s="76" t="s">
        <v>78</v>
      </c>
    </row>
    <row r="37" spans="1:9">
      <c r="A37" s="95">
        <v>33</v>
      </c>
      <c r="B37" s="37"/>
      <c r="C37" s="27" t="s">
        <v>1468</v>
      </c>
      <c r="D37" s="27" t="s">
        <v>1469</v>
      </c>
      <c r="E37" s="73" t="s">
        <v>62</v>
      </c>
      <c r="F37" s="101">
        <v>1</v>
      </c>
      <c r="G37" s="105">
        <v>79000</v>
      </c>
      <c r="H37" s="105">
        <f t="shared" si="0"/>
        <v>79000</v>
      </c>
      <c r="I37" s="75" t="s">
        <v>77</v>
      </c>
    </row>
    <row r="38" spans="1:9">
      <c r="A38" s="95">
        <v>34</v>
      </c>
      <c r="B38" s="37"/>
      <c r="C38" s="27" t="s">
        <v>1470</v>
      </c>
      <c r="D38" s="27" t="s">
        <v>1471</v>
      </c>
      <c r="E38" s="73" t="s">
        <v>62</v>
      </c>
      <c r="F38" s="101">
        <v>1</v>
      </c>
      <c r="G38" s="105">
        <v>9200</v>
      </c>
      <c r="H38" s="105">
        <f t="shared" si="0"/>
        <v>9200</v>
      </c>
      <c r="I38" s="75" t="s">
        <v>77</v>
      </c>
    </row>
    <row r="39" spans="1:9">
      <c r="A39" s="95">
        <v>35</v>
      </c>
      <c r="B39" s="37"/>
      <c r="C39" s="27" t="s">
        <v>1472</v>
      </c>
      <c r="D39" s="27" t="s">
        <v>1473</v>
      </c>
      <c r="E39" s="73" t="s">
        <v>62</v>
      </c>
      <c r="F39" s="101">
        <v>1</v>
      </c>
      <c r="G39" s="105">
        <v>5900</v>
      </c>
      <c r="H39" s="105">
        <f t="shared" si="0"/>
        <v>5900</v>
      </c>
      <c r="I39" s="75" t="s">
        <v>77</v>
      </c>
    </row>
    <row r="40" spans="1:9">
      <c r="A40" s="95">
        <v>36</v>
      </c>
      <c r="B40" s="95"/>
      <c r="C40" s="27" t="s">
        <v>1474</v>
      </c>
      <c r="D40" s="27" t="s">
        <v>50</v>
      </c>
      <c r="E40" s="73" t="s">
        <v>62</v>
      </c>
      <c r="F40" s="101">
        <v>1</v>
      </c>
      <c r="G40" s="135">
        <v>40700</v>
      </c>
      <c r="H40" s="105">
        <f t="shared" si="0"/>
        <v>40700</v>
      </c>
      <c r="I40" s="75" t="s">
        <v>77</v>
      </c>
    </row>
    <row r="41" spans="1:9">
      <c r="A41" s="95">
        <v>37</v>
      </c>
      <c r="B41" s="37"/>
      <c r="C41" s="27" t="s">
        <v>1475</v>
      </c>
      <c r="D41" s="27" t="s">
        <v>1424</v>
      </c>
      <c r="E41" s="97" t="s">
        <v>1825</v>
      </c>
      <c r="F41" s="101">
        <v>10</v>
      </c>
      <c r="G41" s="105">
        <v>11730</v>
      </c>
      <c r="H41" s="105">
        <f t="shared" si="0"/>
        <v>117300</v>
      </c>
      <c r="I41" s="75" t="s">
        <v>77</v>
      </c>
    </row>
    <row r="42" spans="1:9">
      <c r="A42" s="95">
        <v>38</v>
      </c>
      <c r="B42" s="37"/>
      <c r="C42" s="27" t="s">
        <v>1476</v>
      </c>
      <c r="D42" s="27" t="s">
        <v>1424</v>
      </c>
      <c r="E42" s="97" t="s">
        <v>1825</v>
      </c>
      <c r="F42" s="101">
        <v>10</v>
      </c>
      <c r="G42" s="105">
        <v>11730</v>
      </c>
      <c r="H42" s="105">
        <f t="shared" si="0"/>
        <v>117300</v>
      </c>
      <c r="I42" s="75" t="s">
        <v>77</v>
      </c>
    </row>
    <row r="43" spans="1:9">
      <c r="A43" s="95">
        <v>39</v>
      </c>
      <c r="B43" s="37"/>
      <c r="C43" s="27" t="s">
        <v>1477</v>
      </c>
      <c r="D43" s="27" t="s">
        <v>1465</v>
      </c>
      <c r="E43" s="73" t="s">
        <v>62</v>
      </c>
      <c r="F43" s="101">
        <v>4</v>
      </c>
      <c r="G43" s="105">
        <v>2800</v>
      </c>
      <c r="H43" s="105">
        <f>SUM(F43*G43)</f>
        <v>11200</v>
      </c>
      <c r="I43" s="75"/>
    </row>
    <row r="44" spans="1:9">
      <c r="A44" s="95">
        <v>40</v>
      </c>
      <c r="B44" s="37"/>
      <c r="C44" s="27" t="s">
        <v>1478</v>
      </c>
      <c r="D44" s="27" t="s">
        <v>56</v>
      </c>
      <c r="E44" s="73" t="s">
        <v>62</v>
      </c>
      <c r="F44" s="101">
        <v>2</v>
      </c>
      <c r="G44" s="105">
        <v>3000</v>
      </c>
      <c r="H44" s="105">
        <f>SUM(F44*G44)</f>
        <v>6000</v>
      </c>
      <c r="I44" s="76" t="s">
        <v>78</v>
      </c>
    </row>
    <row r="45" spans="1:9">
      <c r="A45" s="95">
        <v>41</v>
      </c>
      <c r="B45" s="102"/>
      <c r="C45" s="27" t="s">
        <v>1479</v>
      </c>
      <c r="D45" s="27" t="s">
        <v>212</v>
      </c>
      <c r="E45" s="73" t="s">
        <v>62</v>
      </c>
      <c r="F45" s="101">
        <v>1</v>
      </c>
      <c r="G45" s="105">
        <v>695.5</v>
      </c>
      <c r="H45" s="105">
        <f>SUM(F45*G45)</f>
        <v>695.5</v>
      </c>
      <c r="I45" s="76" t="s">
        <v>78</v>
      </c>
    </row>
    <row r="46" spans="1:9">
      <c r="A46" s="95">
        <v>42</v>
      </c>
      <c r="B46" s="102"/>
      <c r="C46" s="27" t="s">
        <v>1480</v>
      </c>
      <c r="D46" s="27" t="s">
        <v>1481</v>
      </c>
      <c r="E46" s="73" t="s">
        <v>62</v>
      </c>
      <c r="F46" s="101">
        <v>1</v>
      </c>
      <c r="G46" s="105">
        <v>14800</v>
      </c>
      <c r="H46" s="105">
        <f>SUM(F46*G46)</f>
        <v>14800</v>
      </c>
      <c r="I46" s="73" t="s">
        <v>77</v>
      </c>
    </row>
    <row r="47" spans="1:9">
      <c r="A47" s="362" t="s">
        <v>1910</v>
      </c>
      <c r="B47" s="363"/>
      <c r="C47" s="363"/>
      <c r="D47" s="364"/>
      <c r="E47" s="73"/>
      <c r="F47" s="101"/>
      <c r="G47" s="105"/>
      <c r="H47" s="105">
        <f>SUM(H5:H46)</f>
        <v>2280385.36</v>
      </c>
      <c r="I47" s="73"/>
    </row>
    <row r="48" spans="1:9">
      <c r="A48" s="362" t="s">
        <v>1911</v>
      </c>
      <c r="B48" s="363"/>
      <c r="C48" s="363"/>
      <c r="D48" s="364"/>
      <c r="E48" s="26"/>
      <c r="F48" s="26"/>
      <c r="G48" s="26"/>
      <c r="H48" s="114">
        <f>SUM(H47)</f>
        <v>2280385.36</v>
      </c>
      <c r="I48" s="26"/>
    </row>
    <row r="49" spans="1:9">
      <c r="A49" s="95">
        <v>43</v>
      </c>
      <c r="B49" s="102"/>
      <c r="C49" s="27" t="s">
        <v>1482</v>
      </c>
      <c r="D49" s="27" t="s">
        <v>1483</v>
      </c>
      <c r="E49" s="73" t="s">
        <v>62</v>
      </c>
      <c r="F49" s="101">
        <v>1</v>
      </c>
      <c r="G49" s="105">
        <v>3600</v>
      </c>
      <c r="H49" s="105">
        <f t="shared" si="0"/>
        <v>3600</v>
      </c>
      <c r="I49" s="73" t="s">
        <v>77</v>
      </c>
    </row>
    <row r="50" spans="1:9">
      <c r="A50" s="95">
        <v>44</v>
      </c>
      <c r="B50" s="94"/>
      <c r="C50" s="27" t="s">
        <v>1484</v>
      </c>
      <c r="D50" s="27" t="s">
        <v>1485</v>
      </c>
      <c r="E50" s="97" t="s">
        <v>61</v>
      </c>
      <c r="F50" s="101">
        <v>3</v>
      </c>
      <c r="G50" s="105">
        <v>3400</v>
      </c>
      <c r="H50" s="105">
        <f t="shared" si="0"/>
        <v>10200</v>
      </c>
      <c r="I50" s="73" t="s">
        <v>77</v>
      </c>
    </row>
    <row r="51" spans="1:9">
      <c r="A51" s="95">
        <v>45</v>
      </c>
      <c r="B51" s="94"/>
      <c r="C51" s="213" t="s">
        <v>1486</v>
      </c>
      <c r="D51" s="213" t="s">
        <v>1487</v>
      </c>
      <c r="E51" s="97" t="s">
        <v>61</v>
      </c>
      <c r="F51" s="223">
        <v>2</v>
      </c>
      <c r="G51" s="311">
        <v>2200</v>
      </c>
      <c r="H51" s="105">
        <f t="shared" si="0"/>
        <v>4400</v>
      </c>
      <c r="I51" s="73" t="s">
        <v>77</v>
      </c>
    </row>
    <row r="52" spans="1:9">
      <c r="A52" s="95">
        <v>46</v>
      </c>
      <c r="B52" s="94"/>
      <c r="C52" s="27" t="s">
        <v>1488</v>
      </c>
      <c r="D52" s="27" t="s">
        <v>1489</v>
      </c>
      <c r="E52" s="73" t="s">
        <v>62</v>
      </c>
      <c r="F52" s="101">
        <v>49</v>
      </c>
      <c r="G52" s="105">
        <v>14000</v>
      </c>
      <c r="H52" s="105">
        <f t="shared" si="0"/>
        <v>686000</v>
      </c>
      <c r="I52" s="73" t="s">
        <v>77</v>
      </c>
    </row>
    <row r="53" spans="1:9">
      <c r="A53" s="95">
        <v>47</v>
      </c>
      <c r="B53" s="94"/>
      <c r="C53" s="27" t="s">
        <v>1490</v>
      </c>
      <c r="D53" s="27" t="s">
        <v>1424</v>
      </c>
      <c r="E53" s="73" t="s">
        <v>62</v>
      </c>
      <c r="F53" s="101">
        <v>49</v>
      </c>
      <c r="G53" s="105">
        <v>13979.59</v>
      </c>
      <c r="H53" s="105">
        <f t="shared" si="0"/>
        <v>684999.91</v>
      </c>
      <c r="I53" s="73" t="s">
        <v>77</v>
      </c>
    </row>
    <row r="54" spans="1:9">
      <c r="A54" s="95">
        <v>48</v>
      </c>
      <c r="B54" s="220"/>
      <c r="C54" s="27" t="s">
        <v>836</v>
      </c>
      <c r="D54" s="27" t="s">
        <v>1491</v>
      </c>
      <c r="E54" s="73" t="s">
        <v>62</v>
      </c>
      <c r="F54" s="101">
        <v>1</v>
      </c>
      <c r="G54" s="105">
        <v>5684.5</v>
      </c>
      <c r="H54" s="105">
        <f t="shared" si="0"/>
        <v>5684.5</v>
      </c>
      <c r="I54" s="73" t="s">
        <v>78</v>
      </c>
    </row>
    <row r="55" spans="1:9">
      <c r="A55" s="95">
        <v>49</v>
      </c>
      <c r="B55" s="206"/>
      <c r="C55" s="27" t="s">
        <v>1492</v>
      </c>
      <c r="D55" s="27" t="s">
        <v>458</v>
      </c>
      <c r="E55" s="73" t="s">
        <v>62</v>
      </c>
      <c r="F55" s="101">
        <v>1</v>
      </c>
      <c r="G55" s="105">
        <v>1006.25</v>
      </c>
      <c r="H55" s="105">
        <f t="shared" si="0"/>
        <v>1006.25</v>
      </c>
      <c r="I55" s="73" t="s">
        <v>77</v>
      </c>
    </row>
    <row r="56" spans="1:9">
      <c r="A56" s="95">
        <v>50</v>
      </c>
      <c r="B56" s="26"/>
      <c r="C56" s="27" t="s">
        <v>1493</v>
      </c>
      <c r="D56" s="6" t="s">
        <v>1681</v>
      </c>
      <c r="E56" s="73" t="s">
        <v>61</v>
      </c>
      <c r="F56" s="101">
        <v>4</v>
      </c>
      <c r="G56" s="105">
        <v>3000</v>
      </c>
      <c r="H56" s="105">
        <f t="shared" si="0"/>
        <v>12000</v>
      </c>
      <c r="I56" s="73" t="s">
        <v>77</v>
      </c>
    </row>
    <row r="57" spans="1:9">
      <c r="A57" s="95">
        <v>51</v>
      </c>
      <c r="B57" s="26"/>
      <c r="C57" s="27" t="s">
        <v>1494</v>
      </c>
      <c r="D57" s="27" t="s">
        <v>360</v>
      </c>
      <c r="E57" s="73" t="s">
        <v>61</v>
      </c>
      <c r="F57" s="101">
        <v>4</v>
      </c>
      <c r="G57" s="105">
        <v>32000</v>
      </c>
      <c r="H57" s="105">
        <f t="shared" si="0"/>
        <v>128000</v>
      </c>
      <c r="I57" s="73" t="s">
        <v>78</v>
      </c>
    </row>
    <row r="58" spans="1:9">
      <c r="A58" s="95">
        <v>52</v>
      </c>
      <c r="B58" s="26"/>
      <c r="C58" s="125" t="s">
        <v>1495</v>
      </c>
      <c r="D58" s="125" t="s">
        <v>1496</v>
      </c>
      <c r="E58" s="73" t="s">
        <v>61</v>
      </c>
      <c r="F58" s="150">
        <v>160</v>
      </c>
      <c r="G58" s="105">
        <v>400</v>
      </c>
      <c r="H58" s="105">
        <f t="shared" si="0"/>
        <v>64000</v>
      </c>
      <c r="I58" s="73" t="s">
        <v>77</v>
      </c>
    </row>
    <row r="59" spans="1:9">
      <c r="A59" s="95">
        <v>53</v>
      </c>
      <c r="B59" s="26"/>
      <c r="C59" s="27" t="s">
        <v>1497</v>
      </c>
      <c r="D59" s="27" t="s">
        <v>1498</v>
      </c>
      <c r="E59" s="73" t="s">
        <v>61</v>
      </c>
      <c r="F59" s="101">
        <v>1</v>
      </c>
      <c r="G59" s="105">
        <v>1230000</v>
      </c>
      <c r="H59" s="105">
        <f t="shared" si="0"/>
        <v>1230000</v>
      </c>
      <c r="I59" s="73" t="s">
        <v>78</v>
      </c>
    </row>
    <row r="60" spans="1:9">
      <c r="A60" s="216"/>
      <c r="B60" s="26"/>
      <c r="C60" s="217"/>
      <c r="D60" s="27" t="s">
        <v>1499</v>
      </c>
      <c r="E60" s="73"/>
      <c r="F60" s="312"/>
      <c r="G60" s="313"/>
      <c r="H60" s="313"/>
      <c r="I60" s="73"/>
    </row>
    <row r="61" spans="1:9">
      <c r="A61" s="95"/>
      <c r="B61" s="26"/>
      <c r="C61" s="27"/>
      <c r="D61" s="314" t="s">
        <v>1500</v>
      </c>
      <c r="E61" s="73"/>
      <c r="F61" s="315">
        <v>60</v>
      </c>
      <c r="G61" s="105"/>
      <c r="H61" s="105"/>
      <c r="I61" s="73" t="s">
        <v>78</v>
      </c>
    </row>
    <row r="62" spans="1:9">
      <c r="A62" s="216"/>
      <c r="B62" s="26"/>
      <c r="C62" s="27"/>
      <c r="D62" s="314" t="s">
        <v>1501</v>
      </c>
      <c r="E62" s="73"/>
      <c r="F62" s="316">
        <v>60</v>
      </c>
      <c r="G62" s="105"/>
      <c r="H62" s="105"/>
      <c r="I62" s="73" t="s">
        <v>1927</v>
      </c>
    </row>
    <row r="63" spans="1:9">
      <c r="A63" s="95"/>
      <c r="B63" s="26"/>
      <c r="C63" s="27"/>
      <c r="D63" s="314" t="s">
        <v>1502</v>
      </c>
      <c r="E63" s="73"/>
      <c r="F63" s="150">
        <v>1</v>
      </c>
      <c r="G63" s="105"/>
      <c r="H63" s="105"/>
      <c r="I63" s="73" t="s">
        <v>1831</v>
      </c>
    </row>
    <row r="64" spans="1:9">
      <c r="A64" s="216"/>
      <c r="B64" s="104"/>
      <c r="C64" s="27"/>
      <c r="D64" s="317" t="s">
        <v>1503</v>
      </c>
      <c r="E64" s="73"/>
      <c r="F64" s="101"/>
      <c r="G64" s="105"/>
      <c r="H64" s="105"/>
      <c r="I64" s="73"/>
    </row>
    <row r="65" spans="1:9">
      <c r="A65" s="95"/>
      <c r="B65" s="37"/>
      <c r="C65" s="27"/>
      <c r="D65" s="318" t="s">
        <v>1504</v>
      </c>
      <c r="E65" s="97"/>
      <c r="F65" s="101">
        <v>1</v>
      </c>
      <c r="G65" s="105"/>
      <c r="H65" s="105"/>
      <c r="I65" s="75" t="s">
        <v>77</v>
      </c>
    </row>
    <row r="66" spans="1:9">
      <c r="A66" s="216"/>
      <c r="B66" s="100"/>
      <c r="C66" s="27"/>
      <c r="D66" s="317" t="s">
        <v>1505</v>
      </c>
      <c r="E66" s="97"/>
      <c r="F66" s="101"/>
      <c r="G66" s="105"/>
      <c r="H66" s="105"/>
      <c r="I66" s="75"/>
    </row>
    <row r="67" spans="1:9">
      <c r="A67" s="95"/>
      <c r="B67" s="37"/>
      <c r="C67" s="27"/>
      <c r="D67" s="319" t="s">
        <v>1506</v>
      </c>
      <c r="E67" s="97"/>
      <c r="F67" s="101">
        <v>2</v>
      </c>
      <c r="G67" s="105"/>
      <c r="H67" s="105"/>
      <c r="I67" s="75" t="s">
        <v>1831</v>
      </c>
    </row>
    <row r="68" spans="1:9">
      <c r="A68" s="216"/>
      <c r="B68" s="37"/>
      <c r="C68" s="27"/>
      <c r="D68" s="317" t="s">
        <v>1507</v>
      </c>
      <c r="E68" s="97"/>
      <c r="F68" s="101"/>
      <c r="G68" s="105"/>
      <c r="H68" s="105"/>
      <c r="I68" s="75"/>
    </row>
    <row r="69" spans="1:9">
      <c r="A69" s="95"/>
      <c r="B69" s="37"/>
      <c r="C69" s="27"/>
      <c r="D69" s="319" t="s">
        <v>1508</v>
      </c>
      <c r="E69" s="97"/>
      <c r="F69" s="101">
        <v>1</v>
      </c>
      <c r="G69" s="105"/>
      <c r="H69" s="105"/>
      <c r="I69" s="75"/>
    </row>
    <row r="70" spans="1:9">
      <c r="A70" s="216"/>
      <c r="B70" s="37"/>
      <c r="C70" s="27"/>
      <c r="D70" s="309" t="s">
        <v>1509</v>
      </c>
      <c r="E70" s="97"/>
      <c r="F70" s="101"/>
      <c r="G70" s="105"/>
      <c r="H70" s="105"/>
      <c r="I70" s="75" t="s">
        <v>78</v>
      </c>
    </row>
    <row r="71" spans="1:9">
      <c r="A71" s="95"/>
      <c r="B71" s="95"/>
      <c r="C71" s="27"/>
      <c r="D71" s="309" t="s">
        <v>1510</v>
      </c>
      <c r="E71" s="97"/>
      <c r="F71" s="101"/>
      <c r="G71" s="135"/>
      <c r="H71" s="135"/>
      <c r="I71" s="75" t="s">
        <v>1896</v>
      </c>
    </row>
    <row r="72" spans="1:9">
      <c r="A72" s="216"/>
      <c r="B72" s="37"/>
      <c r="C72" s="27"/>
      <c r="D72" s="310" t="s">
        <v>1886</v>
      </c>
      <c r="E72" s="97"/>
      <c r="F72" s="101"/>
      <c r="G72" s="105"/>
      <c r="H72" s="105"/>
      <c r="I72" s="75" t="s">
        <v>78</v>
      </c>
    </row>
    <row r="73" spans="1:9">
      <c r="A73" s="95"/>
      <c r="B73" s="37"/>
      <c r="C73" s="27"/>
      <c r="D73" s="318" t="s">
        <v>1511</v>
      </c>
      <c r="E73" s="97"/>
      <c r="F73" s="101">
        <v>1</v>
      </c>
      <c r="G73" s="105"/>
      <c r="H73" s="105"/>
      <c r="I73" s="75" t="s">
        <v>78</v>
      </c>
    </row>
    <row r="74" spans="1:9">
      <c r="A74" s="216"/>
      <c r="B74" s="37"/>
      <c r="C74" s="27"/>
      <c r="D74" s="317" t="s">
        <v>1512</v>
      </c>
      <c r="E74" s="97"/>
      <c r="F74" s="101"/>
      <c r="G74" s="105"/>
      <c r="H74" s="105"/>
      <c r="I74" s="76"/>
    </row>
    <row r="75" spans="1:9">
      <c r="A75" s="95"/>
      <c r="B75" s="102"/>
      <c r="C75" s="27"/>
      <c r="D75" s="318" t="s">
        <v>1513</v>
      </c>
      <c r="E75" s="97"/>
      <c r="F75" s="101">
        <v>2</v>
      </c>
      <c r="G75" s="105"/>
      <c r="H75" s="105"/>
      <c r="I75" s="76" t="s">
        <v>78</v>
      </c>
    </row>
    <row r="76" spans="1:9">
      <c r="A76" s="216"/>
      <c r="B76" s="102"/>
      <c r="C76" s="27"/>
      <c r="D76" s="318" t="s">
        <v>1514</v>
      </c>
      <c r="E76" s="97"/>
      <c r="F76" s="101">
        <v>1</v>
      </c>
      <c r="G76" s="105"/>
      <c r="H76" s="105"/>
      <c r="I76" s="73" t="s">
        <v>78</v>
      </c>
    </row>
    <row r="77" spans="1:9">
      <c r="A77" s="95"/>
      <c r="B77" s="102"/>
      <c r="C77" s="27"/>
      <c r="D77" s="317" t="s">
        <v>1515</v>
      </c>
      <c r="E77" s="97"/>
      <c r="F77" s="101"/>
      <c r="G77" s="105"/>
      <c r="H77" s="105"/>
      <c r="I77" s="73"/>
    </row>
    <row r="78" spans="1:9">
      <c r="A78" s="216"/>
      <c r="B78" s="102"/>
      <c r="C78" s="27"/>
      <c r="D78" s="318" t="s">
        <v>1516</v>
      </c>
      <c r="E78" s="97"/>
      <c r="F78" s="101">
        <v>1</v>
      </c>
      <c r="G78" s="105"/>
      <c r="H78" s="105"/>
      <c r="I78" s="73" t="s">
        <v>78</v>
      </c>
    </row>
    <row r="79" spans="1:9">
      <c r="A79" s="358" t="s">
        <v>465</v>
      </c>
      <c r="B79" s="359"/>
      <c r="C79" s="359"/>
      <c r="D79" s="359"/>
      <c r="E79" s="359"/>
      <c r="F79" s="359"/>
      <c r="G79" s="359"/>
      <c r="H79" s="320">
        <f>SUM(H48:H59)</f>
        <v>5110276.0199999996</v>
      </c>
      <c r="I79" s="321"/>
    </row>
    <row r="80" spans="1:9" ht="42" customHeight="1">
      <c r="A80" s="53"/>
      <c r="B80" s="53"/>
      <c r="C80" s="53"/>
      <c r="D80" s="230"/>
      <c r="E80" s="231"/>
      <c r="F80" s="322"/>
      <c r="G80" s="231"/>
      <c r="H80" s="231"/>
      <c r="I80" s="79"/>
    </row>
    <row r="81" spans="1:9">
      <c r="A81" s="53"/>
      <c r="B81" s="53"/>
      <c r="C81" s="53"/>
      <c r="D81" s="230"/>
      <c r="E81" s="231"/>
      <c r="F81" s="353" t="s">
        <v>225</v>
      </c>
      <c r="G81" s="353"/>
      <c r="H81" s="353"/>
      <c r="I81" s="353"/>
    </row>
    <row r="82" spans="1:9">
      <c r="A82" s="53"/>
      <c r="B82" s="53"/>
      <c r="C82" s="53"/>
      <c r="D82" s="230"/>
      <c r="E82" s="231"/>
      <c r="F82" s="353" t="s">
        <v>1517</v>
      </c>
      <c r="G82" s="353"/>
      <c r="H82" s="353"/>
      <c r="I82" s="353"/>
    </row>
    <row r="83" spans="1:9">
      <c r="A83" s="53"/>
      <c r="B83" s="53"/>
      <c r="C83" s="53"/>
      <c r="D83" s="230"/>
      <c r="E83" s="231"/>
      <c r="F83" s="353" t="s">
        <v>226</v>
      </c>
      <c r="G83" s="353"/>
      <c r="H83" s="353"/>
      <c r="I83" s="353"/>
    </row>
  </sheetData>
  <mergeCells count="9">
    <mergeCell ref="A79:G79"/>
    <mergeCell ref="F83:I83"/>
    <mergeCell ref="F82:I82"/>
    <mergeCell ref="F81:I81"/>
    <mergeCell ref="A1:I1"/>
    <mergeCell ref="A2:I2"/>
    <mergeCell ref="A3:I3"/>
    <mergeCell ref="A47:D47"/>
    <mergeCell ref="A48:D48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rowBreaks count="1" manualBreakCount="1">
    <brk id="51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37"/>
  <sheetViews>
    <sheetView zoomScaleNormal="100" workbookViewId="0">
      <selection activeCell="J5" sqref="J5"/>
    </sheetView>
  </sheetViews>
  <sheetFormatPr defaultColWidth="9" defaultRowHeight="24"/>
  <cols>
    <col min="1" max="1" width="5.42578125" style="14" customWidth="1"/>
    <col min="2" max="2" width="14.28515625" style="14" customWidth="1"/>
    <col min="3" max="3" width="31" style="14" customWidth="1"/>
    <col min="4" max="4" width="38.28515625" style="14" customWidth="1"/>
    <col min="5" max="5" width="8.42578125" style="14" customWidth="1"/>
    <col min="6" max="6" width="7.28515625" style="14" customWidth="1"/>
    <col min="7" max="7" width="12.7109375" style="14" customWidth="1"/>
    <col min="8" max="8" width="14.28515625" style="14" customWidth="1"/>
    <col min="9" max="9" width="12.140625" style="72" customWidth="1"/>
    <col min="10" max="10" width="18.28515625" style="14" customWidth="1"/>
    <col min="11" max="11" width="12.7109375" style="14" customWidth="1"/>
    <col min="12" max="12" width="9" style="14"/>
    <col min="13" max="13" width="12.42578125" style="14" bestFit="1" customWidth="1"/>
    <col min="14" max="16384" width="9" style="14"/>
  </cols>
  <sheetData>
    <row r="1" spans="1:13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324"/>
    </row>
    <row r="2" spans="1:13">
      <c r="A2" s="355" t="s">
        <v>1855</v>
      </c>
      <c r="B2" s="355"/>
      <c r="C2" s="355"/>
      <c r="D2" s="355"/>
      <c r="E2" s="355"/>
      <c r="F2" s="355"/>
      <c r="G2" s="355"/>
      <c r="H2" s="355"/>
      <c r="I2" s="355"/>
      <c r="J2" s="326"/>
    </row>
    <row r="3" spans="1:13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323"/>
    </row>
    <row r="4" spans="1:13" ht="4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  <c r="J4" s="325"/>
    </row>
    <row r="5" spans="1:13">
      <c r="A5" s="95">
        <v>1</v>
      </c>
      <c r="B5" s="37"/>
      <c r="C5" s="306" t="s">
        <v>1518</v>
      </c>
      <c r="D5" s="120" t="s">
        <v>1519</v>
      </c>
      <c r="E5" s="28" t="s">
        <v>61</v>
      </c>
      <c r="F5" s="101">
        <v>40</v>
      </c>
      <c r="G5" s="98">
        <v>8500</v>
      </c>
      <c r="H5" s="98">
        <f>SUM(F5*G5)</f>
        <v>340000</v>
      </c>
      <c r="I5" s="75" t="s">
        <v>77</v>
      </c>
      <c r="J5" s="243"/>
      <c r="K5" s="215"/>
    </row>
    <row r="6" spans="1:13">
      <c r="A6" s="216">
        <v>2</v>
      </c>
      <c r="B6" s="100"/>
      <c r="C6" s="306" t="s">
        <v>1520</v>
      </c>
      <c r="D6" s="120" t="s">
        <v>1521</v>
      </c>
      <c r="E6" s="28" t="s">
        <v>61</v>
      </c>
      <c r="F6" s="101">
        <v>40</v>
      </c>
      <c r="G6" s="105">
        <v>8500</v>
      </c>
      <c r="H6" s="98">
        <f t="shared" ref="H6:H32" si="0">SUM(F6*G6)</f>
        <v>340000</v>
      </c>
      <c r="I6" s="75" t="s">
        <v>78</v>
      </c>
      <c r="J6" s="243"/>
      <c r="K6" s="215"/>
    </row>
    <row r="7" spans="1:13">
      <c r="A7" s="95">
        <v>3</v>
      </c>
      <c r="B7" s="37"/>
      <c r="C7" s="306" t="s">
        <v>1522</v>
      </c>
      <c r="D7" s="120" t="s">
        <v>113</v>
      </c>
      <c r="E7" s="28" t="s">
        <v>61</v>
      </c>
      <c r="F7" s="101">
        <v>1</v>
      </c>
      <c r="G7" s="98">
        <v>24000</v>
      </c>
      <c r="H7" s="98">
        <f t="shared" si="0"/>
        <v>24000</v>
      </c>
      <c r="I7" s="75" t="s">
        <v>77</v>
      </c>
      <c r="J7" s="243"/>
      <c r="K7" s="215"/>
    </row>
    <row r="8" spans="1:13">
      <c r="A8" s="216">
        <v>4</v>
      </c>
      <c r="B8" s="37"/>
      <c r="C8" s="306" t="s">
        <v>1523</v>
      </c>
      <c r="D8" s="120" t="s">
        <v>34</v>
      </c>
      <c r="E8" s="28" t="s">
        <v>62</v>
      </c>
      <c r="F8" s="101">
        <v>80</v>
      </c>
      <c r="G8" s="98">
        <v>800</v>
      </c>
      <c r="H8" s="98">
        <f t="shared" si="0"/>
        <v>64000</v>
      </c>
      <c r="I8" s="126" t="s">
        <v>1928</v>
      </c>
      <c r="J8" s="243"/>
      <c r="K8" s="215"/>
    </row>
    <row r="9" spans="1:13">
      <c r="A9" s="95">
        <v>5</v>
      </c>
      <c r="B9" s="37"/>
      <c r="C9" s="306" t="s">
        <v>1524</v>
      </c>
      <c r="D9" s="120" t="s">
        <v>1525</v>
      </c>
      <c r="E9" s="28" t="s">
        <v>62</v>
      </c>
      <c r="F9" s="101">
        <v>80</v>
      </c>
      <c r="G9" s="98">
        <v>536</v>
      </c>
      <c r="H9" s="98">
        <f t="shared" si="0"/>
        <v>42880</v>
      </c>
      <c r="I9" s="126" t="s">
        <v>1929</v>
      </c>
      <c r="J9" s="243"/>
      <c r="K9" s="215"/>
      <c r="M9" s="215"/>
    </row>
    <row r="10" spans="1:13">
      <c r="A10" s="216">
        <v>6</v>
      </c>
      <c r="B10" s="37"/>
      <c r="C10" s="306" t="s">
        <v>1526</v>
      </c>
      <c r="D10" s="120" t="s">
        <v>1527</v>
      </c>
      <c r="E10" s="28" t="s">
        <v>61</v>
      </c>
      <c r="F10" s="101">
        <v>2</v>
      </c>
      <c r="G10" s="98">
        <v>3000</v>
      </c>
      <c r="H10" s="98">
        <f t="shared" si="0"/>
        <v>6000</v>
      </c>
      <c r="I10" s="75" t="s">
        <v>78</v>
      </c>
      <c r="J10" s="243"/>
      <c r="K10" s="215"/>
    </row>
    <row r="11" spans="1:13">
      <c r="A11" s="95">
        <v>7</v>
      </c>
      <c r="B11" s="95"/>
      <c r="C11" s="306" t="s">
        <v>1528</v>
      </c>
      <c r="D11" s="120" t="s">
        <v>1529</v>
      </c>
      <c r="E11" s="28" t="s">
        <v>61</v>
      </c>
      <c r="F11" s="101">
        <v>1</v>
      </c>
      <c r="G11" s="98">
        <v>4310</v>
      </c>
      <c r="H11" s="98">
        <f t="shared" si="0"/>
        <v>4310</v>
      </c>
      <c r="I11" s="75" t="s">
        <v>78</v>
      </c>
      <c r="J11" s="243"/>
      <c r="K11" s="215"/>
    </row>
    <row r="12" spans="1:13">
      <c r="A12" s="216">
        <v>8</v>
      </c>
      <c r="B12" s="37"/>
      <c r="C12" s="306" t="s">
        <v>141</v>
      </c>
      <c r="D12" s="120" t="s">
        <v>1530</v>
      </c>
      <c r="E12" s="28" t="s">
        <v>61</v>
      </c>
      <c r="F12" s="101">
        <v>1</v>
      </c>
      <c r="G12" s="98">
        <v>3950</v>
      </c>
      <c r="H12" s="98">
        <f t="shared" si="0"/>
        <v>3950</v>
      </c>
      <c r="I12" s="75" t="s">
        <v>78</v>
      </c>
      <c r="J12" s="243"/>
      <c r="K12" s="215"/>
    </row>
    <row r="13" spans="1:13">
      <c r="A13" s="95">
        <v>9</v>
      </c>
      <c r="B13" s="37"/>
      <c r="C13" s="306" t="s">
        <v>1531</v>
      </c>
      <c r="D13" s="120" t="s">
        <v>1532</v>
      </c>
      <c r="E13" s="28" t="s">
        <v>61</v>
      </c>
      <c r="F13" s="101">
        <v>1</v>
      </c>
      <c r="G13" s="98">
        <v>3500</v>
      </c>
      <c r="H13" s="98">
        <f t="shared" si="0"/>
        <v>3500</v>
      </c>
      <c r="I13" s="75" t="s">
        <v>78</v>
      </c>
      <c r="J13" s="243"/>
      <c r="K13" s="215"/>
    </row>
    <row r="14" spans="1:13">
      <c r="A14" s="216">
        <v>10</v>
      </c>
      <c r="B14" s="37"/>
      <c r="C14" s="306" t="s">
        <v>1533</v>
      </c>
      <c r="D14" s="120" t="s">
        <v>429</v>
      </c>
      <c r="E14" s="28" t="s">
        <v>61</v>
      </c>
      <c r="F14" s="101">
        <v>4</v>
      </c>
      <c r="G14" s="98">
        <v>3750</v>
      </c>
      <c r="H14" s="98">
        <f t="shared" si="0"/>
        <v>15000</v>
      </c>
      <c r="I14" s="76" t="s">
        <v>78</v>
      </c>
      <c r="J14" s="256"/>
      <c r="K14" s="215"/>
    </row>
    <row r="15" spans="1:13">
      <c r="A15" s="95">
        <v>11</v>
      </c>
      <c r="B15" s="102"/>
      <c r="C15" s="306" t="s">
        <v>1534</v>
      </c>
      <c r="D15" s="120" t="s">
        <v>187</v>
      </c>
      <c r="E15" s="28" t="s">
        <v>61</v>
      </c>
      <c r="F15" s="101">
        <v>4</v>
      </c>
      <c r="G15" s="98">
        <v>1150</v>
      </c>
      <c r="H15" s="98">
        <f t="shared" si="0"/>
        <v>4600</v>
      </c>
      <c r="I15" s="76" t="s">
        <v>78</v>
      </c>
      <c r="J15" s="256"/>
      <c r="K15" s="215"/>
    </row>
    <row r="16" spans="1:13">
      <c r="A16" s="216">
        <v>12</v>
      </c>
      <c r="B16" s="102"/>
      <c r="C16" s="306" t="s">
        <v>1535</v>
      </c>
      <c r="D16" s="120" t="s">
        <v>1536</v>
      </c>
      <c r="E16" s="28" t="s">
        <v>61</v>
      </c>
      <c r="F16" s="101">
        <v>5</v>
      </c>
      <c r="G16" s="98">
        <v>3000</v>
      </c>
      <c r="H16" s="98">
        <f t="shared" si="0"/>
        <v>15000</v>
      </c>
      <c r="I16" s="73" t="s">
        <v>78</v>
      </c>
      <c r="J16" s="53"/>
      <c r="K16" s="215"/>
    </row>
    <row r="17" spans="1:11">
      <c r="A17" s="95">
        <v>13</v>
      </c>
      <c r="B17" s="102"/>
      <c r="C17" s="27" t="s">
        <v>1537</v>
      </c>
      <c r="D17" s="13" t="s">
        <v>360</v>
      </c>
      <c r="E17" s="28" t="s">
        <v>61</v>
      </c>
      <c r="F17" s="31">
        <v>1</v>
      </c>
      <c r="G17" s="98">
        <v>32000</v>
      </c>
      <c r="H17" s="98">
        <f t="shared" si="0"/>
        <v>32000</v>
      </c>
      <c r="I17" s="73" t="s">
        <v>78</v>
      </c>
      <c r="J17" s="53"/>
      <c r="K17" s="215"/>
    </row>
    <row r="18" spans="1:11">
      <c r="A18" s="216">
        <v>14</v>
      </c>
      <c r="B18" s="102"/>
      <c r="C18" s="44" t="s">
        <v>1538</v>
      </c>
      <c r="D18" s="44" t="s">
        <v>73</v>
      </c>
      <c r="E18" s="28" t="s">
        <v>61</v>
      </c>
      <c r="F18" s="143">
        <v>1</v>
      </c>
      <c r="G18" s="98">
        <v>2590</v>
      </c>
      <c r="H18" s="98">
        <f t="shared" si="0"/>
        <v>2590</v>
      </c>
      <c r="I18" s="73" t="s">
        <v>78</v>
      </c>
      <c r="J18" s="53"/>
      <c r="K18" s="215"/>
    </row>
    <row r="19" spans="1:11">
      <c r="A19" s="95">
        <v>15</v>
      </c>
      <c r="B19" s="94"/>
      <c r="C19" s="27" t="s">
        <v>1539</v>
      </c>
      <c r="D19" s="13" t="s">
        <v>74</v>
      </c>
      <c r="E19" s="28" t="s">
        <v>61</v>
      </c>
      <c r="F19" s="31">
        <v>1</v>
      </c>
      <c r="G19" s="98">
        <v>17000</v>
      </c>
      <c r="H19" s="98">
        <f t="shared" si="0"/>
        <v>17000</v>
      </c>
      <c r="I19" s="73" t="s">
        <v>77</v>
      </c>
      <c r="J19" s="254"/>
      <c r="K19" s="215"/>
    </row>
    <row r="20" spans="1:11">
      <c r="A20" s="216">
        <v>16</v>
      </c>
      <c r="B20" s="94"/>
      <c r="C20" s="306" t="s">
        <v>1540</v>
      </c>
      <c r="D20" s="120" t="s">
        <v>1519</v>
      </c>
      <c r="E20" s="28" t="s">
        <v>61</v>
      </c>
      <c r="F20" s="101">
        <v>10</v>
      </c>
      <c r="G20" s="98">
        <v>12000</v>
      </c>
      <c r="H20" s="98">
        <f t="shared" si="0"/>
        <v>120000</v>
      </c>
      <c r="I20" s="73" t="s">
        <v>77</v>
      </c>
      <c r="J20" s="254"/>
      <c r="K20" s="215"/>
    </row>
    <row r="21" spans="1:11">
      <c r="A21" s="95">
        <v>17</v>
      </c>
      <c r="B21" s="94"/>
      <c r="C21" s="306" t="s">
        <v>1541</v>
      </c>
      <c r="D21" s="120" t="s">
        <v>1542</v>
      </c>
      <c r="E21" s="28" t="s">
        <v>61</v>
      </c>
      <c r="F21" s="101">
        <v>2</v>
      </c>
      <c r="G21" s="98">
        <v>2500</v>
      </c>
      <c r="H21" s="98">
        <f t="shared" si="0"/>
        <v>5000</v>
      </c>
      <c r="I21" s="73" t="s">
        <v>77</v>
      </c>
      <c r="J21" s="254"/>
      <c r="K21" s="215"/>
    </row>
    <row r="22" spans="1:11">
      <c r="A22" s="216">
        <v>18</v>
      </c>
      <c r="B22" s="94"/>
      <c r="C22" s="306" t="s">
        <v>1543</v>
      </c>
      <c r="D22" s="120" t="s">
        <v>1544</v>
      </c>
      <c r="E22" s="28" t="s">
        <v>61</v>
      </c>
      <c r="F22" s="101">
        <v>1</v>
      </c>
      <c r="G22" s="98">
        <v>20000</v>
      </c>
      <c r="H22" s="98">
        <f t="shared" si="0"/>
        <v>20000</v>
      </c>
      <c r="I22" s="73" t="s">
        <v>1896</v>
      </c>
      <c r="J22" s="254"/>
      <c r="K22" s="215"/>
    </row>
    <row r="23" spans="1:11">
      <c r="A23" s="95">
        <v>19</v>
      </c>
      <c r="B23" s="220"/>
      <c r="C23" s="306" t="s">
        <v>1545</v>
      </c>
      <c r="D23" s="120" t="s">
        <v>1546</v>
      </c>
      <c r="E23" s="28" t="s">
        <v>61</v>
      </c>
      <c r="F23" s="101">
        <v>1</v>
      </c>
      <c r="G23" s="98">
        <v>2000</v>
      </c>
      <c r="H23" s="98">
        <f t="shared" si="0"/>
        <v>2000</v>
      </c>
      <c r="I23" s="73" t="s">
        <v>77</v>
      </c>
      <c r="J23" s="254"/>
      <c r="K23" s="215"/>
    </row>
    <row r="24" spans="1:11">
      <c r="A24" s="216">
        <v>20</v>
      </c>
      <c r="B24" s="206"/>
      <c r="C24" s="306" t="s">
        <v>1545</v>
      </c>
      <c r="D24" s="120" t="s">
        <v>1547</v>
      </c>
      <c r="E24" s="206" t="s">
        <v>61</v>
      </c>
      <c r="F24" s="101">
        <v>1</v>
      </c>
      <c r="G24" s="98">
        <v>500</v>
      </c>
      <c r="H24" s="98">
        <f t="shared" si="0"/>
        <v>500</v>
      </c>
      <c r="I24" s="73" t="s">
        <v>77</v>
      </c>
      <c r="J24" s="254"/>
      <c r="K24" s="215"/>
    </row>
    <row r="25" spans="1:11">
      <c r="A25" s="95">
        <v>21</v>
      </c>
      <c r="B25" s="26"/>
      <c r="C25" s="306" t="s">
        <v>1548</v>
      </c>
      <c r="D25" s="120" t="s">
        <v>1549</v>
      </c>
      <c r="E25" s="206" t="s">
        <v>61</v>
      </c>
      <c r="F25" s="101">
        <v>1</v>
      </c>
      <c r="G25" s="98">
        <v>11214.95</v>
      </c>
      <c r="H25" s="98">
        <f t="shared" si="0"/>
        <v>11214.95</v>
      </c>
      <c r="I25" s="73" t="s">
        <v>77</v>
      </c>
      <c r="J25" s="254"/>
      <c r="K25" s="215"/>
    </row>
    <row r="26" spans="1:11">
      <c r="A26" s="216">
        <v>22</v>
      </c>
      <c r="B26" s="26"/>
      <c r="C26" s="306" t="s">
        <v>1550</v>
      </c>
      <c r="D26" s="120" t="s">
        <v>1551</v>
      </c>
      <c r="E26" s="206" t="s">
        <v>61</v>
      </c>
      <c r="F26" s="101">
        <v>1</v>
      </c>
      <c r="G26" s="98">
        <v>7009.35</v>
      </c>
      <c r="H26" s="98">
        <f t="shared" si="0"/>
        <v>7009.35</v>
      </c>
      <c r="I26" s="73" t="s">
        <v>77</v>
      </c>
      <c r="J26" s="254"/>
      <c r="K26" s="215"/>
    </row>
    <row r="27" spans="1:11">
      <c r="A27" s="95">
        <v>23</v>
      </c>
      <c r="B27" s="26"/>
      <c r="C27" s="306" t="s">
        <v>1552</v>
      </c>
      <c r="D27" s="120" t="s">
        <v>1553</v>
      </c>
      <c r="E27" s="206" t="s">
        <v>61</v>
      </c>
      <c r="F27" s="101">
        <v>1</v>
      </c>
      <c r="G27" s="98">
        <v>34900</v>
      </c>
      <c r="H27" s="98">
        <f t="shared" si="0"/>
        <v>34900</v>
      </c>
      <c r="I27" s="73" t="s">
        <v>77</v>
      </c>
      <c r="J27" s="254"/>
      <c r="K27" s="215"/>
    </row>
    <row r="28" spans="1:11">
      <c r="A28" s="216">
        <v>24</v>
      </c>
      <c r="B28" s="26"/>
      <c r="C28" s="306" t="s">
        <v>1554</v>
      </c>
      <c r="D28" s="120" t="s">
        <v>1555</v>
      </c>
      <c r="E28" s="206" t="s">
        <v>61</v>
      </c>
      <c r="F28" s="101">
        <v>1</v>
      </c>
      <c r="G28" s="98">
        <v>6500</v>
      </c>
      <c r="H28" s="98">
        <f t="shared" si="0"/>
        <v>6500</v>
      </c>
      <c r="I28" s="73" t="s">
        <v>78</v>
      </c>
      <c r="J28" s="53"/>
      <c r="K28" s="215"/>
    </row>
    <row r="29" spans="1:11">
      <c r="A29" s="95">
        <v>25</v>
      </c>
      <c r="B29" s="26"/>
      <c r="C29" s="306" t="s">
        <v>1556</v>
      </c>
      <c r="D29" s="120" t="s">
        <v>1557</v>
      </c>
      <c r="E29" s="206" t="s">
        <v>61</v>
      </c>
      <c r="F29" s="101">
        <v>4</v>
      </c>
      <c r="G29" s="98">
        <v>1675</v>
      </c>
      <c r="H29" s="98">
        <f t="shared" si="0"/>
        <v>6700</v>
      </c>
      <c r="I29" s="73" t="s">
        <v>78</v>
      </c>
      <c r="J29" s="53"/>
      <c r="K29" s="215"/>
    </row>
    <row r="30" spans="1:11">
      <c r="A30" s="216">
        <v>26</v>
      </c>
      <c r="B30" s="26"/>
      <c r="C30" s="306" t="s">
        <v>1558</v>
      </c>
      <c r="D30" s="120" t="s">
        <v>1559</v>
      </c>
      <c r="E30" s="206" t="s">
        <v>61</v>
      </c>
      <c r="F30" s="101">
        <v>1</v>
      </c>
      <c r="G30" s="98">
        <v>1850</v>
      </c>
      <c r="H30" s="98">
        <f t="shared" si="0"/>
        <v>1850</v>
      </c>
      <c r="I30" s="73" t="s">
        <v>78</v>
      </c>
      <c r="J30" s="53"/>
      <c r="K30" s="215"/>
    </row>
    <row r="31" spans="1:11">
      <c r="A31" s="95">
        <v>27</v>
      </c>
      <c r="B31" s="26"/>
      <c r="C31" s="27" t="s">
        <v>1560</v>
      </c>
      <c r="D31" s="13" t="s">
        <v>1561</v>
      </c>
      <c r="E31" s="206" t="s">
        <v>61</v>
      </c>
      <c r="F31" s="31">
        <v>1</v>
      </c>
      <c r="G31" s="35">
        <v>129000</v>
      </c>
      <c r="H31" s="98">
        <f t="shared" si="0"/>
        <v>129000</v>
      </c>
      <c r="I31" s="73" t="s">
        <v>78</v>
      </c>
      <c r="J31" s="53"/>
      <c r="K31" s="215"/>
    </row>
    <row r="32" spans="1:11" s="116" customFormat="1" ht="46.5" customHeight="1">
      <c r="A32" s="279">
        <v>28</v>
      </c>
      <c r="B32" s="160"/>
      <c r="C32" s="124" t="s">
        <v>1562</v>
      </c>
      <c r="D32" s="123" t="s">
        <v>1856</v>
      </c>
      <c r="E32" s="115" t="s">
        <v>61</v>
      </c>
      <c r="F32" s="147">
        <v>20</v>
      </c>
      <c r="G32" s="140">
        <v>26450</v>
      </c>
      <c r="H32" s="333">
        <f t="shared" si="0"/>
        <v>529000</v>
      </c>
      <c r="I32" s="77" t="s">
        <v>1930</v>
      </c>
      <c r="J32" s="331"/>
      <c r="K32" s="332"/>
    </row>
    <row r="33" spans="1:13">
      <c r="A33" s="358" t="s">
        <v>465</v>
      </c>
      <c r="B33" s="359"/>
      <c r="C33" s="359"/>
      <c r="D33" s="359"/>
      <c r="E33" s="360"/>
      <c r="F33" s="170"/>
      <c r="G33" s="244" t="s">
        <v>1857</v>
      </c>
      <c r="H33" s="245">
        <f>SUM(H5:H32)</f>
        <v>1788504.3</v>
      </c>
      <c r="I33" s="78"/>
      <c r="J33" s="211"/>
      <c r="K33" s="215"/>
      <c r="M33" s="215"/>
    </row>
    <row r="34" spans="1:13" ht="36" customHeight="1">
      <c r="A34" s="53"/>
      <c r="B34" s="53"/>
      <c r="C34" s="53"/>
      <c r="D34" s="53"/>
      <c r="E34" s="53"/>
      <c r="F34" s="246"/>
      <c r="G34" s="53"/>
      <c r="H34" s="53"/>
      <c r="I34" s="79"/>
      <c r="J34" s="53"/>
    </row>
    <row r="35" spans="1:13">
      <c r="A35" s="53"/>
      <c r="B35" s="53"/>
      <c r="C35" s="53"/>
      <c r="D35" s="53"/>
      <c r="E35" s="53"/>
      <c r="F35" s="353" t="s">
        <v>225</v>
      </c>
      <c r="G35" s="353"/>
      <c r="H35" s="353"/>
      <c r="I35" s="353"/>
      <c r="J35" s="323"/>
    </row>
    <row r="36" spans="1:13">
      <c r="A36" s="53"/>
      <c r="B36" s="53"/>
      <c r="C36" s="53"/>
      <c r="D36" s="53"/>
      <c r="E36" s="53"/>
      <c r="F36" s="353" t="s">
        <v>1563</v>
      </c>
      <c r="G36" s="353"/>
      <c r="H36" s="353"/>
      <c r="I36" s="353"/>
      <c r="J36" s="323"/>
      <c r="M36" s="215"/>
    </row>
    <row r="37" spans="1:13">
      <c r="A37" s="53"/>
      <c r="B37" s="53"/>
      <c r="C37" s="53"/>
      <c r="D37" s="53"/>
      <c r="E37" s="53"/>
      <c r="F37" s="353" t="s">
        <v>226</v>
      </c>
      <c r="G37" s="353"/>
      <c r="H37" s="353"/>
      <c r="I37" s="353"/>
      <c r="J37" s="323"/>
    </row>
  </sheetData>
  <mergeCells count="7">
    <mergeCell ref="A1:I1"/>
    <mergeCell ref="A2:I2"/>
    <mergeCell ref="A3:I3"/>
    <mergeCell ref="F37:I37"/>
    <mergeCell ref="F36:I36"/>
    <mergeCell ref="A33:E33"/>
    <mergeCell ref="F35:I35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4"/>
  <sheetViews>
    <sheetView workbookViewId="0">
      <selection activeCell="M8" sqref="M8"/>
    </sheetView>
  </sheetViews>
  <sheetFormatPr defaultRowHeight="21"/>
  <cols>
    <col min="1" max="1" width="5.5703125" style="33" customWidth="1"/>
    <col min="2" max="2" width="12.5703125" style="33" customWidth="1"/>
    <col min="3" max="3" width="28.5703125" style="33" customWidth="1"/>
    <col min="4" max="4" width="28.140625" style="33" customWidth="1"/>
    <col min="5" max="5" width="7.5703125" style="33" customWidth="1"/>
    <col min="6" max="6" width="7.85546875" style="33" customWidth="1"/>
    <col min="7" max="7" width="13.5703125" style="33" customWidth="1"/>
    <col min="8" max="8" width="15.5703125" style="33" customWidth="1"/>
    <col min="9" max="9" width="14.42578125" style="33" customWidth="1"/>
    <col min="10" max="10" width="16.7109375" style="33" customWidth="1"/>
    <col min="11" max="16384" width="9.140625" style="33"/>
  </cols>
  <sheetData>
    <row r="1" spans="1:12" ht="24">
      <c r="A1" s="354" t="s">
        <v>3</v>
      </c>
      <c r="B1" s="354"/>
      <c r="C1" s="354"/>
      <c r="D1" s="354"/>
      <c r="E1" s="354"/>
      <c r="F1" s="354"/>
      <c r="G1" s="354"/>
      <c r="H1" s="354"/>
      <c r="I1" s="354"/>
      <c r="J1" s="14"/>
      <c r="K1" s="14"/>
      <c r="L1" s="14"/>
    </row>
    <row r="2" spans="1:12" ht="24">
      <c r="A2" s="354" t="s">
        <v>1822</v>
      </c>
      <c r="B2" s="354"/>
      <c r="C2" s="354"/>
      <c r="D2" s="354"/>
      <c r="E2" s="354"/>
      <c r="F2" s="354"/>
      <c r="G2" s="354"/>
      <c r="H2" s="354"/>
      <c r="I2" s="354"/>
      <c r="J2" s="14"/>
      <c r="K2" s="14"/>
      <c r="L2" s="14"/>
    </row>
    <row r="3" spans="1:12" ht="24">
      <c r="A3" s="372" t="s">
        <v>1781</v>
      </c>
      <c r="B3" s="372"/>
      <c r="C3" s="372"/>
      <c r="D3" s="372"/>
      <c r="E3" s="372"/>
      <c r="F3" s="372"/>
      <c r="G3" s="372"/>
      <c r="H3" s="372"/>
      <c r="I3" s="372"/>
      <c r="J3" s="14"/>
      <c r="K3" s="14"/>
      <c r="L3" s="14"/>
    </row>
    <row r="4" spans="1:12" ht="48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  <c r="J4" s="52"/>
      <c r="K4" s="25"/>
      <c r="L4" s="25"/>
    </row>
    <row r="5" spans="1:12" ht="24">
      <c r="A5" s="206">
        <v>1</v>
      </c>
      <c r="B5" s="58" t="s">
        <v>1931</v>
      </c>
      <c r="C5" s="27" t="s">
        <v>1777</v>
      </c>
      <c r="D5" s="13" t="s">
        <v>1778</v>
      </c>
      <c r="E5" s="28" t="s">
        <v>62</v>
      </c>
      <c r="F5" s="29">
        <v>1</v>
      </c>
      <c r="G5" s="30">
        <v>27900</v>
      </c>
      <c r="H5" s="30">
        <f>SUM(F5*G5)</f>
        <v>27900</v>
      </c>
      <c r="I5" s="206" t="s">
        <v>78</v>
      </c>
      <c r="J5" s="53"/>
      <c r="K5" s="32"/>
    </row>
    <row r="6" spans="1:12" ht="24">
      <c r="A6" s="206">
        <v>2</v>
      </c>
      <c r="B6" s="58" t="s">
        <v>1891</v>
      </c>
      <c r="C6" s="27" t="s">
        <v>1817</v>
      </c>
      <c r="D6" s="13" t="s">
        <v>1818</v>
      </c>
      <c r="E6" s="28" t="s">
        <v>62</v>
      </c>
      <c r="F6" s="29">
        <v>1</v>
      </c>
      <c r="G6" s="30">
        <v>17712</v>
      </c>
      <c r="H6" s="30">
        <f>SUM(F6*G6)</f>
        <v>17712</v>
      </c>
      <c r="I6" s="206" t="s">
        <v>78</v>
      </c>
      <c r="J6" s="53"/>
      <c r="K6" s="32"/>
    </row>
    <row r="7" spans="1:12" ht="24">
      <c r="A7" s="369" t="s">
        <v>1906</v>
      </c>
      <c r="B7" s="370"/>
      <c r="C7" s="370"/>
      <c r="D7" s="371"/>
      <c r="E7" s="206"/>
      <c r="F7" s="47"/>
      <c r="G7" s="48"/>
      <c r="H7" s="48">
        <f>SUM(H5:H6)</f>
        <v>45612</v>
      </c>
      <c r="I7" s="26"/>
      <c r="J7" s="53"/>
      <c r="K7" s="14"/>
      <c r="L7" s="14"/>
    </row>
    <row r="8" spans="1:12" ht="24">
      <c r="A8" s="323"/>
      <c r="B8" s="323"/>
      <c r="C8" s="323"/>
      <c r="D8" s="323"/>
      <c r="E8" s="323"/>
      <c r="F8" s="70"/>
      <c r="G8" s="70"/>
      <c r="H8" s="70"/>
      <c r="I8" s="53"/>
      <c r="J8" s="53"/>
      <c r="K8" s="14"/>
      <c r="L8" s="14"/>
    </row>
    <row r="9" spans="1:12" ht="24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ht="24">
      <c r="A10" s="14"/>
      <c r="B10" s="14"/>
      <c r="C10" s="14"/>
      <c r="D10" s="14"/>
      <c r="E10" s="14"/>
      <c r="F10" s="368" t="s">
        <v>225</v>
      </c>
      <c r="G10" s="368"/>
      <c r="H10" s="368"/>
      <c r="I10" s="368"/>
      <c r="J10" s="325"/>
      <c r="K10" s="14"/>
      <c r="L10" s="14"/>
    </row>
    <row r="11" spans="1:12" ht="24">
      <c r="A11" s="14"/>
      <c r="B11" s="14"/>
      <c r="C11" s="14"/>
      <c r="D11" s="14"/>
      <c r="E11" s="14"/>
      <c r="F11" s="368" t="s">
        <v>1653</v>
      </c>
      <c r="G11" s="368"/>
      <c r="H11" s="368"/>
      <c r="I11" s="368"/>
      <c r="J11" s="325"/>
      <c r="K11" s="14"/>
      <c r="L11" s="14"/>
    </row>
    <row r="12" spans="1:12" ht="24">
      <c r="A12" s="14"/>
      <c r="B12" s="14"/>
      <c r="C12" s="14"/>
      <c r="D12" s="14"/>
      <c r="E12" s="14"/>
      <c r="F12" s="368" t="s">
        <v>226</v>
      </c>
      <c r="G12" s="368"/>
      <c r="H12" s="368"/>
      <c r="I12" s="368"/>
      <c r="J12" s="325"/>
      <c r="K12" s="14"/>
      <c r="L12" s="14"/>
    </row>
    <row r="13" spans="1:12" ht="2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2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</sheetData>
  <mergeCells count="7">
    <mergeCell ref="F12:I12"/>
    <mergeCell ref="A7:D7"/>
    <mergeCell ref="A1:I1"/>
    <mergeCell ref="A2:I2"/>
    <mergeCell ref="A3:I3"/>
    <mergeCell ref="F10:I10"/>
    <mergeCell ref="F11:I11"/>
  </mergeCells>
  <printOptions horizontalCentered="1"/>
  <pageMargins left="0.59055118110236227" right="0" top="0.59055118110236227" bottom="0.19685039370078741" header="0" footer="0"/>
  <pageSetup paperSize="9" scale="70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45"/>
  <sheetViews>
    <sheetView zoomScaleNormal="100" workbookViewId="0">
      <selection activeCell="N8" sqref="N8"/>
    </sheetView>
  </sheetViews>
  <sheetFormatPr defaultColWidth="9" defaultRowHeight="24"/>
  <cols>
    <col min="1" max="1" width="5.28515625" style="14" customWidth="1"/>
    <col min="2" max="2" width="13.85546875" style="14" customWidth="1"/>
    <col min="3" max="3" width="36.42578125" style="14" customWidth="1"/>
    <col min="4" max="4" width="36.5703125" style="14" customWidth="1"/>
    <col min="5" max="5" width="6.7109375" style="14" customWidth="1"/>
    <col min="6" max="6" width="7.140625" style="14" customWidth="1"/>
    <col min="7" max="7" width="12.5703125" style="14" customWidth="1"/>
    <col min="8" max="8" width="14" style="14" customWidth="1"/>
    <col min="9" max="9" width="11" style="14" customWidth="1"/>
    <col min="10" max="16384" width="9" style="14"/>
  </cols>
  <sheetData>
    <row r="1" spans="1:9">
      <c r="A1" s="354" t="s">
        <v>664</v>
      </c>
      <c r="B1" s="354"/>
      <c r="C1" s="354"/>
      <c r="D1" s="354"/>
      <c r="E1" s="354"/>
      <c r="F1" s="354"/>
      <c r="G1" s="354"/>
      <c r="H1" s="354"/>
      <c r="I1" s="354"/>
    </row>
    <row r="2" spans="1:9">
      <c r="A2" s="355" t="s">
        <v>1564</v>
      </c>
      <c r="B2" s="355"/>
      <c r="C2" s="355"/>
      <c r="D2" s="355"/>
      <c r="E2" s="355"/>
      <c r="F2" s="355"/>
      <c r="G2" s="355"/>
      <c r="H2" s="355"/>
      <c r="I2" s="355"/>
    </row>
    <row r="3" spans="1:9">
      <c r="A3" s="361" t="s">
        <v>1781</v>
      </c>
      <c r="B3" s="361"/>
      <c r="C3" s="361"/>
      <c r="D3" s="361"/>
      <c r="E3" s="361"/>
      <c r="F3" s="361"/>
      <c r="G3" s="361"/>
      <c r="H3" s="361"/>
      <c r="I3" s="361"/>
    </row>
    <row r="4" spans="1:9" ht="44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</row>
    <row r="5" spans="1:9">
      <c r="A5" s="95">
        <v>1</v>
      </c>
      <c r="B5" s="37"/>
      <c r="C5" s="81" t="s">
        <v>1565</v>
      </c>
      <c r="D5" s="13" t="s">
        <v>1566</v>
      </c>
      <c r="E5" s="28" t="s">
        <v>61</v>
      </c>
      <c r="F5" s="31">
        <v>15</v>
      </c>
      <c r="G5" s="194">
        <v>25000</v>
      </c>
      <c r="H5" s="194">
        <f>SUM(F5*G5)</f>
        <v>375000</v>
      </c>
      <c r="I5" s="99" t="s">
        <v>1831</v>
      </c>
    </row>
    <row r="6" spans="1:9">
      <c r="A6" s="216">
        <v>2</v>
      </c>
      <c r="B6" s="100"/>
      <c r="C6" s="81" t="s">
        <v>1567</v>
      </c>
      <c r="D6" s="13" t="s">
        <v>1519</v>
      </c>
      <c r="E6" s="28" t="s">
        <v>61</v>
      </c>
      <c r="F6" s="31">
        <v>25</v>
      </c>
      <c r="G6" s="194">
        <v>8000</v>
      </c>
      <c r="H6" s="194">
        <f t="shared" ref="H6:H38" si="0">SUM(F6*G6)</f>
        <v>200000</v>
      </c>
      <c r="I6" s="99" t="s">
        <v>1831</v>
      </c>
    </row>
    <row r="7" spans="1:9">
      <c r="A7" s="95">
        <v>3</v>
      </c>
      <c r="B7" s="37"/>
      <c r="C7" s="81" t="s">
        <v>1568</v>
      </c>
      <c r="D7" s="13" t="s">
        <v>1569</v>
      </c>
      <c r="E7" s="28" t="s">
        <v>61</v>
      </c>
      <c r="F7" s="31">
        <v>25</v>
      </c>
      <c r="G7" s="194">
        <v>8000</v>
      </c>
      <c r="H7" s="194">
        <f t="shared" si="0"/>
        <v>200000</v>
      </c>
      <c r="I7" s="99" t="s">
        <v>1831</v>
      </c>
    </row>
    <row r="8" spans="1:9">
      <c r="A8" s="216">
        <v>4</v>
      </c>
      <c r="B8" s="37"/>
      <c r="C8" s="81" t="s">
        <v>1570</v>
      </c>
      <c r="D8" s="13" t="s">
        <v>34</v>
      </c>
      <c r="E8" s="28" t="s">
        <v>61</v>
      </c>
      <c r="F8" s="31">
        <v>42</v>
      </c>
      <c r="G8" s="194">
        <v>1600</v>
      </c>
      <c r="H8" s="194">
        <f t="shared" si="0"/>
        <v>67200</v>
      </c>
      <c r="I8" s="99" t="s">
        <v>1831</v>
      </c>
    </row>
    <row r="9" spans="1:9">
      <c r="A9" s="95">
        <v>5</v>
      </c>
      <c r="B9" s="95"/>
      <c r="C9" s="81" t="s">
        <v>1571</v>
      </c>
      <c r="D9" s="13" t="s">
        <v>38</v>
      </c>
      <c r="E9" s="28" t="s">
        <v>61</v>
      </c>
      <c r="F9" s="31">
        <v>5</v>
      </c>
      <c r="G9" s="194">
        <v>3300</v>
      </c>
      <c r="H9" s="194">
        <f t="shared" si="0"/>
        <v>16500</v>
      </c>
      <c r="I9" s="99" t="s">
        <v>78</v>
      </c>
    </row>
    <row r="10" spans="1:9">
      <c r="A10" s="216">
        <v>6</v>
      </c>
      <c r="B10" s="37"/>
      <c r="C10" s="81" t="s">
        <v>1572</v>
      </c>
      <c r="D10" s="13" t="s">
        <v>1573</v>
      </c>
      <c r="E10" s="28" t="s">
        <v>61</v>
      </c>
      <c r="F10" s="31">
        <v>5</v>
      </c>
      <c r="G10" s="194">
        <v>3300</v>
      </c>
      <c r="H10" s="194">
        <f t="shared" si="0"/>
        <v>16500</v>
      </c>
      <c r="I10" s="99" t="s">
        <v>78</v>
      </c>
    </row>
    <row r="11" spans="1:9">
      <c r="A11" s="95">
        <v>7</v>
      </c>
      <c r="B11" s="37"/>
      <c r="C11" s="81" t="s">
        <v>1574</v>
      </c>
      <c r="D11" s="13" t="s">
        <v>1575</v>
      </c>
      <c r="E11" s="28" t="s">
        <v>61</v>
      </c>
      <c r="F11" s="31">
        <v>20</v>
      </c>
      <c r="G11" s="194">
        <v>2500</v>
      </c>
      <c r="H11" s="194">
        <f t="shared" si="0"/>
        <v>50000</v>
      </c>
      <c r="I11" s="99" t="s">
        <v>78</v>
      </c>
    </row>
    <row r="12" spans="1:9">
      <c r="A12" s="216">
        <v>8</v>
      </c>
      <c r="B12" s="37"/>
      <c r="C12" s="81" t="s">
        <v>1576</v>
      </c>
      <c r="D12" s="13" t="s">
        <v>1577</v>
      </c>
      <c r="E12" s="28" t="s">
        <v>61</v>
      </c>
      <c r="F12" s="31">
        <v>35</v>
      </c>
      <c r="G12" s="194">
        <v>2400</v>
      </c>
      <c r="H12" s="194">
        <f t="shared" si="0"/>
        <v>84000</v>
      </c>
      <c r="I12" s="107" t="s">
        <v>1932</v>
      </c>
    </row>
    <row r="13" spans="1:9">
      <c r="A13" s="95">
        <v>9</v>
      </c>
      <c r="B13" s="102"/>
      <c r="C13" s="81" t="s">
        <v>1578</v>
      </c>
      <c r="D13" s="13" t="s">
        <v>1579</v>
      </c>
      <c r="E13" s="28" t="s">
        <v>61</v>
      </c>
      <c r="F13" s="31">
        <v>4</v>
      </c>
      <c r="G13" s="194">
        <v>20000</v>
      </c>
      <c r="H13" s="194">
        <f t="shared" si="0"/>
        <v>80000</v>
      </c>
      <c r="I13" s="206" t="s">
        <v>1831</v>
      </c>
    </row>
    <row r="14" spans="1:9">
      <c r="A14" s="216">
        <v>10</v>
      </c>
      <c r="B14" s="102"/>
      <c r="C14" s="81" t="s">
        <v>1580</v>
      </c>
      <c r="D14" s="13" t="s">
        <v>1581</v>
      </c>
      <c r="E14" s="28" t="s">
        <v>61</v>
      </c>
      <c r="F14" s="31">
        <v>1</v>
      </c>
      <c r="G14" s="30">
        <v>5000</v>
      </c>
      <c r="H14" s="194">
        <f t="shared" si="0"/>
        <v>5000</v>
      </c>
      <c r="I14" s="206" t="s">
        <v>1831</v>
      </c>
    </row>
    <row r="15" spans="1:9">
      <c r="A15" s="95">
        <v>11</v>
      </c>
      <c r="B15" s="102"/>
      <c r="C15" s="81" t="s">
        <v>1582</v>
      </c>
      <c r="D15" s="13" t="s">
        <v>1583</v>
      </c>
      <c r="E15" s="28" t="s">
        <v>61</v>
      </c>
      <c r="F15" s="31">
        <v>2</v>
      </c>
      <c r="G15" s="194">
        <v>2000</v>
      </c>
      <c r="H15" s="194">
        <f t="shared" si="0"/>
        <v>4000</v>
      </c>
      <c r="I15" s="206" t="s">
        <v>1831</v>
      </c>
    </row>
    <row r="16" spans="1:9">
      <c r="A16" s="216">
        <v>12</v>
      </c>
      <c r="B16" s="94"/>
      <c r="C16" s="81" t="s">
        <v>1584</v>
      </c>
      <c r="D16" s="13" t="s">
        <v>1585</v>
      </c>
      <c r="E16" s="28" t="s">
        <v>61</v>
      </c>
      <c r="F16" s="31">
        <v>25</v>
      </c>
      <c r="G16" s="194">
        <v>8000</v>
      </c>
      <c r="H16" s="194">
        <f t="shared" si="0"/>
        <v>200000</v>
      </c>
      <c r="I16" s="206" t="s">
        <v>1831</v>
      </c>
    </row>
    <row r="17" spans="1:9">
      <c r="A17" s="95">
        <v>13</v>
      </c>
      <c r="B17" s="94"/>
      <c r="C17" s="81" t="s">
        <v>1586</v>
      </c>
      <c r="D17" s="13" t="s">
        <v>35</v>
      </c>
      <c r="E17" s="28" t="s">
        <v>61</v>
      </c>
      <c r="F17" s="31">
        <v>58</v>
      </c>
      <c r="G17" s="194">
        <v>8000</v>
      </c>
      <c r="H17" s="194">
        <f t="shared" si="0"/>
        <v>464000</v>
      </c>
      <c r="I17" s="206" t="s">
        <v>1831</v>
      </c>
    </row>
    <row r="18" spans="1:9">
      <c r="A18" s="216">
        <v>14</v>
      </c>
      <c r="B18" s="220"/>
      <c r="C18" s="81" t="s">
        <v>1587</v>
      </c>
      <c r="D18" s="13" t="s">
        <v>34</v>
      </c>
      <c r="E18" s="28" t="s">
        <v>61</v>
      </c>
      <c r="F18" s="31">
        <v>90</v>
      </c>
      <c r="G18" s="194">
        <v>1600</v>
      </c>
      <c r="H18" s="194">
        <f t="shared" si="0"/>
        <v>144000</v>
      </c>
      <c r="I18" s="206" t="s">
        <v>78</v>
      </c>
    </row>
    <row r="19" spans="1:9">
      <c r="A19" s="95">
        <v>15</v>
      </c>
      <c r="B19" s="206"/>
      <c r="C19" s="81" t="s">
        <v>1588</v>
      </c>
      <c r="D19" s="13" t="s">
        <v>1573</v>
      </c>
      <c r="E19" s="206" t="s">
        <v>61</v>
      </c>
      <c r="F19" s="31">
        <v>4</v>
      </c>
      <c r="G19" s="194">
        <v>2200</v>
      </c>
      <c r="H19" s="194">
        <f t="shared" si="0"/>
        <v>8800</v>
      </c>
      <c r="I19" s="206" t="s">
        <v>78</v>
      </c>
    </row>
    <row r="20" spans="1:9">
      <c r="A20" s="216">
        <v>16</v>
      </c>
      <c r="B20" s="26"/>
      <c r="C20" s="81" t="s">
        <v>1589</v>
      </c>
      <c r="D20" s="13" t="s">
        <v>1575</v>
      </c>
      <c r="E20" s="206" t="s">
        <v>61</v>
      </c>
      <c r="F20" s="31">
        <v>46</v>
      </c>
      <c r="G20" s="194">
        <v>2500</v>
      </c>
      <c r="H20" s="194">
        <f t="shared" si="0"/>
        <v>115000</v>
      </c>
      <c r="I20" s="206" t="s">
        <v>1831</v>
      </c>
    </row>
    <row r="21" spans="1:9">
      <c r="A21" s="95">
        <v>17</v>
      </c>
      <c r="B21" s="26"/>
      <c r="C21" s="81" t="s">
        <v>1590</v>
      </c>
      <c r="D21" s="13" t="s">
        <v>113</v>
      </c>
      <c r="E21" s="206" t="s">
        <v>61</v>
      </c>
      <c r="F21" s="31">
        <v>1</v>
      </c>
      <c r="G21" s="194">
        <v>33000</v>
      </c>
      <c r="H21" s="194">
        <f t="shared" si="0"/>
        <v>33000</v>
      </c>
      <c r="I21" s="206" t="s">
        <v>1831</v>
      </c>
    </row>
    <row r="22" spans="1:9">
      <c r="A22" s="216">
        <v>18</v>
      </c>
      <c r="B22" s="26"/>
      <c r="C22" s="81" t="s">
        <v>1591</v>
      </c>
      <c r="D22" s="13" t="s">
        <v>1592</v>
      </c>
      <c r="E22" s="206" t="s">
        <v>62</v>
      </c>
      <c r="F22" s="31">
        <v>2</v>
      </c>
      <c r="G22" s="194">
        <v>1175</v>
      </c>
      <c r="H22" s="194">
        <f t="shared" si="0"/>
        <v>2350</v>
      </c>
      <c r="I22" s="206" t="s">
        <v>1831</v>
      </c>
    </row>
    <row r="23" spans="1:9">
      <c r="A23" s="95">
        <v>19</v>
      </c>
      <c r="B23" s="26"/>
      <c r="C23" s="335" t="s">
        <v>1593</v>
      </c>
      <c r="D23" s="197" t="s">
        <v>181</v>
      </c>
      <c r="E23" s="206" t="s">
        <v>62</v>
      </c>
      <c r="F23" s="196">
        <v>1</v>
      </c>
      <c r="G23" s="249">
        <v>5296.5</v>
      </c>
      <c r="H23" s="194">
        <f t="shared" si="0"/>
        <v>5296.5</v>
      </c>
      <c r="I23" s="206" t="s">
        <v>1831</v>
      </c>
    </row>
    <row r="24" spans="1:9">
      <c r="A24" s="216">
        <v>20</v>
      </c>
      <c r="B24" s="26"/>
      <c r="C24" s="81" t="s">
        <v>1594</v>
      </c>
      <c r="D24" s="13" t="s">
        <v>1585</v>
      </c>
      <c r="E24" s="206" t="s">
        <v>62</v>
      </c>
      <c r="F24" s="31">
        <v>7</v>
      </c>
      <c r="G24" s="194">
        <v>12200</v>
      </c>
      <c r="H24" s="194">
        <f t="shared" si="0"/>
        <v>85400</v>
      </c>
      <c r="I24" s="206" t="s">
        <v>1831</v>
      </c>
    </row>
    <row r="25" spans="1:9">
      <c r="A25" s="95">
        <v>21</v>
      </c>
      <c r="B25" s="26"/>
      <c r="C25" s="81" t="s">
        <v>1595</v>
      </c>
      <c r="D25" s="13" t="s">
        <v>1585</v>
      </c>
      <c r="E25" s="206" t="s">
        <v>62</v>
      </c>
      <c r="F25" s="31">
        <v>6</v>
      </c>
      <c r="G25" s="194">
        <v>12200</v>
      </c>
      <c r="H25" s="194">
        <f t="shared" si="0"/>
        <v>73200</v>
      </c>
      <c r="I25" s="206" t="s">
        <v>1831</v>
      </c>
    </row>
    <row r="26" spans="1:9">
      <c r="A26" s="216">
        <v>22</v>
      </c>
      <c r="B26" s="26"/>
      <c r="C26" s="81" t="s">
        <v>1596</v>
      </c>
      <c r="D26" s="13" t="s">
        <v>1597</v>
      </c>
      <c r="E26" s="206" t="s">
        <v>61</v>
      </c>
      <c r="F26" s="31">
        <v>1</v>
      </c>
      <c r="G26" s="194">
        <v>24000</v>
      </c>
      <c r="H26" s="194">
        <f t="shared" si="0"/>
        <v>24000</v>
      </c>
      <c r="I26" s="206" t="s">
        <v>1831</v>
      </c>
    </row>
    <row r="27" spans="1:9">
      <c r="A27" s="95">
        <v>23</v>
      </c>
      <c r="B27" s="26"/>
      <c r="C27" s="81" t="s">
        <v>1598</v>
      </c>
      <c r="D27" s="13" t="s">
        <v>1599</v>
      </c>
      <c r="E27" s="206" t="s">
        <v>62</v>
      </c>
      <c r="F27" s="31">
        <v>1</v>
      </c>
      <c r="G27" s="194">
        <v>5684.5</v>
      </c>
      <c r="H27" s="194">
        <f t="shared" si="0"/>
        <v>5684.5</v>
      </c>
      <c r="I27" s="206" t="s">
        <v>78</v>
      </c>
    </row>
    <row r="28" spans="1:9">
      <c r="A28" s="216">
        <v>24</v>
      </c>
      <c r="B28" s="26"/>
      <c r="C28" s="81" t="s">
        <v>1600</v>
      </c>
      <c r="D28" s="13" t="s">
        <v>839</v>
      </c>
      <c r="E28" s="206" t="s">
        <v>62</v>
      </c>
      <c r="F28" s="31">
        <v>1</v>
      </c>
      <c r="G28" s="34">
        <v>1006.25</v>
      </c>
      <c r="H28" s="194">
        <f t="shared" si="0"/>
        <v>1006.25</v>
      </c>
      <c r="I28" s="206" t="s">
        <v>78</v>
      </c>
    </row>
    <row r="29" spans="1:9">
      <c r="A29" s="95">
        <v>25</v>
      </c>
      <c r="B29" s="104"/>
      <c r="C29" s="81" t="s">
        <v>1601</v>
      </c>
      <c r="D29" s="13" t="s">
        <v>237</v>
      </c>
      <c r="E29" s="206" t="s">
        <v>61</v>
      </c>
      <c r="F29" s="31">
        <v>5</v>
      </c>
      <c r="G29" s="34">
        <v>3500</v>
      </c>
      <c r="H29" s="194">
        <f t="shared" si="0"/>
        <v>17500</v>
      </c>
      <c r="I29" s="206" t="s">
        <v>78</v>
      </c>
    </row>
    <row r="30" spans="1:9">
      <c r="A30" s="216">
        <v>26</v>
      </c>
      <c r="B30" s="37"/>
      <c r="C30" s="81" t="s">
        <v>1602</v>
      </c>
      <c r="D30" s="13" t="s">
        <v>360</v>
      </c>
      <c r="E30" s="28" t="s">
        <v>61</v>
      </c>
      <c r="F30" s="31">
        <v>2</v>
      </c>
      <c r="G30" s="35">
        <v>32000</v>
      </c>
      <c r="H30" s="194">
        <f t="shared" si="0"/>
        <v>64000</v>
      </c>
      <c r="I30" s="206" t="s">
        <v>78</v>
      </c>
    </row>
    <row r="31" spans="1:9">
      <c r="A31" s="95">
        <v>27</v>
      </c>
      <c r="B31" s="100"/>
      <c r="C31" s="81" t="s">
        <v>1603</v>
      </c>
      <c r="D31" s="13" t="s">
        <v>74</v>
      </c>
      <c r="E31" s="28" t="s">
        <v>61</v>
      </c>
      <c r="F31" s="31">
        <v>15</v>
      </c>
      <c r="G31" s="34">
        <v>17000</v>
      </c>
      <c r="H31" s="194">
        <f t="shared" si="0"/>
        <v>255000</v>
      </c>
      <c r="I31" s="99" t="s">
        <v>77</v>
      </c>
    </row>
    <row r="32" spans="1:9">
      <c r="A32" s="216">
        <v>28</v>
      </c>
      <c r="B32" s="37"/>
      <c r="C32" s="81" t="s">
        <v>1604</v>
      </c>
      <c r="D32" s="13" t="s">
        <v>1605</v>
      </c>
      <c r="E32" s="28" t="s">
        <v>61</v>
      </c>
      <c r="F32" s="31">
        <v>30</v>
      </c>
      <c r="G32" s="34">
        <v>2350</v>
      </c>
      <c r="H32" s="194">
        <f t="shared" si="0"/>
        <v>70500</v>
      </c>
      <c r="I32" s="99" t="s">
        <v>78</v>
      </c>
    </row>
    <row r="33" spans="1:9">
      <c r="A33" s="95">
        <v>29</v>
      </c>
      <c r="B33" s="37"/>
      <c r="C33" s="81" t="s">
        <v>1606</v>
      </c>
      <c r="D33" s="13" t="s">
        <v>1607</v>
      </c>
      <c r="E33" s="28" t="s">
        <v>61</v>
      </c>
      <c r="F33" s="31">
        <v>30</v>
      </c>
      <c r="G33" s="34">
        <v>400</v>
      </c>
      <c r="H33" s="194">
        <f t="shared" si="0"/>
        <v>12000</v>
      </c>
      <c r="I33" s="99" t="s">
        <v>77</v>
      </c>
    </row>
    <row r="34" spans="1:9">
      <c r="A34" s="216">
        <v>30</v>
      </c>
      <c r="B34" s="37"/>
      <c r="C34" s="81" t="s">
        <v>1608</v>
      </c>
      <c r="D34" s="13" t="s">
        <v>1609</v>
      </c>
      <c r="E34" s="28" t="s">
        <v>61</v>
      </c>
      <c r="F34" s="31">
        <v>1</v>
      </c>
      <c r="G34" s="34">
        <v>33000</v>
      </c>
      <c r="H34" s="194">
        <f t="shared" si="0"/>
        <v>33000</v>
      </c>
      <c r="I34" s="99" t="s">
        <v>78</v>
      </c>
    </row>
    <row r="35" spans="1:9">
      <c r="A35" s="95">
        <v>31</v>
      </c>
      <c r="B35" s="37"/>
      <c r="C35" s="81" t="s">
        <v>1199</v>
      </c>
      <c r="D35" s="13" t="s">
        <v>1610</v>
      </c>
      <c r="E35" s="28" t="s">
        <v>61</v>
      </c>
      <c r="F35" s="31">
        <v>1</v>
      </c>
      <c r="G35" s="34">
        <v>11000</v>
      </c>
      <c r="H35" s="194">
        <f t="shared" si="0"/>
        <v>11000</v>
      </c>
      <c r="I35" s="99" t="s">
        <v>78</v>
      </c>
    </row>
    <row r="36" spans="1:9">
      <c r="A36" s="216">
        <v>32</v>
      </c>
      <c r="B36" s="95"/>
      <c r="C36" s="81" t="s">
        <v>1611</v>
      </c>
      <c r="D36" s="13" t="s">
        <v>1612</v>
      </c>
      <c r="E36" s="28" t="s">
        <v>61</v>
      </c>
      <c r="F36" s="31">
        <v>1</v>
      </c>
      <c r="G36" s="34">
        <v>31000</v>
      </c>
      <c r="H36" s="194">
        <f t="shared" si="0"/>
        <v>31000</v>
      </c>
      <c r="I36" s="99" t="s">
        <v>78</v>
      </c>
    </row>
    <row r="37" spans="1:9">
      <c r="A37" s="95">
        <v>33</v>
      </c>
      <c r="B37" s="37"/>
      <c r="C37" s="81" t="s">
        <v>1613</v>
      </c>
      <c r="D37" s="13" t="s">
        <v>158</v>
      </c>
      <c r="E37" s="28" t="s">
        <v>61</v>
      </c>
      <c r="F37" s="31">
        <v>2</v>
      </c>
      <c r="G37" s="34">
        <v>3750</v>
      </c>
      <c r="H37" s="194">
        <f t="shared" si="0"/>
        <v>7500</v>
      </c>
      <c r="I37" s="99" t="s">
        <v>78</v>
      </c>
    </row>
    <row r="38" spans="1:9">
      <c r="A38" s="216">
        <v>34</v>
      </c>
      <c r="B38" s="37"/>
      <c r="C38" s="336" t="s">
        <v>1614</v>
      </c>
      <c r="D38" s="108" t="s">
        <v>1615</v>
      </c>
      <c r="E38" s="28" t="s">
        <v>1825</v>
      </c>
      <c r="F38" s="142">
        <v>1</v>
      </c>
      <c r="G38" s="35">
        <v>20865</v>
      </c>
      <c r="H38" s="194">
        <f t="shared" si="0"/>
        <v>20865</v>
      </c>
      <c r="I38" s="99" t="s">
        <v>78</v>
      </c>
    </row>
    <row r="39" spans="1:9">
      <c r="A39" s="373" t="s">
        <v>465</v>
      </c>
      <c r="B39" s="372"/>
      <c r="C39" s="372"/>
      <c r="D39" s="372"/>
      <c r="E39" s="374"/>
      <c r="F39" s="337"/>
      <c r="G39" s="244"/>
      <c r="H39" s="338">
        <f>SUM(H5:H38)</f>
        <v>2782302.25</v>
      </c>
      <c r="I39" s="339"/>
    </row>
    <row r="40" spans="1:9">
      <c r="A40" s="53"/>
      <c r="B40" s="53"/>
      <c r="C40" s="53"/>
      <c r="D40" s="53"/>
      <c r="E40" s="53"/>
      <c r="F40" s="246"/>
      <c r="G40" s="53"/>
      <c r="H40" s="53"/>
      <c r="I40" s="53"/>
    </row>
    <row r="41" spans="1:9">
      <c r="A41" s="53"/>
      <c r="B41" s="53"/>
      <c r="C41" s="53"/>
      <c r="D41" s="53"/>
      <c r="E41" s="53"/>
      <c r="F41" s="268"/>
      <c r="G41" s="53"/>
      <c r="H41" s="53"/>
      <c r="I41" s="53"/>
    </row>
    <row r="42" spans="1:9">
      <c r="A42" s="53"/>
      <c r="B42" s="53"/>
      <c r="C42" s="53"/>
      <c r="D42" s="53"/>
      <c r="E42" s="53"/>
      <c r="F42" s="353" t="s">
        <v>225</v>
      </c>
      <c r="G42" s="353"/>
      <c r="H42" s="353"/>
      <c r="I42" s="353"/>
    </row>
    <row r="43" spans="1:9">
      <c r="A43" s="53"/>
      <c r="B43" s="53"/>
      <c r="C43" s="53"/>
      <c r="D43" s="53"/>
      <c r="E43" s="53"/>
      <c r="F43" s="353" t="s">
        <v>1820</v>
      </c>
      <c r="G43" s="353"/>
      <c r="H43" s="353"/>
      <c r="I43" s="353"/>
    </row>
    <row r="44" spans="1:9">
      <c r="A44" s="53"/>
      <c r="B44" s="53"/>
      <c r="C44" s="53"/>
      <c r="D44" s="53"/>
      <c r="E44" s="53"/>
      <c r="F44" s="353" t="s">
        <v>226</v>
      </c>
      <c r="G44" s="353"/>
      <c r="H44" s="353"/>
      <c r="I44" s="353"/>
    </row>
    <row r="45" spans="1:9">
      <c r="A45" s="53"/>
      <c r="B45" s="53"/>
      <c r="C45" s="53"/>
      <c r="D45" s="53"/>
      <c r="E45" s="53"/>
      <c r="F45" s="327"/>
      <c r="G45" s="327"/>
      <c r="H45" s="327"/>
      <c r="I45" s="327"/>
    </row>
  </sheetData>
  <mergeCells count="7">
    <mergeCell ref="A1:I1"/>
    <mergeCell ref="A2:I2"/>
    <mergeCell ref="A3:I3"/>
    <mergeCell ref="A39:E39"/>
    <mergeCell ref="F44:I44"/>
    <mergeCell ref="F43:I43"/>
    <mergeCell ref="F42:I42"/>
  </mergeCells>
  <printOptions horizontalCentered="1"/>
  <pageMargins left="0" right="0" top="0.59055118110236227" bottom="0.19685039370078741" header="0" footer="0"/>
  <pageSetup paperSize="9" scale="70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12"/>
  <sheetViews>
    <sheetView workbookViewId="0">
      <selection activeCell="F10" sqref="F10:I10"/>
    </sheetView>
  </sheetViews>
  <sheetFormatPr defaultRowHeight="21"/>
  <cols>
    <col min="1" max="1" width="6" style="33" customWidth="1"/>
    <col min="2" max="2" width="12.5703125" style="33" customWidth="1"/>
    <col min="3" max="3" width="26.42578125" style="33" customWidth="1"/>
    <col min="4" max="4" width="37.140625" style="33" customWidth="1"/>
    <col min="5" max="5" width="8.140625" style="33" customWidth="1"/>
    <col min="6" max="6" width="7.5703125" style="33" customWidth="1"/>
    <col min="7" max="7" width="15.7109375" style="33" customWidth="1"/>
    <col min="8" max="8" width="14.5703125" style="33" customWidth="1"/>
    <col min="9" max="9" width="13.5703125" style="33" customWidth="1"/>
    <col min="10" max="16384" width="9.140625" style="33"/>
  </cols>
  <sheetData>
    <row r="1" spans="1:9" ht="24">
      <c r="A1" s="354" t="s">
        <v>664</v>
      </c>
      <c r="B1" s="354"/>
      <c r="C1" s="354"/>
      <c r="D1" s="354"/>
      <c r="E1" s="354"/>
      <c r="F1" s="354"/>
      <c r="G1" s="354"/>
      <c r="H1" s="354"/>
      <c r="I1" s="354"/>
    </row>
    <row r="2" spans="1:9" ht="24">
      <c r="A2" s="355" t="s">
        <v>1814</v>
      </c>
      <c r="B2" s="355"/>
      <c r="C2" s="355"/>
      <c r="D2" s="355"/>
      <c r="E2" s="355"/>
      <c r="F2" s="355"/>
      <c r="G2" s="355"/>
      <c r="H2" s="355"/>
      <c r="I2" s="355"/>
    </row>
    <row r="3" spans="1:9" ht="24">
      <c r="A3" s="361" t="s">
        <v>1781</v>
      </c>
      <c r="B3" s="361"/>
      <c r="C3" s="361"/>
      <c r="D3" s="361"/>
      <c r="E3" s="361"/>
      <c r="F3" s="361"/>
      <c r="G3" s="361"/>
      <c r="H3" s="361"/>
      <c r="I3" s="361"/>
    </row>
    <row r="4" spans="1:9" ht="43.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</row>
    <row r="5" spans="1:9" ht="24">
      <c r="A5" s="95">
        <v>1</v>
      </c>
      <c r="B5" s="37" t="s">
        <v>1892</v>
      </c>
      <c r="C5" s="272" t="s">
        <v>1815</v>
      </c>
      <c r="D5" s="273" t="s">
        <v>1816</v>
      </c>
      <c r="E5" s="28" t="s">
        <v>1690</v>
      </c>
      <c r="F5" s="274">
        <v>1</v>
      </c>
      <c r="G5" s="34">
        <v>25500</v>
      </c>
      <c r="H5" s="34">
        <f>SUM(F5*G5)</f>
        <v>25500</v>
      </c>
      <c r="I5" s="99" t="s">
        <v>78</v>
      </c>
    </row>
    <row r="6" spans="1:9" ht="24">
      <c r="A6" s="358" t="s">
        <v>465</v>
      </c>
      <c r="B6" s="359"/>
      <c r="C6" s="359"/>
      <c r="D6" s="359"/>
      <c r="E6" s="360"/>
      <c r="F6" s="28"/>
      <c r="G6" s="244"/>
      <c r="H6" s="34">
        <v>25500</v>
      </c>
      <c r="I6" s="82"/>
    </row>
    <row r="7" spans="1:9" ht="24">
      <c r="A7" s="330"/>
      <c r="B7" s="330"/>
      <c r="C7" s="330"/>
      <c r="D7" s="330"/>
      <c r="E7" s="330"/>
      <c r="F7" s="268"/>
      <c r="G7" s="255"/>
      <c r="H7" s="340"/>
      <c r="I7" s="252"/>
    </row>
    <row r="8" spans="1:9" ht="24">
      <c r="A8" s="53"/>
      <c r="B8" s="53"/>
      <c r="C8" s="53"/>
      <c r="D8" s="53"/>
      <c r="E8" s="53"/>
      <c r="F8" s="268"/>
      <c r="G8" s="53"/>
      <c r="H8" s="53"/>
      <c r="I8" s="53"/>
    </row>
    <row r="9" spans="1:9" ht="24">
      <c r="A9" s="53"/>
      <c r="B9" s="53"/>
      <c r="C9" s="53"/>
      <c r="D9" s="53"/>
      <c r="E9" s="53"/>
      <c r="F9" s="353" t="s">
        <v>225</v>
      </c>
      <c r="G9" s="353"/>
      <c r="H9" s="353"/>
      <c r="I9" s="353"/>
    </row>
    <row r="10" spans="1:9" ht="24">
      <c r="A10" s="53"/>
      <c r="B10" s="53"/>
      <c r="C10" s="53"/>
      <c r="D10" s="53"/>
      <c r="E10" s="53"/>
      <c r="F10" s="353" t="s">
        <v>1934</v>
      </c>
      <c r="G10" s="353"/>
      <c r="H10" s="353"/>
      <c r="I10" s="353"/>
    </row>
    <row r="11" spans="1:9" ht="24">
      <c r="A11" s="53"/>
      <c r="B11" s="53"/>
      <c r="C11" s="53"/>
      <c r="D11" s="53"/>
      <c r="E11" s="53"/>
      <c r="F11" s="353" t="s">
        <v>226</v>
      </c>
      <c r="G11" s="353"/>
      <c r="H11" s="353"/>
      <c r="I11" s="353"/>
    </row>
    <row r="12" spans="1:9" ht="24">
      <c r="A12" s="14"/>
      <c r="B12" s="14"/>
      <c r="C12" s="14"/>
      <c r="D12" s="14"/>
      <c r="E12" s="14"/>
      <c r="F12" s="14"/>
      <c r="G12" s="14"/>
      <c r="H12" s="14"/>
      <c r="I12" s="14"/>
    </row>
  </sheetData>
  <mergeCells count="7">
    <mergeCell ref="A6:E6"/>
    <mergeCell ref="F9:I9"/>
    <mergeCell ref="F10:I10"/>
    <mergeCell ref="F11:I11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80"/>
  <sheetViews>
    <sheetView zoomScaleNormal="100" workbookViewId="0">
      <selection activeCell="N11" sqref="N11"/>
    </sheetView>
  </sheetViews>
  <sheetFormatPr defaultRowHeight="21"/>
  <cols>
    <col min="1" max="1" width="5.42578125" style="33" customWidth="1"/>
    <col min="2" max="2" width="11.7109375" style="33" customWidth="1"/>
    <col min="3" max="3" width="32.5703125" style="348" customWidth="1"/>
    <col min="4" max="4" width="46" style="33" customWidth="1"/>
    <col min="5" max="6" width="6.42578125" style="33" customWidth="1"/>
    <col min="7" max="7" width="12.5703125" style="33" customWidth="1"/>
    <col min="8" max="8" width="13.85546875" style="33" customWidth="1"/>
    <col min="9" max="9" width="8.85546875" style="287" customWidth="1"/>
    <col min="10" max="16384" width="9.140625" style="33"/>
  </cols>
  <sheetData>
    <row r="1" spans="1:9" s="14" customFormat="1" ht="24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9" s="14" customFormat="1" ht="24">
      <c r="A2" s="354" t="s">
        <v>510</v>
      </c>
      <c r="B2" s="354"/>
      <c r="C2" s="354"/>
      <c r="D2" s="354"/>
      <c r="E2" s="354"/>
      <c r="F2" s="354"/>
      <c r="G2" s="354"/>
      <c r="H2" s="354"/>
      <c r="I2" s="354"/>
    </row>
    <row r="3" spans="1:9" s="14" customFormat="1" ht="24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9" s="14" customFormat="1" ht="44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</row>
    <row r="5" spans="1:9" s="14" customFormat="1" ht="24">
      <c r="A5" s="206">
        <v>1</v>
      </c>
      <c r="B5" s="26"/>
      <c r="C5" s="236" t="s">
        <v>466</v>
      </c>
      <c r="D5" s="218" t="s">
        <v>484</v>
      </c>
      <c r="E5" s="28" t="s">
        <v>62</v>
      </c>
      <c r="F5" s="28">
        <v>1</v>
      </c>
      <c r="G5" s="34">
        <v>33000</v>
      </c>
      <c r="H5" s="34">
        <f>SUM(F5*G5)</f>
        <v>33000</v>
      </c>
      <c r="I5" s="206" t="s">
        <v>77</v>
      </c>
    </row>
    <row r="6" spans="1:9" s="14" customFormat="1" ht="24">
      <c r="A6" s="206">
        <v>2</v>
      </c>
      <c r="B6" s="26"/>
      <c r="C6" s="213" t="s">
        <v>467</v>
      </c>
      <c r="D6" s="197" t="s">
        <v>485</v>
      </c>
      <c r="E6" s="28" t="s">
        <v>1825</v>
      </c>
      <c r="F6" s="28">
        <v>5</v>
      </c>
      <c r="G6" s="35">
        <v>3970</v>
      </c>
      <c r="H6" s="34">
        <f t="shared" ref="H6:H23" si="0">SUM(F6*G6)</f>
        <v>19850</v>
      </c>
      <c r="I6" s="206" t="s">
        <v>77</v>
      </c>
    </row>
    <row r="7" spans="1:9" s="14" customFormat="1" ht="24">
      <c r="A7" s="206">
        <v>3</v>
      </c>
      <c r="B7" s="26"/>
      <c r="C7" s="27" t="s">
        <v>468</v>
      </c>
      <c r="D7" s="13" t="s">
        <v>486</v>
      </c>
      <c r="E7" s="28" t="s">
        <v>61</v>
      </c>
      <c r="F7" s="28">
        <v>1</v>
      </c>
      <c r="G7" s="35">
        <v>22000</v>
      </c>
      <c r="H7" s="34">
        <f t="shared" si="0"/>
        <v>22000</v>
      </c>
      <c r="I7" s="206" t="s">
        <v>1895</v>
      </c>
    </row>
    <row r="8" spans="1:9" s="14" customFormat="1" ht="24">
      <c r="A8" s="206">
        <v>4</v>
      </c>
      <c r="B8" s="26"/>
      <c r="C8" s="27" t="s">
        <v>469</v>
      </c>
      <c r="D8" s="13" t="s">
        <v>357</v>
      </c>
      <c r="E8" s="28" t="s">
        <v>62</v>
      </c>
      <c r="F8" s="28">
        <v>1</v>
      </c>
      <c r="G8" s="35">
        <v>3350</v>
      </c>
      <c r="H8" s="34">
        <f t="shared" si="0"/>
        <v>3350</v>
      </c>
      <c r="I8" s="206" t="s">
        <v>1895</v>
      </c>
    </row>
    <row r="9" spans="1:9" s="14" customFormat="1" ht="24">
      <c r="A9" s="206">
        <v>5</v>
      </c>
      <c r="B9" s="26"/>
      <c r="C9" s="27" t="s">
        <v>470</v>
      </c>
      <c r="D9" s="13" t="s">
        <v>487</v>
      </c>
      <c r="E9" s="28" t="s">
        <v>62</v>
      </c>
      <c r="F9" s="28">
        <v>1</v>
      </c>
      <c r="G9" s="35">
        <v>690</v>
      </c>
      <c r="H9" s="34">
        <f t="shared" si="0"/>
        <v>690</v>
      </c>
      <c r="I9" s="206" t="s">
        <v>77</v>
      </c>
    </row>
    <row r="10" spans="1:9" s="14" customFormat="1" ht="24">
      <c r="A10" s="206">
        <v>6</v>
      </c>
      <c r="B10" s="26"/>
      <c r="C10" s="27" t="s">
        <v>471</v>
      </c>
      <c r="D10" s="13" t="s">
        <v>488</v>
      </c>
      <c r="E10" s="28" t="s">
        <v>62</v>
      </c>
      <c r="F10" s="28">
        <v>2</v>
      </c>
      <c r="G10" s="35">
        <v>3350</v>
      </c>
      <c r="H10" s="34">
        <f t="shared" si="0"/>
        <v>6700</v>
      </c>
      <c r="I10" s="206" t="s">
        <v>78</v>
      </c>
    </row>
    <row r="11" spans="1:9" s="14" customFormat="1" ht="24">
      <c r="A11" s="206">
        <v>8</v>
      </c>
      <c r="B11" s="37"/>
      <c r="C11" s="27" t="s">
        <v>472</v>
      </c>
      <c r="D11" s="13" t="s">
        <v>488</v>
      </c>
      <c r="E11" s="28" t="s">
        <v>61</v>
      </c>
      <c r="F11" s="28">
        <v>2</v>
      </c>
      <c r="G11" s="35">
        <v>2685.25</v>
      </c>
      <c r="H11" s="34">
        <f t="shared" si="0"/>
        <v>5370.5</v>
      </c>
      <c r="I11" s="206" t="s">
        <v>78</v>
      </c>
    </row>
    <row r="12" spans="1:9" s="14" customFormat="1" ht="24">
      <c r="A12" s="206">
        <v>9</v>
      </c>
      <c r="B12" s="26"/>
      <c r="C12" s="27" t="s">
        <v>473</v>
      </c>
      <c r="D12" s="13" t="s">
        <v>489</v>
      </c>
      <c r="E12" s="28" t="s">
        <v>61</v>
      </c>
      <c r="F12" s="28">
        <v>1</v>
      </c>
      <c r="G12" s="35">
        <v>3350</v>
      </c>
      <c r="H12" s="34">
        <f t="shared" si="0"/>
        <v>3350</v>
      </c>
      <c r="I12" s="206" t="s">
        <v>77</v>
      </c>
    </row>
    <row r="13" spans="1:9" s="14" customFormat="1" ht="24">
      <c r="A13" s="206">
        <v>10</v>
      </c>
      <c r="B13" s="26"/>
      <c r="C13" s="27" t="s">
        <v>474</v>
      </c>
      <c r="D13" s="13" t="s">
        <v>490</v>
      </c>
      <c r="E13" s="28" t="s">
        <v>61</v>
      </c>
      <c r="F13" s="28">
        <v>3</v>
      </c>
      <c r="G13" s="35">
        <v>3000</v>
      </c>
      <c r="H13" s="34">
        <f t="shared" si="0"/>
        <v>9000</v>
      </c>
      <c r="I13" s="133" t="s">
        <v>78</v>
      </c>
    </row>
    <row r="14" spans="1:9" s="14" customFormat="1" ht="24">
      <c r="A14" s="206">
        <v>11</v>
      </c>
      <c r="B14" s="26"/>
      <c r="C14" s="27" t="s">
        <v>475</v>
      </c>
      <c r="D14" s="13" t="s">
        <v>360</v>
      </c>
      <c r="E14" s="28" t="s">
        <v>61</v>
      </c>
      <c r="F14" s="28">
        <v>2</v>
      </c>
      <c r="G14" s="35">
        <v>32000</v>
      </c>
      <c r="H14" s="34">
        <f t="shared" si="0"/>
        <v>64000</v>
      </c>
      <c r="I14" s="206" t="s">
        <v>77</v>
      </c>
    </row>
    <row r="15" spans="1:9" s="14" customFormat="1" ht="24">
      <c r="A15" s="206">
        <v>12</v>
      </c>
      <c r="B15" s="26"/>
      <c r="C15" s="27" t="s">
        <v>476</v>
      </c>
      <c r="D15" s="13" t="s">
        <v>74</v>
      </c>
      <c r="E15" s="28" t="s">
        <v>61</v>
      </c>
      <c r="F15" s="28">
        <v>2</v>
      </c>
      <c r="G15" s="35">
        <v>17000</v>
      </c>
      <c r="H15" s="34">
        <f t="shared" si="0"/>
        <v>34000</v>
      </c>
      <c r="I15" s="206" t="s">
        <v>77</v>
      </c>
    </row>
    <row r="16" spans="1:9" s="14" customFormat="1" ht="24">
      <c r="A16" s="206">
        <v>13</v>
      </c>
      <c r="B16" s="26"/>
      <c r="C16" s="125" t="s">
        <v>477</v>
      </c>
      <c r="D16" s="121" t="s">
        <v>491</v>
      </c>
      <c r="E16" s="28" t="s">
        <v>61</v>
      </c>
      <c r="F16" s="28">
        <v>2</v>
      </c>
      <c r="G16" s="35">
        <v>1950</v>
      </c>
      <c r="H16" s="34">
        <f t="shared" si="0"/>
        <v>3900</v>
      </c>
      <c r="I16" s="206" t="s">
        <v>77</v>
      </c>
    </row>
    <row r="17" spans="1:9" s="14" customFormat="1" ht="24">
      <c r="A17" s="206">
        <v>14</v>
      </c>
      <c r="B17" s="37"/>
      <c r="C17" s="125" t="s">
        <v>1842</v>
      </c>
      <c r="D17" s="121" t="s">
        <v>492</v>
      </c>
      <c r="E17" s="28" t="s">
        <v>61</v>
      </c>
      <c r="F17" s="28">
        <v>2</v>
      </c>
      <c r="G17" s="35">
        <v>8500</v>
      </c>
      <c r="H17" s="34">
        <f t="shared" si="0"/>
        <v>17000</v>
      </c>
      <c r="I17" s="206" t="s">
        <v>78</v>
      </c>
    </row>
    <row r="18" spans="1:9" s="14" customFormat="1" ht="24">
      <c r="A18" s="206">
        <v>15</v>
      </c>
      <c r="B18" s="26"/>
      <c r="C18" s="125" t="s">
        <v>478</v>
      </c>
      <c r="D18" s="121" t="s">
        <v>493</v>
      </c>
      <c r="E18" s="28" t="s">
        <v>61</v>
      </c>
      <c r="F18" s="28">
        <v>1</v>
      </c>
      <c r="G18" s="35">
        <v>30000</v>
      </c>
      <c r="H18" s="34">
        <f t="shared" si="0"/>
        <v>30000</v>
      </c>
      <c r="I18" s="206" t="s">
        <v>77</v>
      </c>
    </row>
    <row r="19" spans="1:9" s="14" customFormat="1" ht="24">
      <c r="A19" s="206">
        <v>16</v>
      </c>
      <c r="B19" s="26"/>
      <c r="C19" s="341" t="s">
        <v>479</v>
      </c>
      <c r="D19" s="342" t="s">
        <v>74</v>
      </c>
      <c r="E19" s="28" t="s">
        <v>61</v>
      </c>
      <c r="F19" s="28">
        <v>1</v>
      </c>
      <c r="G19" s="198">
        <v>20000</v>
      </c>
      <c r="H19" s="34">
        <f t="shared" si="0"/>
        <v>20000</v>
      </c>
      <c r="I19" s="206" t="s">
        <v>77</v>
      </c>
    </row>
    <row r="20" spans="1:9" s="14" customFormat="1" ht="24">
      <c r="A20" s="206">
        <v>17</v>
      </c>
      <c r="B20" s="26"/>
      <c r="C20" s="125" t="s">
        <v>480</v>
      </c>
      <c r="D20" s="121" t="s">
        <v>494</v>
      </c>
      <c r="E20" s="28" t="s">
        <v>61</v>
      </c>
      <c r="F20" s="28">
        <v>6</v>
      </c>
      <c r="G20" s="35">
        <v>4450</v>
      </c>
      <c r="H20" s="34">
        <f t="shared" si="0"/>
        <v>26700</v>
      </c>
      <c r="I20" s="133" t="s">
        <v>1895</v>
      </c>
    </row>
    <row r="21" spans="1:9" s="14" customFormat="1" ht="24">
      <c r="A21" s="206">
        <v>18</v>
      </c>
      <c r="B21" s="26"/>
      <c r="C21" s="125" t="s">
        <v>481</v>
      </c>
      <c r="D21" s="121" t="s">
        <v>238</v>
      </c>
      <c r="E21" s="28" t="s">
        <v>61</v>
      </c>
      <c r="F21" s="28">
        <v>1</v>
      </c>
      <c r="G21" s="35">
        <v>3000</v>
      </c>
      <c r="H21" s="34">
        <f t="shared" si="0"/>
        <v>3000</v>
      </c>
      <c r="I21" s="133" t="s">
        <v>1895</v>
      </c>
    </row>
    <row r="22" spans="1:9" s="14" customFormat="1" ht="24">
      <c r="A22" s="206">
        <v>19</v>
      </c>
      <c r="B22" s="26"/>
      <c r="C22" s="125" t="s">
        <v>482</v>
      </c>
      <c r="D22" s="121" t="s">
        <v>495</v>
      </c>
      <c r="E22" s="28" t="s">
        <v>61</v>
      </c>
      <c r="F22" s="28">
        <v>7</v>
      </c>
      <c r="G22" s="35">
        <v>3350</v>
      </c>
      <c r="H22" s="34">
        <f t="shared" si="0"/>
        <v>23450</v>
      </c>
      <c r="I22" s="133" t="s">
        <v>1895</v>
      </c>
    </row>
    <row r="23" spans="1:9" s="14" customFormat="1" ht="24">
      <c r="A23" s="328">
        <v>20</v>
      </c>
      <c r="B23" s="87">
        <v>21274</v>
      </c>
      <c r="C23" s="190" t="s">
        <v>483</v>
      </c>
      <c r="D23" s="89" t="s">
        <v>1887</v>
      </c>
      <c r="E23" s="343" t="s">
        <v>61</v>
      </c>
      <c r="F23" s="64">
        <v>1</v>
      </c>
      <c r="G23" s="344">
        <v>899700</v>
      </c>
      <c r="H23" s="34">
        <f t="shared" si="0"/>
        <v>899700</v>
      </c>
      <c r="I23" s="133" t="s">
        <v>1895</v>
      </c>
    </row>
    <row r="24" spans="1:9" ht="24">
      <c r="A24" s="91"/>
      <c r="B24" s="91"/>
      <c r="C24" s="345"/>
      <c r="D24" s="269" t="s">
        <v>496</v>
      </c>
      <c r="E24" s="91"/>
      <c r="F24" s="65">
        <v>1</v>
      </c>
      <c r="G24" s="91"/>
      <c r="H24" s="91"/>
      <c r="I24" s="134"/>
    </row>
    <row r="25" spans="1:9" ht="24">
      <c r="A25" s="91"/>
      <c r="B25" s="91"/>
      <c r="C25" s="345"/>
      <c r="D25" s="269" t="s">
        <v>497</v>
      </c>
      <c r="E25" s="91"/>
      <c r="F25" s="65">
        <v>1</v>
      </c>
      <c r="G25" s="91"/>
      <c r="H25" s="91"/>
      <c r="I25" s="134"/>
    </row>
    <row r="26" spans="1:9" ht="24">
      <c r="A26" s="91"/>
      <c r="B26" s="91"/>
      <c r="C26" s="345"/>
      <c r="D26" s="269" t="s">
        <v>498</v>
      </c>
      <c r="E26" s="91"/>
      <c r="F26" s="65">
        <v>1</v>
      </c>
      <c r="G26" s="91"/>
      <c r="H26" s="91"/>
      <c r="I26" s="134"/>
    </row>
    <row r="27" spans="1:9" ht="24">
      <c r="A27" s="91"/>
      <c r="B27" s="91"/>
      <c r="C27" s="345"/>
      <c r="D27" s="269" t="s">
        <v>499</v>
      </c>
      <c r="E27" s="91"/>
      <c r="F27" s="65">
        <v>1</v>
      </c>
      <c r="G27" s="91"/>
      <c r="H27" s="91"/>
      <c r="I27" s="134"/>
    </row>
    <row r="28" spans="1:9" ht="24">
      <c r="A28" s="91"/>
      <c r="B28" s="91"/>
      <c r="C28" s="345"/>
      <c r="D28" s="269" t="s">
        <v>500</v>
      </c>
      <c r="E28" s="91"/>
      <c r="F28" s="65">
        <v>41</v>
      </c>
      <c r="G28" s="91"/>
      <c r="H28" s="91"/>
      <c r="I28" s="134"/>
    </row>
    <row r="29" spans="1:9" ht="24">
      <c r="A29" s="91"/>
      <c r="B29" s="91"/>
      <c r="C29" s="345"/>
      <c r="D29" s="346" t="s">
        <v>501</v>
      </c>
      <c r="E29" s="91"/>
      <c r="F29" s="65">
        <v>1</v>
      </c>
      <c r="G29" s="91"/>
      <c r="H29" s="91"/>
      <c r="I29" s="134"/>
    </row>
    <row r="30" spans="1:9" ht="24">
      <c r="A30" s="91"/>
      <c r="B30" s="91"/>
      <c r="C30" s="345"/>
      <c r="D30" s="269" t="s">
        <v>502</v>
      </c>
      <c r="E30" s="91"/>
      <c r="F30" s="65">
        <v>1</v>
      </c>
      <c r="G30" s="91"/>
      <c r="H30" s="91"/>
      <c r="I30" s="134"/>
    </row>
    <row r="31" spans="1:9" ht="24">
      <c r="A31" s="91"/>
      <c r="B31" s="91"/>
      <c r="C31" s="345"/>
      <c r="D31" s="346" t="s">
        <v>503</v>
      </c>
      <c r="E31" s="91"/>
      <c r="F31" s="65">
        <v>1</v>
      </c>
      <c r="G31" s="91"/>
      <c r="H31" s="91"/>
      <c r="I31" s="134"/>
    </row>
    <row r="32" spans="1:9" ht="24">
      <c r="A32" s="91"/>
      <c r="B32" s="91"/>
      <c r="C32" s="345"/>
      <c r="D32" s="269" t="s">
        <v>504</v>
      </c>
      <c r="E32" s="91"/>
      <c r="F32" s="65">
        <v>40</v>
      </c>
      <c r="G32" s="91"/>
      <c r="H32" s="91"/>
      <c r="I32" s="134"/>
    </row>
    <row r="33" spans="1:9" ht="24">
      <c r="A33" s="91"/>
      <c r="B33" s="91"/>
      <c r="C33" s="345"/>
      <c r="D33" s="269" t="s">
        <v>505</v>
      </c>
      <c r="E33" s="91"/>
      <c r="F33" s="65">
        <v>1</v>
      </c>
      <c r="G33" s="91"/>
      <c r="H33" s="91"/>
      <c r="I33" s="134"/>
    </row>
    <row r="34" spans="1:9" ht="24">
      <c r="A34" s="91"/>
      <c r="B34" s="91"/>
      <c r="C34" s="345"/>
      <c r="D34" s="347" t="s">
        <v>506</v>
      </c>
      <c r="E34" s="91"/>
      <c r="F34" s="64">
        <v>1</v>
      </c>
      <c r="G34" s="91"/>
      <c r="H34" s="91"/>
      <c r="I34" s="134"/>
    </row>
    <row r="35" spans="1:9" ht="24">
      <c r="A35" s="91"/>
      <c r="B35" s="91"/>
      <c r="C35" s="345"/>
      <c r="D35" s="269" t="s">
        <v>1888</v>
      </c>
      <c r="E35" s="91"/>
      <c r="F35" s="64">
        <v>1</v>
      </c>
      <c r="G35" s="91"/>
      <c r="H35" s="91"/>
      <c r="I35" s="134"/>
    </row>
    <row r="36" spans="1:9" ht="24">
      <c r="A36" s="91"/>
      <c r="B36" s="91"/>
      <c r="C36" s="345"/>
      <c r="D36" s="269" t="s">
        <v>507</v>
      </c>
      <c r="E36" s="91"/>
      <c r="F36" s="64">
        <v>1</v>
      </c>
      <c r="G36" s="91"/>
      <c r="H36" s="91"/>
      <c r="I36" s="134"/>
    </row>
    <row r="37" spans="1:9" ht="24">
      <c r="A37" s="91"/>
      <c r="B37" s="91"/>
      <c r="C37" s="345"/>
      <c r="D37" s="269" t="s">
        <v>508</v>
      </c>
      <c r="E37" s="91"/>
      <c r="F37" s="64">
        <v>1</v>
      </c>
      <c r="G37" s="91"/>
      <c r="H37" s="91"/>
      <c r="I37" s="134"/>
    </row>
    <row r="38" spans="1:9" ht="24">
      <c r="A38" s="91"/>
      <c r="B38" s="91"/>
      <c r="C38" s="345"/>
      <c r="D38" s="269" t="s">
        <v>1889</v>
      </c>
      <c r="E38" s="91"/>
      <c r="F38" s="64">
        <v>1</v>
      </c>
      <c r="G38" s="91"/>
      <c r="H38" s="91"/>
      <c r="I38" s="134"/>
    </row>
    <row r="39" spans="1:9" ht="24">
      <c r="A39" s="91"/>
      <c r="B39" s="91"/>
      <c r="C39" s="345"/>
      <c r="D39" s="269" t="s">
        <v>509</v>
      </c>
      <c r="E39" s="91"/>
      <c r="F39" s="64">
        <v>1</v>
      </c>
      <c r="G39" s="91"/>
      <c r="H39" s="91"/>
      <c r="I39" s="134"/>
    </row>
    <row r="40" spans="1:9" s="14" customFormat="1" ht="24">
      <c r="A40" s="358" t="s">
        <v>465</v>
      </c>
      <c r="B40" s="359"/>
      <c r="C40" s="359"/>
      <c r="D40" s="359"/>
      <c r="E40" s="360"/>
      <c r="F40" s="26"/>
      <c r="G40" s="244"/>
      <c r="H40" s="244">
        <f>SUM(H5:H39)</f>
        <v>1225060.5</v>
      </c>
      <c r="I40" s="82"/>
    </row>
    <row r="41" spans="1:9" s="14" customFormat="1" ht="24">
      <c r="A41" s="330"/>
      <c r="B41" s="330"/>
      <c r="C41" s="330"/>
      <c r="D41" s="330"/>
      <c r="E41" s="330"/>
      <c r="F41" s="53"/>
      <c r="G41" s="255"/>
      <c r="H41" s="255"/>
      <c r="I41" s="252"/>
    </row>
    <row r="42" spans="1:9" ht="26.25" customHeight="1"/>
    <row r="43" spans="1:9" ht="24">
      <c r="F43" s="353" t="s">
        <v>1663</v>
      </c>
      <c r="G43" s="353"/>
      <c r="H43" s="353"/>
      <c r="I43" s="353"/>
    </row>
    <row r="44" spans="1:9" ht="24">
      <c r="F44" s="353" t="s">
        <v>511</v>
      </c>
      <c r="G44" s="353"/>
      <c r="H44" s="353"/>
      <c r="I44" s="353"/>
    </row>
    <row r="45" spans="1:9" ht="24">
      <c r="F45" s="353" t="s">
        <v>226</v>
      </c>
      <c r="G45" s="353"/>
      <c r="H45" s="353"/>
      <c r="I45" s="353"/>
    </row>
    <row r="46" spans="1:9" s="14" customFormat="1" ht="24">
      <c r="C46" s="233"/>
      <c r="I46" s="329"/>
    </row>
    <row r="47" spans="1:9" s="14" customFormat="1" ht="24">
      <c r="C47" s="233"/>
      <c r="I47" s="329"/>
    </row>
    <row r="48" spans="1:9" s="14" customFormat="1" ht="24">
      <c r="C48" s="233"/>
      <c r="I48" s="329"/>
    </row>
    <row r="49" spans="3:9" s="14" customFormat="1" ht="24">
      <c r="C49" s="233"/>
      <c r="I49" s="329"/>
    </row>
    <row r="50" spans="3:9" s="14" customFormat="1" ht="24">
      <c r="C50" s="233"/>
      <c r="I50" s="329"/>
    </row>
    <row r="51" spans="3:9" s="14" customFormat="1" ht="24">
      <c r="C51" s="233"/>
      <c r="I51" s="329"/>
    </row>
    <row r="52" spans="3:9" s="14" customFormat="1" ht="24">
      <c r="C52" s="233"/>
      <c r="I52" s="329"/>
    </row>
    <row r="53" spans="3:9" s="14" customFormat="1" ht="24">
      <c r="C53" s="233"/>
      <c r="I53" s="329"/>
    </row>
    <row r="54" spans="3:9" s="14" customFormat="1" ht="24">
      <c r="C54" s="233"/>
      <c r="I54" s="329"/>
    </row>
    <row r="55" spans="3:9" s="14" customFormat="1" ht="24">
      <c r="C55" s="233"/>
      <c r="I55" s="329"/>
    </row>
    <row r="56" spans="3:9" s="14" customFormat="1" ht="24">
      <c r="C56" s="233"/>
      <c r="I56" s="329"/>
    </row>
    <row r="57" spans="3:9" s="14" customFormat="1" ht="24">
      <c r="C57" s="233"/>
      <c r="I57" s="329"/>
    </row>
    <row r="58" spans="3:9" s="14" customFormat="1" ht="24">
      <c r="C58" s="233"/>
      <c r="I58" s="329"/>
    </row>
    <row r="59" spans="3:9" s="14" customFormat="1" ht="24">
      <c r="C59" s="233"/>
      <c r="I59" s="329"/>
    </row>
    <row r="60" spans="3:9" s="14" customFormat="1" ht="24">
      <c r="C60" s="233"/>
      <c r="I60" s="329"/>
    </row>
    <row r="61" spans="3:9" s="14" customFormat="1" ht="24">
      <c r="C61" s="233"/>
      <c r="I61" s="329"/>
    </row>
    <row r="62" spans="3:9" s="14" customFormat="1" ht="24">
      <c r="C62" s="233"/>
      <c r="I62" s="329"/>
    </row>
    <row r="63" spans="3:9" s="14" customFormat="1" ht="24">
      <c r="C63" s="233"/>
      <c r="I63" s="329"/>
    </row>
    <row r="64" spans="3:9" s="14" customFormat="1" ht="24">
      <c r="C64" s="233"/>
      <c r="I64" s="329"/>
    </row>
    <row r="65" spans="3:9" s="14" customFormat="1" ht="24">
      <c r="C65" s="233"/>
      <c r="I65" s="329"/>
    </row>
    <row r="66" spans="3:9" s="14" customFormat="1" ht="24">
      <c r="C66" s="233"/>
      <c r="I66" s="329"/>
    </row>
    <row r="67" spans="3:9" s="14" customFormat="1" ht="24">
      <c r="C67" s="233"/>
      <c r="I67" s="329"/>
    </row>
    <row r="68" spans="3:9" s="14" customFormat="1" ht="24">
      <c r="C68" s="233"/>
      <c r="I68" s="329"/>
    </row>
    <row r="69" spans="3:9" s="14" customFormat="1" ht="24">
      <c r="C69" s="233"/>
      <c r="I69" s="329"/>
    </row>
    <row r="70" spans="3:9" s="14" customFormat="1" ht="24">
      <c r="C70" s="233"/>
      <c r="I70" s="329"/>
    </row>
    <row r="71" spans="3:9" s="14" customFormat="1" ht="24">
      <c r="C71" s="233"/>
      <c r="I71" s="329"/>
    </row>
    <row r="72" spans="3:9" s="14" customFormat="1" ht="24">
      <c r="C72" s="233"/>
      <c r="I72" s="329"/>
    </row>
    <row r="73" spans="3:9" s="14" customFormat="1" ht="24">
      <c r="C73" s="233"/>
      <c r="I73" s="329"/>
    </row>
    <row r="74" spans="3:9" s="14" customFormat="1" ht="24">
      <c r="C74" s="233"/>
      <c r="I74" s="329"/>
    </row>
    <row r="75" spans="3:9" s="14" customFormat="1" ht="24">
      <c r="C75" s="233"/>
      <c r="I75" s="329"/>
    </row>
    <row r="76" spans="3:9" s="14" customFormat="1" ht="24">
      <c r="C76" s="233"/>
      <c r="I76" s="329"/>
    </row>
    <row r="77" spans="3:9" s="14" customFormat="1" ht="24">
      <c r="C77" s="233"/>
      <c r="I77" s="329"/>
    </row>
    <row r="78" spans="3:9" s="14" customFormat="1" ht="24">
      <c r="C78" s="233"/>
      <c r="I78" s="329"/>
    </row>
    <row r="79" spans="3:9" s="14" customFormat="1" ht="24">
      <c r="C79" s="233"/>
      <c r="I79" s="329"/>
    </row>
    <row r="80" spans="3:9" s="14" customFormat="1" ht="24">
      <c r="C80" s="233"/>
      <c r="I80" s="329"/>
    </row>
  </sheetData>
  <mergeCells count="7">
    <mergeCell ref="A1:I1"/>
    <mergeCell ref="A2:I2"/>
    <mergeCell ref="A3:I3"/>
    <mergeCell ref="F45:I45"/>
    <mergeCell ref="A40:E40"/>
    <mergeCell ref="F43:I43"/>
    <mergeCell ref="F44:I44"/>
  </mergeCells>
  <printOptions horizontalCentered="1"/>
  <pageMargins left="0.19685039370078741" right="0" top="0.59055118110236227" bottom="0.19685039370078741" header="0" footer="0"/>
  <pageSetup paperSize="9" scale="7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43"/>
  <sheetViews>
    <sheetView topLeftCell="A31" zoomScaleNormal="100" workbookViewId="0">
      <selection activeCell="K43" sqref="K43"/>
    </sheetView>
  </sheetViews>
  <sheetFormatPr defaultColWidth="9" defaultRowHeight="24"/>
  <cols>
    <col min="1" max="1" width="5.5703125" style="14" customWidth="1"/>
    <col min="2" max="2" width="11.42578125" style="14" customWidth="1"/>
    <col min="3" max="3" width="27.85546875" style="14" customWidth="1"/>
    <col min="4" max="4" width="41.85546875" style="14" customWidth="1"/>
    <col min="5" max="5" width="6" style="14" customWidth="1"/>
    <col min="6" max="6" width="6.5703125" style="14" customWidth="1"/>
    <col min="7" max="7" width="11.140625" style="14" customWidth="1"/>
    <col min="8" max="8" width="12.42578125" style="14" customWidth="1"/>
    <col min="9" max="9" width="13.28515625" style="154" customWidth="1"/>
    <col min="10" max="10" width="18.5703125" style="14" customWidth="1"/>
    <col min="11" max="11" width="12.140625" style="14" customWidth="1"/>
    <col min="12" max="16384" width="9" style="14"/>
  </cols>
  <sheetData>
    <row r="1" spans="1:1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1">
      <c r="A2" s="354" t="s">
        <v>127</v>
      </c>
      <c r="B2" s="354"/>
      <c r="C2" s="354"/>
      <c r="D2" s="354"/>
      <c r="E2" s="354"/>
      <c r="F2" s="354"/>
      <c r="G2" s="354"/>
      <c r="H2" s="354"/>
      <c r="I2" s="354"/>
    </row>
    <row r="3" spans="1:1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1" s="200" customFormat="1" ht="38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156"/>
      <c r="K4" s="156"/>
    </row>
    <row r="5" spans="1:11" s="165" customFormat="1" ht="42.75" customHeight="1">
      <c r="A5" s="115">
        <v>1</v>
      </c>
      <c r="B5" s="160"/>
      <c r="C5" s="161" t="s">
        <v>80</v>
      </c>
      <c r="D5" s="161" t="s">
        <v>111</v>
      </c>
      <c r="E5" s="128" t="s">
        <v>61</v>
      </c>
      <c r="F5" s="162">
        <v>2</v>
      </c>
      <c r="G5" s="163">
        <v>2200</v>
      </c>
      <c r="H5" s="163">
        <f>SUM(F5*G5)</f>
        <v>4400</v>
      </c>
      <c r="I5" s="153" t="s">
        <v>1904</v>
      </c>
      <c r="J5" s="164"/>
      <c r="K5" s="164"/>
    </row>
    <row r="6" spans="1:11" s="33" customFormat="1">
      <c r="A6" s="155">
        <v>2</v>
      </c>
      <c r="B6" s="26"/>
      <c r="C6" s="84" t="s">
        <v>81</v>
      </c>
      <c r="D6" s="84" t="s">
        <v>112</v>
      </c>
      <c r="E6" s="28" t="s">
        <v>61</v>
      </c>
      <c r="F6" s="29">
        <v>1</v>
      </c>
      <c r="G6" s="85">
        <v>2250</v>
      </c>
      <c r="H6" s="163">
        <f t="shared" ref="H6:H36" si="0">SUM(F6*G6)</f>
        <v>2250</v>
      </c>
      <c r="I6" s="155" t="s">
        <v>77</v>
      </c>
      <c r="J6" s="53"/>
      <c r="K6" s="53"/>
    </row>
    <row r="7" spans="1:11" s="33" customFormat="1">
      <c r="A7" s="115">
        <v>3</v>
      </c>
      <c r="B7" s="26"/>
      <c r="C7" s="84" t="s">
        <v>82</v>
      </c>
      <c r="D7" s="84" t="s">
        <v>111</v>
      </c>
      <c r="E7" s="28" t="s">
        <v>62</v>
      </c>
      <c r="F7" s="29">
        <v>1</v>
      </c>
      <c r="G7" s="85">
        <v>2600</v>
      </c>
      <c r="H7" s="163">
        <f t="shared" si="0"/>
        <v>2600</v>
      </c>
      <c r="I7" s="155" t="s">
        <v>77</v>
      </c>
      <c r="J7" s="53"/>
      <c r="K7" s="53"/>
    </row>
    <row r="8" spans="1:11" s="33" customFormat="1">
      <c r="A8" s="206">
        <v>4</v>
      </c>
      <c r="B8" s="26"/>
      <c r="C8" s="44" t="s">
        <v>83</v>
      </c>
      <c r="D8" s="45" t="s">
        <v>113</v>
      </c>
      <c r="E8" s="28" t="s">
        <v>62</v>
      </c>
      <c r="F8" s="29">
        <v>1</v>
      </c>
      <c r="G8" s="85">
        <v>24000</v>
      </c>
      <c r="H8" s="163">
        <f t="shared" si="0"/>
        <v>24000</v>
      </c>
      <c r="I8" s="155" t="s">
        <v>77</v>
      </c>
      <c r="J8" s="53"/>
      <c r="K8" s="53"/>
    </row>
    <row r="9" spans="1:11" s="33" customFormat="1">
      <c r="A9" s="115">
        <v>5</v>
      </c>
      <c r="B9" s="26"/>
      <c r="C9" s="44" t="s">
        <v>84</v>
      </c>
      <c r="D9" s="45" t="s">
        <v>56</v>
      </c>
      <c r="E9" s="28" t="s">
        <v>62</v>
      </c>
      <c r="F9" s="29">
        <v>1</v>
      </c>
      <c r="G9" s="85">
        <v>3000</v>
      </c>
      <c r="H9" s="163">
        <f t="shared" si="0"/>
        <v>3000</v>
      </c>
      <c r="I9" s="155" t="s">
        <v>78</v>
      </c>
      <c r="J9" s="53"/>
      <c r="K9" s="53"/>
    </row>
    <row r="10" spans="1:11" s="33" customFormat="1">
      <c r="A10" s="206">
        <v>6</v>
      </c>
      <c r="B10" s="26"/>
      <c r="C10" s="44" t="s">
        <v>85</v>
      </c>
      <c r="D10" s="45" t="s">
        <v>45</v>
      </c>
      <c r="E10" s="28" t="s">
        <v>62</v>
      </c>
      <c r="F10" s="29">
        <v>1</v>
      </c>
      <c r="G10" s="85">
        <v>2900</v>
      </c>
      <c r="H10" s="163">
        <f t="shared" si="0"/>
        <v>2900</v>
      </c>
      <c r="I10" s="155" t="s">
        <v>78</v>
      </c>
      <c r="J10" s="53"/>
      <c r="K10" s="53"/>
    </row>
    <row r="11" spans="1:11" s="33" customFormat="1">
      <c r="A11" s="115">
        <v>7</v>
      </c>
      <c r="B11" s="26"/>
      <c r="C11" s="84" t="s">
        <v>86</v>
      </c>
      <c r="D11" s="84" t="s">
        <v>111</v>
      </c>
      <c r="E11" s="28" t="s">
        <v>62</v>
      </c>
      <c r="F11" s="29">
        <v>1</v>
      </c>
      <c r="G11" s="85">
        <v>3100</v>
      </c>
      <c r="H11" s="163">
        <f t="shared" si="0"/>
        <v>3100</v>
      </c>
      <c r="I11" s="155" t="s">
        <v>78</v>
      </c>
      <c r="J11" s="53"/>
      <c r="K11" s="53"/>
    </row>
    <row r="12" spans="1:11" s="33" customFormat="1">
      <c r="A12" s="206">
        <v>8</v>
      </c>
      <c r="B12" s="26"/>
      <c r="C12" s="84" t="s">
        <v>87</v>
      </c>
      <c r="D12" s="84" t="s">
        <v>114</v>
      </c>
      <c r="E12" s="28" t="s">
        <v>62</v>
      </c>
      <c r="F12" s="29">
        <v>1</v>
      </c>
      <c r="G12" s="85">
        <v>2800</v>
      </c>
      <c r="H12" s="163">
        <f t="shared" si="0"/>
        <v>2800</v>
      </c>
      <c r="I12" s="155" t="s">
        <v>78</v>
      </c>
      <c r="J12" s="53"/>
      <c r="K12" s="53"/>
    </row>
    <row r="13" spans="1:11" s="33" customFormat="1">
      <c r="A13" s="115">
        <v>9</v>
      </c>
      <c r="B13" s="26"/>
      <c r="C13" s="166" t="s">
        <v>88</v>
      </c>
      <c r="D13" s="166" t="s">
        <v>115</v>
      </c>
      <c r="E13" s="28" t="s">
        <v>62</v>
      </c>
      <c r="F13" s="29">
        <v>1</v>
      </c>
      <c r="G13" s="167">
        <v>7000</v>
      </c>
      <c r="H13" s="163">
        <f t="shared" si="0"/>
        <v>7000</v>
      </c>
      <c r="I13" s="155" t="s">
        <v>77</v>
      </c>
      <c r="J13" s="53"/>
      <c r="K13" s="53"/>
    </row>
    <row r="14" spans="1:11" s="33" customFormat="1">
      <c r="A14" s="206">
        <v>10</v>
      </c>
      <c r="B14" s="26"/>
      <c r="C14" s="44" t="s">
        <v>89</v>
      </c>
      <c r="D14" s="45" t="s">
        <v>113</v>
      </c>
      <c r="E14" s="28" t="s">
        <v>62</v>
      </c>
      <c r="F14" s="29">
        <v>1</v>
      </c>
      <c r="G14" s="85">
        <v>17300</v>
      </c>
      <c r="H14" s="163">
        <f t="shared" si="0"/>
        <v>17300</v>
      </c>
      <c r="I14" s="155" t="s">
        <v>77</v>
      </c>
      <c r="J14" s="53"/>
      <c r="K14" s="53"/>
    </row>
    <row r="15" spans="1:11" s="33" customFormat="1">
      <c r="A15" s="115">
        <v>11</v>
      </c>
      <c r="B15" s="26"/>
      <c r="C15" s="44" t="s">
        <v>90</v>
      </c>
      <c r="D15" s="45" t="s">
        <v>116</v>
      </c>
      <c r="E15" s="28" t="s">
        <v>62</v>
      </c>
      <c r="F15" s="29">
        <v>1</v>
      </c>
      <c r="G15" s="85">
        <v>1700</v>
      </c>
      <c r="H15" s="163">
        <f t="shared" si="0"/>
        <v>1700</v>
      </c>
      <c r="I15" s="155" t="s">
        <v>77</v>
      </c>
      <c r="J15" s="53"/>
      <c r="K15" s="53"/>
    </row>
    <row r="16" spans="1:11" s="33" customFormat="1">
      <c r="A16" s="206">
        <v>12</v>
      </c>
      <c r="B16" s="26"/>
      <c r="C16" s="44" t="s">
        <v>91</v>
      </c>
      <c r="D16" s="45" t="s">
        <v>117</v>
      </c>
      <c r="E16" s="28" t="s">
        <v>62</v>
      </c>
      <c r="F16" s="29">
        <v>4</v>
      </c>
      <c r="G16" s="85">
        <v>3200</v>
      </c>
      <c r="H16" s="163">
        <f t="shared" si="0"/>
        <v>12800</v>
      </c>
      <c r="I16" s="155" t="s">
        <v>1829</v>
      </c>
      <c r="J16" s="53"/>
      <c r="K16" s="53"/>
    </row>
    <row r="17" spans="1:11" s="33" customFormat="1">
      <c r="A17" s="115">
        <v>13</v>
      </c>
      <c r="B17" s="26"/>
      <c r="C17" s="44" t="s">
        <v>92</v>
      </c>
      <c r="D17" s="45" t="s">
        <v>118</v>
      </c>
      <c r="E17" s="28" t="s">
        <v>62</v>
      </c>
      <c r="F17" s="29">
        <v>1</v>
      </c>
      <c r="G17" s="85">
        <v>3200</v>
      </c>
      <c r="H17" s="163">
        <f t="shared" si="0"/>
        <v>3200</v>
      </c>
      <c r="I17" s="155" t="s">
        <v>1829</v>
      </c>
      <c r="J17" s="53"/>
      <c r="K17" s="53"/>
    </row>
    <row r="18" spans="1:11" s="33" customFormat="1">
      <c r="A18" s="206">
        <v>14</v>
      </c>
      <c r="B18" s="168"/>
      <c r="C18" s="166" t="s">
        <v>93</v>
      </c>
      <c r="D18" s="169" t="s">
        <v>1866</v>
      </c>
      <c r="E18" s="170" t="s">
        <v>62</v>
      </c>
      <c r="F18" s="171">
        <v>1</v>
      </c>
      <c r="G18" s="167">
        <v>7400</v>
      </c>
      <c r="H18" s="163">
        <f t="shared" si="0"/>
        <v>7400</v>
      </c>
      <c r="I18" s="172" t="s">
        <v>1829</v>
      </c>
      <c r="J18" s="53"/>
      <c r="K18" s="53"/>
    </row>
    <row r="19" spans="1:11" s="33" customFormat="1">
      <c r="A19" s="115">
        <v>15</v>
      </c>
      <c r="B19" s="26"/>
      <c r="C19" s="44" t="s">
        <v>94</v>
      </c>
      <c r="D19" s="45" t="s">
        <v>1867</v>
      </c>
      <c r="E19" s="60" t="s">
        <v>62</v>
      </c>
      <c r="F19" s="29">
        <v>1</v>
      </c>
      <c r="G19" s="85">
        <v>9800</v>
      </c>
      <c r="H19" s="163">
        <f t="shared" si="0"/>
        <v>9800</v>
      </c>
      <c r="I19" s="155" t="s">
        <v>77</v>
      </c>
      <c r="J19" s="53"/>
      <c r="K19" s="53"/>
    </row>
    <row r="20" spans="1:11" s="33" customFormat="1">
      <c r="A20" s="206">
        <v>16</v>
      </c>
      <c r="B20" s="26"/>
      <c r="C20" s="44" t="s">
        <v>95</v>
      </c>
      <c r="D20" s="45" t="s">
        <v>119</v>
      </c>
      <c r="E20" s="155" t="s">
        <v>62</v>
      </c>
      <c r="F20" s="29">
        <v>1</v>
      </c>
      <c r="G20" s="85">
        <v>22000</v>
      </c>
      <c r="H20" s="163">
        <f t="shared" si="0"/>
        <v>22000</v>
      </c>
      <c r="I20" s="155" t="s">
        <v>77</v>
      </c>
      <c r="J20" s="53"/>
      <c r="K20" s="53"/>
    </row>
    <row r="21" spans="1:11" s="33" customFormat="1">
      <c r="A21" s="115">
        <v>17</v>
      </c>
      <c r="B21" s="173"/>
      <c r="C21" s="174" t="s">
        <v>96</v>
      </c>
      <c r="D21" s="175" t="s">
        <v>119</v>
      </c>
      <c r="E21" s="176" t="s">
        <v>62</v>
      </c>
      <c r="F21" s="177">
        <v>1</v>
      </c>
      <c r="G21" s="178">
        <v>26900</v>
      </c>
      <c r="H21" s="163">
        <f t="shared" si="0"/>
        <v>26900</v>
      </c>
      <c r="I21" s="176" t="s">
        <v>78</v>
      </c>
      <c r="J21" s="53"/>
      <c r="K21" s="53"/>
    </row>
    <row r="22" spans="1:11" s="165" customFormat="1" ht="48">
      <c r="A22" s="115">
        <v>18</v>
      </c>
      <c r="B22" s="160"/>
      <c r="C22" s="179" t="s">
        <v>97</v>
      </c>
      <c r="D22" s="180" t="s">
        <v>1868</v>
      </c>
      <c r="E22" s="115" t="s">
        <v>62</v>
      </c>
      <c r="F22" s="162">
        <v>2</v>
      </c>
      <c r="G22" s="181">
        <v>7000</v>
      </c>
      <c r="H22" s="163">
        <f t="shared" si="0"/>
        <v>14000</v>
      </c>
      <c r="I22" s="153" t="s">
        <v>1901</v>
      </c>
      <c r="J22" s="164"/>
      <c r="K22" s="164"/>
    </row>
    <row r="23" spans="1:11" s="33" customFormat="1">
      <c r="A23" s="115">
        <v>19</v>
      </c>
      <c r="B23" s="82"/>
      <c r="C23" s="44" t="s">
        <v>98</v>
      </c>
      <c r="D23" s="5" t="s">
        <v>1668</v>
      </c>
      <c r="E23" s="155" t="s">
        <v>62</v>
      </c>
      <c r="F23" s="29">
        <v>1</v>
      </c>
      <c r="G23" s="85">
        <v>93400</v>
      </c>
      <c r="H23" s="163">
        <f t="shared" si="0"/>
        <v>93400</v>
      </c>
      <c r="I23" s="155" t="s">
        <v>77</v>
      </c>
      <c r="J23" s="53"/>
      <c r="K23" s="53"/>
    </row>
    <row r="24" spans="1:11" s="189" customFormat="1" ht="45" customHeight="1">
      <c r="A24" s="115">
        <v>20</v>
      </c>
      <c r="B24" s="182"/>
      <c r="C24" s="183" t="s">
        <v>99</v>
      </c>
      <c r="D24" s="184" t="s">
        <v>120</v>
      </c>
      <c r="E24" s="185" t="s">
        <v>61</v>
      </c>
      <c r="F24" s="162">
        <v>3</v>
      </c>
      <c r="G24" s="186">
        <v>3200</v>
      </c>
      <c r="H24" s="163">
        <f t="shared" si="0"/>
        <v>9600</v>
      </c>
      <c r="I24" s="187" t="s">
        <v>1905</v>
      </c>
      <c r="J24" s="188"/>
      <c r="K24" s="188"/>
    </row>
    <row r="25" spans="1:11" s="33" customFormat="1">
      <c r="A25" s="115">
        <v>21</v>
      </c>
      <c r="B25" s="82"/>
      <c r="C25" s="44" t="s">
        <v>100</v>
      </c>
      <c r="D25" s="45" t="s">
        <v>45</v>
      </c>
      <c r="E25" s="155" t="s">
        <v>61</v>
      </c>
      <c r="F25" s="29">
        <v>1</v>
      </c>
      <c r="G25" s="85">
        <v>3000</v>
      </c>
      <c r="H25" s="163">
        <f t="shared" si="0"/>
        <v>3000</v>
      </c>
      <c r="I25" s="155" t="s">
        <v>78</v>
      </c>
      <c r="J25" s="53"/>
      <c r="K25" s="53"/>
    </row>
    <row r="26" spans="1:11" s="33" customFormat="1">
      <c r="A26" s="206">
        <v>22</v>
      </c>
      <c r="B26" s="82"/>
      <c r="C26" s="44" t="s">
        <v>101</v>
      </c>
      <c r="D26" s="45" t="s">
        <v>111</v>
      </c>
      <c r="E26" s="155" t="s">
        <v>61</v>
      </c>
      <c r="F26" s="29">
        <v>5</v>
      </c>
      <c r="G26" s="85">
        <v>3000</v>
      </c>
      <c r="H26" s="163">
        <f t="shared" si="0"/>
        <v>15000</v>
      </c>
      <c r="I26" s="155" t="s">
        <v>78</v>
      </c>
      <c r="J26" s="53"/>
      <c r="K26" s="53"/>
    </row>
    <row r="27" spans="1:11" s="33" customFormat="1">
      <c r="A27" s="115">
        <v>23</v>
      </c>
      <c r="B27" s="82"/>
      <c r="C27" s="44" t="s">
        <v>102</v>
      </c>
      <c r="D27" s="45" t="s">
        <v>121</v>
      </c>
      <c r="E27" s="155" t="s">
        <v>61</v>
      </c>
      <c r="F27" s="29">
        <v>1</v>
      </c>
      <c r="G27" s="85">
        <v>900</v>
      </c>
      <c r="H27" s="163">
        <f t="shared" si="0"/>
        <v>900</v>
      </c>
      <c r="I27" s="155" t="s">
        <v>77</v>
      </c>
      <c r="J27" s="53"/>
      <c r="K27" s="53"/>
    </row>
    <row r="28" spans="1:11" s="33" customFormat="1">
      <c r="A28" s="206">
        <v>24</v>
      </c>
      <c r="B28" s="82"/>
      <c r="C28" s="44" t="s">
        <v>103</v>
      </c>
      <c r="D28" s="45" t="s">
        <v>122</v>
      </c>
      <c r="E28" s="155" t="s">
        <v>61</v>
      </c>
      <c r="F28" s="29">
        <v>1</v>
      </c>
      <c r="G28" s="85">
        <v>1100</v>
      </c>
      <c r="H28" s="163">
        <f t="shared" si="0"/>
        <v>1100</v>
      </c>
      <c r="I28" s="155" t="s">
        <v>77</v>
      </c>
      <c r="J28" s="53"/>
      <c r="K28" s="53"/>
    </row>
    <row r="29" spans="1:11" s="33" customFormat="1">
      <c r="A29" s="115">
        <v>25</v>
      </c>
      <c r="B29" s="82"/>
      <c r="C29" s="27" t="s">
        <v>104</v>
      </c>
      <c r="D29" s="13" t="s">
        <v>72</v>
      </c>
      <c r="E29" s="155" t="s">
        <v>61</v>
      </c>
      <c r="F29" s="29">
        <v>1</v>
      </c>
      <c r="G29" s="35">
        <v>5350</v>
      </c>
      <c r="H29" s="163">
        <f t="shared" si="0"/>
        <v>5350</v>
      </c>
      <c r="I29" s="155" t="s">
        <v>77</v>
      </c>
      <c r="J29" s="53"/>
      <c r="K29" s="53"/>
    </row>
    <row r="30" spans="1:11" s="33" customFormat="1">
      <c r="A30" s="206">
        <v>26</v>
      </c>
      <c r="B30" s="82"/>
      <c r="C30" s="44" t="s">
        <v>105</v>
      </c>
      <c r="D30" s="44" t="s">
        <v>73</v>
      </c>
      <c r="E30" s="155" t="s">
        <v>61</v>
      </c>
      <c r="F30" s="29">
        <v>1</v>
      </c>
      <c r="G30" s="34">
        <v>2590</v>
      </c>
      <c r="H30" s="163">
        <f t="shared" si="0"/>
        <v>2590</v>
      </c>
      <c r="I30" s="155" t="s">
        <v>77</v>
      </c>
      <c r="J30" s="53"/>
      <c r="K30" s="53"/>
    </row>
    <row r="31" spans="1:11" s="33" customFormat="1">
      <c r="A31" s="115">
        <v>27</v>
      </c>
      <c r="B31" s="82"/>
      <c r="C31" s="27" t="s">
        <v>106</v>
      </c>
      <c r="D31" s="13" t="s">
        <v>74</v>
      </c>
      <c r="E31" s="155" t="s">
        <v>61</v>
      </c>
      <c r="F31" s="29">
        <v>1</v>
      </c>
      <c r="G31" s="35">
        <v>17000</v>
      </c>
      <c r="H31" s="163">
        <f t="shared" si="0"/>
        <v>17000</v>
      </c>
      <c r="I31" s="155" t="s">
        <v>78</v>
      </c>
      <c r="J31" s="53"/>
      <c r="K31" s="53"/>
    </row>
    <row r="32" spans="1:11" s="33" customFormat="1">
      <c r="A32" s="206">
        <v>28</v>
      </c>
      <c r="B32" s="87">
        <v>21350</v>
      </c>
      <c r="C32" s="27" t="s">
        <v>107</v>
      </c>
      <c r="D32" s="13" t="s">
        <v>123</v>
      </c>
      <c r="E32" s="155" t="s">
        <v>62</v>
      </c>
      <c r="F32" s="29">
        <v>1</v>
      </c>
      <c r="G32" s="35">
        <v>19900</v>
      </c>
      <c r="H32" s="163">
        <f t="shared" si="0"/>
        <v>19900</v>
      </c>
      <c r="I32" s="155" t="s">
        <v>78</v>
      </c>
      <c r="J32" s="53"/>
      <c r="K32" s="53"/>
    </row>
    <row r="33" spans="1:11" s="33" customFormat="1">
      <c r="A33" s="115">
        <v>29</v>
      </c>
      <c r="B33" s="87">
        <v>21323</v>
      </c>
      <c r="C33" s="27" t="s">
        <v>108</v>
      </c>
      <c r="D33" s="13" t="s">
        <v>124</v>
      </c>
      <c r="E33" s="155" t="s">
        <v>62</v>
      </c>
      <c r="F33" s="29">
        <v>1</v>
      </c>
      <c r="G33" s="35">
        <v>47800</v>
      </c>
      <c r="H33" s="163">
        <f t="shared" si="0"/>
        <v>47800</v>
      </c>
      <c r="I33" s="155" t="s">
        <v>78</v>
      </c>
      <c r="J33" s="53"/>
      <c r="K33" s="53"/>
    </row>
    <row r="34" spans="1:11" s="33" customFormat="1">
      <c r="A34" s="206">
        <v>30</v>
      </c>
      <c r="B34" s="88">
        <v>22057</v>
      </c>
      <c r="C34" s="191" t="s">
        <v>110</v>
      </c>
      <c r="D34" s="92" t="s">
        <v>126</v>
      </c>
      <c r="E34" s="90" t="s">
        <v>62</v>
      </c>
      <c r="F34" s="65">
        <v>1</v>
      </c>
      <c r="G34" s="66">
        <v>29500</v>
      </c>
      <c r="H34" s="163">
        <f t="shared" si="0"/>
        <v>29500</v>
      </c>
      <c r="I34" s="155" t="s">
        <v>78</v>
      </c>
      <c r="J34" s="53"/>
      <c r="K34" s="53"/>
    </row>
    <row r="35" spans="1:11" s="33" customFormat="1">
      <c r="A35" s="115">
        <v>31</v>
      </c>
      <c r="B35" s="88">
        <v>22626</v>
      </c>
      <c r="C35" s="190" t="s">
        <v>1694</v>
      </c>
      <c r="D35" s="89" t="s">
        <v>1695</v>
      </c>
      <c r="E35" s="90" t="s">
        <v>62</v>
      </c>
      <c r="F35" s="65">
        <v>1</v>
      </c>
      <c r="G35" s="66">
        <v>14900</v>
      </c>
      <c r="H35" s="163">
        <f t="shared" si="0"/>
        <v>14900</v>
      </c>
      <c r="I35" s="155" t="s">
        <v>78</v>
      </c>
      <c r="J35" s="53"/>
      <c r="K35" s="53"/>
    </row>
    <row r="36" spans="1:11" s="33" customFormat="1">
      <c r="A36" s="206">
        <v>32</v>
      </c>
      <c r="B36" s="88">
        <v>23279</v>
      </c>
      <c r="C36" s="190" t="s">
        <v>1793</v>
      </c>
      <c r="D36" s="89" t="s">
        <v>1794</v>
      </c>
      <c r="E36" s="90" t="s">
        <v>62</v>
      </c>
      <c r="F36" s="65">
        <v>3</v>
      </c>
      <c r="G36" s="66">
        <v>5240</v>
      </c>
      <c r="H36" s="163">
        <f t="shared" si="0"/>
        <v>15720</v>
      </c>
      <c r="I36" s="155" t="s">
        <v>78</v>
      </c>
      <c r="J36" s="53"/>
      <c r="K36" s="53"/>
    </row>
    <row r="37" spans="1:11">
      <c r="A37" s="369" t="s">
        <v>1906</v>
      </c>
      <c r="B37" s="370"/>
      <c r="C37" s="370"/>
      <c r="D37" s="370"/>
      <c r="E37" s="371"/>
      <c r="F37" s="47"/>
      <c r="G37" s="48"/>
      <c r="H37" s="48">
        <f>SUM(H5:H36)</f>
        <v>442910</v>
      </c>
      <c r="I37" s="155"/>
      <c r="J37" s="53"/>
      <c r="K37" s="53"/>
    </row>
    <row r="38" spans="1:11">
      <c r="A38" s="157"/>
      <c r="B38" s="157"/>
      <c r="C38" s="157"/>
      <c r="D38" s="157"/>
      <c r="E38" s="157"/>
      <c r="F38" s="193"/>
      <c r="G38" s="69"/>
      <c r="H38" s="69"/>
      <c r="I38" s="157"/>
      <c r="J38" s="53"/>
      <c r="K38" s="53"/>
    </row>
    <row r="39" spans="1:11" ht="25.5" customHeight="1">
      <c r="E39" s="353" t="s">
        <v>1652</v>
      </c>
      <c r="F39" s="353"/>
      <c r="G39" s="353"/>
      <c r="H39" s="353"/>
      <c r="I39" s="353"/>
      <c r="J39" s="157"/>
      <c r="K39" s="157"/>
    </row>
    <row r="40" spans="1:11" ht="23.25" customHeight="1">
      <c r="E40" s="353" t="s">
        <v>1935</v>
      </c>
      <c r="F40" s="353"/>
      <c r="G40" s="353"/>
      <c r="H40" s="353"/>
      <c r="I40" s="353"/>
      <c r="J40" s="157"/>
      <c r="K40" s="157"/>
    </row>
    <row r="41" spans="1:11">
      <c r="E41" s="353" t="s">
        <v>226</v>
      </c>
      <c r="F41" s="353"/>
      <c r="G41" s="353"/>
      <c r="H41" s="353"/>
      <c r="I41" s="353"/>
      <c r="J41" s="157"/>
      <c r="K41" s="157"/>
    </row>
    <row r="42" spans="1:11">
      <c r="F42" s="157"/>
      <c r="G42" s="157"/>
      <c r="H42" s="157"/>
      <c r="I42" s="157"/>
      <c r="J42" s="157"/>
      <c r="K42" s="157"/>
    </row>
    <row r="43" spans="1:11">
      <c r="F43" s="157"/>
      <c r="G43" s="157"/>
      <c r="H43" s="157"/>
      <c r="I43" s="157"/>
      <c r="J43" s="157"/>
      <c r="K43" s="157"/>
    </row>
  </sheetData>
  <mergeCells count="7">
    <mergeCell ref="E39:I39"/>
    <mergeCell ref="E40:I40"/>
    <mergeCell ref="E41:I41"/>
    <mergeCell ref="A1:I1"/>
    <mergeCell ref="A2:I2"/>
    <mergeCell ref="A3:I3"/>
    <mergeCell ref="A37:E37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28"/>
  <sheetViews>
    <sheetView topLeftCell="A25" zoomScaleNormal="100" workbookViewId="0">
      <selection activeCell="N37" sqref="N37"/>
    </sheetView>
  </sheetViews>
  <sheetFormatPr defaultColWidth="9" defaultRowHeight="24"/>
  <cols>
    <col min="1" max="1" width="5.42578125" style="14" customWidth="1"/>
    <col min="2" max="2" width="11.5703125" style="14" customWidth="1"/>
    <col min="3" max="3" width="29.5703125" style="14" customWidth="1"/>
    <col min="4" max="4" width="33.5703125" style="14" customWidth="1"/>
    <col min="5" max="5" width="8" style="14" customWidth="1"/>
    <col min="6" max="6" width="7.28515625" style="14" customWidth="1"/>
    <col min="7" max="7" width="12.85546875" style="14" customWidth="1"/>
    <col min="8" max="8" width="14.42578125" style="14" customWidth="1"/>
    <col min="9" max="9" width="12.28515625" style="154" customWidth="1"/>
    <col min="10" max="16384" width="9" style="14"/>
  </cols>
  <sheetData>
    <row r="1" spans="1:9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9">
      <c r="A2" s="354" t="s">
        <v>1654</v>
      </c>
      <c r="B2" s="354"/>
      <c r="C2" s="354"/>
      <c r="D2" s="354"/>
      <c r="E2" s="354"/>
      <c r="F2" s="354"/>
      <c r="G2" s="354"/>
      <c r="H2" s="354"/>
      <c r="I2" s="354"/>
    </row>
    <row r="3" spans="1:9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9" s="200" customFormat="1" ht="43.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</row>
    <row r="5" spans="1:9">
      <c r="A5" s="155">
        <v>1</v>
      </c>
      <c r="B5" s="26"/>
      <c r="C5" s="151" t="s">
        <v>193</v>
      </c>
      <c r="D5" s="93" t="s">
        <v>208</v>
      </c>
      <c r="E5" s="28" t="s">
        <v>61</v>
      </c>
      <c r="F5" s="29">
        <v>1</v>
      </c>
      <c r="G5" s="194">
        <v>2300</v>
      </c>
      <c r="H5" s="194">
        <f>SUM(F5*G5)</f>
        <v>2300</v>
      </c>
      <c r="I5" s="155" t="s">
        <v>78</v>
      </c>
    </row>
    <row r="6" spans="1:9">
      <c r="A6" s="155">
        <v>2</v>
      </c>
      <c r="B6" s="26"/>
      <c r="C6" s="151" t="s">
        <v>194</v>
      </c>
      <c r="D6" s="93" t="s">
        <v>209</v>
      </c>
      <c r="E6" s="28" t="s">
        <v>1825</v>
      </c>
      <c r="F6" s="29">
        <v>1</v>
      </c>
      <c r="G6" s="194">
        <v>29000</v>
      </c>
      <c r="H6" s="194">
        <f t="shared" ref="H6:H23" si="0">SUM(F6*G6)</f>
        <v>29000</v>
      </c>
      <c r="I6" s="155" t="s">
        <v>77</v>
      </c>
    </row>
    <row r="7" spans="1:9">
      <c r="A7" s="155">
        <v>3</v>
      </c>
      <c r="B7" s="26"/>
      <c r="C7" s="31" t="s">
        <v>195</v>
      </c>
      <c r="D7" s="13" t="s">
        <v>210</v>
      </c>
      <c r="E7" s="28" t="s">
        <v>62</v>
      </c>
      <c r="F7" s="29">
        <v>1</v>
      </c>
      <c r="G7" s="195">
        <v>26000</v>
      </c>
      <c r="H7" s="194">
        <f t="shared" si="0"/>
        <v>26000</v>
      </c>
      <c r="I7" s="155" t="s">
        <v>77</v>
      </c>
    </row>
    <row r="8" spans="1:9">
      <c r="A8" s="155">
        <v>4</v>
      </c>
      <c r="B8" s="26"/>
      <c r="C8" s="31" t="s">
        <v>196</v>
      </c>
      <c r="D8" s="13" t="s">
        <v>211</v>
      </c>
      <c r="E8" s="28" t="s">
        <v>62</v>
      </c>
      <c r="F8" s="29">
        <v>1</v>
      </c>
      <c r="G8" s="195">
        <v>2800</v>
      </c>
      <c r="H8" s="194">
        <f t="shared" si="0"/>
        <v>2800</v>
      </c>
      <c r="I8" s="155" t="s">
        <v>78</v>
      </c>
    </row>
    <row r="9" spans="1:9">
      <c r="A9" s="155">
        <v>5</v>
      </c>
      <c r="B9" s="26"/>
      <c r="C9" s="31" t="s">
        <v>197</v>
      </c>
      <c r="D9" s="13" t="s">
        <v>212</v>
      </c>
      <c r="E9" s="28" t="s">
        <v>61</v>
      </c>
      <c r="F9" s="29">
        <v>1</v>
      </c>
      <c r="G9" s="195">
        <v>800</v>
      </c>
      <c r="H9" s="194">
        <f t="shared" si="0"/>
        <v>800</v>
      </c>
      <c r="I9" s="155" t="s">
        <v>77</v>
      </c>
    </row>
    <row r="10" spans="1:9">
      <c r="A10" s="155">
        <v>6</v>
      </c>
      <c r="B10" s="26"/>
      <c r="C10" s="31" t="s">
        <v>198</v>
      </c>
      <c r="D10" s="13" t="s">
        <v>213</v>
      </c>
      <c r="E10" s="28" t="s">
        <v>62</v>
      </c>
      <c r="F10" s="29">
        <v>1</v>
      </c>
      <c r="G10" s="195">
        <v>1700</v>
      </c>
      <c r="H10" s="194">
        <f t="shared" si="0"/>
        <v>1700</v>
      </c>
      <c r="I10" s="155" t="s">
        <v>78</v>
      </c>
    </row>
    <row r="11" spans="1:9">
      <c r="A11" s="155">
        <v>7</v>
      </c>
      <c r="B11" s="26"/>
      <c r="C11" s="31" t="s">
        <v>199</v>
      </c>
      <c r="D11" s="13" t="s">
        <v>214</v>
      </c>
      <c r="E11" s="28" t="s">
        <v>62</v>
      </c>
      <c r="F11" s="29">
        <v>1</v>
      </c>
      <c r="G11" s="195">
        <v>3300</v>
      </c>
      <c r="H11" s="194">
        <f t="shared" si="0"/>
        <v>3300</v>
      </c>
      <c r="I11" s="155" t="s">
        <v>78</v>
      </c>
    </row>
    <row r="12" spans="1:9">
      <c r="A12" s="155">
        <v>8</v>
      </c>
      <c r="B12" s="26"/>
      <c r="C12" s="31" t="s">
        <v>200</v>
      </c>
      <c r="D12" s="13" t="s">
        <v>215</v>
      </c>
      <c r="E12" s="28" t="s">
        <v>62</v>
      </c>
      <c r="F12" s="29">
        <v>1</v>
      </c>
      <c r="G12" s="195">
        <v>17300</v>
      </c>
      <c r="H12" s="194">
        <f t="shared" si="0"/>
        <v>17300</v>
      </c>
      <c r="I12" s="155" t="s">
        <v>78</v>
      </c>
    </row>
    <row r="13" spans="1:9">
      <c r="A13" s="155">
        <v>9</v>
      </c>
      <c r="B13" s="26"/>
      <c r="C13" s="31" t="s">
        <v>201</v>
      </c>
      <c r="D13" s="13" t="s">
        <v>1869</v>
      </c>
      <c r="E13" s="28" t="s">
        <v>1825</v>
      </c>
      <c r="F13" s="29">
        <v>1</v>
      </c>
      <c r="G13" s="195">
        <v>11000</v>
      </c>
      <c r="H13" s="194">
        <f t="shared" si="0"/>
        <v>11000</v>
      </c>
      <c r="I13" s="155" t="s">
        <v>77</v>
      </c>
    </row>
    <row r="14" spans="1:9">
      <c r="A14" s="155">
        <v>10</v>
      </c>
      <c r="B14" s="26"/>
      <c r="C14" s="31" t="s">
        <v>202</v>
      </c>
      <c r="D14" s="13" t="s">
        <v>216</v>
      </c>
      <c r="E14" s="28" t="s">
        <v>61</v>
      </c>
      <c r="F14" s="29">
        <v>1</v>
      </c>
      <c r="G14" s="36">
        <v>3950</v>
      </c>
      <c r="H14" s="194">
        <f t="shared" si="0"/>
        <v>3950</v>
      </c>
      <c r="I14" s="155" t="s">
        <v>78</v>
      </c>
    </row>
    <row r="15" spans="1:9">
      <c r="A15" s="155">
        <v>11</v>
      </c>
      <c r="B15" s="26"/>
      <c r="C15" s="37" t="s">
        <v>203</v>
      </c>
      <c r="D15" s="44" t="s">
        <v>73</v>
      </c>
      <c r="E15" s="28" t="s">
        <v>61</v>
      </c>
      <c r="F15" s="29">
        <v>1</v>
      </c>
      <c r="G15" s="34">
        <v>2590</v>
      </c>
      <c r="H15" s="194">
        <f t="shared" si="0"/>
        <v>2590</v>
      </c>
      <c r="I15" s="155" t="s">
        <v>77</v>
      </c>
    </row>
    <row r="16" spans="1:9">
      <c r="A16" s="155">
        <v>12</v>
      </c>
      <c r="B16" s="26"/>
      <c r="C16" s="31" t="s">
        <v>204</v>
      </c>
      <c r="D16" s="13" t="s">
        <v>74</v>
      </c>
      <c r="E16" s="28" t="s">
        <v>61</v>
      </c>
      <c r="F16" s="29">
        <v>1</v>
      </c>
      <c r="G16" s="35">
        <v>17000</v>
      </c>
      <c r="H16" s="194">
        <f t="shared" si="0"/>
        <v>17000</v>
      </c>
      <c r="I16" s="155" t="s">
        <v>78</v>
      </c>
    </row>
    <row r="17" spans="1:9">
      <c r="A17" s="155">
        <v>13</v>
      </c>
      <c r="B17" s="26"/>
      <c r="C17" s="31" t="s">
        <v>205</v>
      </c>
      <c r="D17" s="13" t="s">
        <v>217</v>
      </c>
      <c r="E17" s="28" t="s">
        <v>61</v>
      </c>
      <c r="F17" s="29">
        <v>1</v>
      </c>
      <c r="G17" s="35">
        <v>4750</v>
      </c>
      <c r="H17" s="194">
        <f t="shared" si="0"/>
        <v>4750</v>
      </c>
      <c r="I17" s="155" t="s">
        <v>77</v>
      </c>
    </row>
    <row r="18" spans="1:9">
      <c r="A18" s="155">
        <v>14</v>
      </c>
      <c r="B18" s="168"/>
      <c r="C18" s="196" t="s">
        <v>206</v>
      </c>
      <c r="D18" s="197" t="s">
        <v>218</v>
      </c>
      <c r="E18" s="170" t="s">
        <v>62</v>
      </c>
      <c r="F18" s="171">
        <v>2</v>
      </c>
      <c r="G18" s="198">
        <v>5400</v>
      </c>
      <c r="H18" s="194">
        <f t="shared" si="0"/>
        <v>10800</v>
      </c>
      <c r="I18" s="172" t="s">
        <v>78</v>
      </c>
    </row>
    <row r="19" spans="1:9">
      <c r="A19" s="155">
        <v>15</v>
      </c>
      <c r="B19" s="94" t="s">
        <v>1716</v>
      </c>
      <c r="C19" s="37" t="s">
        <v>207</v>
      </c>
      <c r="D19" s="44" t="s">
        <v>219</v>
      </c>
      <c r="E19" s="28" t="s">
        <v>62</v>
      </c>
      <c r="F19" s="29">
        <v>1</v>
      </c>
      <c r="G19" s="34">
        <v>6420</v>
      </c>
      <c r="H19" s="194">
        <f t="shared" si="0"/>
        <v>6420</v>
      </c>
      <c r="I19" s="155" t="s">
        <v>77</v>
      </c>
    </row>
    <row r="20" spans="1:9">
      <c r="A20" s="155">
        <v>16</v>
      </c>
      <c r="B20" s="94" t="s">
        <v>223</v>
      </c>
      <c r="C20" s="199" t="s">
        <v>109</v>
      </c>
      <c r="D20" s="44" t="s">
        <v>220</v>
      </c>
      <c r="E20" s="28" t="s">
        <v>1894</v>
      </c>
      <c r="F20" s="29">
        <v>3</v>
      </c>
      <c r="G20" s="34">
        <v>3900</v>
      </c>
      <c r="H20" s="194">
        <f t="shared" si="0"/>
        <v>11700</v>
      </c>
      <c r="I20" s="155" t="s">
        <v>78</v>
      </c>
    </row>
    <row r="21" spans="1:9">
      <c r="A21" s="155">
        <v>17</v>
      </c>
      <c r="B21" s="94" t="s">
        <v>223</v>
      </c>
      <c r="C21" s="151" t="s">
        <v>1715</v>
      </c>
      <c r="D21" s="93" t="s">
        <v>221</v>
      </c>
      <c r="E21" s="28" t="s">
        <v>1894</v>
      </c>
      <c r="F21" s="29">
        <v>4</v>
      </c>
      <c r="G21" s="34">
        <v>2568</v>
      </c>
      <c r="H21" s="194">
        <f t="shared" si="0"/>
        <v>10272</v>
      </c>
      <c r="I21" s="155" t="s">
        <v>77</v>
      </c>
    </row>
    <row r="22" spans="1:9">
      <c r="A22" s="155">
        <v>18</v>
      </c>
      <c r="B22" s="94" t="s">
        <v>224</v>
      </c>
      <c r="C22" s="151" t="s">
        <v>1717</v>
      </c>
      <c r="D22" s="86" t="s">
        <v>222</v>
      </c>
      <c r="E22" s="95" t="s">
        <v>62</v>
      </c>
      <c r="F22" s="29">
        <v>2</v>
      </c>
      <c r="G22" s="34">
        <v>17900</v>
      </c>
      <c r="H22" s="194">
        <f t="shared" si="0"/>
        <v>35800</v>
      </c>
      <c r="I22" s="155" t="s">
        <v>78</v>
      </c>
    </row>
    <row r="23" spans="1:9">
      <c r="A23" s="155">
        <v>19</v>
      </c>
      <c r="B23" s="58">
        <v>22899</v>
      </c>
      <c r="C23" s="151" t="s">
        <v>1765</v>
      </c>
      <c r="D23" s="13" t="s">
        <v>1766</v>
      </c>
      <c r="E23" s="95" t="s">
        <v>62</v>
      </c>
      <c r="F23" s="29">
        <v>1</v>
      </c>
      <c r="G23" s="35">
        <v>9900</v>
      </c>
      <c r="H23" s="194">
        <f t="shared" si="0"/>
        <v>9900</v>
      </c>
      <c r="I23" s="155" t="s">
        <v>78</v>
      </c>
    </row>
    <row r="24" spans="1:9" ht="25.5" customHeight="1">
      <c r="A24" s="369" t="s">
        <v>1906</v>
      </c>
      <c r="B24" s="370"/>
      <c r="C24" s="370"/>
      <c r="D24" s="370"/>
      <c r="E24" s="371"/>
      <c r="F24" s="47"/>
      <c r="G24" s="48"/>
      <c r="H24" s="194">
        <f>SUM(H5:H23)</f>
        <v>207382</v>
      </c>
      <c r="I24" s="155"/>
    </row>
    <row r="25" spans="1:9" ht="31.5" customHeight="1"/>
    <row r="26" spans="1:9">
      <c r="F26" s="353" t="s">
        <v>227</v>
      </c>
      <c r="G26" s="353"/>
      <c r="H26" s="353"/>
      <c r="I26" s="353"/>
    </row>
    <row r="27" spans="1:9">
      <c r="F27" s="353" t="s">
        <v>1936</v>
      </c>
      <c r="G27" s="353"/>
      <c r="H27" s="353"/>
      <c r="I27" s="353"/>
    </row>
    <row r="28" spans="1:9">
      <c r="F28" s="353" t="s">
        <v>226</v>
      </c>
      <c r="G28" s="353"/>
      <c r="H28" s="353"/>
      <c r="I28" s="353"/>
    </row>
  </sheetData>
  <mergeCells count="7">
    <mergeCell ref="F26:I26"/>
    <mergeCell ref="F27:I27"/>
    <mergeCell ref="F28:I28"/>
    <mergeCell ref="A1:I1"/>
    <mergeCell ref="A2:I2"/>
    <mergeCell ref="A3:I3"/>
    <mergeCell ref="A24:E2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56"/>
  <sheetViews>
    <sheetView topLeftCell="A37" workbookViewId="0">
      <selection activeCell="G53" sqref="G53:I53"/>
    </sheetView>
  </sheetViews>
  <sheetFormatPr defaultRowHeight="24"/>
  <cols>
    <col min="1" max="1" width="5.5703125" style="14" customWidth="1"/>
    <col min="2" max="2" width="11.42578125" style="14" customWidth="1"/>
    <col min="3" max="3" width="31.85546875" style="14" customWidth="1"/>
    <col min="4" max="4" width="35.5703125" style="14" customWidth="1"/>
    <col min="5" max="5" width="7.140625" style="14" customWidth="1"/>
    <col min="6" max="6" width="6.42578125" style="14" customWidth="1"/>
    <col min="7" max="7" width="12.42578125" style="14" customWidth="1"/>
    <col min="8" max="8" width="14.28515625" style="14" customWidth="1"/>
    <col min="9" max="9" width="11" style="14" customWidth="1"/>
    <col min="10" max="16384" width="9.140625" style="14"/>
  </cols>
  <sheetData>
    <row r="1" spans="1:9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9">
      <c r="A2" s="354" t="s">
        <v>1908</v>
      </c>
      <c r="B2" s="354"/>
      <c r="C2" s="354"/>
      <c r="D2" s="354"/>
      <c r="E2" s="354"/>
      <c r="F2" s="354"/>
      <c r="G2" s="354"/>
      <c r="H2" s="354"/>
      <c r="I2" s="354"/>
    </row>
    <row r="3" spans="1:9">
      <c r="A3" s="361" t="s">
        <v>1781</v>
      </c>
      <c r="B3" s="361"/>
      <c r="C3" s="361"/>
      <c r="D3" s="361"/>
      <c r="E3" s="361"/>
      <c r="F3" s="361"/>
      <c r="G3" s="361"/>
      <c r="H3" s="361"/>
      <c r="I3" s="361"/>
    </row>
    <row r="4" spans="1:9" ht="42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</row>
    <row r="5" spans="1:9">
      <c r="A5" s="155">
        <v>1</v>
      </c>
      <c r="B5" s="155"/>
      <c r="C5" s="44" t="s">
        <v>4</v>
      </c>
      <c r="D5" s="45" t="s">
        <v>34</v>
      </c>
      <c r="E5" s="28" t="s">
        <v>61</v>
      </c>
      <c r="F5" s="29">
        <v>2</v>
      </c>
      <c r="G5" s="35">
        <v>1495.33</v>
      </c>
      <c r="H5" s="35">
        <f>SUM(F5*G5)</f>
        <v>2990.66</v>
      </c>
      <c r="I5" s="34" t="s">
        <v>77</v>
      </c>
    </row>
    <row r="6" spans="1:9">
      <c r="A6" s="155">
        <v>2</v>
      </c>
      <c r="B6" s="155"/>
      <c r="C6" s="44" t="s">
        <v>5</v>
      </c>
      <c r="D6" s="45" t="s">
        <v>35</v>
      </c>
      <c r="E6" s="28" t="s">
        <v>61</v>
      </c>
      <c r="F6" s="29">
        <v>1</v>
      </c>
      <c r="G6" s="35">
        <v>8600</v>
      </c>
      <c r="H6" s="35">
        <f t="shared" ref="H6:H49" si="0">SUM(F6*G6)</f>
        <v>8600</v>
      </c>
      <c r="I6" s="34" t="s">
        <v>77</v>
      </c>
    </row>
    <row r="7" spans="1:9">
      <c r="A7" s="155">
        <v>3</v>
      </c>
      <c r="B7" s="155"/>
      <c r="C7" s="44" t="s">
        <v>6</v>
      </c>
      <c r="D7" s="45" t="s">
        <v>36</v>
      </c>
      <c r="E7" s="28" t="s">
        <v>61</v>
      </c>
      <c r="F7" s="29">
        <v>1</v>
      </c>
      <c r="G7" s="35">
        <v>8600</v>
      </c>
      <c r="H7" s="35">
        <f t="shared" si="0"/>
        <v>8600</v>
      </c>
      <c r="I7" s="34" t="s">
        <v>77</v>
      </c>
    </row>
    <row r="8" spans="1:9">
      <c r="A8" s="155">
        <v>4</v>
      </c>
      <c r="B8" s="155"/>
      <c r="C8" s="44" t="s">
        <v>7</v>
      </c>
      <c r="D8" s="45" t="s">
        <v>37</v>
      </c>
      <c r="E8" s="28" t="s">
        <v>61</v>
      </c>
      <c r="F8" s="29">
        <v>1</v>
      </c>
      <c r="G8" s="35">
        <v>8000</v>
      </c>
      <c r="H8" s="35">
        <f t="shared" si="0"/>
        <v>8000</v>
      </c>
      <c r="I8" s="34" t="s">
        <v>77</v>
      </c>
    </row>
    <row r="9" spans="1:9">
      <c r="A9" s="155">
        <v>5</v>
      </c>
      <c r="B9" s="155"/>
      <c r="C9" s="44" t="s">
        <v>8</v>
      </c>
      <c r="D9" s="45" t="s">
        <v>38</v>
      </c>
      <c r="E9" s="28" t="s">
        <v>61</v>
      </c>
      <c r="F9" s="29">
        <v>1</v>
      </c>
      <c r="G9" s="35">
        <v>2300</v>
      </c>
      <c r="H9" s="35">
        <f t="shared" si="0"/>
        <v>2300</v>
      </c>
      <c r="I9" s="349" t="s">
        <v>1824</v>
      </c>
    </row>
    <row r="10" spans="1:9">
      <c r="A10" s="155">
        <v>6</v>
      </c>
      <c r="B10" s="58">
        <v>14422</v>
      </c>
      <c r="C10" s="44" t="s">
        <v>9</v>
      </c>
      <c r="D10" s="45" t="s">
        <v>39</v>
      </c>
      <c r="E10" s="28" t="s">
        <v>61</v>
      </c>
      <c r="F10" s="29">
        <v>1</v>
      </c>
      <c r="G10" s="35">
        <v>589000</v>
      </c>
      <c r="H10" s="35">
        <f t="shared" si="0"/>
        <v>589000</v>
      </c>
      <c r="I10" s="349" t="s">
        <v>1824</v>
      </c>
    </row>
    <row r="11" spans="1:9">
      <c r="A11" s="155">
        <v>7</v>
      </c>
      <c r="B11" s="155"/>
      <c r="C11" s="44" t="s">
        <v>10</v>
      </c>
      <c r="D11" s="45" t="s">
        <v>40</v>
      </c>
      <c r="E11" s="28" t="s">
        <v>61</v>
      </c>
      <c r="F11" s="29">
        <v>1</v>
      </c>
      <c r="G11" s="35">
        <v>2500</v>
      </c>
      <c r="H11" s="35">
        <f t="shared" si="0"/>
        <v>2500</v>
      </c>
      <c r="I11" s="34" t="s">
        <v>77</v>
      </c>
    </row>
    <row r="12" spans="1:9">
      <c r="A12" s="155">
        <v>8</v>
      </c>
      <c r="B12" s="155"/>
      <c r="C12" s="44" t="s">
        <v>11</v>
      </c>
      <c r="D12" s="45" t="s">
        <v>41</v>
      </c>
      <c r="E12" s="28" t="s">
        <v>61</v>
      </c>
      <c r="F12" s="29">
        <v>1</v>
      </c>
      <c r="G12" s="35">
        <v>3800</v>
      </c>
      <c r="H12" s="35">
        <f t="shared" si="0"/>
        <v>3800</v>
      </c>
      <c r="I12" s="34" t="s">
        <v>77</v>
      </c>
    </row>
    <row r="13" spans="1:9">
      <c r="A13" s="155">
        <v>9</v>
      </c>
      <c r="B13" s="155"/>
      <c r="C13" s="44" t="s">
        <v>12</v>
      </c>
      <c r="D13" s="45" t="s">
        <v>42</v>
      </c>
      <c r="E13" s="28" t="s">
        <v>61</v>
      </c>
      <c r="F13" s="29">
        <v>1</v>
      </c>
      <c r="G13" s="35">
        <v>2600</v>
      </c>
      <c r="H13" s="35">
        <f t="shared" si="0"/>
        <v>2600</v>
      </c>
      <c r="I13" s="34" t="s">
        <v>77</v>
      </c>
    </row>
    <row r="14" spans="1:9">
      <c r="A14" s="155">
        <v>10</v>
      </c>
      <c r="B14" s="155"/>
      <c r="C14" s="44" t="s">
        <v>13</v>
      </c>
      <c r="D14" s="45" t="s">
        <v>43</v>
      </c>
      <c r="E14" s="28" t="s">
        <v>61</v>
      </c>
      <c r="F14" s="29">
        <v>1</v>
      </c>
      <c r="G14" s="35">
        <v>2300</v>
      </c>
      <c r="H14" s="35">
        <f t="shared" si="0"/>
        <v>2300</v>
      </c>
      <c r="I14" s="349" t="s">
        <v>1824</v>
      </c>
    </row>
    <row r="15" spans="1:9">
      <c r="A15" s="155">
        <v>11</v>
      </c>
      <c r="B15" s="155"/>
      <c r="C15" s="44" t="s">
        <v>14</v>
      </c>
      <c r="D15" s="45" t="s">
        <v>44</v>
      </c>
      <c r="E15" s="28" t="s">
        <v>61</v>
      </c>
      <c r="F15" s="29">
        <v>4</v>
      </c>
      <c r="G15" s="35">
        <v>2250</v>
      </c>
      <c r="H15" s="35">
        <f t="shared" si="0"/>
        <v>9000</v>
      </c>
      <c r="I15" s="349" t="s">
        <v>1824</v>
      </c>
    </row>
    <row r="16" spans="1:9">
      <c r="A16" s="155">
        <v>12</v>
      </c>
      <c r="B16" s="155"/>
      <c r="C16" s="44" t="s">
        <v>15</v>
      </c>
      <c r="D16" s="45" t="s">
        <v>45</v>
      </c>
      <c r="E16" s="28" t="s">
        <v>1825</v>
      </c>
      <c r="F16" s="29">
        <v>2</v>
      </c>
      <c r="G16" s="35">
        <v>2300</v>
      </c>
      <c r="H16" s="35">
        <f t="shared" si="0"/>
        <v>4600</v>
      </c>
      <c r="I16" s="349" t="s">
        <v>1824</v>
      </c>
    </row>
    <row r="17" spans="1:9">
      <c r="A17" s="155">
        <v>13</v>
      </c>
      <c r="B17" s="58">
        <v>14618</v>
      </c>
      <c r="C17" s="44" t="s">
        <v>16</v>
      </c>
      <c r="D17" s="45" t="s">
        <v>46</v>
      </c>
      <c r="E17" s="28" t="s">
        <v>61</v>
      </c>
      <c r="F17" s="29">
        <v>1</v>
      </c>
      <c r="G17" s="35">
        <v>700000</v>
      </c>
      <c r="H17" s="35">
        <f t="shared" si="0"/>
        <v>700000</v>
      </c>
      <c r="I17" s="349" t="s">
        <v>1824</v>
      </c>
    </row>
    <row r="18" spans="1:9">
      <c r="A18" s="155">
        <v>14</v>
      </c>
      <c r="B18" s="155"/>
      <c r="C18" s="44" t="s">
        <v>17</v>
      </c>
      <c r="D18" s="45" t="s">
        <v>47</v>
      </c>
      <c r="E18" s="28" t="s">
        <v>62</v>
      </c>
      <c r="F18" s="29">
        <v>1</v>
      </c>
      <c r="G18" s="35">
        <v>750</v>
      </c>
      <c r="H18" s="35">
        <f t="shared" si="0"/>
        <v>750</v>
      </c>
      <c r="I18" s="34" t="s">
        <v>77</v>
      </c>
    </row>
    <row r="19" spans="1:9">
      <c r="A19" s="155">
        <v>15</v>
      </c>
      <c r="B19" s="155"/>
      <c r="C19" s="44" t="s">
        <v>18</v>
      </c>
      <c r="D19" s="44" t="s">
        <v>48</v>
      </c>
      <c r="E19" s="59" t="s">
        <v>62</v>
      </c>
      <c r="F19" s="29">
        <v>1</v>
      </c>
      <c r="G19" s="34">
        <v>6900</v>
      </c>
      <c r="H19" s="35">
        <f t="shared" si="0"/>
        <v>6900</v>
      </c>
      <c r="I19" s="34" t="s">
        <v>77</v>
      </c>
    </row>
    <row r="20" spans="1:9">
      <c r="A20" s="155">
        <v>16</v>
      </c>
      <c r="B20" s="155"/>
      <c r="C20" s="44" t="s">
        <v>19</v>
      </c>
      <c r="D20" s="44" t="s">
        <v>48</v>
      </c>
      <c r="E20" s="60" t="s">
        <v>62</v>
      </c>
      <c r="F20" s="29">
        <v>1</v>
      </c>
      <c r="G20" s="34">
        <v>11900</v>
      </c>
      <c r="H20" s="35">
        <f t="shared" si="0"/>
        <v>11900</v>
      </c>
      <c r="I20" s="34" t="s">
        <v>77</v>
      </c>
    </row>
    <row r="21" spans="1:9">
      <c r="A21" s="155">
        <v>17</v>
      </c>
      <c r="B21" s="155"/>
      <c r="C21" s="44" t="s">
        <v>20</v>
      </c>
      <c r="D21" s="45" t="s">
        <v>49</v>
      </c>
      <c r="E21" s="155" t="s">
        <v>1825</v>
      </c>
      <c r="F21" s="29">
        <v>1</v>
      </c>
      <c r="G21" s="35">
        <v>700</v>
      </c>
      <c r="H21" s="35">
        <f t="shared" si="0"/>
        <v>700</v>
      </c>
      <c r="I21" s="34" t="s">
        <v>77</v>
      </c>
    </row>
    <row r="22" spans="1:9">
      <c r="A22" s="155">
        <v>18</v>
      </c>
      <c r="B22" s="155"/>
      <c r="C22" s="44" t="s">
        <v>21</v>
      </c>
      <c r="D22" s="44" t="s">
        <v>50</v>
      </c>
      <c r="E22" s="155" t="s">
        <v>62</v>
      </c>
      <c r="F22" s="29">
        <v>1</v>
      </c>
      <c r="G22" s="34">
        <v>19088.8</v>
      </c>
      <c r="H22" s="35">
        <f t="shared" si="0"/>
        <v>19088.8</v>
      </c>
      <c r="I22" s="34" t="s">
        <v>77</v>
      </c>
    </row>
    <row r="23" spans="1:9">
      <c r="A23" s="155">
        <v>19</v>
      </c>
      <c r="B23" s="155"/>
      <c r="C23" s="44" t="s">
        <v>22</v>
      </c>
      <c r="D23" s="45" t="s">
        <v>51</v>
      </c>
      <c r="E23" s="28" t="s">
        <v>1825</v>
      </c>
      <c r="F23" s="29">
        <v>1</v>
      </c>
      <c r="G23" s="35">
        <v>1370</v>
      </c>
      <c r="H23" s="35">
        <f t="shared" si="0"/>
        <v>1370</v>
      </c>
      <c r="I23" s="34" t="s">
        <v>77</v>
      </c>
    </row>
    <row r="24" spans="1:9">
      <c r="A24" s="155">
        <v>20</v>
      </c>
      <c r="B24" s="155"/>
      <c r="C24" s="44" t="s">
        <v>23</v>
      </c>
      <c r="D24" s="45" t="s">
        <v>52</v>
      </c>
      <c r="E24" s="28" t="s">
        <v>1825</v>
      </c>
      <c r="F24" s="29">
        <v>1</v>
      </c>
      <c r="G24" s="35">
        <v>600</v>
      </c>
      <c r="H24" s="35">
        <f t="shared" si="0"/>
        <v>600</v>
      </c>
      <c r="I24" s="34" t="s">
        <v>77</v>
      </c>
    </row>
    <row r="25" spans="1:9">
      <c r="A25" s="155">
        <v>21</v>
      </c>
      <c r="B25" s="155"/>
      <c r="C25" s="44" t="s">
        <v>24</v>
      </c>
      <c r="D25" s="44" t="s">
        <v>53</v>
      </c>
      <c r="E25" s="155" t="s">
        <v>62</v>
      </c>
      <c r="F25" s="29">
        <v>1</v>
      </c>
      <c r="G25" s="34">
        <v>5296.5</v>
      </c>
      <c r="H25" s="35">
        <f t="shared" si="0"/>
        <v>5296.5</v>
      </c>
      <c r="I25" s="34" t="s">
        <v>77</v>
      </c>
    </row>
    <row r="26" spans="1:9">
      <c r="A26" s="155">
        <v>22</v>
      </c>
      <c r="B26" s="58">
        <v>17845</v>
      </c>
      <c r="C26" s="44" t="s">
        <v>25</v>
      </c>
      <c r="D26" s="44" t="s">
        <v>54</v>
      </c>
      <c r="E26" s="28" t="s">
        <v>1825</v>
      </c>
      <c r="F26" s="29">
        <v>1</v>
      </c>
      <c r="G26" s="34">
        <v>250000</v>
      </c>
      <c r="H26" s="35">
        <f t="shared" si="0"/>
        <v>250000</v>
      </c>
      <c r="I26" s="349" t="s">
        <v>1824</v>
      </c>
    </row>
    <row r="27" spans="1:9">
      <c r="A27" s="155">
        <v>23</v>
      </c>
      <c r="B27" s="155"/>
      <c r="C27" s="44" t="s">
        <v>26</v>
      </c>
      <c r="D27" s="44" t="s">
        <v>55</v>
      </c>
      <c r="E27" s="155" t="s">
        <v>62</v>
      </c>
      <c r="F27" s="29">
        <v>1</v>
      </c>
      <c r="G27" s="34">
        <v>6120</v>
      </c>
      <c r="H27" s="35">
        <f t="shared" si="0"/>
        <v>6120</v>
      </c>
      <c r="I27" s="34" t="s">
        <v>77</v>
      </c>
    </row>
    <row r="28" spans="1:9">
      <c r="A28" s="155">
        <v>24</v>
      </c>
      <c r="B28" s="155"/>
      <c r="C28" s="44" t="s">
        <v>27</v>
      </c>
      <c r="D28" s="44" t="s">
        <v>56</v>
      </c>
      <c r="E28" s="155" t="s">
        <v>62</v>
      </c>
      <c r="F28" s="29">
        <v>1</v>
      </c>
      <c r="G28" s="34">
        <v>3000</v>
      </c>
      <c r="H28" s="35">
        <f t="shared" si="0"/>
        <v>3000</v>
      </c>
      <c r="I28" s="349" t="s">
        <v>1824</v>
      </c>
    </row>
    <row r="29" spans="1:9">
      <c r="A29" s="155">
        <v>25</v>
      </c>
      <c r="B29" s="155"/>
      <c r="C29" s="44" t="s">
        <v>28</v>
      </c>
      <c r="D29" s="44" t="s">
        <v>57</v>
      </c>
      <c r="E29" s="155" t="s">
        <v>62</v>
      </c>
      <c r="F29" s="29">
        <v>1</v>
      </c>
      <c r="G29" s="34">
        <v>1100</v>
      </c>
      <c r="H29" s="35">
        <f t="shared" si="0"/>
        <v>1100</v>
      </c>
      <c r="I29" s="34" t="s">
        <v>77</v>
      </c>
    </row>
    <row r="30" spans="1:9">
      <c r="A30" s="155">
        <v>26</v>
      </c>
      <c r="B30" s="155"/>
      <c r="C30" s="44" t="s">
        <v>29</v>
      </c>
      <c r="D30" s="44" t="s">
        <v>58</v>
      </c>
      <c r="E30" s="155" t="s">
        <v>62</v>
      </c>
      <c r="F30" s="29">
        <v>2</v>
      </c>
      <c r="G30" s="34">
        <v>17300</v>
      </c>
      <c r="H30" s="35">
        <f t="shared" si="0"/>
        <v>34600</v>
      </c>
      <c r="I30" s="34" t="s">
        <v>77</v>
      </c>
    </row>
    <row r="31" spans="1:9">
      <c r="A31" s="155">
        <v>27</v>
      </c>
      <c r="B31" s="155"/>
      <c r="C31" s="44" t="s">
        <v>30</v>
      </c>
      <c r="D31" s="44" t="s">
        <v>59</v>
      </c>
      <c r="E31" s="155" t="s">
        <v>62</v>
      </c>
      <c r="F31" s="29">
        <v>1</v>
      </c>
      <c r="G31" s="34">
        <v>29000</v>
      </c>
      <c r="H31" s="35">
        <f t="shared" si="0"/>
        <v>29000</v>
      </c>
      <c r="I31" s="34" t="s">
        <v>77</v>
      </c>
    </row>
    <row r="32" spans="1:9">
      <c r="A32" s="155">
        <v>28</v>
      </c>
      <c r="B32" s="155"/>
      <c r="C32" s="44" t="s">
        <v>31</v>
      </c>
      <c r="D32" s="45" t="s">
        <v>60</v>
      </c>
      <c r="E32" s="155" t="s">
        <v>62</v>
      </c>
      <c r="F32" s="29">
        <v>2</v>
      </c>
      <c r="G32" s="35">
        <v>1700</v>
      </c>
      <c r="H32" s="35">
        <f t="shared" si="0"/>
        <v>3400</v>
      </c>
      <c r="I32" s="34" t="s">
        <v>77</v>
      </c>
    </row>
    <row r="33" spans="1:9">
      <c r="A33" s="155">
        <v>29</v>
      </c>
      <c r="B33" s="155"/>
      <c r="C33" s="44" t="s">
        <v>32</v>
      </c>
      <c r="D33" s="45" t="s">
        <v>43</v>
      </c>
      <c r="E33" s="155" t="s">
        <v>62</v>
      </c>
      <c r="F33" s="29">
        <v>2</v>
      </c>
      <c r="G33" s="35">
        <v>3100</v>
      </c>
      <c r="H33" s="35">
        <f t="shared" si="0"/>
        <v>6200</v>
      </c>
      <c r="I33" s="349" t="s">
        <v>1824</v>
      </c>
    </row>
    <row r="34" spans="1:9">
      <c r="A34" s="155">
        <v>30</v>
      </c>
      <c r="B34" s="155"/>
      <c r="C34" s="44" t="s">
        <v>33</v>
      </c>
      <c r="D34" s="45" t="s">
        <v>44</v>
      </c>
      <c r="E34" s="155" t="s">
        <v>62</v>
      </c>
      <c r="F34" s="29">
        <v>2</v>
      </c>
      <c r="G34" s="35">
        <v>2800</v>
      </c>
      <c r="H34" s="35">
        <f t="shared" si="0"/>
        <v>5600</v>
      </c>
      <c r="I34" s="349" t="s">
        <v>1824</v>
      </c>
    </row>
    <row r="35" spans="1:9">
      <c r="A35" s="155">
        <v>31</v>
      </c>
      <c r="B35" s="155"/>
      <c r="C35" s="44" t="s">
        <v>63</v>
      </c>
      <c r="D35" s="44" t="s">
        <v>69</v>
      </c>
      <c r="E35" s="28" t="s">
        <v>62</v>
      </c>
      <c r="F35" s="29">
        <v>1</v>
      </c>
      <c r="G35" s="34">
        <v>2765.75</v>
      </c>
      <c r="H35" s="35">
        <f t="shared" si="0"/>
        <v>2765.75</v>
      </c>
      <c r="I35" s="34" t="s">
        <v>77</v>
      </c>
    </row>
    <row r="36" spans="1:9">
      <c r="A36" s="155">
        <v>32</v>
      </c>
      <c r="B36" s="155"/>
      <c r="C36" s="44" t="s">
        <v>64</v>
      </c>
      <c r="D36" s="44" t="s">
        <v>70</v>
      </c>
      <c r="E36" s="28" t="s">
        <v>61</v>
      </c>
      <c r="F36" s="29">
        <v>1</v>
      </c>
      <c r="G36" s="34">
        <v>900</v>
      </c>
      <c r="H36" s="35">
        <f t="shared" si="0"/>
        <v>900</v>
      </c>
      <c r="I36" s="34" t="s">
        <v>77</v>
      </c>
    </row>
    <row r="37" spans="1:9">
      <c r="A37" s="155">
        <v>33</v>
      </c>
      <c r="B37" s="155"/>
      <c r="C37" s="44" t="s">
        <v>65</v>
      </c>
      <c r="D37" s="44" t="s">
        <v>71</v>
      </c>
      <c r="E37" s="28" t="s">
        <v>61</v>
      </c>
      <c r="F37" s="29">
        <v>1</v>
      </c>
      <c r="G37" s="34">
        <v>1100</v>
      </c>
      <c r="H37" s="35">
        <f t="shared" si="0"/>
        <v>1100</v>
      </c>
      <c r="I37" s="34" t="s">
        <v>77</v>
      </c>
    </row>
    <row r="38" spans="1:9">
      <c r="A38" s="155">
        <v>34</v>
      </c>
      <c r="B38" s="155"/>
      <c r="C38" s="27" t="s">
        <v>66</v>
      </c>
      <c r="D38" s="13" t="s">
        <v>72</v>
      </c>
      <c r="E38" s="28" t="s">
        <v>61</v>
      </c>
      <c r="F38" s="29">
        <v>1</v>
      </c>
      <c r="G38" s="35">
        <v>5350</v>
      </c>
      <c r="H38" s="35">
        <f t="shared" si="0"/>
        <v>5350</v>
      </c>
      <c r="I38" s="34" t="s">
        <v>77</v>
      </c>
    </row>
    <row r="39" spans="1:9">
      <c r="A39" s="155">
        <v>35</v>
      </c>
      <c r="B39" s="155"/>
      <c r="C39" s="44" t="s">
        <v>67</v>
      </c>
      <c r="D39" s="44" t="s">
        <v>73</v>
      </c>
      <c r="E39" s="28" t="s">
        <v>61</v>
      </c>
      <c r="F39" s="29">
        <v>1</v>
      </c>
      <c r="G39" s="34">
        <v>2590</v>
      </c>
      <c r="H39" s="35">
        <f t="shared" si="0"/>
        <v>2590</v>
      </c>
      <c r="I39" s="34" t="s">
        <v>77</v>
      </c>
    </row>
    <row r="40" spans="1:9">
      <c r="A40" s="155">
        <v>36</v>
      </c>
      <c r="B40" s="155"/>
      <c r="C40" s="27" t="s">
        <v>68</v>
      </c>
      <c r="D40" s="13" t="s">
        <v>74</v>
      </c>
      <c r="E40" s="28" t="s">
        <v>61</v>
      </c>
      <c r="F40" s="29">
        <v>1</v>
      </c>
      <c r="G40" s="35">
        <v>17000</v>
      </c>
      <c r="H40" s="35">
        <f t="shared" si="0"/>
        <v>17000</v>
      </c>
      <c r="I40" s="34" t="s">
        <v>77</v>
      </c>
    </row>
    <row r="41" spans="1:9">
      <c r="A41" s="155">
        <v>37</v>
      </c>
      <c r="B41" s="61"/>
      <c r="C41" s="62" t="s">
        <v>1823</v>
      </c>
      <c r="D41" s="63" t="s">
        <v>161</v>
      </c>
      <c r="E41" s="64" t="s">
        <v>61</v>
      </c>
      <c r="F41" s="65">
        <v>2</v>
      </c>
      <c r="G41" s="66">
        <v>17900</v>
      </c>
      <c r="H41" s="35">
        <f t="shared" si="0"/>
        <v>35800</v>
      </c>
      <c r="I41" s="350" t="s">
        <v>1824</v>
      </c>
    </row>
    <row r="42" spans="1:9">
      <c r="A42" s="155">
        <v>38</v>
      </c>
      <c r="B42" s="61" t="s">
        <v>76</v>
      </c>
      <c r="C42" s="62"/>
      <c r="D42" s="63" t="s">
        <v>75</v>
      </c>
      <c r="E42" s="64" t="s">
        <v>62</v>
      </c>
      <c r="F42" s="65">
        <v>1</v>
      </c>
      <c r="G42" s="66">
        <v>6450</v>
      </c>
      <c r="H42" s="35">
        <f t="shared" si="0"/>
        <v>6450</v>
      </c>
      <c r="I42" s="350" t="s">
        <v>1824</v>
      </c>
    </row>
    <row r="43" spans="1:9">
      <c r="A43" s="155">
        <v>39</v>
      </c>
      <c r="B43" s="61" t="s">
        <v>1726</v>
      </c>
      <c r="C43" s="62" t="s">
        <v>1725</v>
      </c>
      <c r="D43" s="63" t="s">
        <v>1707</v>
      </c>
      <c r="E43" s="64" t="s">
        <v>62</v>
      </c>
      <c r="F43" s="65">
        <v>3</v>
      </c>
      <c r="G43" s="66">
        <v>2990</v>
      </c>
      <c r="H43" s="35">
        <f t="shared" si="0"/>
        <v>8970</v>
      </c>
      <c r="I43" s="350" t="s">
        <v>1824</v>
      </c>
    </row>
    <row r="44" spans="1:9">
      <c r="A44" s="376" t="s">
        <v>1910</v>
      </c>
      <c r="B44" s="376"/>
      <c r="C44" s="376"/>
      <c r="D44" s="376"/>
      <c r="E44" s="64"/>
      <c r="F44" s="65"/>
      <c r="G44" s="66"/>
      <c r="H44" s="35">
        <f>SUM(H5:H43)</f>
        <v>1810841.7100000002</v>
      </c>
      <c r="I44" s="67"/>
    </row>
    <row r="45" spans="1:9">
      <c r="A45" s="376" t="s">
        <v>1911</v>
      </c>
      <c r="B45" s="376"/>
      <c r="C45" s="376"/>
      <c r="D45" s="376"/>
      <c r="E45" s="64"/>
      <c r="F45" s="65"/>
      <c r="G45" s="66"/>
      <c r="H45" s="35">
        <f>SUM(H44)</f>
        <v>1810841.7100000002</v>
      </c>
      <c r="I45" s="67"/>
    </row>
    <row r="46" spans="1:9">
      <c r="A46" s="155">
        <v>40</v>
      </c>
      <c r="B46" s="61" t="s">
        <v>1726</v>
      </c>
      <c r="C46" s="62" t="s">
        <v>1783</v>
      </c>
      <c r="D46" s="63" t="s">
        <v>1708</v>
      </c>
      <c r="E46" s="64" t="s">
        <v>62</v>
      </c>
      <c r="F46" s="65">
        <v>3</v>
      </c>
      <c r="G46" s="66">
        <v>2550</v>
      </c>
      <c r="H46" s="35">
        <f t="shared" si="0"/>
        <v>7650</v>
      </c>
      <c r="I46" s="350" t="s">
        <v>1824</v>
      </c>
    </row>
    <row r="47" spans="1:9">
      <c r="A47" s="155">
        <v>41</v>
      </c>
      <c r="B47" s="61" t="s">
        <v>1726</v>
      </c>
      <c r="C47" s="62" t="s">
        <v>1727</v>
      </c>
      <c r="D47" s="63" t="s">
        <v>38</v>
      </c>
      <c r="E47" s="64" t="s">
        <v>62</v>
      </c>
      <c r="F47" s="65">
        <v>3</v>
      </c>
      <c r="G47" s="66">
        <v>3650</v>
      </c>
      <c r="H47" s="35">
        <f t="shared" si="0"/>
        <v>10950</v>
      </c>
      <c r="I47" s="350" t="s">
        <v>1824</v>
      </c>
    </row>
    <row r="48" spans="1:9">
      <c r="A48" s="155">
        <v>42</v>
      </c>
      <c r="B48" s="61" t="s">
        <v>1743</v>
      </c>
      <c r="C48" s="62" t="s">
        <v>1744</v>
      </c>
      <c r="D48" s="63" t="s">
        <v>1745</v>
      </c>
      <c r="E48" s="64" t="s">
        <v>62</v>
      </c>
      <c r="F48" s="65">
        <v>1</v>
      </c>
      <c r="G48" s="66">
        <v>6311</v>
      </c>
      <c r="H48" s="35">
        <f t="shared" si="0"/>
        <v>6311</v>
      </c>
      <c r="I48" s="350" t="s">
        <v>1909</v>
      </c>
    </row>
    <row r="49" spans="1:9">
      <c r="A49" s="155">
        <v>43</v>
      </c>
      <c r="B49" s="61" t="s">
        <v>1743</v>
      </c>
      <c r="C49" s="62" t="s">
        <v>1746</v>
      </c>
      <c r="D49" s="63" t="s">
        <v>1747</v>
      </c>
      <c r="E49" s="64" t="s">
        <v>62</v>
      </c>
      <c r="F49" s="65">
        <v>1</v>
      </c>
      <c r="G49" s="66">
        <v>5490</v>
      </c>
      <c r="H49" s="35">
        <f t="shared" si="0"/>
        <v>5490</v>
      </c>
      <c r="I49" s="350" t="s">
        <v>1909</v>
      </c>
    </row>
    <row r="50" spans="1:9">
      <c r="A50" s="369" t="s">
        <v>1906</v>
      </c>
      <c r="B50" s="370"/>
      <c r="C50" s="370"/>
      <c r="D50" s="370"/>
      <c r="E50" s="371"/>
      <c r="F50" s="47"/>
      <c r="G50" s="68"/>
      <c r="H50" s="68">
        <f>SUM(H45:H49)</f>
        <v>1841242.7100000002</v>
      </c>
      <c r="I50" s="29"/>
    </row>
    <row r="51" spans="1:9">
      <c r="B51" s="154"/>
    </row>
    <row r="52" spans="1:9">
      <c r="B52" s="154"/>
      <c r="G52" s="375" t="s">
        <v>1651</v>
      </c>
      <c r="H52" s="375"/>
      <c r="I52" s="375"/>
    </row>
    <row r="53" spans="1:9">
      <c r="B53" s="154"/>
      <c r="G53" s="375" t="s">
        <v>1758</v>
      </c>
      <c r="H53" s="375"/>
      <c r="I53" s="375"/>
    </row>
    <row r="54" spans="1:9">
      <c r="B54" s="154"/>
      <c r="G54" s="375" t="s">
        <v>226</v>
      </c>
      <c r="H54" s="375"/>
      <c r="I54" s="375"/>
    </row>
    <row r="55" spans="1:9">
      <c r="B55" s="154"/>
    </row>
    <row r="56" spans="1:9">
      <c r="B56" s="154"/>
    </row>
  </sheetData>
  <mergeCells count="9">
    <mergeCell ref="G53:I53"/>
    <mergeCell ref="G54:I54"/>
    <mergeCell ref="A44:D44"/>
    <mergeCell ref="A45:D45"/>
    <mergeCell ref="A1:I1"/>
    <mergeCell ref="A2:I2"/>
    <mergeCell ref="A3:I3"/>
    <mergeCell ref="A50:E50"/>
    <mergeCell ref="G52:I52"/>
  </mergeCells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1"/>
  <sheetViews>
    <sheetView topLeftCell="A10" zoomScaleNormal="100" workbookViewId="0">
      <selection activeCell="M13" sqref="M13"/>
    </sheetView>
  </sheetViews>
  <sheetFormatPr defaultColWidth="9" defaultRowHeight="24"/>
  <cols>
    <col min="1" max="1" width="5.5703125" style="14" customWidth="1"/>
    <col min="2" max="2" width="13.85546875" style="14" customWidth="1"/>
    <col min="3" max="3" width="29.28515625" style="14" customWidth="1"/>
    <col min="4" max="4" width="34" style="14" customWidth="1"/>
    <col min="5" max="5" width="6.85546875" style="14" customWidth="1"/>
    <col min="6" max="6" width="7.28515625" style="14" customWidth="1"/>
    <col min="7" max="7" width="11.7109375" style="14" customWidth="1"/>
    <col min="8" max="8" width="13.85546875" style="14" customWidth="1"/>
    <col min="9" max="9" width="11.5703125" style="14" customWidth="1"/>
    <col min="10" max="10" width="20.7109375" style="14" customWidth="1"/>
    <col min="11" max="16384" width="9" style="14"/>
  </cols>
  <sheetData>
    <row r="1" spans="1:10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0">
      <c r="A2" s="354" t="s">
        <v>1912</v>
      </c>
      <c r="B2" s="354"/>
      <c r="C2" s="354"/>
      <c r="D2" s="354"/>
      <c r="E2" s="354"/>
      <c r="F2" s="354"/>
      <c r="G2" s="354"/>
      <c r="H2" s="354"/>
      <c r="I2" s="354"/>
    </row>
    <row r="3" spans="1:10">
      <c r="A3" s="361" t="s">
        <v>1781</v>
      </c>
      <c r="B3" s="361"/>
      <c r="C3" s="361"/>
      <c r="D3" s="361"/>
      <c r="E3" s="361"/>
      <c r="F3" s="361"/>
      <c r="G3" s="361"/>
      <c r="H3" s="361"/>
      <c r="I3" s="361"/>
    </row>
    <row r="4" spans="1:10" s="25" customFormat="1" ht="40.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0" s="33" customFormat="1">
      <c r="A5" s="155">
        <v>1</v>
      </c>
      <c r="B5" s="26"/>
      <c r="C5" s="27" t="s">
        <v>229</v>
      </c>
      <c r="D5" s="13" t="s">
        <v>237</v>
      </c>
      <c r="E5" s="28" t="s">
        <v>62</v>
      </c>
      <c r="F5" s="29">
        <v>1</v>
      </c>
      <c r="G5" s="30">
        <v>3000</v>
      </c>
      <c r="H5" s="30">
        <f>SUM(F5*G5)</f>
        <v>3000</v>
      </c>
      <c r="I5" s="155" t="s">
        <v>78</v>
      </c>
      <c r="J5" s="53"/>
    </row>
    <row r="6" spans="1:10" s="33" customFormat="1">
      <c r="A6" s="155">
        <v>2</v>
      </c>
      <c r="B6" s="26"/>
      <c r="C6" s="27" t="s">
        <v>230</v>
      </c>
      <c r="D6" s="13" t="s">
        <v>238</v>
      </c>
      <c r="E6" s="28" t="s">
        <v>62</v>
      </c>
      <c r="F6" s="29">
        <v>1</v>
      </c>
      <c r="G6" s="30">
        <v>2800</v>
      </c>
      <c r="H6" s="30">
        <f t="shared" ref="H6:H15" si="0">SUM(F6*G6)</f>
        <v>2800</v>
      </c>
      <c r="I6" s="155" t="s">
        <v>78</v>
      </c>
      <c r="J6" s="53"/>
    </row>
    <row r="7" spans="1:10" s="33" customFormat="1">
      <c r="A7" s="155">
        <v>3</v>
      </c>
      <c r="B7" s="26"/>
      <c r="C7" s="27" t="s">
        <v>231</v>
      </c>
      <c r="D7" s="13" t="s">
        <v>212</v>
      </c>
      <c r="E7" s="28" t="s">
        <v>62</v>
      </c>
      <c r="F7" s="29">
        <v>1</v>
      </c>
      <c r="G7" s="30">
        <v>695.5</v>
      </c>
      <c r="H7" s="30">
        <f t="shared" si="0"/>
        <v>695.5</v>
      </c>
      <c r="I7" s="155" t="s">
        <v>78</v>
      </c>
      <c r="J7" s="53"/>
    </row>
    <row r="8" spans="1:10" s="33" customFormat="1">
      <c r="A8" s="155">
        <v>4</v>
      </c>
      <c r="B8" s="26"/>
      <c r="C8" s="27" t="s">
        <v>232</v>
      </c>
      <c r="D8" s="13" t="s">
        <v>237</v>
      </c>
      <c r="E8" s="28" t="s">
        <v>61</v>
      </c>
      <c r="F8" s="29">
        <v>2</v>
      </c>
      <c r="G8" s="30">
        <v>3000</v>
      </c>
      <c r="H8" s="30">
        <f t="shared" si="0"/>
        <v>6000</v>
      </c>
      <c r="I8" s="155" t="s">
        <v>78</v>
      </c>
      <c r="J8" s="53"/>
    </row>
    <row r="9" spans="1:10" s="33" customFormat="1">
      <c r="A9" s="155">
        <v>5</v>
      </c>
      <c r="B9" s="26"/>
      <c r="C9" s="27" t="s">
        <v>233</v>
      </c>
      <c r="D9" s="13" t="s">
        <v>239</v>
      </c>
      <c r="E9" s="28" t="s">
        <v>61</v>
      </c>
      <c r="F9" s="29">
        <v>1</v>
      </c>
      <c r="G9" s="30">
        <v>4900</v>
      </c>
      <c r="H9" s="30">
        <f t="shared" si="0"/>
        <v>4900</v>
      </c>
      <c r="I9" s="155" t="s">
        <v>78</v>
      </c>
      <c r="J9" s="53"/>
    </row>
    <row r="10" spans="1:10" s="33" customFormat="1">
      <c r="A10" s="155">
        <v>6</v>
      </c>
      <c r="B10" s="26"/>
      <c r="C10" s="27" t="s">
        <v>234</v>
      </c>
      <c r="D10" s="13" t="s">
        <v>216</v>
      </c>
      <c r="E10" s="28" t="s">
        <v>61</v>
      </c>
      <c r="F10" s="29">
        <v>1</v>
      </c>
      <c r="G10" s="35">
        <v>3950</v>
      </c>
      <c r="H10" s="30">
        <f t="shared" si="0"/>
        <v>3950</v>
      </c>
      <c r="I10" s="155" t="s">
        <v>78</v>
      </c>
      <c r="J10" s="53"/>
    </row>
    <row r="11" spans="1:10" s="33" customFormat="1">
      <c r="A11" s="155">
        <v>7</v>
      </c>
      <c r="B11" s="26"/>
      <c r="C11" s="27" t="s">
        <v>235</v>
      </c>
      <c r="D11" s="13" t="s">
        <v>240</v>
      </c>
      <c r="E11" s="28" t="s">
        <v>61</v>
      </c>
      <c r="F11" s="29">
        <v>1</v>
      </c>
      <c r="G11" s="36">
        <v>3300</v>
      </c>
      <c r="H11" s="30">
        <f t="shared" si="0"/>
        <v>3300</v>
      </c>
      <c r="I11" s="155" t="s">
        <v>1913</v>
      </c>
      <c r="J11" s="53"/>
    </row>
    <row r="12" spans="1:10" s="33" customFormat="1">
      <c r="A12" s="155">
        <v>8</v>
      </c>
      <c r="B12" s="26"/>
      <c r="C12" s="27" t="s">
        <v>236</v>
      </c>
      <c r="D12" s="13" t="s">
        <v>74</v>
      </c>
      <c r="E12" s="28" t="s">
        <v>61</v>
      </c>
      <c r="F12" s="29">
        <v>1</v>
      </c>
      <c r="G12" s="35">
        <v>17000</v>
      </c>
      <c r="H12" s="30">
        <f t="shared" si="0"/>
        <v>17000</v>
      </c>
      <c r="I12" s="155" t="s">
        <v>77</v>
      </c>
      <c r="J12" s="53"/>
    </row>
    <row r="13" spans="1:10" s="33" customFormat="1">
      <c r="A13" s="155">
        <v>9</v>
      </c>
      <c r="B13" s="37" t="s">
        <v>1890</v>
      </c>
      <c r="C13" s="38" t="s">
        <v>107</v>
      </c>
      <c r="D13" s="26" t="s">
        <v>241</v>
      </c>
      <c r="E13" s="28" t="s">
        <v>62</v>
      </c>
      <c r="F13" s="29">
        <v>1</v>
      </c>
      <c r="G13" s="39">
        <v>20000</v>
      </c>
      <c r="H13" s="30">
        <f t="shared" si="0"/>
        <v>20000</v>
      </c>
      <c r="I13" s="155" t="s">
        <v>78</v>
      </c>
      <c r="J13" s="53"/>
    </row>
    <row r="14" spans="1:10" s="33" customFormat="1">
      <c r="A14" s="155">
        <v>10</v>
      </c>
      <c r="B14" s="37" t="s">
        <v>1914</v>
      </c>
      <c r="C14" s="38" t="s">
        <v>1795</v>
      </c>
      <c r="D14" s="26" t="s">
        <v>1796</v>
      </c>
      <c r="E14" s="28" t="s">
        <v>62</v>
      </c>
      <c r="F14" s="29">
        <v>1</v>
      </c>
      <c r="G14" s="39">
        <v>16800</v>
      </c>
      <c r="H14" s="30">
        <f t="shared" si="0"/>
        <v>16800</v>
      </c>
      <c r="I14" s="155" t="s">
        <v>77</v>
      </c>
      <c r="J14" s="53"/>
    </row>
    <row r="15" spans="1:10" s="33" customFormat="1">
      <c r="A15" s="155">
        <v>11</v>
      </c>
      <c r="B15" s="37"/>
      <c r="C15" s="38" t="s">
        <v>228</v>
      </c>
      <c r="D15" s="26" t="s">
        <v>209</v>
      </c>
      <c r="E15" s="28" t="s">
        <v>1825</v>
      </c>
      <c r="F15" s="29">
        <v>1</v>
      </c>
      <c r="G15" s="39">
        <v>29000</v>
      </c>
      <c r="H15" s="30">
        <f t="shared" si="0"/>
        <v>29000</v>
      </c>
      <c r="I15" s="155" t="s">
        <v>77</v>
      </c>
      <c r="J15" s="53"/>
    </row>
    <row r="16" spans="1:10" ht="23.25" customHeight="1">
      <c r="A16" s="369" t="s">
        <v>1906</v>
      </c>
      <c r="B16" s="370"/>
      <c r="C16" s="370"/>
      <c r="D16" s="370"/>
      <c r="E16" s="371"/>
      <c r="F16" s="47"/>
      <c r="G16" s="47"/>
      <c r="H16" s="39">
        <f>SUM(H5:H15)</f>
        <v>107445.5</v>
      </c>
      <c r="I16" s="26"/>
      <c r="J16" s="53"/>
    </row>
    <row r="17" spans="1:10" ht="31.5" customHeight="1">
      <c r="A17" s="157"/>
      <c r="B17" s="157"/>
      <c r="C17" s="157"/>
      <c r="D17" s="157"/>
      <c r="E17" s="157"/>
      <c r="F17" s="70"/>
      <c r="G17" s="70"/>
      <c r="H17" s="71"/>
      <c r="I17" s="53"/>
      <c r="J17" s="53"/>
    </row>
    <row r="18" spans="1:10">
      <c r="G18" s="368" t="s">
        <v>1852</v>
      </c>
      <c r="H18" s="368"/>
      <c r="I18" s="368"/>
      <c r="J18" s="156"/>
    </row>
    <row r="19" spans="1:10">
      <c r="G19" s="368" t="s">
        <v>1775</v>
      </c>
      <c r="H19" s="368"/>
      <c r="I19" s="368"/>
      <c r="J19" s="156"/>
    </row>
    <row r="20" spans="1:10">
      <c r="G20" s="368" t="s">
        <v>226</v>
      </c>
      <c r="H20" s="368"/>
      <c r="I20" s="368"/>
      <c r="J20" s="156"/>
    </row>
    <row r="21" spans="1:10" ht="24" customHeight="1"/>
  </sheetData>
  <mergeCells count="7">
    <mergeCell ref="G19:I19"/>
    <mergeCell ref="G20:I20"/>
    <mergeCell ref="A16:E16"/>
    <mergeCell ref="A1:I1"/>
    <mergeCell ref="A2:I2"/>
    <mergeCell ref="A3:I3"/>
    <mergeCell ref="G18:I18"/>
  </mergeCells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9"/>
  <sheetViews>
    <sheetView topLeftCell="A19" zoomScaleNormal="100" workbookViewId="0">
      <selection activeCell="M14" sqref="M14"/>
    </sheetView>
  </sheetViews>
  <sheetFormatPr defaultColWidth="9" defaultRowHeight="24" customHeight="1"/>
  <cols>
    <col min="1" max="1" width="5.5703125" style="14" customWidth="1"/>
    <col min="2" max="2" width="11.7109375" style="14" customWidth="1"/>
    <col min="3" max="3" width="32.28515625" style="14" customWidth="1"/>
    <col min="4" max="4" width="39.140625" style="14" customWidth="1"/>
    <col min="5" max="5" width="7.28515625" style="14" customWidth="1"/>
    <col min="6" max="6" width="6.85546875" style="14" customWidth="1"/>
    <col min="7" max="7" width="11.140625" style="14" customWidth="1"/>
    <col min="8" max="8" width="12.85546875" style="14" customWidth="1"/>
    <col min="9" max="9" width="9.28515625" style="14" customWidth="1"/>
    <col min="10" max="10" width="10" style="14" customWidth="1"/>
    <col min="11" max="16384" width="9" style="14"/>
  </cols>
  <sheetData>
    <row r="1" spans="1:10" ht="24" customHeight="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0" ht="24" customHeight="1">
      <c r="A2" s="354" t="s">
        <v>1667</v>
      </c>
      <c r="B2" s="354"/>
      <c r="C2" s="354"/>
      <c r="D2" s="354"/>
      <c r="E2" s="354"/>
      <c r="F2" s="354"/>
      <c r="G2" s="354"/>
      <c r="H2" s="354"/>
      <c r="I2" s="354"/>
    </row>
    <row r="3" spans="1:10" ht="24" customHeight="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0" s="25" customFormat="1" ht="44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0" s="33" customFormat="1" ht="24" customHeight="1">
      <c r="A5" s="158">
        <v>1</v>
      </c>
      <c r="B5" s="26"/>
      <c r="C5" s="93" t="s">
        <v>164</v>
      </c>
      <c r="D5" s="93" t="s">
        <v>180</v>
      </c>
      <c r="E5" s="28" t="s">
        <v>62</v>
      </c>
      <c r="F5" s="29">
        <v>1</v>
      </c>
      <c r="G5" s="34">
        <v>2300</v>
      </c>
      <c r="H5" s="34">
        <f>SUM(F5*G5)</f>
        <v>2300</v>
      </c>
      <c r="I5" s="158" t="s">
        <v>78</v>
      </c>
      <c r="J5" s="53"/>
    </row>
    <row r="6" spans="1:10" s="33" customFormat="1" ht="24" customHeight="1">
      <c r="A6" s="158">
        <v>2</v>
      </c>
      <c r="B6" s="26"/>
      <c r="C6" s="93" t="s">
        <v>165</v>
      </c>
      <c r="D6" s="93" t="s">
        <v>180</v>
      </c>
      <c r="E6" s="28" t="s">
        <v>62</v>
      </c>
      <c r="F6" s="29">
        <v>2</v>
      </c>
      <c r="G6" s="34">
        <v>2900</v>
      </c>
      <c r="H6" s="34">
        <f t="shared" ref="H6:H24" si="0">SUM(F6*G6)</f>
        <v>5800</v>
      </c>
      <c r="I6" s="158" t="s">
        <v>78</v>
      </c>
      <c r="J6" s="53"/>
    </row>
    <row r="7" spans="1:10" s="33" customFormat="1" ht="24" customHeight="1">
      <c r="A7" s="158">
        <v>3</v>
      </c>
      <c r="B7" s="26"/>
      <c r="C7" s="93" t="s">
        <v>166</v>
      </c>
      <c r="D7" s="93" t="s">
        <v>181</v>
      </c>
      <c r="E7" s="28" t="s">
        <v>62</v>
      </c>
      <c r="F7" s="29">
        <v>1</v>
      </c>
      <c r="G7" s="34">
        <v>5296.5</v>
      </c>
      <c r="H7" s="34">
        <f t="shared" si="0"/>
        <v>5296.5</v>
      </c>
      <c r="I7" s="158" t="s">
        <v>77</v>
      </c>
      <c r="J7" s="53"/>
    </row>
    <row r="8" spans="1:10" s="33" customFormat="1" ht="24" customHeight="1">
      <c r="A8" s="158">
        <v>4</v>
      </c>
      <c r="B8" s="26"/>
      <c r="C8" s="93" t="s">
        <v>167</v>
      </c>
      <c r="D8" s="93" t="s">
        <v>50</v>
      </c>
      <c r="E8" s="28" t="s">
        <v>62</v>
      </c>
      <c r="F8" s="29">
        <v>1</v>
      </c>
      <c r="G8" s="34">
        <v>19088.8</v>
      </c>
      <c r="H8" s="34">
        <f t="shared" si="0"/>
        <v>19088.8</v>
      </c>
      <c r="I8" s="158" t="s">
        <v>77</v>
      </c>
      <c r="J8" s="53"/>
    </row>
    <row r="9" spans="1:10" s="33" customFormat="1" ht="24" customHeight="1">
      <c r="A9" s="158">
        <v>5</v>
      </c>
      <c r="B9" s="26"/>
      <c r="C9" s="93" t="s">
        <v>168</v>
      </c>
      <c r="D9" s="93" t="s">
        <v>182</v>
      </c>
      <c r="E9" s="28" t="s">
        <v>62</v>
      </c>
      <c r="F9" s="29">
        <v>1</v>
      </c>
      <c r="G9" s="34">
        <v>2800</v>
      </c>
      <c r="H9" s="34">
        <f t="shared" si="0"/>
        <v>2800</v>
      </c>
      <c r="I9" s="158" t="s">
        <v>78</v>
      </c>
      <c r="J9" s="53"/>
    </row>
    <row r="10" spans="1:10" s="33" customFormat="1" ht="24" customHeight="1">
      <c r="A10" s="158">
        <v>6</v>
      </c>
      <c r="B10" s="26"/>
      <c r="C10" s="93" t="s">
        <v>169</v>
      </c>
      <c r="D10" s="93" t="s">
        <v>56</v>
      </c>
      <c r="E10" s="28" t="s">
        <v>62</v>
      </c>
      <c r="F10" s="29">
        <v>1</v>
      </c>
      <c r="G10" s="34">
        <v>3000</v>
      </c>
      <c r="H10" s="34">
        <f t="shared" si="0"/>
        <v>3000</v>
      </c>
      <c r="I10" s="158" t="s">
        <v>78</v>
      </c>
      <c r="J10" s="53"/>
    </row>
    <row r="11" spans="1:10" s="33" customFormat="1" ht="24" customHeight="1">
      <c r="A11" s="158">
        <v>7</v>
      </c>
      <c r="B11" s="26"/>
      <c r="C11" s="93" t="s">
        <v>170</v>
      </c>
      <c r="D11" s="93" t="s">
        <v>183</v>
      </c>
      <c r="E11" s="28" t="s">
        <v>62</v>
      </c>
      <c r="F11" s="29">
        <v>1</v>
      </c>
      <c r="G11" s="34">
        <v>1800</v>
      </c>
      <c r="H11" s="34">
        <f t="shared" si="0"/>
        <v>1800</v>
      </c>
      <c r="I11" s="158" t="s">
        <v>77</v>
      </c>
      <c r="J11" s="53"/>
    </row>
    <row r="12" spans="1:10" s="33" customFormat="1" ht="24" customHeight="1">
      <c r="A12" s="158">
        <v>8</v>
      </c>
      <c r="B12" s="26"/>
      <c r="C12" s="93" t="s">
        <v>171</v>
      </c>
      <c r="D12" s="93" t="s">
        <v>184</v>
      </c>
      <c r="E12" s="28" t="s">
        <v>62</v>
      </c>
      <c r="F12" s="29">
        <v>1</v>
      </c>
      <c r="G12" s="34">
        <v>600</v>
      </c>
      <c r="H12" s="34">
        <f t="shared" si="0"/>
        <v>600</v>
      </c>
      <c r="I12" s="158" t="s">
        <v>77</v>
      </c>
      <c r="J12" s="53"/>
    </row>
    <row r="13" spans="1:10" s="33" customFormat="1" ht="24" customHeight="1">
      <c r="A13" s="158">
        <v>9</v>
      </c>
      <c r="B13" s="26"/>
      <c r="C13" s="93" t="s">
        <v>172</v>
      </c>
      <c r="D13" s="93" t="s">
        <v>185</v>
      </c>
      <c r="E13" s="28" t="s">
        <v>61</v>
      </c>
      <c r="F13" s="29">
        <v>1</v>
      </c>
      <c r="G13" s="34">
        <v>3000</v>
      </c>
      <c r="H13" s="34">
        <f t="shared" si="0"/>
        <v>3000</v>
      </c>
      <c r="I13" s="158" t="s">
        <v>78</v>
      </c>
      <c r="J13" s="53"/>
    </row>
    <row r="14" spans="1:10" s="33" customFormat="1" ht="24" customHeight="1">
      <c r="A14" s="158">
        <v>10</v>
      </c>
      <c r="B14" s="26"/>
      <c r="C14" s="93" t="s">
        <v>173</v>
      </c>
      <c r="D14" s="93" t="s">
        <v>186</v>
      </c>
      <c r="E14" s="28" t="s">
        <v>61</v>
      </c>
      <c r="F14" s="29">
        <v>1</v>
      </c>
      <c r="G14" s="34">
        <v>18000</v>
      </c>
      <c r="H14" s="34">
        <f t="shared" si="0"/>
        <v>18000</v>
      </c>
      <c r="I14" s="158" t="s">
        <v>77</v>
      </c>
      <c r="J14" s="53"/>
    </row>
    <row r="15" spans="1:10" s="33" customFormat="1" ht="24" customHeight="1">
      <c r="A15" s="158">
        <v>11</v>
      </c>
      <c r="B15" s="26"/>
      <c r="C15" s="93" t="s">
        <v>1828</v>
      </c>
      <c r="D15" s="93" t="s">
        <v>43</v>
      </c>
      <c r="E15" s="28" t="s">
        <v>61</v>
      </c>
      <c r="F15" s="29">
        <v>1</v>
      </c>
      <c r="G15" s="34">
        <v>3450</v>
      </c>
      <c r="H15" s="34">
        <f t="shared" si="0"/>
        <v>3450</v>
      </c>
      <c r="I15" s="158" t="s">
        <v>78</v>
      </c>
      <c r="J15" s="53"/>
    </row>
    <row r="16" spans="1:10" s="33" customFormat="1" ht="24" customHeight="1">
      <c r="A16" s="158">
        <v>12</v>
      </c>
      <c r="B16" s="26"/>
      <c r="C16" s="93" t="s">
        <v>1827</v>
      </c>
      <c r="D16" s="93" t="s">
        <v>158</v>
      </c>
      <c r="E16" s="28" t="s">
        <v>61</v>
      </c>
      <c r="F16" s="29">
        <v>1</v>
      </c>
      <c r="G16" s="34">
        <v>3750</v>
      </c>
      <c r="H16" s="34">
        <f t="shared" si="0"/>
        <v>3750</v>
      </c>
      <c r="I16" s="158" t="s">
        <v>78</v>
      </c>
      <c r="J16" s="53"/>
    </row>
    <row r="17" spans="1:10" s="33" customFormat="1" ht="24" customHeight="1">
      <c r="A17" s="158">
        <v>13</v>
      </c>
      <c r="B17" s="26"/>
      <c r="C17" s="93" t="s">
        <v>174</v>
      </c>
      <c r="D17" s="93" t="s">
        <v>187</v>
      </c>
      <c r="E17" s="28" t="s">
        <v>61</v>
      </c>
      <c r="F17" s="29">
        <v>1</v>
      </c>
      <c r="G17" s="34">
        <v>1150</v>
      </c>
      <c r="H17" s="34">
        <f t="shared" si="0"/>
        <v>1150</v>
      </c>
      <c r="I17" s="158" t="s">
        <v>77</v>
      </c>
      <c r="J17" s="53"/>
    </row>
    <row r="18" spans="1:10" s="33" customFormat="1" ht="24" customHeight="1">
      <c r="A18" s="158">
        <v>14</v>
      </c>
      <c r="B18" s="26"/>
      <c r="C18" s="44" t="s">
        <v>175</v>
      </c>
      <c r="D18" s="44" t="s">
        <v>73</v>
      </c>
      <c r="E18" s="28" t="s">
        <v>61</v>
      </c>
      <c r="F18" s="29">
        <v>1</v>
      </c>
      <c r="G18" s="34">
        <v>2590</v>
      </c>
      <c r="H18" s="34">
        <f t="shared" si="0"/>
        <v>2590</v>
      </c>
      <c r="I18" s="158" t="s">
        <v>77</v>
      </c>
      <c r="J18" s="53"/>
    </row>
    <row r="19" spans="1:10" s="33" customFormat="1" ht="24" customHeight="1">
      <c r="A19" s="158">
        <v>15</v>
      </c>
      <c r="B19" s="26"/>
      <c r="C19" s="166" t="s">
        <v>176</v>
      </c>
      <c r="D19" s="166" t="s">
        <v>188</v>
      </c>
      <c r="E19" s="28" t="s">
        <v>192</v>
      </c>
      <c r="F19" s="29">
        <v>2</v>
      </c>
      <c r="G19" s="209">
        <v>22649</v>
      </c>
      <c r="H19" s="34">
        <f t="shared" si="0"/>
        <v>45298</v>
      </c>
      <c r="I19" s="158" t="s">
        <v>77</v>
      </c>
      <c r="J19" s="53"/>
    </row>
    <row r="20" spans="1:10" s="33" customFormat="1" ht="24" customHeight="1">
      <c r="A20" s="158">
        <v>16</v>
      </c>
      <c r="B20" s="26"/>
      <c r="C20" s="44" t="s">
        <v>177</v>
      </c>
      <c r="D20" s="44" t="s">
        <v>189</v>
      </c>
      <c r="E20" s="28" t="s">
        <v>192</v>
      </c>
      <c r="F20" s="29">
        <v>2</v>
      </c>
      <c r="G20" s="34">
        <v>7337</v>
      </c>
      <c r="H20" s="34">
        <f t="shared" si="0"/>
        <v>14674</v>
      </c>
      <c r="I20" s="158" t="s">
        <v>77</v>
      </c>
      <c r="J20" s="53"/>
    </row>
    <row r="21" spans="1:10" s="33" customFormat="1" ht="24" customHeight="1">
      <c r="A21" s="158">
        <v>17</v>
      </c>
      <c r="B21" s="26"/>
      <c r="C21" s="93" t="s">
        <v>178</v>
      </c>
      <c r="D21" s="93" t="s">
        <v>190</v>
      </c>
      <c r="E21" s="28" t="s">
        <v>192</v>
      </c>
      <c r="F21" s="29">
        <v>2</v>
      </c>
      <c r="G21" s="34">
        <v>3300</v>
      </c>
      <c r="H21" s="34">
        <f t="shared" si="0"/>
        <v>6600</v>
      </c>
      <c r="I21" s="158" t="s">
        <v>78</v>
      </c>
      <c r="J21" s="53"/>
    </row>
    <row r="22" spans="1:10" s="33" customFormat="1" ht="24" customHeight="1">
      <c r="A22" s="158">
        <v>18</v>
      </c>
      <c r="B22" s="94" t="s">
        <v>1696</v>
      </c>
      <c r="C22" s="93" t="s">
        <v>179</v>
      </c>
      <c r="D22" s="93" t="s">
        <v>191</v>
      </c>
      <c r="E22" s="28" t="s">
        <v>192</v>
      </c>
      <c r="F22" s="29">
        <v>2</v>
      </c>
      <c r="G22" s="34">
        <v>25000</v>
      </c>
      <c r="H22" s="34">
        <f t="shared" si="0"/>
        <v>50000</v>
      </c>
      <c r="I22" s="158" t="s">
        <v>78</v>
      </c>
      <c r="J22" s="53"/>
    </row>
    <row r="23" spans="1:10" s="33" customFormat="1" ht="24" customHeight="1">
      <c r="A23" s="158">
        <v>19</v>
      </c>
      <c r="B23" s="94" t="s">
        <v>1697</v>
      </c>
      <c r="C23" s="93" t="s">
        <v>1698</v>
      </c>
      <c r="D23" s="93" t="s">
        <v>828</v>
      </c>
      <c r="E23" s="28" t="s">
        <v>62</v>
      </c>
      <c r="F23" s="29">
        <v>4</v>
      </c>
      <c r="G23" s="34">
        <v>4500</v>
      </c>
      <c r="H23" s="34">
        <f t="shared" si="0"/>
        <v>18000</v>
      </c>
      <c r="I23" s="158" t="s">
        <v>78</v>
      </c>
      <c r="J23" s="53"/>
    </row>
    <row r="24" spans="1:10" s="33" customFormat="1" ht="24" customHeight="1">
      <c r="A24" s="158">
        <v>20</v>
      </c>
      <c r="B24" s="94" t="s">
        <v>1697</v>
      </c>
      <c r="C24" s="93" t="s">
        <v>1699</v>
      </c>
      <c r="D24" s="93" t="s">
        <v>1700</v>
      </c>
      <c r="E24" s="28" t="s">
        <v>62</v>
      </c>
      <c r="F24" s="29">
        <v>1</v>
      </c>
      <c r="G24" s="34">
        <v>4900</v>
      </c>
      <c r="H24" s="34">
        <f t="shared" si="0"/>
        <v>4900</v>
      </c>
      <c r="I24" s="158" t="s">
        <v>78</v>
      </c>
      <c r="J24" s="53"/>
    </row>
    <row r="25" spans="1:10" ht="24" customHeight="1">
      <c r="A25" s="369" t="s">
        <v>465</v>
      </c>
      <c r="B25" s="370"/>
      <c r="C25" s="370"/>
      <c r="D25" s="370"/>
      <c r="E25" s="371"/>
      <c r="F25" s="47"/>
      <c r="G25" s="48"/>
      <c r="H25" s="48">
        <f>SUM(H5:H24)</f>
        <v>212097.3</v>
      </c>
      <c r="I25" s="26"/>
      <c r="J25" s="53"/>
    </row>
    <row r="27" spans="1:10" ht="24" customHeight="1">
      <c r="F27" s="353" t="s">
        <v>225</v>
      </c>
      <c r="G27" s="353"/>
      <c r="H27" s="353"/>
      <c r="I27" s="353"/>
      <c r="J27" s="159"/>
    </row>
    <row r="28" spans="1:10" ht="24" customHeight="1">
      <c r="F28" s="353" t="s">
        <v>1751</v>
      </c>
      <c r="G28" s="353"/>
      <c r="H28" s="353"/>
      <c r="I28" s="353"/>
      <c r="J28" s="159"/>
    </row>
    <row r="29" spans="1:10" ht="24" customHeight="1">
      <c r="F29" s="353" t="s">
        <v>226</v>
      </c>
      <c r="G29" s="353"/>
      <c r="H29" s="353"/>
      <c r="I29" s="353"/>
      <c r="J29" s="159"/>
    </row>
  </sheetData>
  <mergeCells count="7">
    <mergeCell ref="F28:I28"/>
    <mergeCell ref="F29:I29"/>
    <mergeCell ref="A1:I1"/>
    <mergeCell ref="A2:I2"/>
    <mergeCell ref="A3:I3"/>
    <mergeCell ref="A25:E25"/>
    <mergeCell ref="F27:I27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33"/>
  <sheetViews>
    <sheetView topLeftCell="A4" workbookViewId="0">
      <selection activeCell="K6" sqref="K6"/>
    </sheetView>
  </sheetViews>
  <sheetFormatPr defaultColWidth="9" defaultRowHeight="24"/>
  <cols>
    <col min="1" max="1" width="5.5703125" style="14" customWidth="1"/>
    <col min="2" max="2" width="13.7109375" style="14" customWidth="1"/>
    <col min="3" max="3" width="28.7109375" style="14" customWidth="1"/>
    <col min="4" max="4" width="38.5703125" style="14" customWidth="1"/>
    <col min="5" max="5" width="8" style="14" customWidth="1"/>
    <col min="6" max="6" width="7" style="14" customWidth="1"/>
    <col min="7" max="7" width="11" style="14" customWidth="1"/>
    <col min="8" max="8" width="13" style="14" customWidth="1"/>
    <col min="9" max="9" width="10.140625" style="205" customWidth="1"/>
    <col min="10" max="10" width="15.85546875" style="205" customWidth="1"/>
    <col min="11" max="16384" width="9" style="14"/>
  </cols>
  <sheetData>
    <row r="1" spans="1:10" ht="24.75" customHeight="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0">
      <c r="A2" s="354" t="s">
        <v>290</v>
      </c>
      <c r="B2" s="354"/>
      <c r="C2" s="354"/>
      <c r="D2" s="354"/>
      <c r="E2" s="354"/>
      <c r="F2" s="354"/>
      <c r="G2" s="354"/>
      <c r="H2" s="354"/>
      <c r="I2" s="354"/>
    </row>
    <row r="3" spans="1:10">
      <c r="A3" s="372" t="s">
        <v>1781</v>
      </c>
      <c r="B3" s="372"/>
      <c r="C3" s="372"/>
      <c r="D3" s="372"/>
      <c r="E3" s="372"/>
      <c r="F3" s="372"/>
      <c r="G3" s="372"/>
      <c r="H3" s="372"/>
      <c r="I3" s="372"/>
      <c r="J3" s="201"/>
    </row>
    <row r="4" spans="1:10" s="25" customFormat="1" ht="42.7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0" s="33" customFormat="1">
      <c r="A5" s="206">
        <v>1</v>
      </c>
      <c r="B5" s="26"/>
      <c r="C5" s="93" t="s">
        <v>259</v>
      </c>
      <c r="D5" s="93" t="s">
        <v>208</v>
      </c>
      <c r="E5" s="28" t="s">
        <v>61</v>
      </c>
      <c r="F5" s="29">
        <v>1</v>
      </c>
      <c r="G5" s="34">
        <v>2300</v>
      </c>
      <c r="H5" s="34">
        <f>SUM(F5*G5)</f>
        <v>2300</v>
      </c>
      <c r="I5" s="206" t="s">
        <v>78</v>
      </c>
      <c r="J5" s="201"/>
    </row>
    <row r="6" spans="1:10" s="33" customFormat="1">
      <c r="A6" s="206">
        <v>2</v>
      </c>
      <c r="B6" s="26"/>
      <c r="C6" s="93" t="s">
        <v>260</v>
      </c>
      <c r="D6" s="93" t="s">
        <v>278</v>
      </c>
      <c r="E6" s="28" t="s">
        <v>61</v>
      </c>
      <c r="F6" s="29">
        <v>1</v>
      </c>
      <c r="G6" s="34">
        <v>900</v>
      </c>
      <c r="H6" s="34">
        <f t="shared" ref="H6:H26" si="0">SUM(F6*G6)</f>
        <v>900</v>
      </c>
      <c r="I6" s="206" t="s">
        <v>78</v>
      </c>
      <c r="J6" s="201"/>
    </row>
    <row r="7" spans="1:10" s="33" customFormat="1">
      <c r="A7" s="206">
        <v>3</v>
      </c>
      <c r="B7" s="26"/>
      <c r="C7" s="93" t="s">
        <v>261</v>
      </c>
      <c r="D7" s="93" t="s">
        <v>279</v>
      </c>
      <c r="E7" s="28" t="s">
        <v>61</v>
      </c>
      <c r="F7" s="29">
        <v>1</v>
      </c>
      <c r="G7" s="34">
        <v>10500</v>
      </c>
      <c r="H7" s="34">
        <f t="shared" si="0"/>
        <v>10500</v>
      </c>
      <c r="I7" s="206" t="s">
        <v>78</v>
      </c>
      <c r="J7" s="201"/>
    </row>
    <row r="8" spans="1:10" s="33" customFormat="1">
      <c r="A8" s="206">
        <v>4</v>
      </c>
      <c r="B8" s="26"/>
      <c r="C8" s="93" t="s">
        <v>262</v>
      </c>
      <c r="D8" s="13" t="s">
        <v>280</v>
      </c>
      <c r="E8" s="28" t="s">
        <v>61</v>
      </c>
      <c r="F8" s="29">
        <v>1</v>
      </c>
      <c r="G8" s="34">
        <v>8000</v>
      </c>
      <c r="H8" s="34">
        <f t="shared" si="0"/>
        <v>8000</v>
      </c>
      <c r="I8" s="206" t="s">
        <v>77</v>
      </c>
      <c r="J8" s="201"/>
    </row>
    <row r="9" spans="1:10" s="33" customFormat="1">
      <c r="A9" s="206">
        <v>5</v>
      </c>
      <c r="B9" s="26"/>
      <c r="C9" s="27" t="s">
        <v>263</v>
      </c>
      <c r="D9" s="13" t="s">
        <v>45</v>
      </c>
      <c r="E9" s="28" t="s">
        <v>1825</v>
      </c>
      <c r="F9" s="29">
        <v>2</v>
      </c>
      <c r="G9" s="35">
        <v>2300</v>
      </c>
      <c r="H9" s="34">
        <f t="shared" si="0"/>
        <v>4600</v>
      </c>
      <c r="I9" s="96" t="s">
        <v>78</v>
      </c>
      <c r="J9" s="211"/>
    </row>
    <row r="10" spans="1:10" s="33" customFormat="1">
      <c r="A10" s="206">
        <v>6</v>
      </c>
      <c r="B10" s="26"/>
      <c r="C10" s="93" t="s">
        <v>264</v>
      </c>
      <c r="D10" s="93" t="s">
        <v>281</v>
      </c>
      <c r="E10" s="28" t="s">
        <v>61</v>
      </c>
      <c r="F10" s="29">
        <v>1</v>
      </c>
      <c r="G10" s="34">
        <v>2200</v>
      </c>
      <c r="H10" s="34">
        <f t="shared" si="0"/>
        <v>2200</v>
      </c>
      <c r="I10" s="206" t="s">
        <v>78</v>
      </c>
      <c r="J10" s="201"/>
    </row>
    <row r="11" spans="1:10" s="33" customFormat="1">
      <c r="A11" s="206">
        <v>7</v>
      </c>
      <c r="B11" s="26"/>
      <c r="C11" s="93" t="s">
        <v>265</v>
      </c>
      <c r="D11" s="93" t="s">
        <v>282</v>
      </c>
      <c r="E11" s="28" t="s">
        <v>61</v>
      </c>
      <c r="F11" s="29">
        <v>1</v>
      </c>
      <c r="G11" s="34">
        <v>2250</v>
      </c>
      <c r="H11" s="34">
        <f t="shared" si="0"/>
        <v>2250</v>
      </c>
      <c r="I11" s="206" t="s">
        <v>78</v>
      </c>
      <c r="J11" s="201"/>
    </row>
    <row r="12" spans="1:10" s="33" customFormat="1">
      <c r="A12" s="206">
        <v>8</v>
      </c>
      <c r="B12" s="26"/>
      <c r="C12" s="27" t="s">
        <v>266</v>
      </c>
      <c r="D12" s="13" t="s">
        <v>283</v>
      </c>
      <c r="E12" s="28" t="s">
        <v>61</v>
      </c>
      <c r="F12" s="29">
        <v>1</v>
      </c>
      <c r="G12" s="35">
        <v>17000</v>
      </c>
      <c r="H12" s="34">
        <f t="shared" si="0"/>
        <v>17000</v>
      </c>
      <c r="I12" s="206" t="s">
        <v>77</v>
      </c>
      <c r="J12" s="201"/>
    </row>
    <row r="13" spans="1:10" s="33" customFormat="1">
      <c r="A13" s="206">
        <v>9</v>
      </c>
      <c r="B13" s="26"/>
      <c r="C13" s="27" t="s">
        <v>267</v>
      </c>
      <c r="D13" s="13" t="s">
        <v>143</v>
      </c>
      <c r="E13" s="28" t="s">
        <v>1825</v>
      </c>
      <c r="F13" s="29">
        <v>1</v>
      </c>
      <c r="G13" s="35">
        <v>29000</v>
      </c>
      <c r="H13" s="34">
        <f t="shared" si="0"/>
        <v>29000</v>
      </c>
      <c r="I13" s="206" t="s">
        <v>77</v>
      </c>
      <c r="J13" s="201"/>
    </row>
    <row r="14" spans="1:10" s="33" customFormat="1">
      <c r="A14" s="206">
        <v>10</v>
      </c>
      <c r="B14" s="26"/>
      <c r="C14" s="27" t="s">
        <v>268</v>
      </c>
      <c r="D14" s="13" t="s">
        <v>284</v>
      </c>
      <c r="E14" s="28" t="s">
        <v>62</v>
      </c>
      <c r="F14" s="29">
        <v>2</v>
      </c>
      <c r="G14" s="35">
        <v>2500</v>
      </c>
      <c r="H14" s="34">
        <f t="shared" si="0"/>
        <v>5000</v>
      </c>
      <c r="I14" s="206" t="s">
        <v>78</v>
      </c>
      <c r="J14" s="201"/>
    </row>
    <row r="15" spans="1:10" s="33" customFormat="1">
      <c r="A15" s="206">
        <v>11</v>
      </c>
      <c r="B15" s="26"/>
      <c r="C15" s="27" t="s">
        <v>269</v>
      </c>
      <c r="D15" s="13" t="s">
        <v>285</v>
      </c>
      <c r="E15" s="212" t="s">
        <v>61</v>
      </c>
      <c r="F15" s="29">
        <v>1</v>
      </c>
      <c r="G15" s="35">
        <v>7000</v>
      </c>
      <c r="H15" s="34">
        <f t="shared" si="0"/>
        <v>7000</v>
      </c>
      <c r="I15" s="206" t="s">
        <v>77</v>
      </c>
      <c r="J15" s="201"/>
    </row>
    <row r="16" spans="1:10" s="33" customFormat="1">
      <c r="A16" s="206">
        <v>12</v>
      </c>
      <c r="B16" s="26"/>
      <c r="C16" s="27" t="s">
        <v>270</v>
      </c>
      <c r="D16" s="13" t="s">
        <v>286</v>
      </c>
      <c r="E16" s="28" t="s">
        <v>62</v>
      </c>
      <c r="F16" s="29">
        <v>1</v>
      </c>
      <c r="G16" s="35">
        <v>5500</v>
      </c>
      <c r="H16" s="34">
        <f t="shared" si="0"/>
        <v>5500</v>
      </c>
      <c r="I16" s="206" t="s">
        <v>77</v>
      </c>
      <c r="J16" s="201"/>
    </row>
    <row r="17" spans="1:10" s="33" customFormat="1">
      <c r="A17" s="206">
        <v>13</v>
      </c>
      <c r="B17" s="26"/>
      <c r="C17" s="27" t="s">
        <v>271</v>
      </c>
      <c r="D17" s="13" t="s">
        <v>287</v>
      </c>
      <c r="E17" s="28" t="s">
        <v>62</v>
      </c>
      <c r="F17" s="29">
        <v>1</v>
      </c>
      <c r="G17" s="35">
        <v>17300</v>
      </c>
      <c r="H17" s="34">
        <f t="shared" si="0"/>
        <v>17300</v>
      </c>
      <c r="I17" s="206" t="s">
        <v>77</v>
      </c>
      <c r="J17" s="201"/>
    </row>
    <row r="18" spans="1:10" s="33" customFormat="1">
      <c r="A18" s="206">
        <v>14</v>
      </c>
      <c r="B18" s="26"/>
      <c r="C18" s="27" t="s">
        <v>272</v>
      </c>
      <c r="D18" s="13" t="s">
        <v>213</v>
      </c>
      <c r="E18" s="28" t="s">
        <v>62</v>
      </c>
      <c r="F18" s="29">
        <v>1</v>
      </c>
      <c r="G18" s="35">
        <v>1700</v>
      </c>
      <c r="H18" s="34">
        <f t="shared" si="0"/>
        <v>1700</v>
      </c>
      <c r="I18" s="206" t="s">
        <v>78</v>
      </c>
      <c r="J18" s="201"/>
    </row>
    <row r="19" spans="1:10" s="33" customFormat="1">
      <c r="A19" s="206">
        <v>15</v>
      </c>
      <c r="B19" s="94"/>
      <c r="C19" s="213" t="s">
        <v>273</v>
      </c>
      <c r="D19" s="197" t="s">
        <v>1870</v>
      </c>
      <c r="E19" s="28" t="s">
        <v>1825</v>
      </c>
      <c r="F19" s="29">
        <v>1</v>
      </c>
      <c r="G19" s="198">
        <v>4800</v>
      </c>
      <c r="H19" s="34">
        <f t="shared" si="0"/>
        <v>4800</v>
      </c>
      <c r="I19" s="206" t="s">
        <v>77</v>
      </c>
      <c r="J19" s="201"/>
    </row>
    <row r="20" spans="1:10" s="33" customFormat="1">
      <c r="A20" s="206">
        <v>16</v>
      </c>
      <c r="B20" s="94"/>
      <c r="C20" s="27" t="s">
        <v>274</v>
      </c>
      <c r="D20" s="13" t="s">
        <v>187</v>
      </c>
      <c r="E20" s="28" t="s">
        <v>61</v>
      </c>
      <c r="F20" s="29">
        <v>3</v>
      </c>
      <c r="G20" s="35">
        <v>1150</v>
      </c>
      <c r="H20" s="34">
        <f t="shared" si="0"/>
        <v>3450</v>
      </c>
      <c r="I20" s="206" t="s">
        <v>78</v>
      </c>
      <c r="J20" s="201"/>
    </row>
    <row r="21" spans="1:10" s="33" customFormat="1">
      <c r="A21" s="206">
        <v>17</v>
      </c>
      <c r="B21" s="94"/>
      <c r="C21" s="27" t="s">
        <v>275</v>
      </c>
      <c r="D21" s="13" t="s">
        <v>216</v>
      </c>
      <c r="E21" s="28" t="s">
        <v>61</v>
      </c>
      <c r="F21" s="29">
        <v>1</v>
      </c>
      <c r="G21" s="35">
        <v>3950</v>
      </c>
      <c r="H21" s="34">
        <f t="shared" si="0"/>
        <v>3950</v>
      </c>
      <c r="I21" s="206" t="s">
        <v>77</v>
      </c>
      <c r="J21" s="201"/>
    </row>
    <row r="22" spans="1:10" s="33" customFormat="1">
      <c r="A22" s="206">
        <v>18</v>
      </c>
      <c r="B22" s="94"/>
      <c r="C22" s="27" t="s">
        <v>276</v>
      </c>
      <c r="D22" s="13" t="s">
        <v>74</v>
      </c>
      <c r="E22" s="28" t="s">
        <v>61</v>
      </c>
      <c r="F22" s="29">
        <v>1</v>
      </c>
      <c r="G22" s="35">
        <v>17000</v>
      </c>
      <c r="H22" s="34">
        <f t="shared" si="0"/>
        <v>17000</v>
      </c>
      <c r="I22" s="206" t="s">
        <v>77</v>
      </c>
      <c r="J22" s="201"/>
    </row>
    <row r="23" spans="1:10" s="33" customFormat="1">
      <c r="A23" s="206">
        <v>19</v>
      </c>
      <c r="B23" s="58">
        <v>21218</v>
      </c>
      <c r="C23" s="38" t="s">
        <v>277</v>
      </c>
      <c r="D23" s="26" t="s">
        <v>288</v>
      </c>
      <c r="E23" s="28" t="s">
        <v>62</v>
      </c>
      <c r="F23" s="29">
        <v>1</v>
      </c>
      <c r="G23" s="39">
        <v>18900</v>
      </c>
      <c r="H23" s="34">
        <f t="shared" si="0"/>
        <v>18900</v>
      </c>
      <c r="I23" s="206" t="s">
        <v>77</v>
      </c>
      <c r="J23" s="201"/>
    </row>
    <row r="24" spans="1:10" s="33" customFormat="1">
      <c r="A24" s="206">
        <v>20</v>
      </c>
      <c r="B24" s="94" t="s">
        <v>1704</v>
      </c>
      <c r="C24" s="27" t="s">
        <v>1701</v>
      </c>
      <c r="D24" s="13" t="s">
        <v>1702</v>
      </c>
      <c r="E24" s="28" t="s">
        <v>62</v>
      </c>
      <c r="F24" s="29">
        <v>1</v>
      </c>
      <c r="G24" s="35">
        <v>7800</v>
      </c>
      <c r="H24" s="34">
        <f t="shared" si="0"/>
        <v>7800</v>
      </c>
      <c r="I24" s="206" t="s">
        <v>78</v>
      </c>
      <c r="J24" s="201"/>
    </row>
    <row r="25" spans="1:10" s="33" customFormat="1">
      <c r="A25" s="206">
        <v>21</v>
      </c>
      <c r="B25" s="94" t="s">
        <v>1703</v>
      </c>
      <c r="C25" s="27" t="s">
        <v>1705</v>
      </c>
      <c r="D25" s="13" t="s">
        <v>1706</v>
      </c>
      <c r="E25" s="28" t="s">
        <v>62</v>
      </c>
      <c r="F25" s="29">
        <v>1</v>
      </c>
      <c r="G25" s="35">
        <v>39500</v>
      </c>
      <c r="H25" s="34">
        <f t="shared" si="0"/>
        <v>39500</v>
      </c>
      <c r="I25" s="206" t="s">
        <v>78</v>
      </c>
      <c r="J25" s="201"/>
    </row>
    <row r="26" spans="1:10" s="33" customFormat="1">
      <c r="A26" s="206">
        <v>22</v>
      </c>
      <c r="B26" s="94" t="s">
        <v>1811</v>
      </c>
      <c r="C26" s="27" t="s">
        <v>1812</v>
      </c>
      <c r="D26" s="13" t="s">
        <v>1813</v>
      </c>
      <c r="E26" s="28" t="s">
        <v>62</v>
      </c>
      <c r="F26" s="29">
        <v>1</v>
      </c>
      <c r="G26" s="35">
        <v>14500</v>
      </c>
      <c r="H26" s="34">
        <f t="shared" si="0"/>
        <v>14500</v>
      </c>
      <c r="I26" s="206" t="s">
        <v>78</v>
      </c>
      <c r="J26" s="201"/>
    </row>
    <row r="27" spans="1:10">
      <c r="A27" s="369" t="s">
        <v>465</v>
      </c>
      <c r="B27" s="370"/>
      <c r="C27" s="370"/>
      <c r="D27" s="370"/>
      <c r="E27" s="371"/>
      <c r="F27" s="47"/>
      <c r="G27" s="47"/>
      <c r="H27" s="34">
        <f>SUM(H5:H26)</f>
        <v>223150</v>
      </c>
      <c r="I27" s="206"/>
      <c r="J27" s="201"/>
    </row>
    <row r="30" spans="1:10">
      <c r="F30" s="353" t="s">
        <v>1655</v>
      </c>
      <c r="G30" s="353"/>
      <c r="H30" s="353"/>
      <c r="I30" s="353"/>
      <c r="J30" s="201"/>
    </row>
    <row r="31" spans="1:10">
      <c r="F31" s="353" t="s">
        <v>289</v>
      </c>
      <c r="G31" s="353"/>
      <c r="H31" s="353"/>
      <c r="I31" s="353"/>
      <c r="J31" s="201"/>
    </row>
    <row r="32" spans="1:10">
      <c r="F32" s="353" t="s">
        <v>226</v>
      </c>
      <c r="G32" s="353"/>
      <c r="H32" s="353"/>
      <c r="I32" s="353"/>
      <c r="J32" s="201"/>
    </row>
    <row r="33" spans="6:10">
      <c r="F33" s="201"/>
      <c r="G33" s="201"/>
      <c r="H33" s="201"/>
      <c r="I33" s="201"/>
      <c r="J33" s="201"/>
    </row>
  </sheetData>
  <mergeCells count="7">
    <mergeCell ref="F30:I30"/>
    <mergeCell ref="F31:I31"/>
    <mergeCell ref="F32:I32"/>
    <mergeCell ref="A1:I1"/>
    <mergeCell ref="A2:I2"/>
    <mergeCell ref="A3:I3"/>
    <mergeCell ref="A27:E27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137"/>
  <sheetViews>
    <sheetView workbookViewId="0">
      <selection activeCell="K9" sqref="K9"/>
    </sheetView>
  </sheetViews>
  <sheetFormatPr defaultColWidth="9" defaultRowHeight="22.5" customHeight="1"/>
  <cols>
    <col min="1" max="1" width="5.5703125" style="14" customWidth="1"/>
    <col min="2" max="2" width="10.85546875" style="14" customWidth="1"/>
    <col min="3" max="3" width="33.28515625" style="233" customWidth="1"/>
    <col min="4" max="4" width="35.85546875" style="14" customWidth="1"/>
    <col min="5" max="6" width="6.7109375" style="234" customWidth="1"/>
    <col min="7" max="7" width="14.28515625" style="234" customWidth="1"/>
    <col min="8" max="8" width="13.85546875" style="234" customWidth="1"/>
    <col min="9" max="9" width="8.7109375" style="205" customWidth="1"/>
    <col min="10" max="10" width="15.140625" style="205" customWidth="1"/>
    <col min="11" max="12" width="13.140625" style="14" customWidth="1"/>
    <col min="13" max="16384" width="9" style="14"/>
  </cols>
  <sheetData>
    <row r="1" spans="1:12" ht="22.5" customHeight="1">
      <c r="A1" s="354" t="s">
        <v>664</v>
      </c>
      <c r="B1" s="354"/>
      <c r="C1" s="354"/>
      <c r="D1" s="354"/>
      <c r="E1" s="354"/>
      <c r="F1" s="354"/>
      <c r="G1" s="354"/>
      <c r="H1" s="354"/>
      <c r="I1" s="354"/>
    </row>
    <row r="2" spans="1:12" ht="22.5" customHeight="1">
      <c r="A2" s="355" t="s">
        <v>711</v>
      </c>
      <c r="B2" s="355"/>
      <c r="C2" s="355"/>
      <c r="D2" s="355"/>
      <c r="E2" s="355"/>
      <c r="F2" s="355"/>
      <c r="G2" s="355"/>
      <c r="H2" s="355"/>
      <c r="I2" s="355"/>
      <c r="J2" s="208"/>
    </row>
    <row r="3" spans="1:12" ht="22.5" customHeight="1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01"/>
    </row>
    <row r="4" spans="1:12" s="205" customFormat="1" ht="42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207"/>
    </row>
    <row r="5" spans="1:12" ht="22.5" customHeight="1">
      <c r="A5" s="95">
        <v>1</v>
      </c>
      <c r="B5" s="37"/>
      <c r="C5" s="27" t="s">
        <v>712</v>
      </c>
      <c r="D5" s="93" t="s">
        <v>713</v>
      </c>
      <c r="E5" s="97" t="s">
        <v>61</v>
      </c>
      <c r="F5" s="97">
        <v>331</v>
      </c>
      <c r="G5" s="98">
        <v>500</v>
      </c>
      <c r="H5" s="98">
        <f>SUM(F5*G5)</f>
        <v>165500</v>
      </c>
      <c r="I5" s="99" t="s">
        <v>77</v>
      </c>
      <c r="J5" s="214"/>
      <c r="L5" s="215"/>
    </row>
    <row r="6" spans="1:12" ht="22.5" customHeight="1">
      <c r="A6" s="216">
        <v>2</v>
      </c>
      <c r="B6" s="100"/>
      <c r="C6" s="217" t="s">
        <v>714</v>
      </c>
      <c r="D6" s="218" t="s">
        <v>715</v>
      </c>
      <c r="E6" s="97" t="s">
        <v>61</v>
      </c>
      <c r="F6" s="97">
        <v>83</v>
      </c>
      <c r="G6" s="219">
        <v>600</v>
      </c>
      <c r="H6" s="98">
        <f t="shared" ref="H6:H71" si="0">SUM(F6*G6)</f>
        <v>49800</v>
      </c>
      <c r="I6" s="99" t="s">
        <v>77</v>
      </c>
      <c r="J6" s="214"/>
    </row>
    <row r="7" spans="1:12" ht="22.5" customHeight="1">
      <c r="A7" s="95">
        <v>3</v>
      </c>
      <c r="B7" s="37"/>
      <c r="C7" s="27" t="s">
        <v>716</v>
      </c>
      <c r="D7" s="13" t="s">
        <v>715</v>
      </c>
      <c r="E7" s="97" t="s">
        <v>62</v>
      </c>
      <c r="F7" s="97">
        <v>27</v>
      </c>
      <c r="G7" s="98">
        <v>600</v>
      </c>
      <c r="H7" s="98">
        <f t="shared" si="0"/>
        <v>16200</v>
      </c>
      <c r="I7" s="99" t="s">
        <v>77</v>
      </c>
      <c r="J7" s="214"/>
    </row>
    <row r="8" spans="1:12" ht="22.5" customHeight="1">
      <c r="A8" s="216">
        <v>4</v>
      </c>
      <c r="B8" s="37"/>
      <c r="C8" s="27" t="s">
        <v>717</v>
      </c>
      <c r="D8" s="13" t="s">
        <v>718</v>
      </c>
      <c r="E8" s="97" t="s">
        <v>61</v>
      </c>
      <c r="F8" s="97">
        <v>1</v>
      </c>
      <c r="G8" s="98">
        <v>15000</v>
      </c>
      <c r="H8" s="98">
        <f t="shared" si="0"/>
        <v>15000</v>
      </c>
      <c r="I8" s="99" t="s">
        <v>77</v>
      </c>
      <c r="J8" s="214"/>
    </row>
    <row r="9" spans="1:12" ht="22.5" customHeight="1">
      <c r="A9" s="95">
        <v>5</v>
      </c>
      <c r="B9" s="37"/>
      <c r="C9" s="27" t="s">
        <v>719</v>
      </c>
      <c r="D9" s="27" t="s">
        <v>720</v>
      </c>
      <c r="E9" s="97" t="s">
        <v>61</v>
      </c>
      <c r="F9" s="97">
        <v>2</v>
      </c>
      <c r="G9" s="98">
        <v>2350</v>
      </c>
      <c r="H9" s="98">
        <f t="shared" si="0"/>
        <v>4700</v>
      </c>
      <c r="I9" s="99" t="s">
        <v>77</v>
      </c>
      <c r="J9" s="214"/>
    </row>
    <row r="10" spans="1:12" ht="22.5" customHeight="1">
      <c r="A10" s="216">
        <v>6</v>
      </c>
      <c r="B10" s="37"/>
      <c r="C10" s="27" t="s">
        <v>721</v>
      </c>
      <c r="D10" s="27" t="s">
        <v>722</v>
      </c>
      <c r="E10" s="97" t="s">
        <v>61</v>
      </c>
      <c r="F10" s="97">
        <v>15</v>
      </c>
      <c r="G10" s="98">
        <v>2250</v>
      </c>
      <c r="H10" s="98">
        <f t="shared" si="0"/>
        <v>33750</v>
      </c>
      <c r="I10" s="99" t="s">
        <v>77</v>
      </c>
      <c r="J10" s="214"/>
    </row>
    <row r="11" spans="1:12" ht="22.5" customHeight="1">
      <c r="A11" s="95">
        <v>7</v>
      </c>
      <c r="B11" s="95"/>
      <c r="C11" s="27" t="s">
        <v>723</v>
      </c>
      <c r="D11" s="27" t="s">
        <v>724</v>
      </c>
      <c r="E11" s="97" t="s">
        <v>61</v>
      </c>
      <c r="F11" s="97">
        <v>1</v>
      </c>
      <c r="G11" s="98">
        <v>3800</v>
      </c>
      <c r="H11" s="98">
        <f t="shared" si="0"/>
        <v>3800</v>
      </c>
      <c r="I11" s="99" t="s">
        <v>77</v>
      </c>
      <c r="J11" s="214"/>
    </row>
    <row r="12" spans="1:12" ht="22.5" customHeight="1">
      <c r="A12" s="216">
        <v>8</v>
      </c>
      <c r="B12" s="37"/>
      <c r="C12" s="27" t="s">
        <v>725</v>
      </c>
      <c r="D12" s="13" t="s">
        <v>715</v>
      </c>
      <c r="E12" s="97" t="s">
        <v>61</v>
      </c>
      <c r="F12" s="97">
        <v>156</v>
      </c>
      <c r="G12" s="98">
        <v>600</v>
      </c>
      <c r="H12" s="98">
        <f t="shared" si="0"/>
        <v>93600</v>
      </c>
      <c r="I12" s="99" t="s">
        <v>77</v>
      </c>
      <c r="J12" s="214"/>
    </row>
    <row r="13" spans="1:12" ht="22.5" customHeight="1">
      <c r="A13" s="95">
        <v>9</v>
      </c>
      <c r="B13" s="37"/>
      <c r="C13" s="27" t="s">
        <v>726</v>
      </c>
      <c r="D13" s="13" t="s">
        <v>718</v>
      </c>
      <c r="E13" s="97" t="s">
        <v>61</v>
      </c>
      <c r="F13" s="101">
        <v>1</v>
      </c>
      <c r="G13" s="98">
        <v>13000</v>
      </c>
      <c r="H13" s="98">
        <f t="shared" si="0"/>
        <v>13000</v>
      </c>
      <c r="I13" s="99" t="s">
        <v>77</v>
      </c>
      <c r="J13" s="214"/>
    </row>
    <row r="14" spans="1:12" ht="22.5" customHeight="1">
      <c r="A14" s="216">
        <v>10</v>
      </c>
      <c r="B14" s="37"/>
      <c r="C14" s="27" t="s">
        <v>727</v>
      </c>
      <c r="D14" s="27" t="s">
        <v>728</v>
      </c>
      <c r="E14" s="97" t="s">
        <v>1825</v>
      </c>
      <c r="F14" s="101">
        <v>1</v>
      </c>
      <c r="G14" s="98">
        <v>3000</v>
      </c>
      <c r="H14" s="98">
        <f t="shared" si="0"/>
        <v>3000</v>
      </c>
      <c r="I14" s="99" t="s">
        <v>77</v>
      </c>
      <c r="J14" s="214"/>
    </row>
    <row r="15" spans="1:12" ht="22.5" customHeight="1">
      <c r="A15" s="95">
        <v>11</v>
      </c>
      <c r="B15" s="102"/>
      <c r="C15" s="27" t="s">
        <v>729</v>
      </c>
      <c r="D15" s="27" t="s">
        <v>728</v>
      </c>
      <c r="E15" s="97" t="s">
        <v>1825</v>
      </c>
      <c r="F15" s="101">
        <v>1</v>
      </c>
      <c r="G15" s="98">
        <v>2500</v>
      </c>
      <c r="H15" s="98">
        <f t="shared" si="0"/>
        <v>2500</v>
      </c>
      <c r="I15" s="99" t="s">
        <v>77</v>
      </c>
      <c r="J15" s="214"/>
    </row>
    <row r="16" spans="1:12" ht="22.5" customHeight="1">
      <c r="A16" s="216">
        <v>12</v>
      </c>
      <c r="B16" s="102"/>
      <c r="C16" s="27" t="s">
        <v>730</v>
      </c>
      <c r="D16" s="27" t="s">
        <v>722</v>
      </c>
      <c r="E16" s="97" t="s">
        <v>1825</v>
      </c>
      <c r="F16" s="101">
        <v>1</v>
      </c>
      <c r="G16" s="98">
        <v>2100</v>
      </c>
      <c r="H16" s="98">
        <f t="shared" si="0"/>
        <v>2100</v>
      </c>
      <c r="I16" s="206" t="s">
        <v>77</v>
      </c>
      <c r="J16" s="201"/>
    </row>
    <row r="17" spans="1:10" ht="22.5" customHeight="1">
      <c r="A17" s="95">
        <v>13</v>
      </c>
      <c r="B17" s="102"/>
      <c r="C17" s="27" t="s">
        <v>731</v>
      </c>
      <c r="D17" s="27" t="s">
        <v>724</v>
      </c>
      <c r="E17" s="97" t="s">
        <v>1825</v>
      </c>
      <c r="F17" s="101">
        <v>2</v>
      </c>
      <c r="G17" s="98">
        <v>3500</v>
      </c>
      <c r="H17" s="98">
        <f t="shared" si="0"/>
        <v>7000</v>
      </c>
      <c r="I17" s="206" t="s">
        <v>78</v>
      </c>
      <c r="J17" s="201"/>
    </row>
    <row r="18" spans="1:10" ht="22.5" customHeight="1">
      <c r="A18" s="216">
        <v>14</v>
      </c>
      <c r="B18" s="102"/>
      <c r="C18" s="27" t="s">
        <v>732</v>
      </c>
      <c r="D18" s="13" t="s">
        <v>733</v>
      </c>
      <c r="E18" s="97" t="s">
        <v>1825</v>
      </c>
      <c r="F18" s="101">
        <v>5</v>
      </c>
      <c r="G18" s="98">
        <v>23000</v>
      </c>
      <c r="H18" s="98">
        <f t="shared" si="0"/>
        <v>115000</v>
      </c>
      <c r="I18" s="206" t="s">
        <v>78</v>
      </c>
      <c r="J18" s="201"/>
    </row>
    <row r="19" spans="1:10" ht="22.5" customHeight="1">
      <c r="A19" s="95">
        <v>15</v>
      </c>
      <c r="B19" s="94"/>
      <c r="C19" s="27" t="s">
        <v>734</v>
      </c>
      <c r="D19" s="27" t="s">
        <v>735</v>
      </c>
      <c r="E19" s="97" t="s">
        <v>62</v>
      </c>
      <c r="F19" s="101">
        <v>1</v>
      </c>
      <c r="G19" s="98">
        <v>3500</v>
      </c>
      <c r="H19" s="98">
        <f t="shared" si="0"/>
        <v>3500</v>
      </c>
      <c r="I19" s="206" t="s">
        <v>78</v>
      </c>
      <c r="J19" s="201"/>
    </row>
    <row r="20" spans="1:10" ht="22.5" customHeight="1">
      <c r="A20" s="216">
        <v>16</v>
      </c>
      <c r="B20" s="94"/>
      <c r="C20" s="27" t="s">
        <v>736</v>
      </c>
      <c r="D20" s="27" t="s">
        <v>737</v>
      </c>
      <c r="E20" s="97" t="s">
        <v>62</v>
      </c>
      <c r="F20" s="101">
        <v>1</v>
      </c>
      <c r="G20" s="98">
        <v>9530</v>
      </c>
      <c r="H20" s="98">
        <f t="shared" si="0"/>
        <v>9530</v>
      </c>
      <c r="I20" s="206" t="s">
        <v>78</v>
      </c>
      <c r="J20" s="201"/>
    </row>
    <row r="21" spans="1:10" ht="22.5" customHeight="1">
      <c r="A21" s="95">
        <v>17</v>
      </c>
      <c r="B21" s="94"/>
      <c r="C21" s="27" t="s">
        <v>738</v>
      </c>
      <c r="D21" s="27" t="s">
        <v>739</v>
      </c>
      <c r="E21" s="97" t="s">
        <v>62</v>
      </c>
      <c r="F21" s="101">
        <v>1</v>
      </c>
      <c r="G21" s="98">
        <v>27500</v>
      </c>
      <c r="H21" s="98">
        <f t="shared" si="0"/>
        <v>27500</v>
      </c>
      <c r="I21" s="206" t="s">
        <v>77</v>
      </c>
      <c r="J21" s="201"/>
    </row>
    <row r="22" spans="1:10" ht="22.5" customHeight="1">
      <c r="A22" s="216">
        <v>18</v>
      </c>
      <c r="B22" s="94"/>
      <c r="C22" s="27" t="s">
        <v>740</v>
      </c>
      <c r="D22" s="27" t="s">
        <v>741</v>
      </c>
      <c r="E22" s="97" t="s">
        <v>62</v>
      </c>
      <c r="F22" s="101">
        <v>1</v>
      </c>
      <c r="G22" s="98">
        <v>1100</v>
      </c>
      <c r="H22" s="98">
        <f t="shared" si="0"/>
        <v>1100</v>
      </c>
      <c r="I22" s="206" t="s">
        <v>78</v>
      </c>
      <c r="J22" s="201"/>
    </row>
    <row r="23" spans="1:10" ht="22.5" customHeight="1">
      <c r="A23" s="95">
        <v>19</v>
      </c>
      <c r="B23" s="220"/>
      <c r="C23" s="27" t="s">
        <v>742</v>
      </c>
      <c r="D23" s="27" t="s">
        <v>743</v>
      </c>
      <c r="E23" s="97" t="s">
        <v>1863</v>
      </c>
      <c r="F23" s="101">
        <v>72</v>
      </c>
      <c r="G23" s="98">
        <v>300</v>
      </c>
      <c r="H23" s="98">
        <f t="shared" si="0"/>
        <v>21600</v>
      </c>
      <c r="I23" s="206" t="s">
        <v>77</v>
      </c>
      <c r="J23" s="201"/>
    </row>
    <row r="24" spans="1:10" ht="22.5" customHeight="1">
      <c r="A24" s="216">
        <v>20</v>
      </c>
      <c r="B24" s="206"/>
      <c r="C24" s="27" t="s">
        <v>744</v>
      </c>
      <c r="D24" s="27" t="s">
        <v>745</v>
      </c>
      <c r="E24" s="97" t="s">
        <v>1863</v>
      </c>
      <c r="F24" s="101">
        <v>36</v>
      </c>
      <c r="G24" s="98">
        <v>1100</v>
      </c>
      <c r="H24" s="98">
        <f t="shared" si="0"/>
        <v>39600</v>
      </c>
      <c r="I24" s="206" t="s">
        <v>77</v>
      </c>
      <c r="J24" s="201"/>
    </row>
    <row r="25" spans="1:10" ht="22.5" customHeight="1">
      <c r="A25" s="95">
        <v>21</v>
      </c>
      <c r="B25" s="26"/>
      <c r="C25" s="27" t="s">
        <v>746</v>
      </c>
      <c r="D25" s="27" t="s">
        <v>747</v>
      </c>
      <c r="E25" s="97" t="s">
        <v>1863</v>
      </c>
      <c r="F25" s="101">
        <v>20</v>
      </c>
      <c r="G25" s="98">
        <v>180</v>
      </c>
      <c r="H25" s="98">
        <f t="shared" si="0"/>
        <v>3600</v>
      </c>
      <c r="I25" s="206" t="s">
        <v>77</v>
      </c>
      <c r="J25" s="201"/>
    </row>
    <row r="26" spans="1:10" ht="22.5" customHeight="1">
      <c r="A26" s="216">
        <v>22</v>
      </c>
      <c r="B26" s="26"/>
      <c r="C26" s="27" t="s">
        <v>748</v>
      </c>
      <c r="D26" s="27" t="s">
        <v>1865</v>
      </c>
      <c r="E26" s="73" t="s">
        <v>62</v>
      </c>
      <c r="F26" s="97">
        <v>15</v>
      </c>
      <c r="G26" s="98">
        <v>1800</v>
      </c>
      <c r="H26" s="98">
        <f t="shared" si="0"/>
        <v>27000</v>
      </c>
      <c r="I26" s="206" t="s">
        <v>78</v>
      </c>
      <c r="J26" s="201"/>
    </row>
    <row r="27" spans="1:10" ht="22.5" customHeight="1">
      <c r="A27" s="95">
        <v>23</v>
      </c>
      <c r="B27" s="26"/>
      <c r="C27" s="27" t="s">
        <v>750</v>
      </c>
      <c r="D27" s="27" t="s">
        <v>1865</v>
      </c>
      <c r="E27" s="97" t="s">
        <v>1863</v>
      </c>
      <c r="F27" s="97">
        <v>15</v>
      </c>
      <c r="G27" s="98">
        <v>1800</v>
      </c>
      <c r="H27" s="98">
        <f t="shared" si="0"/>
        <v>27000</v>
      </c>
      <c r="I27" s="206" t="s">
        <v>78</v>
      </c>
      <c r="J27" s="201"/>
    </row>
    <row r="28" spans="1:10" ht="22.5" customHeight="1">
      <c r="A28" s="216">
        <v>24</v>
      </c>
      <c r="B28" s="26"/>
      <c r="C28" s="27" t="s">
        <v>751</v>
      </c>
      <c r="D28" s="13" t="s">
        <v>715</v>
      </c>
      <c r="E28" s="73" t="s">
        <v>62</v>
      </c>
      <c r="F28" s="97">
        <v>45</v>
      </c>
      <c r="G28" s="98">
        <v>580</v>
      </c>
      <c r="H28" s="98">
        <f t="shared" si="0"/>
        <v>26100</v>
      </c>
      <c r="I28" s="206" t="s">
        <v>77</v>
      </c>
      <c r="J28" s="201"/>
    </row>
    <row r="29" spans="1:10" ht="22.5" customHeight="1">
      <c r="A29" s="95">
        <v>25</v>
      </c>
      <c r="B29" s="26"/>
      <c r="C29" s="27" t="s">
        <v>752</v>
      </c>
      <c r="D29" s="13" t="s">
        <v>715</v>
      </c>
      <c r="E29" s="73" t="s">
        <v>62</v>
      </c>
      <c r="F29" s="97">
        <v>80</v>
      </c>
      <c r="G29" s="98">
        <v>580</v>
      </c>
      <c r="H29" s="98">
        <f t="shared" si="0"/>
        <v>46400</v>
      </c>
      <c r="I29" s="206" t="s">
        <v>77</v>
      </c>
      <c r="J29" s="201"/>
    </row>
    <row r="30" spans="1:10" ht="22.5" customHeight="1">
      <c r="A30" s="216">
        <v>26</v>
      </c>
      <c r="B30" s="26"/>
      <c r="C30" s="27" t="s">
        <v>753</v>
      </c>
      <c r="D30" s="13" t="s">
        <v>754</v>
      </c>
      <c r="E30" s="73" t="s">
        <v>62</v>
      </c>
      <c r="F30" s="97">
        <v>1</v>
      </c>
      <c r="G30" s="98">
        <v>5700</v>
      </c>
      <c r="H30" s="98">
        <f t="shared" si="0"/>
        <v>5700</v>
      </c>
      <c r="I30" s="206" t="s">
        <v>77</v>
      </c>
      <c r="J30" s="201"/>
    </row>
    <row r="31" spans="1:10" ht="22.5" customHeight="1">
      <c r="A31" s="95">
        <v>27</v>
      </c>
      <c r="B31" s="26"/>
      <c r="C31" s="27" t="s">
        <v>755</v>
      </c>
      <c r="D31" s="27" t="s">
        <v>728</v>
      </c>
      <c r="E31" s="73" t="s">
        <v>62</v>
      </c>
      <c r="F31" s="97">
        <v>1</v>
      </c>
      <c r="G31" s="98">
        <v>2500</v>
      </c>
      <c r="H31" s="98">
        <f t="shared" si="0"/>
        <v>2500</v>
      </c>
      <c r="I31" s="206" t="s">
        <v>77</v>
      </c>
      <c r="J31" s="201"/>
    </row>
    <row r="32" spans="1:10" ht="22.5" customHeight="1">
      <c r="A32" s="216">
        <v>28</v>
      </c>
      <c r="B32" s="26"/>
      <c r="C32" s="27" t="s">
        <v>756</v>
      </c>
      <c r="D32" s="27" t="s">
        <v>720</v>
      </c>
      <c r="E32" s="97" t="s">
        <v>1825</v>
      </c>
      <c r="F32" s="97">
        <v>4</v>
      </c>
      <c r="G32" s="98">
        <v>3000</v>
      </c>
      <c r="H32" s="98">
        <f t="shared" si="0"/>
        <v>12000</v>
      </c>
      <c r="I32" s="206" t="s">
        <v>77</v>
      </c>
      <c r="J32" s="201"/>
    </row>
    <row r="33" spans="1:10" ht="22.5" customHeight="1">
      <c r="A33" s="95">
        <v>29</v>
      </c>
      <c r="B33" s="26"/>
      <c r="C33" s="27" t="s">
        <v>757</v>
      </c>
      <c r="D33" s="27" t="s">
        <v>758</v>
      </c>
      <c r="E33" s="103" t="s">
        <v>62</v>
      </c>
      <c r="F33" s="97">
        <v>2</v>
      </c>
      <c r="G33" s="98">
        <v>3424</v>
      </c>
      <c r="H33" s="98">
        <f t="shared" si="0"/>
        <v>6848</v>
      </c>
      <c r="I33" s="206" t="s">
        <v>77</v>
      </c>
      <c r="J33" s="201"/>
    </row>
    <row r="34" spans="1:10" ht="22.5" customHeight="1">
      <c r="A34" s="216">
        <v>30</v>
      </c>
      <c r="B34" s="104"/>
      <c r="C34" s="27" t="s">
        <v>759</v>
      </c>
      <c r="D34" s="13" t="s">
        <v>760</v>
      </c>
      <c r="E34" s="103" t="s">
        <v>62</v>
      </c>
      <c r="F34" s="97">
        <v>1</v>
      </c>
      <c r="G34" s="98">
        <v>10561</v>
      </c>
      <c r="H34" s="98">
        <f t="shared" si="0"/>
        <v>10561</v>
      </c>
      <c r="I34" s="206" t="s">
        <v>77</v>
      </c>
      <c r="J34" s="201"/>
    </row>
    <row r="35" spans="1:10" ht="22.5" customHeight="1">
      <c r="A35" s="95">
        <v>31</v>
      </c>
      <c r="B35" s="100"/>
      <c r="C35" s="27" t="s">
        <v>761</v>
      </c>
      <c r="D35" s="13" t="s">
        <v>762</v>
      </c>
      <c r="E35" s="97" t="s">
        <v>62</v>
      </c>
      <c r="F35" s="101">
        <v>1</v>
      </c>
      <c r="G35" s="98">
        <v>11535.6</v>
      </c>
      <c r="H35" s="98">
        <f t="shared" si="0"/>
        <v>11535.6</v>
      </c>
      <c r="I35" s="221" t="s">
        <v>77</v>
      </c>
      <c r="J35" s="214"/>
    </row>
    <row r="36" spans="1:10" ht="22.5" customHeight="1">
      <c r="A36" s="216">
        <v>32</v>
      </c>
      <c r="B36" s="37"/>
      <c r="C36" s="27" t="s">
        <v>763</v>
      </c>
      <c r="D36" s="13" t="s">
        <v>764</v>
      </c>
      <c r="E36" s="97" t="s">
        <v>62</v>
      </c>
      <c r="F36" s="101">
        <v>1</v>
      </c>
      <c r="G36" s="98">
        <v>25000</v>
      </c>
      <c r="H36" s="98">
        <f t="shared" si="0"/>
        <v>25000</v>
      </c>
      <c r="I36" s="99" t="s">
        <v>78</v>
      </c>
      <c r="J36" s="214"/>
    </row>
    <row r="37" spans="1:10" ht="22.5" customHeight="1">
      <c r="A37" s="95">
        <v>33</v>
      </c>
      <c r="B37" s="37"/>
      <c r="C37" s="27" t="s">
        <v>765</v>
      </c>
      <c r="D37" s="13" t="s">
        <v>715</v>
      </c>
      <c r="E37" s="97" t="s">
        <v>61</v>
      </c>
      <c r="F37" s="101">
        <v>80</v>
      </c>
      <c r="G37" s="105">
        <v>580</v>
      </c>
      <c r="H37" s="98">
        <f t="shared" si="0"/>
        <v>46400</v>
      </c>
      <c r="I37" s="99" t="s">
        <v>77</v>
      </c>
      <c r="J37" s="214"/>
    </row>
    <row r="38" spans="1:10" ht="22.5" customHeight="1">
      <c r="A38" s="216">
        <v>34</v>
      </c>
      <c r="B38" s="37"/>
      <c r="C38" s="27" t="s">
        <v>766</v>
      </c>
      <c r="D38" s="27" t="s">
        <v>767</v>
      </c>
      <c r="E38" s="97" t="s">
        <v>62</v>
      </c>
      <c r="F38" s="101">
        <v>1</v>
      </c>
      <c r="G38" s="105">
        <v>1400</v>
      </c>
      <c r="H38" s="98">
        <f t="shared" si="0"/>
        <v>1400</v>
      </c>
      <c r="I38" s="99" t="s">
        <v>77</v>
      </c>
      <c r="J38" s="214"/>
    </row>
    <row r="39" spans="1:10" ht="22.5" customHeight="1">
      <c r="A39" s="95">
        <v>35</v>
      </c>
      <c r="B39" s="37"/>
      <c r="C39" s="27" t="s">
        <v>768</v>
      </c>
      <c r="D39" s="13" t="s">
        <v>769</v>
      </c>
      <c r="E39" s="97" t="s">
        <v>62</v>
      </c>
      <c r="F39" s="101">
        <v>1</v>
      </c>
      <c r="G39" s="105">
        <v>2920</v>
      </c>
      <c r="H39" s="98">
        <f t="shared" si="0"/>
        <v>2920</v>
      </c>
      <c r="I39" s="99" t="s">
        <v>77</v>
      </c>
      <c r="J39" s="214"/>
    </row>
    <row r="40" spans="1:10" ht="22.5" customHeight="1">
      <c r="A40" s="216">
        <v>36</v>
      </c>
      <c r="B40" s="95"/>
      <c r="C40" s="27" t="s">
        <v>770</v>
      </c>
      <c r="D40" s="27" t="s">
        <v>771</v>
      </c>
      <c r="E40" s="97" t="s">
        <v>62</v>
      </c>
      <c r="F40" s="101">
        <v>1</v>
      </c>
      <c r="G40" s="105">
        <v>5880</v>
      </c>
      <c r="H40" s="98">
        <f t="shared" si="0"/>
        <v>5880</v>
      </c>
      <c r="I40" s="99" t="s">
        <v>77</v>
      </c>
      <c r="J40" s="214"/>
    </row>
    <row r="41" spans="1:10" ht="22.5" customHeight="1">
      <c r="A41" s="95">
        <v>37</v>
      </c>
      <c r="B41" s="37"/>
      <c r="C41" s="27" t="s">
        <v>772</v>
      </c>
      <c r="D41" s="27" t="s">
        <v>773</v>
      </c>
      <c r="E41" s="97" t="s">
        <v>62</v>
      </c>
      <c r="F41" s="101">
        <v>2</v>
      </c>
      <c r="G41" s="105">
        <v>960</v>
      </c>
      <c r="H41" s="98">
        <f t="shared" si="0"/>
        <v>1920</v>
      </c>
      <c r="I41" s="99" t="s">
        <v>77</v>
      </c>
      <c r="J41" s="214"/>
    </row>
    <row r="42" spans="1:10" ht="22.5" customHeight="1">
      <c r="A42" s="216">
        <v>38</v>
      </c>
      <c r="B42" s="37"/>
      <c r="C42" s="27" t="s">
        <v>774</v>
      </c>
      <c r="D42" s="13" t="s">
        <v>775</v>
      </c>
      <c r="E42" s="97" t="s">
        <v>62</v>
      </c>
      <c r="F42" s="101">
        <v>1</v>
      </c>
      <c r="G42" s="105">
        <v>5280.45</v>
      </c>
      <c r="H42" s="98">
        <f t="shared" si="0"/>
        <v>5280.45</v>
      </c>
      <c r="I42" s="99" t="s">
        <v>77</v>
      </c>
      <c r="J42" s="214"/>
    </row>
    <row r="43" spans="1:10" ht="22.5" customHeight="1">
      <c r="A43" s="95">
        <v>39</v>
      </c>
      <c r="B43" s="37"/>
      <c r="C43" s="27" t="s">
        <v>776</v>
      </c>
      <c r="D43" s="106" t="s">
        <v>777</v>
      </c>
      <c r="E43" s="97" t="s">
        <v>62</v>
      </c>
      <c r="F43" s="101">
        <v>1</v>
      </c>
      <c r="G43" s="98">
        <v>8085.99</v>
      </c>
      <c r="H43" s="98">
        <f t="shared" si="0"/>
        <v>8085.99</v>
      </c>
      <c r="I43" s="107" t="s">
        <v>78</v>
      </c>
      <c r="J43" s="222"/>
    </row>
    <row r="44" spans="1:10" ht="22.5" customHeight="1">
      <c r="A44" s="216">
        <v>40</v>
      </c>
      <c r="B44" s="102"/>
      <c r="C44" s="27" t="s">
        <v>778</v>
      </c>
      <c r="D44" s="27" t="s">
        <v>779</v>
      </c>
      <c r="E44" s="97" t="s">
        <v>62</v>
      </c>
      <c r="F44" s="101">
        <v>1</v>
      </c>
      <c r="G44" s="105">
        <v>3745</v>
      </c>
      <c r="H44" s="98">
        <f t="shared" si="0"/>
        <v>3745</v>
      </c>
      <c r="I44" s="107" t="s">
        <v>78</v>
      </c>
      <c r="J44" s="222"/>
    </row>
    <row r="45" spans="1:10" ht="22.5" customHeight="1">
      <c r="A45" s="95">
        <v>41</v>
      </c>
      <c r="B45" s="102"/>
      <c r="C45" s="27" t="s">
        <v>780</v>
      </c>
      <c r="D45" s="27" t="s">
        <v>781</v>
      </c>
      <c r="E45" s="97" t="s">
        <v>62</v>
      </c>
      <c r="F45" s="101">
        <v>1</v>
      </c>
      <c r="G45" s="105">
        <v>7700</v>
      </c>
      <c r="H45" s="98">
        <f t="shared" si="0"/>
        <v>7700</v>
      </c>
      <c r="I45" s="206" t="s">
        <v>78</v>
      </c>
      <c r="J45" s="201"/>
    </row>
    <row r="46" spans="1:10" ht="22.5" customHeight="1">
      <c r="A46" s="216">
        <v>42</v>
      </c>
      <c r="B46" s="102"/>
      <c r="C46" s="27" t="s">
        <v>782</v>
      </c>
      <c r="D46" s="27" t="s">
        <v>749</v>
      </c>
      <c r="E46" s="97" t="s">
        <v>62</v>
      </c>
      <c r="F46" s="101">
        <v>4</v>
      </c>
      <c r="G46" s="105">
        <v>1600</v>
      </c>
      <c r="H46" s="98">
        <f t="shared" si="0"/>
        <v>6400</v>
      </c>
      <c r="I46" s="206" t="s">
        <v>78</v>
      </c>
      <c r="J46" s="201"/>
    </row>
    <row r="47" spans="1:10" ht="22.5" customHeight="1">
      <c r="A47" s="95">
        <v>43</v>
      </c>
      <c r="B47" s="102"/>
      <c r="C47" s="27" t="s">
        <v>783</v>
      </c>
      <c r="D47" s="13" t="s">
        <v>715</v>
      </c>
      <c r="E47" s="97" t="s">
        <v>62</v>
      </c>
      <c r="F47" s="101">
        <v>80</v>
      </c>
      <c r="G47" s="105">
        <v>460</v>
      </c>
      <c r="H47" s="98">
        <f>SUM(F47*G47)</f>
        <v>36800</v>
      </c>
      <c r="I47" s="206" t="s">
        <v>77</v>
      </c>
      <c r="J47" s="201"/>
    </row>
    <row r="48" spans="1:10" ht="22.5" customHeight="1">
      <c r="A48" s="377" t="s">
        <v>1911</v>
      </c>
      <c r="B48" s="378"/>
      <c r="C48" s="378"/>
      <c r="D48" s="379"/>
      <c r="E48" s="97"/>
      <c r="F48" s="101"/>
      <c r="G48" s="105"/>
      <c r="H48" s="98">
        <f>SUM(H5:H47)</f>
        <v>958556.03999999992</v>
      </c>
      <c r="I48" s="206"/>
      <c r="J48" s="201"/>
    </row>
    <row r="49" spans="1:10" ht="22.5" customHeight="1">
      <c r="A49" s="377" t="s">
        <v>1910</v>
      </c>
      <c r="B49" s="378"/>
      <c r="C49" s="378"/>
      <c r="D49" s="379"/>
      <c r="E49" s="97"/>
      <c r="F49" s="101"/>
      <c r="G49" s="105"/>
      <c r="H49" s="98">
        <f>SUM(H48)</f>
        <v>958556.03999999992</v>
      </c>
      <c r="I49" s="206"/>
      <c r="J49" s="201"/>
    </row>
    <row r="50" spans="1:10" ht="22.5" customHeight="1">
      <c r="A50" s="216">
        <v>44</v>
      </c>
      <c r="B50" s="94"/>
      <c r="C50" s="27" t="s">
        <v>784</v>
      </c>
      <c r="D50" s="27" t="s">
        <v>722</v>
      </c>
      <c r="E50" s="97" t="s">
        <v>62</v>
      </c>
      <c r="F50" s="101">
        <v>2</v>
      </c>
      <c r="G50" s="98">
        <v>2950</v>
      </c>
      <c r="H50" s="98">
        <f t="shared" si="0"/>
        <v>5900</v>
      </c>
      <c r="I50" s="206" t="s">
        <v>78</v>
      </c>
      <c r="J50" s="201"/>
    </row>
    <row r="51" spans="1:10" ht="22.5" customHeight="1">
      <c r="A51" s="95">
        <v>45</v>
      </c>
      <c r="B51" s="94"/>
      <c r="C51" s="27" t="s">
        <v>785</v>
      </c>
      <c r="D51" s="27" t="s">
        <v>724</v>
      </c>
      <c r="E51" s="97" t="s">
        <v>62</v>
      </c>
      <c r="F51" s="101">
        <v>1</v>
      </c>
      <c r="G51" s="98">
        <v>5700</v>
      </c>
      <c r="H51" s="98">
        <f t="shared" si="0"/>
        <v>5700</v>
      </c>
      <c r="I51" s="206" t="s">
        <v>78</v>
      </c>
      <c r="J51" s="201"/>
    </row>
    <row r="52" spans="1:10" ht="22.5" customHeight="1">
      <c r="A52" s="216">
        <v>46</v>
      </c>
      <c r="B52" s="94"/>
      <c r="C52" s="27" t="s">
        <v>786</v>
      </c>
      <c r="D52" s="27" t="s">
        <v>787</v>
      </c>
      <c r="E52" s="97" t="s">
        <v>62</v>
      </c>
      <c r="F52" s="101">
        <v>1</v>
      </c>
      <c r="G52" s="98">
        <v>19620</v>
      </c>
      <c r="H52" s="98">
        <f t="shared" si="0"/>
        <v>19620</v>
      </c>
      <c r="I52" s="206" t="s">
        <v>77</v>
      </c>
      <c r="J52" s="201"/>
    </row>
    <row r="53" spans="1:10" ht="22.5" customHeight="1">
      <c r="A53" s="95">
        <v>47</v>
      </c>
      <c r="B53" s="94"/>
      <c r="C53" s="27" t="s">
        <v>788</v>
      </c>
      <c r="D53" s="27" t="s">
        <v>767</v>
      </c>
      <c r="E53" s="97" t="s">
        <v>1825</v>
      </c>
      <c r="F53" s="101">
        <v>2</v>
      </c>
      <c r="G53" s="105">
        <v>1300</v>
      </c>
      <c r="H53" s="98">
        <f t="shared" si="0"/>
        <v>2600</v>
      </c>
      <c r="I53" s="206" t="s">
        <v>77</v>
      </c>
      <c r="J53" s="201"/>
    </row>
    <row r="54" spans="1:10" ht="22.5" customHeight="1">
      <c r="A54" s="216">
        <v>48</v>
      </c>
      <c r="B54" s="220"/>
      <c r="C54" s="27" t="s">
        <v>789</v>
      </c>
      <c r="D54" s="27" t="s">
        <v>767</v>
      </c>
      <c r="E54" s="97" t="s">
        <v>1825</v>
      </c>
      <c r="F54" s="101">
        <v>16</v>
      </c>
      <c r="G54" s="105">
        <v>1000</v>
      </c>
      <c r="H54" s="98">
        <f t="shared" si="0"/>
        <v>16000</v>
      </c>
      <c r="I54" s="206" t="s">
        <v>77</v>
      </c>
      <c r="J54" s="201"/>
    </row>
    <row r="55" spans="1:10" ht="22.5" customHeight="1">
      <c r="A55" s="95">
        <v>49</v>
      </c>
      <c r="B55" s="206"/>
      <c r="C55" s="27" t="s">
        <v>790</v>
      </c>
      <c r="D55" s="27" t="s">
        <v>791</v>
      </c>
      <c r="E55" s="73" t="s">
        <v>62</v>
      </c>
      <c r="F55" s="101">
        <v>1</v>
      </c>
      <c r="G55" s="105">
        <v>7420</v>
      </c>
      <c r="H55" s="98">
        <f t="shared" si="0"/>
        <v>7420</v>
      </c>
      <c r="I55" s="206" t="s">
        <v>77</v>
      </c>
      <c r="J55" s="201"/>
    </row>
    <row r="56" spans="1:10" ht="22.5" customHeight="1">
      <c r="A56" s="216">
        <v>50</v>
      </c>
      <c r="B56" s="26"/>
      <c r="C56" s="27" t="s">
        <v>792</v>
      </c>
      <c r="D56" s="13" t="s">
        <v>793</v>
      </c>
      <c r="E56" s="73" t="s">
        <v>62</v>
      </c>
      <c r="F56" s="101">
        <v>1</v>
      </c>
      <c r="G56" s="105">
        <v>7280</v>
      </c>
      <c r="H56" s="98">
        <f t="shared" si="0"/>
        <v>7280</v>
      </c>
      <c r="I56" s="206" t="s">
        <v>78</v>
      </c>
      <c r="J56" s="201"/>
    </row>
    <row r="57" spans="1:10" ht="22.5" customHeight="1">
      <c r="A57" s="95">
        <v>51</v>
      </c>
      <c r="B57" s="26"/>
      <c r="C57" s="27" t="s">
        <v>794</v>
      </c>
      <c r="D57" s="27" t="s">
        <v>795</v>
      </c>
      <c r="E57" s="73" t="s">
        <v>61</v>
      </c>
      <c r="F57" s="101">
        <v>1</v>
      </c>
      <c r="G57" s="98">
        <v>6000</v>
      </c>
      <c r="H57" s="98">
        <f t="shared" si="0"/>
        <v>6000</v>
      </c>
      <c r="I57" s="206" t="s">
        <v>77</v>
      </c>
      <c r="J57" s="201"/>
    </row>
    <row r="58" spans="1:10" ht="22.5" customHeight="1">
      <c r="A58" s="216">
        <v>52</v>
      </c>
      <c r="B58" s="26"/>
      <c r="C58" s="27" t="s">
        <v>796</v>
      </c>
      <c r="D58" s="27" t="s">
        <v>749</v>
      </c>
      <c r="E58" s="73" t="s">
        <v>62</v>
      </c>
      <c r="F58" s="101">
        <v>3</v>
      </c>
      <c r="G58" s="105">
        <v>1600</v>
      </c>
      <c r="H58" s="98">
        <f t="shared" si="0"/>
        <v>4800</v>
      </c>
      <c r="I58" s="206" t="s">
        <v>78</v>
      </c>
      <c r="J58" s="201"/>
    </row>
    <row r="59" spans="1:10" ht="22.5" customHeight="1">
      <c r="A59" s="95">
        <v>53</v>
      </c>
      <c r="B59" s="26"/>
      <c r="C59" s="27" t="s">
        <v>797</v>
      </c>
      <c r="D59" s="27" t="s">
        <v>749</v>
      </c>
      <c r="E59" s="73" t="s">
        <v>62</v>
      </c>
      <c r="F59" s="101">
        <v>9</v>
      </c>
      <c r="G59" s="105">
        <v>1600</v>
      </c>
      <c r="H59" s="98">
        <f t="shared" si="0"/>
        <v>14400</v>
      </c>
      <c r="I59" s="206" t="s">
        <v>78</v>
      </c>
      <c r="J59" s="201"/>
    </row>
    <row r="60" spans="1:10" ht="22.5" customHeight="1">
      <c r="A60" s="216">
        <v>54</v>
      </c>
      <c r="B60" s="26"/>
      <c r="C60" s="27" t="s">
        <v>798</v>
      </c>
      <c r="D60" s="27" t="s">
        <v>749</v>
      </c>
      <c r="E60" s="73" t="s">
        <v>62</v>
      </c>
      <c r="F60" s="101">
        <v>4</v>
      </c>
      <c r="G60" s="105">
        <v>1600</v>
      </c>
      <c r="H60" s="98">
        <f t="shared" si="0"/>
        <v>6400</v>
      </c>
      <c r="I60" s="206" t="s">
        <v>78</v>
      </c>
      <c r="J60" s="201"/>
    </row>
    <row r="61" spans="1:10" ht="22.5" customHeight="1">
      <c r="A61" s="95">
        <v>55</v>
      </c>
      <c r="B61" s="26"/>
      <c r="C61" s="27" t="s">
        <v>799</v>
      </c>
      <c r="D61" s="13" t="s">
        <v>733</v>
      </c>
      <c r="E61" s="73" t="s">
        <v>62</v>
      </c>
      <c r="F61" s="101">
        <v>1</v>
      </c>
      <c r="G61" s="98">
        <v>38000</v>
      </c>
      <c r="H61" s="98">
        <f t="shared" si="0"/>
        <v>38000</v>
      </c>
      <c r="I61" s="206" t="s">
        <v>78</v>
      </c>
      <c r="J61" s="201"/>
    </row>
    <row r="62" spans="1:10" ht="22.5" customHeight="1">
      <c r="A62" s="216">
        <v>56</v>
      </c>
      <c r="B62" s="26"/>
      <c r="C62" s="27" t="s">
        <v>800</v>
      </c>
      <c r="D62" s="13" t="s">
        <v>733</v>
      </c>
      <c r="E62" s="73" t="s">
        <v>62</v>
      </c>
      <c r="F62" s="101">
        <v>2</v>
      </c>
      <c r="G62" s="98">
        <v>43500</v>
      </c>
      <c r="H62" s="98">
        <f t="shared" si="0"/>
        <v>87000</v>
      </c>
      <c r="I62" s="206" t="s">
        <v>78</v>
      </c>
      <c r="J62" s="201"/>
    </row>
    <row r="63" spans="1:10" ht="22.5" customHeight="1">
      <c r="A63" s="95">
        <v>57</v>
      </c>
      <c r="B63" s="26"/>
      <c r="C63" s="27" t="s">
        <v>801</v>
      </c>
      <c r="D63" s="13" t="s">
        <v>733</v>
      </c>
      <c r="E63" s="73" t="s">
        <v>62</v>
      </c>
      <c r="F63" s="101">
        <v>2</v>
      </c>
      <c r="G63" s="98">
        <v>43500</v>
      </c>
      <c r="H63" s="98">
        <f t="shared" si="0"/>
        <v>87000</v>
      </c>
      <c r="I63" s="206" t="s">
        <v>78</v>
      </c>
      <c r="J63" s="201"/>
    </row>
    <row r="64" spans="1:10" ht="22.5" customHeight="1">
      <c r="A64" s="216">
        <v>58</v>
      </c>
      <c r="B64" s="26"/>
      <c r="C64" s="27" t="s">
        <v>802</v>
      </c>
      <c r="D64" s="13" t="s">
        <v>733</v>
      </c>
      <c r="E64" s="97" t="s">
        <v>1825</v>
      </c>
      <c r="F64" s="101">
        <v>1</v>
      </c>
      <c r="G64" s="98">
        <v>38000</v>
      </c>
      <c r="H64" s="98">
        <f t="shared" si="0"/>
        <v>38000</v>
      </c>
      <c r="I64" s="206" t="s">
        <v>78</v>
      </c>
      <c r="J64" s="201"/>
    </row>
    <row r="65" spans="1:10" ht="22.5" customHeight="1">
      <c r="A65" s="95">
        <v>59</v>
      </c>
      <c r="B65" s="104"/>
      <c r="C65" s="27" t="s">
        <v>803</v>
      </c>
      <c r="D65" s="27" t="s">
        <v>749</v>
      </c>
      <c r="E65" s="73" t="s">
        <v>61</v>
      </c>
      <c r="F65" s="101">
        <v>5</v>
      </c>
      <c r="G65" s="105">
        <v>1600</v>
      </c>
      <c r="H65" s="98">
        <f t="shared" si="0"/>
        <v>8000</v>
      </c>
      <c r="I65" s="206" t="s">
        <v>78</v>
      </c>
      <c r="J65" s="201"/>
    </row>
    <row r="66" spans="1:10" ht="22.5" customHeight="1">
      <c r="A66" s="216">
        <v>60</v>
      </c>
      <c r="B66" s="100"/>
      <c r="C66" s="27" t="s">
        <v>804</v>
      </c>
      <c r="D66" s="13" t="s">
        <v>805</v>
      </c>
      <c r="E66" s="97" t="s">
        <v>62</v>
      </c>
      <c r="F66" s="101">
        <v>1</v>
      </c>
      <c r="G66" s="98">
        <v>2312</v>
      </c>
      <c r="H66" s="98">
        <f t="shared" si="0"/>
        <v>2312</v>
      </c>
      <c r="I66" s="221" t="s">
        <v>78</v>
      </c>
      <c r="J66" s="214"/>
    </row>
    <row r="67" spans="1:10" ht="22.5" customHeight="1">
      <c r="A67" s="95">
        <v>61</v>
      </c>
      <c r="B67" s="37"/>
      <c r="C67" s="27" t="s">
        <v>806</v>
      </c>
      <c r="D67" s="13" t="s">
        <v>762</v>
      </c>
      <c r="E67" s="97" t="s">
        <v>62</v>
      </c>
      <c r="F67" s="101">
        <v>1</v>
      </c>
      <c r="G67" s="98">
        <v>8165</v>
      </c>
      <c r="H67" s="98">
        <f t="shared" si="0"/>
        <v>8165</v>
      </c>
      <c r="I67" s="99" t="s">
        <v>77</v>
      </c>
      <c r="J67" s="214"/>
    </row>
    <row r="68" spans="1:10" ht="22.5" customHeight="1">
      <c r="A68" s="216">
        <v>62</v>
      </c>
      <c r="B68" s="37"/>
      <c r="C68" s="27" t="s">
        <v>807</v>
      </c>
      <c r="D68" s="27" t="s">
        <v>808</v>
      </c>
      <c r="E68" s="97" t="s">
        <v>61</v>
      </c>
      <c r="F68" s="101">
        <v>280</v>
      </c>
      <c r="G68" s="98">
        <v>200</v>
      </c>
      <c r="H68" s="98">
        <f t="shared" si="0"/>
        <v>56000</v>
      </c>
      <c r="I68" s="99" t="s">
        <v>77</v>
      </c>
      <c r="J68" s="214"/>
    </row>
    <row r="69" spans="1:10" ht="22.5" customHeight="1">
      <c r="A69" s="95">
        <v>63</v>
      </c>
      <c r="B69" s="37"/>
      <c r="C69" s="27" t="s">
        <v>809</v>
      </c>
      <c r="D69" s="27" t="s">
        <v>810</v>
      </c>
      <c r="E69" s="97" t="s">
        <v>61</v>
      </c>
      <c r="F69" s="101">
        <v>1</v>
      </c>
      <c r="G69" s="98">
        <v>4534</v>
      </c>
      <c r="H69" s="98">
        <f t="shared" si="0"/>
        <v>4534</v>
      </c>
      <c r="I69" s="99" t="s">
        <v>77</v>
      </c>
      <c r="J69" s="214"/>
    </row>
    <row r="70" spans="1:10" ht="22.5" customHeight="1">
      <c r="A70" s="216">
        <v>64</v>
      </c>
      <c r="B70" s="37"/>
      <c r="C70" s="27" t="s">
        <v>811</v>
      </c>
      <c r="D70" s="27" t="s">
        <v>812</v>
      </c>
      <c r="E70" s="97" t="s">
        <v>62</v>
      </c>
      <c r="F70" s="101">
        <v>1</v>
      </c>
      <c r="G70" s="98">
        <v>6440</v>
      </c>
      <c r="H70" s="98">
        <f t="shared" si="0"/>
        <v>6440</v>
      </c>
      <c r="I70" s="99" t="s">
        <v>77</v>
      </c>
      <c r="J70" s="214"/>
    </row>
    <row r="71" spans="1:10" ht="22.5" customHeight="1">
      <c r="A71" s="95">
        <v>65</v>
      </c>
      <c r="B71" s="95"/>
      <c r="C71" s="27" t="s">
        <v>813</v>
      </c>
      <c r="D71" s="27" t="s">
        <v>814</v>
      </c>
      <c r="E71" s="73" t="s">
        <v>62</v>
      </c>
      <c r="F71" s="101">
        <v>1</v>
      </c>
      <c r="G71" s="98">
        <v>11490</v>
      </c>
      <c r="H71" s="98">
        <f t="shared" si="0"/>
        <v>11490</v>
      </c>
      <c r="I71" s="99" t="s">
        <v>77</v>
      </c>
      <c r="J71" s="214"/>
    </row>
    <row r="72" spans="1:10" ht="22.5" customHeight="1">
      <c r="A72" s="216">
        <v>66</v>
      </c>
      <c r="B72" s="37"/>
      <c r="C72" s="27" t="s">
        <v>815</v>
      </c>
      <c r="D72" s="27" t="s">
        <v>749</v>
      </c>
      <c r="E72" s="97" t="s">
        <v>62</v>
      </c>
      <c r="F72" s="101">
        <v>20</v>
      </c>
      <c r="G72" s="105">
        <v>1800</v>
      </c>
      <c r="H72" s="98">
        <f t="shared" ref="H72:H131" si="1">SUM(F72*G72)</f>
        <v>36000</v>
      </c>
      <c r="I72" s="99" t="s">
        <v>78</v>
      </c>
      <c r="J72" s="214"/>
    </row>
    <row r="73" spans="1:10" ht="22.5" customHeight="1">
      <c r="A73" s="95">
        <v>67</v>
      </c>
      <c r="B73" s="37"/>
      <c r="C73" s="27" t="s">
        <v>816</v>
      </c>
      <c r="D73" s="13" t="s">
        <v>715</v>
      </c>
      <c r="E73" s="97" t="s">
        <v>62</v>
      </c>
      <c r="F73" s="101">
        <v>420</v>
      </c>
      <c r="G73" s="105">
        <v>750</v>
      </c>
      <c r="H73" s="98">
        <f t="shared" si="1"/>
        <v>315000</v>
      </c>
      <c r="I73" s="99" t="s">
        <v>77</v>
      </c>
      <c r="J73" s="214"/>
    </row>
    <row r="74" spans="1:10" ht="22.5" customHeight="1">
      <c r="A74" s="216">
        <v>68</v>
      </c>
      <c r="B74" s="37"/>
      <c r="C74" s="27" t="s">
        <v>817</v>
      </c>
      <c r="D74" s="27" t="s">
        <v>818</v>
      </c>
      <c r="E74" s="97" t="s">
        <v>62</v>
      </c>
      <c r="F74" s="101">
        <v>2</v>
      </c>
      <c r="G74" s="98">
        <v>19320</v>
      </c>
      <c r="H74" s="98">
        <f t="shared" si="1"/>
        <v>38640</v>
      </c>
      <c r="I74" s="107" t="s">
        <v>77</v>
      </c>
      <c r="J74" s="222"/>
    </row>
    <row r="75" spans="1:10" ht="22.5" customHeight="1">
      <c r="A75" s="95">
        <v>69</v>
      </c>
      <c r="B75" s="102"/>
      <c r="C75" s="27" t="s">
        <v>819</v>
      </c>
      <c r="D75" s="27" t="s">
        <v>820</v>
      </c>
      <c r="E75" s="97" t="s">
        <v>62</v>
      </c>
      <c r="F75" s="101">
        <v>2</v>
      </c>
      <c r="G75" s="98">
        <v>23000</v>
      </c>
      <c r="H75" s="98">
        <f t="shared" si="1"/>
        <v>46000</v>
      </c>
      <c r="I75" s="107" t="s">
        <v>77</v>
      </c>
      <c r="J75" s="222"/>
    </row>
    <row r="76" spans="1:10" ht="22.5" customHeight="1">
      <c r="A76" s="216">
        <v>70</v>
      </c>
      <c r="B76" s="102"/>
      <c r="C76" s="27" t="s">
        <v>821</v>
      </c>
      <c r="D76" s="27" t="s">
        <v>822</v>
      </c>
      <c r="E76" s="97" t="s">
        <v>62</v>
      </c>
      <c r="F76" s="101">
        <v>1</v>
      </c>
      <c r="G76" s="98">
        <v>6500</v>
      </c>
      <c r="H76" s="98">
        <f t="shared" si="1"/>
        <v>6500</v>
      </c>
      <c r="I76" s="206" t="s">
        <v>78</v>
      </c>
      <c r="J76" s="201"/>
    </row>
    <row r="77" spans="1:10" ht="22.5" customHeight="1">
      <c r="A77" s="95">
        <v>71</v>
      </c>
      <c r="B77" s="102"/>
      <c r="C77" s="27" t="s">
        <v>823</v>
      </c>
      <c r="D77" s="13" t="s">
        <v>733</v>
      </c>
      <c r="E77" s="97" t="s">
        <v>1863</v>
      </c>
      <c r="F77" s="101">
        <v>2</v>
      </c>
      <c r="G77" s="98">
        <v>39000</v>
      </c>
      <c r="H77" s="98">
        <f t="shared" si="1"/>
        <v>78000</v>
      </c>
      <c r="I77" s="206" t="s">
        <v>78</v>
      </c>
      <c r="J77" s="201"/>
    </row>
    <row r="78" spans="1:10" ht="22.5" customHeight="1">
      <c r="A78" s="216">
        <v>72</v>
      </c>
      <c r="B78" s="102"/>
      <c r="C78" s="27" t="s">
        <v>824</v>
      </c>
      <c r="D78" s="13" t="s">
        <v>715</v>
      </c>
      <c r="E78" s="97" t="s">
        <v>1863</v>
      </c>
      <c r="F78" s="101">
        <v>120</v>
      </c>
      <c r="G78" s="105">
        <v>750</v>
      </c>
      <c r="H78" s="98">
        <f t="shared" si="1"/>
        <v>90000</v>
      </c>
      <c r="I78" s="206" t="s">
        <v>77</v>
      </c>
      <c r="J78" s="201"/>
    </row>
    <row r="79" spans="1:10" ht="22.5" customHeight="1">
      <c r="A79" s="95">
        <v>73</v>
      </c>
      <c r="B79" s="94"/>
      <c r="C79" s="27" t="s">
        <v>825</v>
      </c>
      <c r="D79" s="27" t="s">
        <v>826</v>
      </c>
      <c r="E79" s="97" t="s">
        <v>62</v>
      </c>
      <c r="F79" s="101">
        <v>1</v>
      </c>
      <c r="G79" s="105">
        <v>1980</v>
      </c>
      <c r="H79" s="98">
        <f t="shared" si="1"/>
        <v>1980</v>
      </c>
      <c r="I79" s="206" t="s">
        <v>77</v>
      </c>
      <c r="J79" s="201"/>
    </row>
    <row r="80" spans="1:10" ht="22.5" customHeight="1">
      <c r="A80" s="216">
        <v>74</v>
      </c>
      <c r="B80" s="94"/>
      <c r="C80" s="27" t="s">
        <v>827</v>
      </c>
      <c r="D80" s="27" t="s">
        <v>828</v>
      </c>
      <c r="E80" s="97" t="s">
        <v>62</v>
      </c>
      <c r="F80" s="101">
        <v>2</v>
      </c>
      <c r="G80" s="98">
        <v>2800</v>
      </c>
      <c r="H80" s="98">
        <f t="shared" si="1"/>
        <v>5600</v>
      </c>
      <c r="I80" s="206" t="s">
        <v>77</v>
      </c>
      <c r="J80" s="201"/>
    </row>
    <row r="81" spans="1:10" ht="22.5" customHeight="1">
      <c r="A81" s="95">
        <v>75</v>
      </c>
      <c r="B81" s="94"/>
      <c r="C81" s="27" t="s">
        <v>829</v>
      </c>
      <c r="D81" s="27" t="s">
        <v>111</v>
      </c>
      <c r="E81" s="97" t="s">
        <v>62</v>
      </c>
      <c r="F81" s="101">
        <v>2</v>
      </c>
      <c r="G81" s="98">
        <v>3100</v>
      </c>
      <c r="H81" s="98">
        <f t="shared" si="1"/>
        <v>6200</v>
      </c>
      <c r="I81" s="206" t="s">
        <v>77</v>
      </c>
      <c r="J81" s="201"/>
    </row>
    <row r="82" spans="1:10" ht="22.5" customHeight="1">
      <c r="A82" s="216">
        <v>76</v>
      </c>
      <c r="B82" s="94"/>
      <c r="C82" s="213" t="s">
        <v>830</v>
      </c>
      <c r="D82" s="213" t="s">
        <v>56</v>
      </c>
      <c r="E82" s="97" t="s">
        <v>62</v>
      </c>
      <c r="F82" s="223">
        <v>1</v>
      </c>
      <c r="G82" s="224">
        <v>3000</v>
      </c>
      <c r="H82" s="98">
        <f t="shared" si="1"/>
        <v>3000</v>
      </c>
      <c r="I82" s="206" t="s">
        <v>77</v>
      </c>
      <c r="J82" s="201"/>
    </row>
    <row r="83" spans="1:10" ht="22.5" customHeight="1">
      <c r="A83" s="95">
        <v>77</v>
      </c>
      <c r="B83" s="220"/>
      <c r="C83" s="27" t="s">
        <v>831</v>
      </c>
      <c r="D83" s="27" t="s">
        <v>113</v>
      </c>
      <c r="E83" s="97" t="s">
        <v>62</v>
      </c>
      <c r="F83" s="101">
        <v>1</v>
      </c>
      <c r="G83" s="98">
        <v>17300</v>
      </c>
      <c r="H83" s="98">
        <f t="shared" si="1"/>
        <v>17300</v>
      </c>
      <c r="I83" s="206" t="s">
        <v>77</v>
      </c>
      <c r="J83" s="201"/>
    </row>
    <row r="84" spans="1:10" ht="22.5" customHeight="1">
      <c r="A84" s="216">
        <v>78</v>
      </c>
      <c r="B84" s="206"/>
      <c r="C84" s="27" t="s">
        <v>832</v>
      </c>
      <c r="D84" s="27" t="s">
        <v>833</v>
      </c>
      <c r="E84" s="73" t="s">
        <v>62</v>
      </c>
      <c r="F84" s="101">
        <v>1</v>
      </c>
      <c r="G84" s="219">
        <v>1700</v>
      </c>
      <c r="H84" s="98">
        <f t="shared" si="1"/>
        <v>1700</v>
      </c>
      <c r="I84" s="206" t="s">
        <v>77</v>
      </c>
      <c r="J84" s="201"/>
    </row>
    <row r="85" spans="1:10" ht="22.5" customHeight="1">
      <c r="A85" s="95">
        <v>79</v>
      </c>
      <c r="B85" s="26"/>
      <c r="C85" s="27" t="s">
        <v>834</v>
      </c>
      <c r="D85" s="27" t="s">
        <v>835</v>
      </c>
      <c r="E85" s="73" t="s">
        <v>1863</v>
      </c>
      <c r="F85" s="101">
        <v>8</v>
      </c>
      <c r="G85" s="105">
        <v>3000</v>
      </c>
      <c r="H85" s="98">
        <f t="shared" si="1"/>
        <v>24000</v>
      </c>
      <c r="I85" s="206" t="s">
        <v>77</v>
      </c>
      <c r="J85" s="201"/>
    </row>
    <row r="86" spans="1:10" ht="22.5" customHeight="1">
      <c r="A86" s="216">
        <v>80</v>
      </c>
      <c r="B86" s="26"/>
      <c r="C86" s="27" t="s">
        <v>836</v>
      </c>
      <c r="D86" s="13" t="s">
        <v>837</v>
      </c>
      <c r="E86" s="73" t="s">
        <v>62</v>
      </c>
      <c r="F86" s="101">
        <v>1</v>
      </c>
      <c r="G86" s="98">
        <v>5684.5</v>
      </c>
      <c r="H86" s="98">
        <f t="shared" si="1"/>
        <v>5684.5</v>
      </c>
      <c r="I86" s="206" t="s">
        <v>78</v>
      </c>
      <c r="J86" s="201"/>
    </row>
    <row r="87" spans="1:10" ht="22.5" customHeight="1">
      <c r="A87" s="95">
        <v>81</v>
      </c>
      <c r="B87" s="26"/>
      <c r="C87" s="27" t="s">
        <v>838</v>
      </c>
      <c r="D87" s="13" t="s">
        <v>839</v>
      </c>
      <c r="E87" s="73" t="s">
        <v>62</v>
      </c>
      <c r="F87" s="101">
        <v>1</v>
      </c>
      <c r="G87" s="98">
        <v>1006.25</v>
      </c>
      <c r="H87" s="98">
        <f t="shared" si="1"/>
        <v>1006.25</v>
      </c>
      <c r="I87" s="206" t="s">
        <v>78</v>
      </c>
      <c r="J87" s="201"/>
    </row>
    <row r="88" spans="1:10" ht="22.5" customHeight="1">
      <c r="A88" s="216">
        <v>82</v>
      </c>
      <c r="B88" s="26"/>
      <c r="C88" s="27" t="s">
        <v>840</v>
      </c>
      <c r="D88" s="13" t="s">
        <v>841</v>
      </c>
      <c r="E88" s="73" t="s">
        <v>62</v>
      </c>
      <c r="F88" s="101">
        <v>1</v>
      </c>
      <c r="G88" s="98">
        <v>29900</v>
      </c>
      <c r="H88" s="98">
        <f t="shared" si="1"/>
        <v>29900</v>
      </c>
      <c r="I88" s="206" t="s">
        <v>78</v>
      </c>
      <c r="J88" s="201"/>
    </row>
    <row r="89" spans="1:10" ht="22.5" customHeight="1">
      <c r="A89" s="95">
        <v>83</v>
      </c>
      <c r="B89" s="26"/>
      <c r="C89" s="27" t="s">
        <v>842</v>
      </c>
      <c r="D89" s="13" t="s">
        <v>843</v>
      </c>
      <c r="E89" s="73" t="s">
        <v>61</v>
      </c>
      <c r="F89" s="101">
        <v>7</v>
      </c>
      <c r="G89" s="98">
        <v>3500</v>
      </c>
      <c r="H89" s="98">
        <f t="shared" si="1"/>
        <v>24500</v>
      </c>
      <c r="I89" s="206" t="s">
        <v>78</v>
      </c>
      <c r="J89" s="201"/>
    </row>
    <row r="90" spans="1:10" ht="22.5" customHeight="1">
      <c r="A90" s="216">
        <v>84</v>
      </c>
      <c r="B90" s="26"/>
      <c r="C90" s="27" t="s">
        <v>844</v>
      </c>
      <c r="D90" s="108" t="s">
        <v>845</v>
      </c>
      <c r="E90" s="73" t="s">
        <v>61</v>
      </c>
      <c r="F90" s="101">
        <v>1</v>
      </c>
      <c r="G90" s="105">
        <v>17909.32</v>
      </c>
      <c r="H90" s="98">
        <f>SUM(F90*G90)</f>
        <v>17909.32</v>
      </c>
      <c r="I90" s="206" t="s">
        <v>78</v>
      </c>
      <c r="J90" s="201"/>
    </row>
    <row r="91" spans="1:10" ht="22.5" customHeight="1">
      <c r="A91" s="95">
        <v>85</v>
      </c>
      <c r="B91" s="26"/>
      <c r="C91" s="27" t="s">
        <v>846</v>
      </c>
      <c r="D91" s="108" t="s">
        <v>847</v>
      </c>
      <c r="E91" s="73" t="s">
        <v>61</v>
      </c>
      <c r="F91" s="101">
        <v>1</v>
      </c>
      <c r="G91" s="105">
        <v>16800</v>
      </c>
      <c r="H91" s="98">
        <f>SUM(F91*G91)</f>
        <v>16800</v>
      </c>
      <c r="I91" s="206" t="s">
        <v>77</v>
      </c>
      <c r="J91" s="201"/>
    </row>
    <row r="92" spans="1:10" ht="22.5" customHeight="1">
      <c r="A92" s="365" t="s">
        <v>1910</v>
      </c>
      <c r="B92" s="366"/>
      <c r="C92" s="366"/>
      <c r="D92" s="367"/>
      <c r="E92" s="73"/>
      <c r="F92" s="101"/>
      <c r="G92" s="98"/>
      <c r="H92" s="98">
        <f>SUM(H49:H91)</f>
        <v>2167337.11</v>
      </c>
      <c r="I92" s="206"/>
      <c r="J92" s="201"/>
    </row>
    <row r="93" spans="1:10" ht="22.5" customHeight="1">
      <c r="A93" s="365" t="s">
        <v>1911</v>
      </c>
      <c r="B93" s="366"/>
      <c r="C93" s="366"/>
      <c r="D93" s="367"/>
      <c r="E93" s="73"/>
      <c r="F93" s="101"/>
      <c r="G93" s="98"/>
      <c r="H93" s="98">
        <f>SUM(H92)</f>
        <v>2167337.11</v>
      </c>
      <c r="I93" s="206"/>
      <c r="J93" s="201"/>
    </row>
    <row r="94" spans="1:10" ht="22.5" customHeight="1">
      <c r="A94" s="216">
        <v>86</v>
      </c>
      <c r="B94" s="26"/>
      <c r="C94" s="27" t="s">
        <v>848</v>
      </c>
      <c r="D94" s="108" t="s">
        <v>849</v>
      </c>
      <c r="E94" s="73" t="s">
        <v>61</v>
      </c>
      <c r="F94" s="101">
        <v>1</v>
      </c>
      <c r="G94" s="105">
        <v>3700</v>
      </c>
      <c r="H94" s="98">
        <f t="shared" si="1"/>
        <v>3700</v>
      </c>
      <c r="I94" s="206" t="s">
        <v>78</v>
      </c>
      <c r="J94" s="201"/>
    </row>
    <row r="95" spans="1:10" ht="22.5" customHeight="1">
      <c r="A95" s="95">
        <v>87</v>
      </c>
      <c r="B95" s="26"/>
      <c r="C95" s="27" t="s">
        <v>850</v>
      </c>
      <c r="D95" s="108" t="s">
        <v>851</v>
      </c>
      <c r="E95" s="73" t="s">
        <v>62</v>
      </c>
      <c r="F95" s="101">
        <v>9</v>
      </c>
      <c r="G95" s="105">
        <v>11000</v>
      </c>
      <c r="H95" s="98">
        <f t="shared" si="1"/>
        <v>99000</v>
      </c>
      <c r="I95" s="206" t="s">
        <v>78</v>
      </c>
      <c r="J95" s="201"/>
    </row>
    <row r="96" spans="1:10" ht="22.5" customHeight="1">
      <c r="A96" s="216">
        <v>88</v>
      </c>
      <c r="B96" s="104"/>
      <c r="C96" s="27" t="s">
        <v>852</v>
      </c>
      <c r="D96" s="108" t="s">
        <v>853</v>
      </c>
      <c r="E96" s="73" t="s">
        <v>61</v>
      </c>
      <c r="F96" s="101">
        <v>2</v>
      </c>
      <c r="G96" s="105">
        <v>4000</v>
      </c>
      <c r="H96" s="98">
        <f t="shared" si="1"/>
        <v>8000</v>
      </c>
      <c r="I96" s="206" t="s">
        <v>78</v>
      </c>
      <c r="J96" s="201"/>
    </row>
    <row r="97" spans="1:10" ht="22.5" customHeight="1">
      <c r="A97" s="95">
        <v>89</v>
      </c>
      <c r="B97" s="100"/>
      <c r="C97" s="27" t="s">
        <v>854</v>
      </c>
      <c r="D97" s="108" t="s">
        <v>855</v>
      </c>
      <c r="E97" s="97" t="s">
        <v>61</v>
      </c>
      <c r="F97" s="101">
        <v>2</v>
      </c>
      <c r="G97" s="105">
        <v>4000</v>
      </c>
      <c r="H97" s="98">
        <f t="shared" si="1"/>
        <v>8000</v>
      </c>
      <c r="I97" s="221" t="s">
        <v>78</v>
      </c>
      <c r="J97" s="214"/>
    </row>
    <row r="98" spans="1:10" ht="22.5" customHeight="1">
      <c r="A98" s="216">
        <v>90</v>
      </c>
      <c r="B98" s="37"/>
      <c r="C98" s="27" t="s">
        <v>856</v>
      </c>
      <c r="D98" s="108" t="s">
        <v>857</v>
      </c>
      <c r="E98" s="97" t="s">
        <v>61</v>
      </c>
      <c r="F98" s="101">
        <v>2</v>
      </c>
      <c r="G98" s="105">
        <v>2500</v>
      </c>
      <c r="H98" s="98">
        <f t="shared" si="1"/>
        <v>5000</v>
      </c>
      <c r="I98" s="99" t="s">
        <v>78</v>
      </c>
      <c r="J98" s="214"/>
    </row>
    <row r="99" spans="1:10" ht="22.5" customHeight="1">
      <c r="A99" s="95">
        <v>91</v>
      </c>
      <c r="B99" s="37"/>
      <c r="C99" s="27" t="s">
        <v>858</v>
      </c>
      <c r="D99" s="108" t="s">
        <v>859</v>
      </c>
      <c r="E99" s="97" t="s">
        <v>61</v>
      </c>
      <c r="F99" s="101">
        <v>2</v>
      </c>
      <c r="G99" s="105">
        <v>1000</v>
      </c>
      <c r="H99" s="98">
        <f t="shared" si="1"/>
        <v>2000</v>
      </c>
      <c r="I99" s="99" t="s">
        <v>78</v>
      </c>
      <c r="J99" s="214"/>
    </row>
    <row r="100" spans="1:10" ht="22.5" customHeight="1">
      <c r="A100" s="216">
        <v>92</v>
      </c>
      <c r="B100" s="37"/>
      <c r="C100" s="27" t="s">
        <v>860</v>
      </c>
      <c r="D100" s="108" t="s">
        <v>861</v>
      </c>
      <c r="E100" s="97" t="s">
        <v>61</v>
      </c>
      <c r="F100" s="101">
        <v>2</v>
      </c>
      <c r="G100" s="105">
        <v>4000</v>
      </c>
      <c r="H100" s="98">
        <f t="shared" si="1"/>
        <v>8000</v>
      </c>
      <c r="I100" s="99" t="s">
        <v>78</v>
      </c>
      <c r="J100" s="214"/>
    </row>
    <row r="101" spans="1:10" ht="22.5" customHeight="1">
      <c r="A101" s="95">
        <v>93</v>
      </c>
      <c r="B101" s="37"/>
      <c r="C101" s="27" t="s">
        <v>862</v>
      </c>
      <c r="D101" s="108" t="s">
        <v>863</v>
      </c>
      <c r="E101" s="97" t="s">
        <v>61</v>
      </c>
      <c r="F101" s="101">
        <v>2</v>
      </c>
      <c r="G101" s="105">
        <v>3200</v>
      </c>
      <c r="H101" s="98">
        <f t="shared" si="1"/>
        <v>6400</v>
      </c>
      <c r="I101" s="99" t="s">
        <v>78</v>
      </c>
      <c r="J101" s="214"/>
    </row>
    <row r="102" spans="1:10" ht="22.5" customHeight="1">
      <c r="A102" s="216">
        <v>94</v>
      </c>
      <c r="B102" s="95"/>
      <c r="C102" s="27" t="s">
        <v>864</v>
      </c>
      <c r="D102" s="108" t="s">
        <v>865</v>
      </c>
      <c r="E102" s="97" t="s">
        <v>61</v>
      </c>
      <c r="F102" s="101">
        <v>2</v>
      </c>
      <c r="G102" s="105">
        <v>1300</v>
      </c>
      <c r="H102" s="98">
        <f t="shared" si="1"/>
        <v>2600</v>
      </c>
      <c r="I102" s="99" t="s">
        <v>78</v>
      </c>
      <c r="J102" s="214"/>
    </row>
    <row r="103" spans="1:10" ht="22.5" customHeight="1">
      <c r="A103" s="95">
        <v>95</v>
      </c>
      <c r="B103" s="37" t="s">
        <v>1850</v>
      </c>
      <c r="C103" s="27" t="s">
        <v>866</v>
      </c>
      <c r="D103" s="108" t="s">
        <v>867</v>
      </c>
      <c r="E103" s="97" t="s">
        <v>62</v>
      </c>
      <c r="F103" s="101">
        <v>1</v>
      </c>
      <c r="G103" s="105">
        <v>1099000</v>
      </c>
      <c r="H103" s="98">
        <f t="shared" si="1"/>
        <v>1099000</v>
      </c>
      <c r="I103" s="99" t="s">
        <v>78</v>
      </c>
      <c r="J103" s="214"/>
    </row>
    <row r="104" spans="1:10" ht="22.5" customHeight="1">
      <c r="A104" s="216">
        <v>96</v>
      </c>
      <c r="B104" s="37"/>
      <c r="C104" s="27" t="s">
        <v>868</v>
      </c>
      <c r="D104" s="108" t="s">
        <v>237</v>
      </c>
      <c r="E104" s="97" t="s">
        <v>61</v>
      </c>
      <c r="F104" s="101">
        <v>1</v>
      </c>
      <c r="G104" s="105">
        <v>3500</v>
      </c>
      <c r="H104" s="98">
        <f t="shared" si="1"/>
        <v>3500</v>
      </c>
      <c r="I104" s="99" t="s">
        <v>78</v>
      </c>
      <c r="J104" s="214"/>
    </row>
    <row r="105" spans="1:10" ht="22.5" customHeight="1">
      <c r="A105" s="95">
        <v>97</v>
      </c>
      <c r="B105" s="37"/>
      <c r="C105" s="27" t="s">
        <v>869</v>
      </c>
      <c r="D105" s="108" t="s">
        <v>870</v>
      </c>
      <c r="E105" s="97" t="s">
        <v>61</v>
      </c>
      <c r="F105" s="101">
        <v>1</v>
      </c>
      <c r="G105" s="105">
        <v>3000</v>
      </c>
      <c r="H105" s="98">
        <f t="shared" si="1"/>
        <v>3000</v>
      </c>
      <c r="I105" s="107" t="s">
        <v>78</v>
      </c>
      <c r="J105" s="222"/>
    </row>
    <row r="106" spans="1:10" ht="22.5" customHeight="1">
      <c r="A106" s="216">
        <v>98</v>
      </c>
      <c r="B106" s="102"/>
      <c r="C106" s="27" t="s">
        <v>684</v>
      </c>
      <c r="D106" s="108" t="s">
        <v>594</v>
      </c>
      <c r="E106" s="97" t="s">
        <v>61</v>
      </c>
      <c r="F106" s="101">
        <v>1</v>
      </c>
      <c r="G106" s="105">
        <v>7900</v>
      </c>
      <c r="H106" s="98">
        <f t="shared" si="1"/>
        <v>7900</v>
      </c>
      <c r="I106" s="107" t="s">
        <v>78</v>
      </c>
      <c r="J106" s="222"/>
    </row>
    <row r="107" spans="1:10" ht="22.5" customHeight="1">
      <c r="A107" s="95">
        <v>99</v>
      </c>
      <c r="B107" s="102"/>
      <c r="C107" s="27" t="s">
        <v>871</v>
      </c>
      <c r="D107" s="108" t="s">
        <v>872</v>
      </c>
      <c r="E107" s="97" t="s">
        <v>61</v>
      </c>
      <c r="F107" s="101">
        <v>2</v>
      </c>
      <c r="G107" s="105">
        <v>49500</v>
      </c>
      <c r="H107" s="98">
        <f t="shared" si="1"/>
        <v>99000</v>
      </c>
      <c r="I107" s="206" t="s">
        <v>78</v>
      </c>
      <c r="J107" s="201"/>
    </row>
    <row r="108" spans="1:10" ht="22.5" customHeight="1">
      <c r="A108" s="216">
        <v>100</v>
      </c>
      <c r="B108" s="102"/>
      <c r="C108" s="27" t="s">
        <v>873</v>
      </c>
      <c r="D108" s="108" t="s">
        <v>874</v>
      </c>
      <c r="E108" s="97" t="s">
        <v>61</v>
      </c>
      <c r="F108" s="101">
        <v>1</v>
      </c>
      <c r="G108" s="105">
        <v>22440</v>
      </c>
      <c r="H108" s="98">
        <f t="shared" si="1"/>
        <v>22440</v>
      </c>
      <c r="I108" s="206" t="s">
        <v>78</v>
      </c>
      <c r="J108" s="201"/>
    </row>
    <row r="109" spans="1:10" ht="22.5" customHeight="1">
      <c r="A109" s="95">
        <v>101</v>
      </c>
      <c r="B109" s="102"/>
      <c r="C109" s="27" t="s">
        <v>875</v>
      </c>
      <c r="D109" s="108" t="s">
        <v>876</v>
      </c>
      <c r="E109" s="97" t="s">
        <v>61</v>
      </c>
      <c r="F109" s="101">
        <v>1</v>
      </c>
      <c r="G109" s="105">
        <v>12000</v>
      </c>
      <c r="H109" s="98">
        <f t="shared" si="1"/>
        <v>12000</v>
      </c>
      <c r="I109" s="206" t="s">
        <v>78</v>
      </c>
      <c r="J109" s="201"/>
    </row>
    <row r="110" spans="1:10" ht="22.5" customHeight="1">
      <c r="A110" s="216">
        <v>102</v>
      </c>
      <c r="B110" s="94"/>
      <c r="C110" s="27" t="s">
        <v>877</v>
      </c>
      <c r="D110" s="108" t="s">
        <v>878</v>
      </c>
      <c r="E110" s="97" t="s">
        <v>61</v>
      </c>
      <c r="F110" s="101">
        <v>2</v>
      </c>
      <c r="G110" s="105">
        <v>2000</v>
      </c>
      <c r="H110" s="98">
        <f t="shared" si="1"/>
        <v>4000</v>
      </c>
      <c r="I110" s="206" t="s">
        <v>77</v>
      </c>
      <c r="J110" s="201"/>
    </row>
    <row r="111" spans="1:10" ht="22.5" customHeight="1">
      <c r="A111" s="95">
        <v>103</v>
      </c>
      <c r="B111" s="94"/>
      <c r="C111" s="27" t="s">
        <v>879</v>
      </c>
      <c r="D111" s="108" t="s">
        <v>880</v>
      </c>
      <c r="E111" s="97" t="s">
        <v>61</v>
      </c>
      <c r="F111" s="101">
        <v>2</v>
      </c>
      <c r="G111" s="105">
        <v>31000</v>
      </c>
      <c r="H111" s="98">
        <f t="shared" si="1"/>
        <v>62000</v>
      </c>
      <c r="I111" s="206" t="s">
        <v>77</v>
      </c>
      <c r="J111" s="201"/>
    </row>
    <row r="112" spans="1:10" ht="22.5" customHeight="1">
      <c r="A112" s="216">
        <v>104</v>
      </c>
      <c r="B112" s="94"/>
      <c r="C112" s="27" t="s">
        <v>881</v>
      </c>
      <c r="D112" s="108" t="s">
        <v>882</v>
      </c>
      <c r="E112" s="97" t="s">
        <v>62</v>
      </c>
      <c r="F112" s="101">
        <v>2</v>
      </c>
      <c r="G112" s="105">
        <v>17500</v>
      </c>
      <c r="H112" s="98">
        <f t="shared" si="1"/>
        <v>35000</v>
      </c>
      <c r="I112" s="206" t="s">
        <v>78</v>
      </c>
      <c r="J112" s="201"/>
    </row>
    <row r="113" spans="1:10" ht="22.5" customHeight="1">
      <c r="A113" s="95">
        <v>105</v>
      </c>
      <c r="B113" s="109"/>
      <c r="C113" s="225"/>
      <c r="D113" s="110" t="s">
        <v>883</v>
      </c>
      <c r="E113" s="97" t="s">
        <v>62</v>
      </c>
      <c r="F113" s="103">
        <v>1</v>
      </c>
      <c r="G113" s="105">
        <v>10500</v>
      </c>
      <c r="H113" s="98">
        <f t="shared" si="1"/>
        <v>10500</v>
      </c>
      <c r="I113" s="206" t="s">
        <v>78</v>
      </c>
      <c r="J113" s="201"/>
    </row>
    <row r="114" spans="1:10" ht="22.5" customHeight="1">
      <c r="A114" s="216">
        <v>106</v>
      </c>
      <c r="B114" s="58">
        <v>22146</v>
      </c>
      <c r="C114" s="27" t="s">
        <v>1709</v>
      </c>
      <c r="D114" s="27" t="s">
        <v>1710</v>
      </c>
      <c r="E114" s="73" t="s">
        <v>62</v>
      </c>
      <c r="F114" s="101">
        <v>4</v>
      </c>
      <c r="G114" s="219">
        <v>10000</v>
      </c>
      <c r="H114" s="98">
        <f t="shared" si="1"/>
        <v>40000</v>
      </c>
      <c r="I114" s="206" t="s">
        <v>78</v>
      </c>
      <c r="J114" s="201"/>
    </row>
    <row r="115" spans="1:10" ht="22.5" customHeight="1">
      <c r="A115" s="95">
        <v>107</v>
      </c>
      <c r="B115" s="104">
        <v>22715</v>
      </c>
      <c r="C115" s="190" t="s">
        <v>1728</v>
      </c>
      <c r="D115" s="86" t="s">
        <v>1711</v>
      </c>
      <c r="E115" s="73" t="s">
        <v>62</v>
      </c>
      <c r="F115" s="101">
        <v>3</v>
      </c>
      <c r="G115" s="219">
        <v>15000</v>
      </c>
      <c r="H115" s="98">
        <f t="shared" si="1"/>
        <v>45000</v>
      </c>
      <c r="I115" s="206" t="s">
        <v>78</v>
      </c>
      <c r="J115" s="201"/>
    </row>
    <row r="116" spans="1:10" ht="22.5" customHeight="1">
      <c r="A116" s="216">
        <v>108</v>
      </c>
      <c r="B116" s="104">
        <v>22715</v>
      </c>
      <c r="C116" s="190" t="s">
        <v>1730</v>
      </c>
      <c r="D116" s="86" t="s">
        <v>1729</v>
      </c>
      <c r="E116" s="73" t="s">
        <v>62</v>
      </c>
      <c r="F116" s="101">
        <v>2</v>
      </c>
      <c r="G116" s="219">
        <v>11326</v>
      </c>
      <c r="H116" s="98">
        <f t="shared" si="1"/>
        <v>22652</v>
      </c>
      <c r="I116" s="206" t="s">
        <v>78</v>
      </c>
      <c r="J116" s="201"/>
    </row>
    <row r="117" spans="1:10" ht="22.5" customHeight="1">
      <c r="A117" s="95">
        <v>109</v>
      </c>
      <c r="B117" s="104">
        <v>22830</v>
      </c>
      <c r="C117" s="190" t="s">
        <v>1731</v>
      </c>
      <c r="D117" s="86" t="s">
        <v>1712</v>
      </c>
      <c r="E117" s="73" t="s">
        <v>62</v>
      </c>
      <c r="F117" s="101">
        <v>3</v>
      </c>
      <c r="G117" s="219">
        <v>7590</v>
      </c>
      <c r="H117" s="98">
        <f t="shared" si="1"/>
        <v>22770</v>
      </c>
      <c r="I117" s="206" t="s">
        <v>78</v>
      </c>
      <c r="J117" s="201"/>
    </row>
    <row r="118" spans="1:10" ht="22.5" customHeight="1">
      <c r="A118" s="216">
        <v>110</v>
      </c>
      <c r="B118" s="104">
        <v>22830</v>
      </c>
      <c r="C118" s="190" t="s">
        <v>1733</v>
      </c>
      <c r="D118" s="86" t="s">
        <v>1732</v>
      </c>
      <c r="E118" s="73" t="s">
        <v>62</v>
      </c>
      <c r="F118" s="101">
        <v>1</v>
      </c>
      <c r="G118" s="219">
        <v>5362</v>
      </c>
      <c r="H118" s="98">
        <f t="shared" si="1"/>
        <v>5362</v>
      </c>
      <c r="I118" s="206" t="s">
        <v>78</v>
      </c>
      <c r="J118" s="201"/>
    </row>
    <row r="119" spans="1:10" ht="22.5" customHeight="1">
      <c r="A119" s="95">
        <v>111</v>
      </c>
      <c r="B119" s="104">
        <v>22830</v>
      </c>
      <c r="C119" s="190" t="s">
        <v>1734</v>
      </c>
      <c r="D119" s="86" t="s">
        <v>1713</v>
      </c>
      <c r="E119" s="73" t="s">
        <v>62</v>
      </c>
      <c r="F119" s="101">
        <v>1</v>
      </c>
      <c r="G119" s="98">
        <v>4013</v>
      </c>
      <c r="H119" s="98">
        <f t="shared" si="1"/>
        <v>4013</v>
      </c>
      <c r="I119" s="206" t="s">
        <v>78</v>
      </c>
      <c r="J119" s="201"/>
    </row>
    <row r="120" spans="1:10" ht="22.5" customHeight="1">
      <c r="A120" s="216">
        <v>112</v>
      </c>
      <c r="B120" s="104">
        <v>22715</v>
      </c>
      <c r="C120" s="190" t="s">
        <v>1735</v>
      </c>
      <c r="D120" s="86" t="s">
        <v>1714</v>
      </c>
      <c r="E120" s="73" t="s">
        <v>62</v>
      </c>
      <c r="F120" s="101">
        <v>1</v>
      </c>
      <c r="G120" s="219">
        <v>4302</v>
      </c>
      <c r="H120" s="98">
        <f t="shared" si="1"/>
        <v>4302</v>
      </c>
      <c r="I120" s="206" t="s">
        <v>78</v>
      </c>
      <c r="J120" s="201"/>
    </row>
    <row r="121" spans="1:10" ht="22.5" customHeight="1">
      <c r="A121" s="95">
        <v>113</v>
      </c>
      <c r="B121" s="104">
        <v>22830</v>
      </c>
      <c r="C121" s="190" t="s">
        <v>1737</v>
      </c>
      <c r="D121" s="86" t="s">
        <v>1736</v>
      </c>
      <c r="E121" s="73" t="s">
        <v>62</v>
      </c>
      <c r="F121" s="101">
        <v>5</v>
      </c>
      <c r="G121" s="219">
        <v>4590</v>
      </c>
      <c r="H121" s="98">
        <f t="shared" si="1"/>
        <v>22950</v>
      </c>
      <c r="I121" s="206" t="s">
        <v>78</v>
      </c>
      <c r="J121" s="201"/>
    </row>
    <row r="122" spans="1:10" ht="22.5" customHeight="1">
      <c r="A122" s="216">
        <v>114</v>
      </c>
      <c r="B122" s="104">
        <v>22715</v>
      </c>
      <c r="C122" s="190" t="s">
        <v>1739</v>
      </c>
      <c r="D122" s="86" t="s">
        <v>1738</v>
      </c>
      <c r="E122" s="73" t="s">
        <v>62</v>
      </c>
      <c r="F122" s="101">
        <v>10</v>
      </c>
      <c r="G122" s="219">
        <v>3838.8</v>
      </c>
      <c r="H122" s="98">
        <f t="shared" si="1"/>
        <v>38388</v>
      </c>
      <c r="I122" s="206" t="s">
        <v>78</v>
      </c>
      <c r="J122" s="201"/>
    </row>
    <row r="123" spans="1:10" ht="22.5" customHeight="1">
      <c r="A123" s="95">
        <v>115</v>
      </c>
      <c r="B123" s="104">
        <v>22715</v>
      </c>
      <c r="C123" s="190" t="s">
        <v>1741</v>
      </c>
      <c r="D123" s="86" t="s">
        <v>1740</v>
      </c>
      <c r="E123" s="73" t="s">
        <v>62</v>
      </c>
      <c r="F123" s="101">
        <v>1</v>
      </c>
      <c r="G123" s="219">
        <v>3251</v>
      </c>
      <c r="H123" s="98">
        <f t="shared" si="1"/>
        <v>3251</v>
      </c>
      <c r="I123" s="206" t="s">
        <v>78</v>
      </c>
      <c r="J123" s="201"/>
    </row>
    <row r="124" spans="1:10" ht="22.5" customHeight="1">
      <c r="A124" s="216">
        <v>116</v>
      </c>
      <c r="B124" s="104">
        <v>22887</v>
      </c>
      <c r="C124" s="190" t="s">
        <v>1784</v>
      </c>
      <c r="D124" s="86" t="s">
        <v>1785</v>
      </c>
      <c r="E124" s="73" t="s">
        <v>62</v>
      </c>
      <c r="F124" s="101">
        <v>1</v>
      </c>
      <c r="G124" s="219">
        <v>9965</v>
      </c>
      <c r="H124" s="98">
        <f t="shared" si="1"/>
        <v>9965</v>
      </c>
      <c r="I124" s="206" t="s">
        <v>78</v>
      </c>
      <c r="J124" s="201"/>
    </row>
    <row r="125" spans="1:10" ht="22.5" customHeight="1">
      <c r="A125" s="95">
        <v>117</v>
      </c>
      <c r="B125" s="104">
        <v>23342</v>
      </c>
      <c r="C125" s="190" t="s">
        <v>1787</v>
      </c>
      <c r="D125" s="86" t="s">
        <v>1786</v>
      </c>
      <c r="E125" s="73" t="s">
        <v>62</v>
      </c>
      <c r="F125" s="101">
        <v>1</v>
      </c>
      <c r="G125" s="219">
        <v>1763</v>
      </c>
      <c r="H125" s="98">
        <f t="shared" si="1"/>
        <v>1763</v>
      </c>
      <c r="I125" s="206" t="s">
        <v>78</v>
      </c>
      <c r="J125" s="201"/>
    </row>
    <row r="126" spans="1:10" ht="22.5" customHeight="1">
      <c r="A126" s="216">
        <v>118</v>
      </c>
      <c r="B126" s="104">
        <v>23243</v>
      </c>
      <c r="C126" s="190" t="s">
        <v>1788</v>
      </c>
      <c r="D126" s="86" t="s">
        <v>1789</v>
      </c>
      <c r="E126" s="73" t="s">
        <v>62</v>
      </c>
      <c r="F126" s="101">
        <v>1</v>
      </c>
      <c r="G126" s="219">
        <v>21109</v>
      </c>
      <c r="H126" s="98">
        <f t="shared" si="1"/>
        <v>21109</v>
      </c>
      <c r="I126" s="206" t="s">
        <v>78</v>
      </c>
      <c r="J126" s="201"/>
    </row>
    <row r="127" spans="1:10" ht="22.5" customHeight="1">
      <c r="A127" s="95">
        <v>119</v>
      </c>
      <c r="B127" s="104">
        <v>23243</v>
      </c>
      <c r="C127" s="190" t="s">
        <v>1790</v>
      </c>
      <c r="D127" s="86" t="s">
        <v>762</v>
      </c>
      <c r="E127" s="73" t="s">
        <v>62</v>
      </c>
      <c r="F127" s="101">
        <v>1</v>
      </c>
      <c r="G127" s="219">
        <v>8212</v>
      </c>
      <c r="H127" s="98">
        <f t="shared" si="1"/>
        <v>8212</v>
      </c>
      <c r="I127" s="206" t="s">
        <v>78</v>
      </c>
      <c r="J127" s="201"/>
    </row>
    <row r="128" spans="1:10" ht="22.5" customHeight="1">
      <c r="A128" s="216">
        <v>120</v>
      </c>
      <c r="B128" s="104">
        <v>23243</v>
      </c>
      <c r="C128" s="190" t="s">
        <v>1854</v>
      </c>
      <c r="D128" s="86" t="s">
        <v>1848</v>
      </c>
      <c r="E128" s="73" t="s">
        <v>62</v>
      </c>
      <c r="F128" s="101">
        <v>30</v>
      </c>
      <c r="G128" s="219">
        <v>845.8</v>
      </c>
      <c r="H128" s="98">
        <f t="shared" si="1"/>
        <v>25374</v>
      </c>
      <c r="I128" s="206" t="s">
        <v>78</v>
      </c>
      <c r="J128" s="201"/>
    </row>
    <row r="129" spans="1:12" ht="22.5" customHeight="1">
      <c r="A129" s="95">
        <v>121</v>
      </c>
      <c r="B129" s="104">
        <v>23243</v>
      </c>
      <c r="C129" s="190" t="s">
        <v>1853</v>
      </c>
      <c r="D129" s="86" t="s">
        <v>1848</v>
      </c>
      <c r="E129" s="73" t="s">
        <v>62</v>
      </c>
      <c r="F129" s="101">
        <v>30</v>
      </c>
      <c r="G129" s="219">
        <v>846.7</v>
      </c>
      <c r="H129" s="98">
        <f t="shared" si="1"/>
        <v>25401</v>
      </c>
      <c r="I129" s="206" t="s">
        <v>78</v>
      </c>
      <c r="J129" s="201"/>
    </row>
    <row r="130" spans="1:12" ht="22.5" customHeight="1">
      <c r="A130" s="216">
        <v>122</v>
      </c>
      <c r="B130" s="104">
        <v>23243</v>
      </c>
      <c r="C130" s="190" t="s">
        <v>1791</v>
      </c>
      <c r="D130" s="86" t="s">
        <v>1849</v>
      </c>
      <c r="E130" s="73" t="s">
        <v>62</v>
      </c>
      <c r="F130" s="101">
        <v>5</v>
      </c>
      <c r="G130" s="219">
        <v>14654</v>
      </c>
      <c r="H130" s="98">
        <f t="shared" si="1"/>
        <v>73270</v>
      </c>
      <c r="I130" s="206" t="s">
        <v>78</v>
      </c>
      <c r="J130" s="201"/>
    </row>
    <row r="131" spans="1:12" ht="22.5" customHeight="1">
      <c r="A131" s="95">
        <v>123</v>
      </c>
      <c r="B131" s="104">
        <v>23243</v>
      </c>
      <c r="C131" s="190" t="s">
        <v>1792</v>
      </c>
      <c r="D131" s="86" t="s">
        <v>795</v>
      </c>
      <c r="E131" s="73" t="s">
        <v>62</v>
      </c>
      <c r="F131" s="101">
        <v>1</v>
      </c>
      <c r="G131" s="219">
        <v>4358</v>
      </c>
      <c r="H131" s="98">
        <f t="shared" si="1"/>
        <v>4358</v>
      </c>
      <c r="I131" s="206" t="s">
        <v>78</v>
      </c>
      <c r="J131" s="201"/>
    </row>
    <row r="132" spans="1:12" ht="24" customHeight="1">
      <c r="A132" s="380" t="s">
        <v>1906</v>
      </c>
      <c r="B132" s="381"/>
      <c r="C132" s="381"/>
      <c r="D132" s="381"/>
      <c r="E132" s="381"/>
      <c r="F132" s="253"/>
      <c r="G132" s="219"/>
      <c r="H132" s="219">
        <f>SUM(H93:H131)</f>
        <v>4046517.11</v>
      </c>
      <c r="I132" s="206"/>
      <c r="J132" s="201"/>
    </row>
    <row r="133" spans="1:12" ht="22.5" customHeight="1">
      <c r="A133" s="204"/>
      <c r="B133" s="204"/>
      <c r="C133" s="204"/>
      <c r="D133" s="204"/>
      <c r="E133" s="226"/>
      <c r="F133" s="227"/>
      <c r="G133" s="228"/>
      <c r="H133" s="228"/>
      <c r="I133" s="201"/>
      <c r="J133" s="228"/>
      <c r="K133" s="229"/>
      <c r="L133" s="229"/>
    </row>
    <row r="134" spans="1:12" ht="22.5" customHeight="1">
      <c r="A134" s="53"/>
      <c r="B134" s="53"/>
      <c r="C134" s="230"/>
      <c r="D134" s="53"/>
      <c r="E134" s="231"/>
      <c r="F134" s="353" t="s">
        <v>1915</v>
      </c>
      <c r="G134" s="353"/>
      <c r="H134" s="353"/>
      <c r="I134" s="353"/>
      <c r="J134" s="211"/>
      <c r="K134" s="215"/>
    </row>
    <row r="135" spans="1:12" ht="22.5" customHeight="1">
      <c r="A135" s="53"/>
      <c r="B135" s="53"/>
      <c r="C135" s="230"/>
      <c r="D135" s="53"/>
      <c r="E135" s="231"/>
      <c r="F135" s="353" t="s">
        <v>1937</v>
      </c>
      <c r="G135" s="353"/>
      <c r="H135" s="353"/>
      <c r="I135" s="353"/>
      <c r="K135" s="232"/>
    </row>
    <row r="136" spans="1:12" ht="22.5" customHeight="1">
      <c r="A136" s="53"/>
      <c r="B136" s="53"/>
      <c r="C136" s="230"/>
      <c r="D136" s="53"/>
      <c r="E136" s="231"/>
      <c r="F136" s="353" t="s">
        <v>226</v>
      </c>
      <c r="G136" s="353"/>
      <c r="H136" s="353"/>
      <c r="I136" s="353"/>
      <c r="J136" s="201"/>
    </row>
    <row r="137" spans="1:12" ht="22.5" customHeight="1">
      <c r="A137" s="53"/>
      <c r="B137" s="53"/>
      <c r="C137" s="230"/>
      <c r="D137" s="53"/>
      <c r="E137" s="231"/>
      <c r="F137" s="79"/>
      <c r="G137" s="79"/>
      <c r="H137" s="79"/>
      <c r="I137" s="201"/>
      <c r="J137" s="201"/>
    </row>
  </sheetData>
  <mergeCells count="11">
    <mergeCell ref="A1:I1"/>
    <mergeCell ref="A2:I2"/>
    <mergeCell ref="A3:I3"/>
    <mergeCell ref="F136:I136"/>
    <mergeCell ref="F135:I135"/>
    <mergeCell ref="F134:I134"/>
    <mergeCell ref="A48:D48"/>
    <mergeCell ref="A49:D49"/>
    <mergeCell ref="A92:D92"/>
    <mergeCell ref="A93:D93"/>
    <mergeCell ref="A132:E132"/>
  </mergeCells>
  <printOptions horizontalCentered="1"/>
  <pageMargins left="0.19685039370078741" right="0" top="0.39370078740157483" bottom="0.19685039370078741" header="0" footer="0"/>
  <pageSetup paperSize="9" scale="75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32"/>
  <sheetViews>
    <sheetView zoomScaleNormal="100" workbookViewId="0">
      <selection activeCell="L11" sqref="L11"/>
    </sheetView>
  </sheetViews>
  <sheetFormatPr defaultColWidth="9" defaultRowHeight="24"/>
  <cols>
    <col min="1" max="1" width="5.5703125" style="14" customWidth="1"/>
    <col min="2" max="2" width="13.7109375" style="14" customWidth="1"/>
    <col min="3" max="3" width="28.5703125" style="205" customWidth="1"/>
    <col min="4" max="4" width="35" style="14" customWidth="1"/>
    <col min="5" max="5" width="7.42578125" style="14" customWidth="1"/>
    <col min="6" max="6" width="7.28515625" style="14" customWidth="1"/>
    <col min="7" max="7" width="13.28515625" style="14" customWidth="1"/>
    <col min="8" max="8" width="14.42578125" style="14" customWidth="1"/>
    <col min="9" max="9" width="10.7109375" style="14" customWidth="1"/>
    <col min="10" max="10" width="16" style="14" customWidth="1"/>
    <col min="11" max="11" width="12" style="14" customWidth="1"/>
    <col min="12" max="16384" width="9" style="14"/>
  </cols>
  <sheetData>
    <row r="1" spans="1:1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1">
      <c r="A2" s="354" t="s">
        <v>163</v>
      </c>
      <c r="B2" s="354"/>
      <c r="C2" s="354"/>
      <c r="D2" s="354"/>
      <c r="E2" s="354"/>
      <c r="F2" s="354"/>
      <c r="G2" s="354"/>
      <c r="H2" s="354"/>
      <c r="I2" s="354"/>
    </row>
    <row r="3" spans="1:1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1" s="25" customFormat="1" ht="44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1">
      <c r="A5" s="206">
        <v>1</v>
      </c>
      <c r="B5" s="26"/>
      <c r="C5" s="27" t="s">
        <v>128</v>
      </c>
      <c r="D5" s="13" t="s">
        <v>144</v>
      </c>
      <c r="E5" s="28" t="s">
        <v>62</v>
      </c>
      <c r="F5" s="29">
        <v>1</v>
      </c>
      <c r="G5" s="35">
        <v>5900</v>
      </c>
      <c r="H5" s="35">
        <f>SUM(F5*G5)</f>
        <v>5900</v>
      </c>
      <c r="I5" s="206" t="s">
        <v>77</v>
      </c>
      <c r="J5" s="53"/>
      <c r="K5" s="215"/>
    </row>
    <row r="6" spans="1:11">
      <c r="A6" s="206">
        <v>2</v>
      </c>
      <c r="B6" s="26"/>
      <c r="C6" s="27" t="s">
        <v>129</v>
      </c>
      <c r="D6" s="13" t="s">
        <v>45</v>
      </c>
      <c r="E6" s="28" t="s">
        <v>62</v>
      </c>
      <c r="F6" s="29">
        <v>1</v>
      </c>
      <c r="G6" s="35">
        <v>2900</v>
      </c>
      <c r="H6" s="35">
        <f t="shared" ref="H6:H27" si="0">SUM(F6*G6)</f>
        <v>2900</v>
      </c>
      <c r="I6" s="206" t="s">
        <v>78</v>
      </c>
      <c r="J6" s="53"/>
      <c r="K6" s="215"/>
    </row>
    <row r="7" spans="1:11">
      <c r="A7" s="206">
        <v>3</v>
      </c>
      <c r="B7" s="26"/>
      <c r="C7" s="27" t="s">
        <v>130</v>
      </c>
      <c r="D7" s="106" t="s">
        <v>145</v>
      </c>
      <c r="E7" s="28" t="s">
        <v>62</v>
      </c>
      <c r="F7" s="29">
        <v>1</v>
      </c>
      <c r="G7" s="85">
        <v>2800</v>
      </c>
      <c r="H7" s="35">
        <f t="shared" si="0"/>
        <v>2800</v>
      </c>
      <c r="I7" s="206" t="s">
        <v>78</v>
      </c>
      <c r="J7" s="53"/>
      <c r="K7" s="215"/>
    </row>
    <row r="8" spans="1:11">
      <c r="A8" s="206">
        <v>4</v>
      </c>
      <c r="B8" s="26"/>
      <c r="C8" s="27" t="s">
        <v>131</v>
      </c>
      <c r="D8" s="106" t="s">
        <v>146</v>
      </c>
      <c r="E8" s="28" t="s">
        <v>62</v>
      </c>
      <c r="F8" s="29">
        <v>1</v>
      </c>
      <c r="G8" s="85">
        <v>900</v>
      </c>
      <c r="H8" s="35">
        <f t="shared" si="0"/>
        <v>900</v>
      </c>
      <c r="I8" s="206" t="s">
        <v>77</v>
      </c>
      <c r="J8" s="53"/>
      <c r="K8" s="215"/>
    </row>
    <row r="9" spans="1:11">
      <c r="A9" s="206">
        <v>5</v>
      </c>
      <c r="B9" s="26"/>
      <c r="C9" s="27" t="s">
        <v>132</v>
      </c>
      <c r="D9" s="106" t="s">
        <v>147</v>
      </c>
      <c r="E9" s="28" t="s">
        <v>62</v>
      </c>
      <c r="F9" s="29">
        <v>1</v>
      </c>
      <c r="G9" s="85">
        <v>1200</v>
      </c>
      <c r="H9" s="35">
        <f t="shared" si="0"/>
        <v>1200</v>
      </c>
      <c r="I9" s="206" t="s">
        <v>77</v>
      </c>
      <c r="J9" s="53"/>
      <c r="K9" s="215"/>
    </row>
    <row r="10" spans="1:11">
      <c r="A10" s="206">
        <v>6</v>
      </c>
      <c r="B10" s="26"/>
      <c r="C10" s="27" t="s">
        <v>133</v>
      </c>
      <c r="D10" s="106" t="s">
        <v>148</v>
      </c>
      <c r="E10" s="28" t="s">
        <v>62</v>
      </c>
      <c r="F10" s="29">
        <v>1</v>
      </c>
      <c r="G10" s="85">
        <v>2900</v>
      </c>
      <c r="H10" s="35">
        <f t="shared" si="0"/>
        <v>2900</v>
      </c>
      <c r="I10" s="206" t="s">
        <v>77</v>
      </c>
      <c r="J10" s="53"/>
      <c r="K10" s="215"/>
    </row>
    <row r="11" spans="1:11">
      <c r="A11" s="206">
        <v>7</v>
      </c>
      <c r="B11" s="26"/>
      <c r="C11" s="27" t="s">
        <v>134</v>
      </c>
      <c r="D11" s="106" t="s">
        <v>149</v>
      </c>
      <c r="E11" s="28" t="s">
        <v>62</v>
      </c>
      <c r="F11" s="29">
        <v>1</v>
      </c>
      <c r="G11" s="85">
        <v>1200</v>
      </c>
      <c r="H11" s="35">
        <f t="shared" si="0"/>
        <v>1200</v>
      </c>
      <c r="I11" s="206" t="s">
        <v>77</v>
      </c>
      <c r="J11" s="53"/>
      <c r="K11" s="215"/>
    </row>
    <row r="12" spans="1:11">
      <c r="A12" s="206">
        <v>8</v>
      </c>
      <c r="B12" s="26"/>
      <c r="C12" s="27" t="s">
        <v>135</v>
      </c>
      <c r="D12" s="106" t="s">
        <v>150</v>
      </c>
      <c r="E12" s="28" t="s">
        <v>62</v>
      </c>
      <c r="F12" s="29">
        <v>1</v>
      </c>
      <c r="G12" s="85">
        <v>250</v>
      </c>
      <c r="H12" s="35">
        <f t="shared" si="0"/>
        <v>250</v>
      </c>
      <c r="I12" s="206" t="s">
        <v>77</v>
      </c>
      <c r="J12" s="53"/>
      <c r="K12" s="215"/>
    </row>
    <row r="13" spans="1:11">
      <c r="A13" s="206">
        <v>9</v>
      </c>
      <c r="B13" s="26"/>
      <c r="C13" s="27" t="s">
        <v>136</v>
      </c>
      <c r="D13" s="13" t="s">
        <v>151</v>
      </c>
      <c r="E13" s="28" t="s">
        <v>61</v>
      </c>
      <c r="F13" s="29">
        <v>6</v>
      </c>
      <c r="G13" s="35">
        <v>500</v>
      </c>
      <c r="H13" s="35">
        <f t="shared" si="0"/>
        <v>3000</v>
      </c>
      <c r="I13" s="206" t="s">
        <v>77</v>
      </c>
      <c r="J13" s="53"/>
      <c r="K13" s="215"/>
    </row>
    <row r="14" spans="1:11">
      <c r="A14" s="206">
        <v>10</v>
      </c>
      <c r="B14" s="26"/>
      <c r="C14" s="27" t="s">
        <v>137</v>
      </c>
      <c r="D14" s="13" t="s">
        <v>152</v>
      </c>
      <c r="E14" s="28" t="s">
        <v>61</v>
      </c>
      <c r="F14" s="29">
        <v>1</v>
      </c>
      <c r="G14" s="35">
        <v>600</v>
      </c>
      <c r="H14" s="35">
        <f t="shared" si="0"/>
        <v>600</v>
      </c>
      <c r="I14" s="206" t="s">
        <v>77</v>
      </c>
      <c r="J14" s="53"/>
      <c r="K14" s="215"/>
    </row>
    <row r="15" spans="1:11">
      <c r="A15" s="206">
        <v>11</v>
      </c>
      <c r="B15" s="26"/>
      <c r="C15" s="27" t="s">
        <v>137</v>
      </c>
      <c r="D15" s="13" t="s">
        <v>153</v>
      </c>
      <c r="E15" s="28" t="s">
        <v>61</v>
      </c>
      <c r="F15" s="29">
        <v>1</v>
      </c>
      <c r="G15" s="35">
        <v>500</v>
      </c>
      <c r="H15" s="35">
        <f t="shared" si="0"/>
        <v>500</v>
      </c>
      <c r="I15" s="206" t="s">
        <v>77</v>
      </c>
      <c r="J15" s="53"/>
      <c r="K15" s="215"/>
    </row>
    <row r="16" spans="1:11">
      <c r="A16" s="206">
        <v>12</v>
      </c>
      <c r="B16" s="26"/>
      <c r="C16" s="27" t="s">
        <v>137</v>
      </c>
      <c r="D16" s="13" t="s">
        <v>154</v>
      </c>
      <c r="E16" s="28" t="s">
        <v>61</v>
      </c>
      <c r="F16" s="29">
        <v>1</v>
      </c>
      <c r="G16" s="34">
        <v>500</v>
      </c>
      <c r="H16" s="35">
        <f t="shared" si="0"/>
        <v>500</v>
      </c>
      <c r="I16" s="206" t="s">
        <v>77</v>
      </c>
      <c r="J16" s="53"/>
      <c r="K16" s="215"/>
    </row>
    <row r="17" spans="1:11">
      <c r="A17" s="206">
        <v>13</v>
      </c>
      <c r="B17" s="26"/>
      <c r="C17" s="27" t="s">
        <v>137</v>
      </c>
      <c r="D17" s="13" t="s">
        <v>155</v>
      </c>
      <c r="E17" s="28" t="s">
        <v>61</v>
      </c>
      <c r="F17" s="29">
        <v>1</v>
      </c>
      <c r="G17" s="35">
        <v>400</v>
      </c>
      <c r="H17" s="35">
        <f t="shared" si="0"/>
        <v>400</v>
      </c>
      <c r="I17" s="206" t="s">
        <v>77</v>
      </c>
      <c r="J17" s="53"/>
      <c r="K17" s="215"/>
    </row>
    <row r="18" spans="1:11">
      <c r="A18" s="206">
        <v>14</v>
      </c>
      <c r="B18" s="26"/>
      <c r="C18" s="213" t="s">
        <v>138</v>
      </c>
      <c r="D18" s="197" t="s">
        <v>156</v>
      </c>
      <c r="E18" s="28" t="s">
        <v>61</v>
      </c>
      <c r="F18" s="29">
        <v>1</v>
      </c>
      <c r="G18" s="198">
        <v>900</v>
      </c>
      <c r="H18" s="35">
        <f t="shared" si="0"/>
        <v>900</v>
      </c>
      <c r="I18" s="206" t="s">
        <v>78</v>
      </c>
      <c r="J18" s="53"/>
      <c r="K18" s="215"/>
    </row>
    <row r="19" spans="1:11">
      <c r="A19" s="206">
        <v>15</v>
      </c>
      <c r="B19" s="26"/>
      <c r="C19" s="27" t="s">
        <v>139</v>
      </c>
      <c r="D19" s="13" t="s">
        <v>157</v>
      </c>
      <c r="E19" s="28" t="s">
        <v>61</v>
      </c>
      <c r="F19" s="29">
        <v>1</v>
      </c>
      <c r="G19" s="35">
        <v>1100</v>
      </c>
      <c r="H19" s="35">
        <f t="shared" si="0"/>
        <v>1100</v>
      </c>
      <c r="I19" s="206" t="s">
        <v>78</v>
      </c>
      <c r="J19" s="53"/>
      <c r="K19" s="215"/>
    </row>
    <row r="20" spans="1:11">
      <c r="A20" s="206">
        <v>16</v>
      </c>
      <c r="B20" s="26"/>
      <c r="C20" s="27" t="s">
        <v>140</v>
      </c>
      <c r="D20" s="13" t="s">
        <v>158</v>
      </c>
      <c r="E20" s="28" t="s">
        <v>61</v>
      </c>
      <c r="F20" s="29">
        <v>1</v>
      </c>
      <c r="G20" s="35">
        <v>3750</v>
      </c>
      <c r="H20" s="35">
        <f t="shared" si="0"/>
        <v>3750</v>
      </c>
      <c r="I20" s="206" t="s">
        <v>78</v>
      </c>
      <c r="J20" s="53"/>
      <c r="K20" s="215"/>
    </row>
    <row r="21" spans="1:11">
      <c r="A21" s="206">
        <v>17</v>
      </c>
      <c r="B21" s="26"/>
      <c r="C21" s="27" t="s">
        <v>141</v>
      </c>
      <c r="D21" s="13" t="s">
        <v>72</v>
      </c>
      <c r="E21" s="28" t="s">
        <v>61</v>
      </c>
      <c r="F21" s="29">
        <v>1</v>
      </c>
      <c r="G21" s="35">
        <v>5350</v>
      </c>
      <c r="H21" s="35">
        <f t="shared" si="0"/>
        <v>5350</v>
      </c>
      <c r="I21" s="206" t="s">
        <v>77</v>
      </c>
      <c r="J21" s="53"/>
      <c r="K21" s="215"/>
    </row>
    <row r="22" spans="1:11">
      <c r="A22" s="206">
        <v>18</v>
      </c>
      <c r="B22" s="82"/>
      <c r="C22" s="27" t="s">
        <v>142</v>
      </c>
      <c r="D22" s="13" t="s">
        <v>74</v>
      </c>
      <c r="E22" s="28" t="s">
        <v>61</v>
      </c>
      <c r="F22" s="29">
        <v>1</v>
      </c>
      <c r="G22" s="35">
        <v>17000</v>
      </c>
      <c r="H22" s="35">
        <f t="shared" si="0"/>
        <v>17000</v>
      </c>
      <c r="I22" s="206" t="s">
        <v>77</v>
      </c>
      <c r="J22" s="53"/>
      <c r="K22" s="215"/>
    </row>
    <row r="23" spans="1:11">
      <c r="A23" s="206">
        <v>19</v>
      </c>
      <c r="B23" s="58">
        <v>22128</v>
      </c>
      <c r="C23" s="62" t="s">
        <v>1718</v>
      </c>
      <c r="D23" s="111" t="s">
        <v>48</v>
      </c>
      <c r="E23" s="206" t="s">
        <v>62</v>
      </c>
      <c r="F23" s="29">
        <v>1</v>
      </c>
      <c r="G23" s="34">
        <v>45900</v>
      </c>
      <c r="H23" s="35">
        <f t="shared" si="0"/>
        <v>45900</v>
      </c>
      <c r="I23" s="206" t="s">
        <v>78</v>
      </c>
      <c r="J23" s="53"/>
      <c r="K23" s="215"/>
    </row>
    <row r="24" spans="1:11">
      <c r="A24" s="206">
        <v>20</v>
      </c>
      <c r="B24" s="58">
        <v>22128</v>
      </c>
      <c r="C24" s="62" t="s">
        <v>1719</v>
      </c>
      <c r="D24" s="111" t="s">
        <v>159</v>
      </c>
      <c r="E24" s="206" t="s">
        <v>62</v>
      </c>
      <c r="F24" s="29">
        <v>1</v>
      </c>
      <c r="G24" s="34">
        <v>15700</v>
      </c>
      <c r="H24" s="35">
        <f t="shared" si="0"/>
        <v>15700</v>
      </c>
      <c r="I24" s="206" t="s">
        <v>77</v>
      </c>
      <c r="J24" s="53"/>
      <c r="K24" s="215"/>
    </row>
    <row r="25" spans="1:11">
      <c r="A25" s="206">
        <v>21</v>
      </c>
      <c r="B25" s="58">
        <v>22128</v>
      </c>
      <c r="C25" s="62" t="s">
        <v>1720</v>
      </c>
      <c r="D25" s="111" t="s">
        <v>160</v>
      </c>
      <c r="E25" s="206" t="s">
        <v>62</v>
      </c>
      <c r="F25" s="29">
        <v>1</v>
      </c>
      <c r="G25" s="34">
        <v>5900</v>
      </c>
      <c r="H25" s="35">
        <f t="shared" si="0"/>
        <v>5900</v>
      </c>
      <c r="I25" s="206" t="s">
        <v>78</v>
      </c>
      <c r="J25" s="53"/>
      <c r="K25" s="215"/>
    </row>
    <row r="26" spans="1:11">
      <c r="A26" s="206">
        <v>22</v>
      </c>
      <c r="B26" s="58">
        <v>22128</v>
      </c>
      <c r="C26" s="62" t="s">
        <v>1721</v>
      </c>
      <c r="D26" s="111" t="s">
        <v>161</v>
      </c>
      <c r="E26" s="206" t="s">
        <v>62</v>
      </c>
      <c r="F26" s="29">
        <v>1</v>
      </c>
      <c r="G26" s="34">
        <v>19900</v>
      </c>
      <c r="H26" s="35">
        <f t="shared" si="0"/>
        <v>19900</v>
      </c>
      <c r="I26" s="206" t="s">
        <v>78</v>
      </c>
      <c r="J26" s="53"/>
      <c r="K26" s="215"/>
    </row>
    <row r="27" spans="1:11">
      <c r="A27" s="206">
        <v>23</v>
      </c>
      <c r="B27" s="58">
        <v>22128</v>
      </c>
      <c r="C27" s="62" t="s">
        <v>1722</v>
      </c>
      <c r="D27" s="111" t="s">
        <v>162</v>
      </c>
      <c r="E27" s="206" t="s">
        <v>62</v>
      </c>
      <c r="F27" s="29">
        <v>1</v>
      </c>
      <c r="G27" s="35">
        <v>3900</v>
      </c>
      <c r="H27" s="35">
        <f t="shared" si="0"/>
        <v>3900</v>
      </c>
      <c r="I27" s="206" t="s">
        <v>78</v>
      </c>
      <c r="J27" s="53"/>
      <c r="K27" s="215"/>
    </row>
    <row r="28" spans="1:11">
      <c r="A28" s="369" t="s">
        <v>1906</v>
      </c>
      <c r="B28" s="370"/>
      <c r="C28" s="370"/>
      <c r="D28" s="370"/>
      <c r="E28" s="371"/>
      <c r="F28" s="47"/>
      <c r="G28" s="139"/>
      <c r="H28" s="139">
        <f>SUM(H5:H27)</f>
        <v>142450</v>
      </c>
      <c r="I28" s="26"/>
      <c r="J28" s="53"/>
    </row>
    <row r="29" spans="1:11">
      <c r="A29" s="201"/>
      <c r="B29" s="201"/>
      <c r="C29" s="201"/>
      <c r="D29" s="201"/>
      <c r="E29" s="201"/>
      <c r="F29" s="70"/>
      <c r="G29" s="235"/>
      <c r="H29" s="235"/>
      <c r="I29" s="53"/>
      <c r="J29" s="53"/>
    </row>
    <row r="30" spans="1:11" ht="27.75" customHeight="1">
      <c r="F30" s="353" t="s">
        <v>225</v>
      </c>
      <c r="G30" s="353"/>
      <c r="H30" s="353"/>
      <c r="I30" s="353"/>
      <c r="J30" s="201"/>
    </row>
    <row r="31" spans="1:11">
      <c r="F31" s="353" t="s">
        <v>1750</v>
      </c>
      <c r="G31" s="353"/>
      <c r="H31" s="353"/>
      <c r="I31" s="353"/>
      <c r="J31" s="201"/>
    </row>
    <row r="32" spans="1:11">
      <c r="F32" s="353" t="s">
        <v>226</v>
      </c>
      <c r="G32" s="353"/>
      <c r="H32" s="353"/>
      <c r="I32" s="353"/>
      <c r="J32" s="201"/>
    </row>
  </sheetData>
  <mergeCells count="7">
    <mergeCell ref="F30:I30"/>
    <mergeCell ref="F31:I31"/>
    <mergeCell ref="F32:I32"/>
    <mergeCell ref="A1:I1"/>
    <mergeCell ref="A2:I2"/>
    <mergeCell ref="A3:I3"/>
    <mergeCell ref="A28:E28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18"/>
  <sheetViews>
    <sheetView zoomScaleNormal="100" workbookViewId="0">
      <selection activeCell="F17" sqref="F17:I17"/>
    </sheetView>
  </sheetViews>
  <sheetFormatPr defaultColWidth="9" defaultRowHeight="24"/>
  <cols>
    <col min="1" max="1" width="5.28515625" style="14" customWidth="1"/>
    <col min="2" max="2" width="12.140625" style="14" customWidth="1"/>
    <col min="3" max="3" width="30.28515625" style="14" customWidth="1"/>
    <col min="4" max="4" width="34.28515625" style="14" customWidth="1"/>
    <col min="5" max="5" width="7.42578125" style="14" customWidth="1"/>
    <col min="6" max="6" width="7.5703125" style="14" customWidth="1"/>
    <col min="7" max="7" width="13.42578125" style="14" customWidth="1"/>
    <col min="8" max="8" width="14" style="14" customWidth="1"/>
    <col min="9" max="9" width="11.5703125" style="205" customWidth="1"/>
    <col min="10" max="10" width="19.5703125" style="14" customWidth="1"/>
    <col min="11" max="16384" width="9" style="14"/>
  </cols>
  <sheetData>
    <row r="1" spans="1:12" ht="23.25" customHeight="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2" ht="22.5" customHeight="1">
      <c r="A2" s="354" t="s">
        <v>1660</v>
      </c>
      <c r="B2" s="354"/>
      <c r="C2" s="354"/>
      <c r="D2" s="354"/>
      <c r="E2" s="354"/>
      <c r="F2" s="354"/>
      <c r="G2" s="354"/>
      <c r="H2" s="354"/>
      <c r="I2" s="354"/>
    </row>
    <row r="3" spans="1:12" ht="24" customHeight="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2" ht="44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  <c r="K4" s="52"/>
      <c r="L4" s="52"/>
    </row>
    <row r="5" spans="1:12">
      <c r="A5" s="206">
        <v>1</v>
      </c>
      <c r="B5" s="26"/>
      <c r="C5" s="236" t="s">
        <v>389</v>
      </c>
      <c r="D5" s="218" t="s">
        <v>56</v>
      </c>
      <c r="E5" s="28" t="s">
        <v>61</v>
      </c>
      <c r="F5" s="29">
        <v>2</v>
      </c>
      <c r="G5" s="237">
        <v>3200</v>
      </c>
      <c r="H5" s="237">
        <f>SUM(F5*G5)</f>
        <v>6400</v>
      </c>
      <c r="I5" s="206" t="s">
        <v>78</v>
      </c>
      <c r="J5" s="53"/>
      <c r="K5" s="53"/>
      <c r="L5" s="53"/>
    </row>
    <row r="6" spans="1:12">
      <c r="A6" s="206">
        <v>2</v>
      </c>
      <c r="B6" s="26"/>
      <c r="C6" s="236" t="s">
        <v>390</v>
      </c>
      <c r="D6" s="93" t="s">
        <v>357</v>
      </c>
      <c r="E6" s="28" t="s">
        <v>61</v>
      </c>
      <c r="F6" s="29">
        <v>1</v>
      </c>
      <c r="G6" s="194">
        <v>2900</v>
      </c>
      <c r="H6" s="237">
        <f t="shared" ref="H6:H13" si="0">SUM(F6*G6)</f>
        <v>2900</v>
      </c>
      <c r="I6" s="206" t="s">
        <v>78</v>
      </c>
      <c r="J6" s="53"/>
      <c r="K6" s="53"/>
      <c r="L6" s="53"/>
    </row>
    <row r="7" spans="1:12">
      <c r="A7" s="206">
        <v>3</v>
      </c>
      <c r="B7" s="26"/>
      <c r="C7" s="93" t="s">
        <v>64</v>
      </c>
      <c r="D7" s="93" t="s">
        <v>397</v>
      </c>
      <c r="E7" s="28" t="s">
        <v>61</v>
      </c>
      <c r="F7" s="29">
        <v>1</v>
      </c>
      <c r="G7" s="34">
        <v>900</v>
      </c>
      <c r="H7" s="237">
        <f t="shared" si="0"/>
        <v>900</v>
      </c>
      <c r="I7" s="206" t="s">
        <v>77</v>
      </c>
      <c r="J7" s="53"/>
      <c r="K7" s="53"/>
      <c r="L7" s="53"/>
    </row>
    <row r="8" spans="1:12">
      <c r="A8" s="206">
        <v>4</v>
      </c>
      <c r="B8" s="26"/>
      <c r="C8" s="93" t="s">
        <v>391</v>
      </c>
      <c r="D8" s="93" t="s">
        <v>398</v>
      </c>
      <c r="E8" s="28" t="s">
        <v>61</v>
      </c>
      <c r="F8" s="29">
        <v>1</v>
      </c>
      <c r="G8" s="34">
        <v>1100</v>
      </c>
      <c r="H8" s="237">
        <f t="shared" si="0"/>
        <v>1100</v>
      </c>
      <c r="I8" s="206" t="s">
        <v>77</v>
      </c>
      <c r="J8" s="53"/>
      <c r="K8" s="53"/>
      <c r="L8" s="53"/>
    </row>
    <row r="9" spans="1:12">
      <c r="A9" s="206">
        <v>5</v>
      </c>
      <c r="B9" s="26"/>
      <c r="C9" s="93" t="s">
        <v>392</v>
      </c>
      <c r="D9" s="93" t="s">
        <v>56</v>
      </c>
      <c r="E9" s="28" t="s">
        <v>61</v>
      </c>
      <c r="F9" s="29">
        <v>1</v>
      </c>
      <c r="G9" s="34">
        <v>3500</v>
      </c>
      <c r="H9" s="237">
        <f t="shared" si="0"/>
        <v>3500</v>
      </c>
      <c r="I9" s="206" t="s">
        <v>78</v>
      </c>
      <c r="J9" s="53"/>
      <c r="K9" s="53"/>
      <c r="L9" s="53"/>
    </row>
    <row r="10" spans="1:12">
      <c r="A10" s="206">
        <v>6</v>
      </c>
      <c r="B10" s="26"/>
      <c r="C10" s="93" t="s">
        <v>393</v>
      </c>
      <c r="D10" s="93" t="s">
        <v>305</v>
      </c>
      <c r="E10" s="28" t="s">
        <v>61</v>
      </c>
      <c r="F10" s="29">
        <v>2</v>
      </c>
      <c r="G10" s="34">
        <v>3000</v>
      </c>
      <c r="H10" s="237">
        <f t="shared" si="0"/>
        <v>6000</v>
      </c>
      <c r="I10" s="206" t="s">
        <v>78</v>
      </c>
      <c r="J10" s="53"/>
      <c r="K10" s="53"/>
      <c r="L10" s="53"/>
    </row>
    <row r="11" spans="1:12">
      <c r="A11" s="206">
        <v>7</v>
      </c>
      <c r="B11" s="37"/>
      <c r="C11" s="93" t="s">
        <v>394</v>
      </c>
      <c r="D11" s="93" t="s">
        <v>398</v>
      </c>
      <c r="E11" s="28" t="s">
        <v>61</v>
      </c>
      <c r="F11" s="29">
        <v>2</v>
      </c>
      <c r="G11" s="34">
        <v>1150</v>
      </c>
      <c r="H11" s="237">
        <f t="shared" si="0"/>
        <v>2300</v>
      </c>
      <c r="I11" s="206" t="s">
        <v>77</v>
      </c>
      <c r="J11" s="53"/>
      <c r="K11" s="53"/>
      <c r="L11" s="53"/>
    </row>
    <row r="12" spans="1:12">
      <c r="A12" s="206">
        <v>8</v>
      </c>
      <c r="B12" s="26"/>
      <c r="C12" s="93" t="s">
        <v>395</v>
      </c>
      <c r="D12" s="93" t="s">
        <v>240</v>
      </c>
      <c r="E12" s="28" t="s">
        <v>61</v>
      </c>
      <c r="F12" s="29">
        <v>1</v>
      </c>
      <c r="G12" s="34">
        <v>3300</v>
      </c>
      <c r="H12" s="237">
        <f t="shared" si="0"/>
        <v>3300</v>
      </c>
      <c r="I12" s="206" t="s">
        <v>77</v>
      </c>
      <c r="J12" s="53"/>
      <c r="K12" s="53"/>
      <c r="L12" s="53"/>
    </row>
    <row r="13" spans="1:12">
      <c r="A13" s="206">
        <v>9</v>
      </c>
      <c r="B13" s="26"/>
      <c r="C13" s="27" t="s">
        <v>396</v>
      </c>
      <c r="D13" s="13" t="s">
        <v>74</v>
      </c>
      <c r="E13" s="28" t="s">
        <v>61</v>
      </c>
      <c r="F13" s="29">
        <v>1</v>
      </c>
      <c r="G13" s="35">
        <v>17000</v>
      </c>
      <c r="H13" s="237">
        <f t="shared" si="0"/>
        <v>17000</v>
      </c>
      <c r="I13" s="206" t="s">
        <v>77</v>
      </c>
      <c r="J13" s="53"/>
      <c r="K13" s="53"/>
      <c r="L13" s="53"/>
    </row>
    <row r="14" spans="1:12">
      <c r="A14" s="369" t="s">
        <v>1906</v>
      </c>
      <c r="B14" s="370"/>
      <c r="C14" s="370"/>
      <c r="D14" s="370"/>
      <c r="E14" s="371"/>
      <c r="F14" s="47"/>
      <c r="G14" s="238"/>
      <c r="H14" s="239">
        <f>SUM(H5:H13)</f>
        <v>43400</v>
      </c>
      <c r="I14" s="206"/>
      <c r="J14" s="53"/>
      <c r="K14" s="53"/>
      <c r="L14" s="53"/>
    </row>
    <row r="15" spans="1:12">
      <c r="A15" s="201"/>
      <c r="B15" s="201"/>
      <c r="C15" s="201"/>
      <c r="D15" s="201"/>
      <c r="E15" s="201"/>
      <c r="F15" s="70"/>
      <c r="G15" s="240"/>
      <c r="H15" s="193"/>
      <c r="I15" s="201"/>
      <c r="J15" s="53"/>
      <c r="K15" s="53"/>
      <c r="L15" s="53"/>
    </row>
    <row r="16" spans="1:12" ht="31.5" customHeight="1">
      <c r="F16" s="353" t="s">
        <v>225</v>
      </c>
      <c r="G16" s="353"/>
      <c r="H16" s="353"/>
      <c r="I16" s="353"/>
      <c r="J16" s="201"/>
      <c r="K16" s="201"/>
      <c r="L16" s="201"/>
    </row>
    <row r="17" spans="6:12">
      <c r="F17" s="353" t="s">
        <v>1659</v>
      </c>
      <c r="G17" s="353"/>
      <c r="H17" s="353"/>
      <c r="I17" s="353"/>
      <c r="J17" s="201"/>
      <c r="K17" s="201"/>
      <c r="L17" s="201"/>
    </row>
    <row r="18" spans="6:12">
      <c r="F18" s="353" t="s">
        <v>226</v>
      </c>
      <c r="G18" s="353"/>
      <c r="H18" s="353"/>
      <c r="I18" s="353"/>
      <c r="J18" s="201"/>
      <c r="K18" s="201"/>
      <c r="L18" s="201"/>
    </row>
  </sheetData>
  <mergeCells count="7">
    <mergeCell ref="F16:I16"/>
    <mergeCell ref="F17:I17"/>
    <mergeCell ref="F18:I18"/>
    <mergeCell ref="A14:E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36"/>
  <sheetViews>
    <sheetView workbookViewId="0">
      <selection activeCell="J4" sqref="J4"/>
    </sheetView>
  </sheetViews>
  <sheetFormatPr defaultColWidth="9" defaultRowHeight="24"/>
  <cols>
    <col min="1" max="1" width="5.5703125" style="14" customWidth="1"/>
    <col min="2" max="2" width="15.42578125" style="14" customWidth="1"/>
    <col min="3" max="3" width="29" style="14" customWidth="1"/>
    <col min="4" max="4" width="35.85546875" style="14" customWidth="1"/>
    <col min="5" max="5" width="6.85546875" style="14" customWidth="1"/>
    <col min="6" max="6" width="6.7109375" style="14" customWidth="1"/>
    <col min="7" max="7" width="13.140625" style="14" customWidth="1"/>
    <col min="8" max="8" width="13.5703125" style="14" customWidth="1"/>
    <col min="9" max="9" width="10" style="205" customWidth="1"/>
    <col min="10" max="12" width="21" style="14" customWidth="1"/>
    <col min="13" max="16384" width="9" style="14"/>
  </cols>
  <sheetData>
    <row r="1" spans="1:12" ht="24" customHeight="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2" ht="24" customHeight="1">
      <c r="A2" s="354" t="s">
        <v>373</v>
      </c>
      <c r="B2" s="354"/>
      <c r="C2" s="354"/>
      <c r="D2" s="354"/>
      <c r="E2" s="354"/>
      <c r="F2" s="354"/>
      <c r="G2" s="354"/>
      <c r="H2" s="354"/>
      <c r="I2" s="354"/>
    </row>
    <row r="3" spans="1:12" ht="24" customHeight="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2" ht="42.7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  <c r="K4" s="52"/>
      <c r="L4" s="52"/>
    </row>
    <row r="5" spans="1:12">
      <c r="A5" s="206">
        <v>1</v>
      </c>
      <c r="B5" s="26"/>
      <c r="C5" s="27" t="s">
        <v>325</v>
      </c>
      <c r="D5" s="13" t="s">
        <v>350</v>
      </c>
      <c r="E5" s="28" t="s">
        <v>62</v>
      </c>
      <c r="F5" s="29">
        <v>1</v>
      </c>
      <c r="G5" s="35">
        <v>4200</v>
      </c>
      <c r="H5" s="35">
        <f>SUM(F5*G5)</f>
        <v>4200</v>
      </c>
      <c r="I5" s="206" t="s">
        <v>77</v>
      </c>
      <c r="J5" s="53"/>
      <c r="K5" s="53"/>
      <c r="L5" s="53"/>
    </row>
    <row r="6" spans="1:12">
      <c r="A6" s="206">
        <v>2</v>
      </c>
      <c r="B6" s="26"/>
      <c r="C6" s="27" t="s">
        <v>326</v>
      </c>
      <c r="D6" s="13" t="s">
        <v>351</v>
      </c>
      <c r="E6" s="28" t="s">
        <v>62</v>
      </c>
      <c r="F6" s="29">
        <v>1</v>
      </c>
      <c r="G6" s="35">
        <v>1650</v>
      </c>
      <c r="H6" s="35">
        <f t="shared" ref="H6:H30" si="0">SUM(F6*G6)</f>
        <v>1650</v>
      </c>
      <c r="I6" s="206" t="s">
        <v>77</v>
      </c>
      <c r="J6" s="53"/>
      <c r="K6" s="53"/>
      <c r="L6" s="53"/>
    </row>
    <row r="7" spans="1:12">
      <c r="A7" s="206">
        <v>3</v>
      </c>
      <c r="B7" s="26"/>
      <c r="C7" s="27" t="s">
        <v>327</v>
      </c>
      <c r="D7" s="13" t="s">
        <v>352</v>
      </c>
      <c r="E7" s="28" t="s">
        <v>1825</v>
      </c>
      <c r="F7" s="29">
        <v>1</v>
      </c>
      <c r="G7" s="35">
        <v>12500</v>
      </c>
      <c r="H7" s="35">
        <f t="shared" si="0"/>
        <v>12500</v>
      </c>
      <c r="I7" s="206" t="s">
        <v>78</v>
      </c>
      <c r="J7" s="53"/>
      <c r="K7" s="53"/>
      <c r="L7" s="53"/>
    </row>
    <row r="8" spans="1:12">
      <c r="A8" s="206">
        <v>4</v>
      </c>
      <c r="B8" s="26"/>
      <c r="C8" s="27" t="s">
        <v>328</v>
      </c>
      <c r="D8" s="13" t="s">
        <v>353</v>
      </c>
      <c r="E8" s="28" t="s">
        <v>62</v>
      </c>
      <c r="F8" s="29">
        <v>7</v>
      </c>
      <c r="G8" s="34">
        <v>1600</v>
      </c>
      <c r="H8" s="35">
        <f t="shared" si="0"/>
        <v>11200</v>
      </c>
      <c r="I8" s="206" t="s">
        <v>77</v>
      </c>
      <c r="J8" s="53"/>
      <c r="K8" s="53"/>
      <c r="L8" s="53"/>
    </row>
    <row r="9" spans="1:12">
      <c r="A9" s="206">
        <v>5</v>
      </c>
      <c r="B9" s="26"/>
      <c r="C9" s="27" t="s">
        <v>329</v>
      </c>
      <c r="D9" s="13" t="s">
        <v>354</v>
      </c>
      <c r="E9" s="28" t="s">
        <v>62</v>
      </c>
      <c r="F9" s="29">
        <v>1</v>
      </c>
      <c r="G9" s="34">
        <v>2500</v>
      </c>
      <c r="H9" s="35">
        <f t="shared" si="0"/>
        <v>2500</v>
      </c>
      <c r="I9" s="206" t="s">
        <v>78</v>
      </c>
      <c r="J9" s="53"/>
      <c r="K9" s="53"/>
      <c r="L9" s="53"/>
    </row>
    <row r="10" spans="1:12">
      <c r="A10" s="206">
        <v>6</v>
      </c>
      <c r="B10" s="26"/>
      <c r="C10" s="27" t="s">
        <v>330</v>
      </c>
      <c r="D10" s="106" t="s">
        <v>355</v>
      </c>
      <c r="E10" s="28" t="s">
        <v>62</v>
      </c>
      <c r="F10" s="29">
        <v>1</v>
      </c>
      <c r="G10" s="34">
        <v>2000</v>
      </c>
      <c r="H10" s="35">
        <f t="shared" si="0"/>
        <v>2000</v>
      </c>
      <c r="I10" s="206" t="s">
        <v>78</v>
      </c>
      <c r="J10" s="53"/>
      <c r="K10" s="53"/>
      <c r="L10" s="53"/>
    </row>
    <row r="11" spans="1:12">
      <c r="A11" s="206">
        <v>7</v>
      </c>
      <c r="B11" s="37"/>
      <c r="C11" s="27" t="s">
        <v>331</v>
      </c>
      <c r="D11" s="13" t="s">
        <v>356</v>
      </c>
      <c r="E11" s="28" t="s">
        <v>1825</v>
      </c>
      <c r="F11" s="29">
        <v>1</v>
      </c>
      <c r="G11" s="35">
        <v>1370</v>
      </c>
      <c r="H11" s="35">
        <f t="shared" si="0"/>
        <v>1370</v>
      </c>
      <c r="I11" s="206" t="s">
        <v>77</v>
      </c>
      <c r="J11" s="53"/>
      <c r="K11" s="53"/>
      <c r="L11" s="53"/>
    </row>
    <row r="12" spans="1:12">
      <c r="A12" s="206">
        <v>8</v>
      </c>
      <c r="B12" s="26"/>
      <c r="C12" s="27" t="s">
        <v>332</v>
      </c>
      <c r="D12" s="13" t="s">
        <v>354</v>
      </c>
      <c r="E12" s="28" t="s">
        <v>62</v>
      </c>
      <c r="F12" s="29">
        <v>4</v>
      </c>
      <c r="G12" s="34">
        <v>2800</v>
      </c>
      <c r="H12" s="35">
        <f t="shared" si="0"/>
        <v>11200</v>
      </c>
      <c r="I12" s="206" t="s">
        <v>78</v>
      </c>
      <c r="J12" s="53"/>
      <c r="K12" s="53"/>
      <c r="L12" s="53"/>
    </row>
    <row r="13" spans="1:12">
      <c r="A13" s="206">
        <v>9</v>
      </c>
      <c r="B13" s="26"/>
      <c r="C13" s="27" t="s">
        <v>333</v>
      </c>
      <c r="D13" s="13" t="s">
        <v>357</v>
      </c>
      <c r="E13" s="28" t="s">
        <v>62</v>
      </c>
      <c r="F13" s="29">
        <v>3</v>
      </c>
      <c r="G13" s="35">
        <v>2650</v>
      </c>
      <c r="H13" s="35">
        <f t="shared" si="0"/>
        <v>7950</v>
      </c>
      <c r="I13" s="206" t="s">
        <v>78</v>
      </c>
      <c r="J13" s="53"/>
      <c r="K13" s="53"/>
      <c r="L13" s="53"/>
    </row>
    <row r="14" spans="1:12">
      <c r="A14" s="206">
        <v>10</v>
      </c>
      <c r="B14" s="26"/>
      <c r="C14" s="27" t="s">
        <v>334</v>
      </c>
      <c r="D14" s="13" t="s">
        <v>56</v>
      </c>
      <c r="E14" s="28" t="s">
        <v>62</v>
      </c>
      <c r="F14" s="29">
        <v>2</v>
      </c>
      <c r="G14" s="35">
        <v>3000</v>
      </c>
      <c r="H14" s="35">
        <f t="shared" si="0"/>
        <v>6000</v>
      </c>
      <c r="I14" s="206" t="s">
        <v>78</v>
      </c>
      <c r="J14" s="53"/>
      <c r="K14" s="53"/>
      <c r="L14" s="53"/>
    </row>
    <row r="15" spans="1:12">
      <c r="A15" s="206">
        <v>11</v>
      </c>
      <c r="B15" s="26"/>
      <c r="C15" s="27" t="s">
        <v>335</v>
      </c>
      <c r="D15" s="13" t="s">
        <v>358</v>
      </c>
      <c r="E15" s="97" t="s">
        <v>62</v>
      </c>
      <c r="F15" s="29">
        <v>1</v>
      </c>
      <c r="G15" s="35">
        <v>5684.5</v>
      </c>
      <c r="H15" s="35">
        <f t="shared" si="0"/>
        <v>5684.5</v>
      </c>
      <c r="I15" s="206" t="s">
        <v>78</v>
      </c>
      <c r="J15" s="53"/>
      <c r="K15" s="53"/>
      <c r="L15" s="53"/>
    </row>
    <row r="16" spans="1:12">
      <c r="A16" s="206">
        <v>12</v>
      </c>
      <c r="B16" s="26"/>
      <c r="C16" s="27" t="s">
        <v>336</v>
      </c>
      <c r="D16" s="13" t="s">
        <v>359</v>
      </c>
      <c r="E16" s="28" t="s">
        <v>61</v>
      </c>
      <c r="F16" s="29">
        <v>1</v>
      </c>
      <c r="G16" s="35">
        <v>7900</v>
      </c>
      <c r="H16" s="35">
        <f t="shared" si="0"/>
        <v>7900</v>
      </c>
      <c r="I16" s="206" t="s">
        <v>77</v>
      </c>
      <c r="J16" s="53"/>
      <c r="K16" s="53"/>
      <c r="L16" s="53"/>
    </row>
    <row r="17" spans="1:12">
      <c r="A17" s="206">
        <v>13</v>
      </c>
      <c r="B17" s="37"/>
      <c r="C17" s="27" t="s">
        <v>337</v>
      </c>
      <c r="D17" s="13" t="s">
        <v>360</v>
      </c>
      <c r="E17" s="28" t="s">
        <v>61</v>
      </c>
      <c r="F17" s="29">
        <v>1</v>
      </c>
      <c r="G17" s="35">
        <v>32000</v>
      </c>
      <c r="H17" s="35">
        <f t="shared" si="0"/>
        <v>32000</v>
      </c>
      <c r="I17" s="206" t="s">
        <v>77</v>
      </c>
      <c r="J17" s="53"/>
      <c r="K17" s="53"/>
      <c r="L17" s="53"/>
    </row>
    <row r="18" spans="1:12">
      <c r="A18" s="206">
        <v>14</v>
      </c>
      <c r="B18" s="26"/>
      <c r="C18" s="27" t="s">
        <v>338</v>
      </c>
      <c r="D18" s="13" t="s">
        <v>361</v>
      </c>
      <c r="E18" s="28" t="s">
        <v>61</v>
      </c>
      <c r="F18" s="29">
        <v>96</v>
      </c>
      <c r="G18" s="35">
        <v>152</v>
      </c>
      <c r="H18" s="35">
        <f t="shared" si="0"/>
        <v>14592</v>
      </c>
      <c r="I18" s="206" t="s">
        <v>77</v>
      </c>
      <c r="J18" s="53"/>
      <c r="K18" s="53"/>
      <c r="L18" s="53"/>
    </row>
    <row r="19" spans="1:12">
      <c r="A19" s="206">
        <v>15</v>
      </c>
      <c r="B19" s="26"/>
      <c r="C19" s="27" t="s">
        <v>339</v>
      </c>
      <c r="D19" s="13" t="s">
        <v>362</v>
      </c>
      <c r="E19" s="28" t="s">
        <v>61</v>
      </c>
      <c r="F19" s="29">
        <v>2</v>
      </c>
      <c r="G19" s="35">
        <v>4900</v>
      </c>
      <c r="H19" s="35">
        <f t="shared" si="0"/>
        <v>9800</v>
      </c>
      <c r="I19" s="206" t="s">
        <v>78</v>
      </c>
      <c r="J19" s="53"/>
      <c r="K19" s="53"/>
      <c r="L19" s="53"/>
    </row>
    <row r="20" spans="1:12">
      <c r="A20" s="206">
        <v>16</v>
      </c>
      <c r="B20" s="26"/>
      <c r="C20" s="27" t="s">
        <v>340</v>
      </c>
      <c r="D20" s="13" t="s">
        <v>363</v>
      </c>
      <c r="E20" s="28" t="s">
        <v>61</v>
      </c>
      <c r="F20" s="29">
        <v>2</v>
      </c>
      <c r="G20" s="35">
        <v>3500</v>
      </c>
      <c r="H20" s="35">
        <f t="shared" si="0"/>
        <v>7000</v>
      </c>
      <c r="I20" s="206" t="s">
        <v>77</v>
      </c>
      <c r="J20" s="53"/>
      <c r="K20" s="53"/>
      <c r="L20" s="53"/>
    </row>
    <row r="21" spans="1:12">
      <c r="A21" s="206">
        <v>17</v>
      </c>
      <c r="B21" s="26"/>
      <c r="C21" s="27" t="s">
        <v>341</v>
      </c>
      <c r="D21" s="13" t="s">
        <v>364</v>
      </c>
      <c r="E21" s="28" t="s">
        <v>61</v>
      </c>
      <c r="F21" s="29">
        <v>2</v>
      </c>
      <c r="G21" s="35">
        <v>1500</v>
      </c>
      <c r="H21" s="35">
        <f t="shared" si="0"/>
        <v>3000</v>
      </c>
      <c r="I21" s="206" t="s">
        <v>77</v>
      </c>
      <c r="J21" s="53"/>
      <c r="K21" s="53"/>
      <c r="L21" s="53"/>
    </row>
    <row r="22" spans="1:12">
      <c r="A22" s="206">
        <v>18</v>
      </c>
      <c r="B22" s="26"/>
      <c r="C22" s="27" t="s">
        <v>342</v>
      </c>
      <c r="D22" s="13" t="s">
        <v>365</v>
      </c>
      <c r="E22" s="28" t="s">
        <v>61</v>
      </c>
      <c r="F22" s="29">
        <v>2</v>
      </c>
      <c r="G22" s="35">
        <v>450</v>
      </c>
      <c r="H22" s="35">
        <f t="shared" si="0"/>
        <v>900</v>
      </c>
      <c r="I22" s="206" t="s">
        <v>77</v>
      </c>
      <c r="J22" s="53"/>
      <c r="K22" s="53"/>
      <c r="L22" s="53"/>
    </row>
    <row r="23" spans="1:12">
      <c r="A23" s="206">
        <v>19</v>
      </c>
      <c r="B23" s="26"/>
      <c r="C23" s="27" t="s">
        <v>343</v>
      </c>
      <c r="D23" s="13" t="s">
        <v>366</v>
      </c>
      <c r="E23" s="28" t="s">
        <v>61</v>
      </c>
      <c r="F23" s="29">
        <v>2</v>
      </c>
      <c r="G23" s="35">
        <v>680</v>
      </c>
      <c r="H23" s="35">
        <f t="shared" si="0"/>
        <v>1360</v>
      </c>
      <c r="I23" s="206" t="s">
        <v>77</v>
      </c>
      <c r="J23" s="53"/>
      <c r="K23" s="53"/>
      <c r="L23" s="53"/>
    </row>
    <row r="24" spans="1:12">
      <c r="A24" s="206">
        <v>20</v>
      </c>
      <c r="B24" s="26"/>
      <c r="C24" s="27" t="s">
        <v>344</v>
      </c>
      <c r="D24" s="13" t="s">
        <v>367</v>
      </c>
      <c r="E24" s="206" t="s">
        <v>61</v>
      </c>
      <c r="F24" s="29">
        <v>1</v>
      </c>
      <c r="G24" s="35">
        <v>900</v>
      </c>
      <c r="H24" s="35">
        <f t="shared" si="0"/>
        <v>900</v>
      </c>
      <c r="I24" s="206" t="s">
        <v>78</v>
      </c>
      <c r="J24" s="53"/>
      <c r="K24" s="53"/>
      <c r="L24" s="53"/>
    </row>
    <row r="25" spans="1:12">
      <c r="A25" s="206">
        <v>21</v>
      </c>
      <c r="B25" s="26"/>
      <c r="C25" s="27" t="s">
        <v>345</v>
      </c>
      <c r="D25" s="13" t="s">
        <v>368</v>
      </c>
      <c r="E25" s="206" t="s">
        <v>61</v>
      </c>
      <c r="F25" s="29">
        <v>1</v>
      </c>
      <c r="G25" s="35">
        <v>3700</v>
      </c>
      <c r="H25" s="35">
        <f t="shared" si="0"/>
        <v>3700</v>
      </c>
      <c r="I25" s="206" t="s">
        <v>78</v>
      </c>
      <c r="J25" s="53"/>
      <c r="K25" s="53"/>
      <c r="L25" s="53"/>
    </row>
    <row r="26" spans="1:12">
      <c r="A26" s="206">
        <v>22</v>
      </c>
      <c r="B26" s="26"/>
      <c r="C26" s="27" t="s">
        <v>346</v>
      </c>
      <c r="D26" s="13" t="s">
        <v>369</v>
      </c>
      <c r="E26" s="206" t="s">
        <v>61</v>
      </c>
      <c r="F26" s="29">
        <v>1</v>
      </c>
      <c r="G26" s="35">
        <v>2450</v>
      </c>
      <c r="H26" s="35">
        <f t="shared" si="0"/>
        <v>2450</v>
      </c>
      <c r="I26" s="206" t="s">
        <v>78</v>
      </c>
      <c r="J26" s="53"/>
      <c r="K26" s="53"/>
      <c r="L26" s="53"/>
    </row>
    <row r="27" spans="1:12">
      <c r="A27" s="206">
        <v>23</v>
      </c>
      <c r="B27" s="26"/>
      <c r="C27" s="27" t="s">
        <v>347</v>
      </c>
      <c r="D27" s="13" t="s">
        <v>370</v>
      </c>
      <c r="E27" s="206" t="s">
        <v>61</v>
      </c>
      <c r="F27" s="29">
        <v>1</v>
      </c>
      <c r="G27" s="35">
        <v>3500</v>
      </c>
      <c r="H27" s="35">
        <f t="shared" si="0"/>
        <v>3500</v>
      </c>
      <c r="I27" s="206" t="s">
        <v>78</v>
      </c>
      <c r="J27" s="53"/>
      <c r="K27" s="53"/>
      <c r="L27" s="53"/>
    </row>
    <row r="28" spans="1:12">
      <c r="A28" s="206">
        <v>24</v>
      </c>
      <c r="B28" s="26"/>
      <c r="C28" s="27" t="s">
        <v>348</v>
      </c>
      <c r="D28" s="13" t="s">
        <v>371</v>
      </c>
      <c r="E28" s="206" t="s">
        <v>61</v>
      </c>
      <c r="F28" s="29">
        <v>1</v>
      </c>
      <c r="G28" s="35">
        <v>26500</v>
      </c>
      <c r="H28" s="35">
        <f t="shared" si="0"/>
        <v>26500</v>
      </c>
      <c r="I28" s="206" t="s">
        <v>79</v>
      </c>
      <c r="J28" s="53"/>
      <c r="K28" s="53"/>
      <c r="L28" s="53"/>
    </row>
    <row r="29" spans="1:12">
      <c r="A29" s="206">
        <v>25</v>
      </c>
      <c r="B29" s="26"/>
      <c r="C29" s="27" t="s">
        <v>349</v>
      </c>
      <c r="D29" s="13" t="s">
        <v>372</v>
      </c>
      <c r="E29" s="206" t="s">
        <v>61</v>
      </c>
      <c r="F29" s="29">
        <v>1</v>
      </c>
      <c r="G29" s="34">
        <v>28900</v>
      </c>
      <c r="H29" s="35">
        <f t="shared" si="0"/>
        <v>28900</v>
      </c>
      <c r="I29" s="206" t="s">
        <v>77</v>
      </c>
      <c r="J29" s="53"/>
      <c r="K29" s="53"/>
      <c r="L29" s="53"/>
    </row>
    <row r="30" spans="1:12">
      <c r="A30" s="206">
        <v>26</v>
      </c>
      <c r="B30" s="26"/>
      <c r="C30" s="27" t="s">
        <v>1807</v>
      </c>
      <c r="D30" s="13" t="s">
        <v>1808</v>
      </c>
      <c r="E30" s="206" t="s">
        <v>62</v>
      </c>
      <c r="F30" s="29">
        <v>1</v>
      </c>
      <c r="G30" s="34">
        <v>6200</v>
      </c>
      <c r="H30" s="35">
        <f t="shared" si="0"/>
        <v>6200</v>
      </c>
      <c r="I30" s="206" t="s">
        <v>78</v>
      </c>
      <c r="J30" s="53"/>
      <c r="K30" s="53"/>
      <c r="L30" s="53"/>
    </row>
    <row r="31" spans="1:12">
      <c r="A31" s="369" t="s">
        <v>465</v>
      </c>
      <c r="B31" s="370"/>
      <c r="C31" s="370"/>
      <c r="D31" s="370"/>
      <c r="E31" s="371"/>
      <c r="F31" s="47"/>
      <c r="G31" s="241"/>
      <c r="H31" s="242">
        <f>SUM(H5:H30)</f>
        <v>214956.5</v>
      </c>
      <c r="I31" s="206"/>
      <c r="J31" s="53"/>
      <c r="K31" s="53"/>
      <c r="L31" s="53"/>
    </row>
    <row r="32" spans="1:12">
      <c r="A32" s="201"/>
      <c r="B32" s="201"/>
      <c r="C32" s="201"/>
      <c r="D32" s="201"/>
      <c r="E32" s="201"/>
      <c r="F32" s="70"/>
      <c r="G32" s="240"/>
      <c r="H32" s="193"/>
      <c r="I32" s="201"/>
      <c r="J32" s="53"/>
      <c r="K32" s="53"/>
      <c r="L32" s="53"/>
    </row>
    <row r="33" spans="6:12" ht="31.5" customHeight="1">
      <c r="F33" s="353" t="s">
        <v>225</v>
      </c>
      <c r="G33" s="353"/>
      <c r="H33" s="353"/>
      <c r="I33" s="353"/>
      <c r="J33" s="201"/>
      <c r="K33" s="201"/>
      <c r="L33" s="201"/>
    </row>
    <row r="34" spans="6:12">
      <c r="F34" s="353" t="s">
        <v>1753</v>
      </c>
      <c r="G34" s="353"/>
      <c r="H34" s="353"/>
      <c r="I34" s="353"/>
      <c r="J34" s="201"/>
      <c r="K34" s="201"/>
      <c r="L34" s="201"/>
    </row>
    <row r="35" spans="6:12">
      <c r="F35" s="353" t="s">
        <v>226</v>
      </c>
      <c r="G35" s="353"/>
      <c r="H35" s="353"/>
      <c r="I35" s="353"/>
      <c r="J35" s="201"/>
      <c r="K35" s="201"/>
      <c r="L35" s="201"/>
    </row>
    <row r="36" spans="6:12" ht="16.5" customHeight="1"/>
  </sheetData>
  <mergeCells count="7">
    <mergeCell ref="F33:I33"/>
    <mergeCell ref="F34:I34"/>
    <mergeCell ref="F35:I35"/>
    <mergeCell ref="A1:I1"/>
    <mergeCell ref="A2:I2"/>
    <mergeCell ref="A3:I3"/>
    <mergeCell ref="A31:E31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1"/>
  <sheetViews>
    <sheetView topLeftCell="A13" zoomScaleNormal="100" workbookViewId="0">
      <selection activeCell="K4" sqref="K4"/>
    </sheetView>
  </sheetViews>
  <sheetFormatPr defaultColWidth="9" defaultRowHeight="24"/>
  <cols>
    <col min="1" max="1" width="5.85546875" style="14" customWidth="1"/>
    <col min="2" max="2" width="12.85546875" style="14" customWidth="1"/>
    <col min="3" max="3" width="30.5703125" style="14" customWidth="1"/>
    <col min="4" max="4" width="34.5703125" style="14" customWidth="1"/>
    <col min="5" max="5" width="7" style="14" customWidth="1"/>
    <col min="6" max="6" width="7.28515625" style="14" customWidth="1"/>
    <col min="7" max="7" width="12.7109375" style="14" customWidth="1"/>
    <col min="8" max="8" width="14" style="14" customWidth="1"/>
    <col min="9" max="9" width="10.5703125" style="205" customWidth="1"/>
    <col min="10" max="10" width="15.7109375" style="14" customWidth="1"/>
    <col min="11" max="11" width="21.28515625" style="14" customWidth="1"/>
    <col min="12" max="16384" width="9" style="14"/>
  </cols>
  <sheetData>
    <row r="1" spans="1:11" ht="25.5" customHeight="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1">
      <c r="A2" s="354" t="s">
        <v>1656</v>
      </c>
      <c r="B2" s="354"/>
      <c r="C2" s="354"/>
      <c r="D2" s="354"/>
      <c r="E2" s="354"/>
      <c r="F2" s="354"/>
      <c r="G2" s="354"/>
      <c r="H2" s="354"/>
      <c r="I2" s="354"/>
    </row>
    <row r="3" spans="1:11">
      <c r="A3" s="372" t="s">
        <v>1819</v>
      </c>
      <c r="B3" s="372"/>
      <c r="C3" s="372"/>
      <c r="D3" s="372"/>
      <c r="E3" s="372"/>
      <c r="F3" s="372"/>
      <c r="G3" s="372"/>
      <c r="H3" s="372"/>
      <c r="I3" s="372"/>
    </row>
    <row r="4" spans="1:11" s="25" customFormat="1" ht="44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  <c r="K4" s="52"/>
    </row>
    <row r="5" spans="1:11" s="33" customFormat="1">
      <c r="A5" s="206">
        <v>1</v>
      </c>
      <c r="B5" s="26"/>
      <c r="C5" s="27" t="s">
        <v>291</v>
      </c>
      <c r="D5" s="13" t="s">
        <v>302</v>
      </c>
      <c r="E5" s="28" t="s">
        <v>61</v>
      </c>
      <c r="F5" s="29">
        <v>1</v>
      </c>
      <c r="G5" s="35">
        <v>2300</v>
      </c>
      <c r="H5" s="35">
        <f>SUM(F5*G5)</f>
        <v>2300</v>
      </c>
      <c r="I5" s="206" t="s">
        <v>78</v>
      </c>
      <c r="J5" s="53"/>
      <c r="K5" s="53"/>
    </row>
    <row r="6" spans="1:11" s="33" customFormat="1">
      <c r="A6" s="206">
        <v>2</v>
      </c>
      <c r="B6" s="26"/>
      <c r="C6" s="27" t="s">
        <v>292</v>
      </c>
      <c r="D6" s="13" t="s">
        <v>281</v>
      </c>
      <c r="E6" s="28" t="s">
        <v>61</v>
      </c>
      <c r="F6" s="29">
        <v>1</v>
      </c>
      <c r="G6" s="35">
        <v>2200</v>
      </c>
      <c r="H6" s="35">
        <f t="shared" ref="H6:H15" si="0">SUM(F6*G6)</f>
        <v>2200</v>
      </c>
      <c r="I6" s="206" t="s">
        <v>78</v>
      </c>
      <c r="J6" s="53"/>
      <c r="K6" s="53"/>
    </row>
    <row r="7" spans="1:11" s="33" customFormat="1">
      <c r="A7" s="206">
        <v>3</v>
      </c>
      <c r="B7" s="26"/>
      <c r="C7" s="27" t="s">
        <v>293</v>
      </c>
      <c r="D7" s="13" t="s">
        <v>303</v>
      </c>
      <c r="E7" s="28" t="s">
        <v>1825</v>
      </c>
      <c r="F7" s="29">
        <v>1</v>
      </c>
      <c r="G7" s="35">
        <v>2300</v>
      </c>
      <c r="H7" s="35">
        <f t="shared" si="0"/>
        <v>2300</v>
      </c>
      <c r="I7" s="206" t="s">
        <v>78</v>
      </c>
      <c r="J7" s="53"/>
      <c r="K7" s="53"/>
    </row>
    <row r="8" spans="1:11" s="33" customFormat="1">
      <c r="A8" s="206">
        <v>4</v>
      </c>
      <c r="B8" s="26"/>
      <c r="C8" s="27" t="s">
        <v>294</v>
      </c>
      <c r="D8" s="13" t="s">
        <v>281</v>
      </c>
      <c r="E8" s="28" t="s">
        <v>62</v>
      </c>
      <c r="F8" s="29">
        <v>1</v>
      </c>
      <c r="G8" s="35">
        <v>2600</v>
      </c>
      <c r="H8" s="35">
        <f t="shared" si="0"/>
        <v>2600</v>
      </c>
      <c r="I8" s="206" t="s">
        <v>78</v>
      </c>
      <c r="J8" s="53"/>
      <c r="K8" s="53"/>
    </row>
    <row r="9" spans="1:11" s="33" customFormat="1">
      <c r="A9" s="206">
        <v>5</v>
      </c>
      <c r="B9" s="26"/>
      <c r="C9" s="27" t="s">
        <v>295</v>
      </c>
      <c r="D9" s="13" t="s">
        <v>303</v>
      </c>
      <c r="E9" s="28" t="s">
        <v>62</v>
      </c>
      <c r="F9" s="29">
        <v>1</v>
      </c>
      <c r="G9" s="35">
        <v>2300</v>
      </c>
      <c r="H9" s="35">
        <f t="shared" si="0"/>
        <v>2300</v>
      </c>
      <c r="I9" s="206" t="s">
        <v>78</v>
      </c>
      <c r="J9" s="53"/>
      <c r="K9" s="53"/>
    </row>
    <row r="10" spans="1:11" s="33" customFormat="1">
      <c r="A10" s="206">
        <v>6</v>
      </c>
      <c r="B10" s="26"/>
      <c r="C10" s="27" t="s">
        <v>296</v>
      </c>
      <c r="D10" s="13" t="s">
        <v>113</v>
      </c>
      <c r="E10" s="28" t="s">
        <v>1825</v>
      </c>
      <c r="F10" s="29">
        <v>1</v>
      </c>
      <c r="G10" s="34">
        <v>29000</v>
      </c>
      <c r="H10" s="35">
        <f t="shared" si="0"/>
        <v>29000</v>
      </c>
      <c r="I10" s="206" t="s">
        <v>77</v>
      </c>
      <c r="J10" s="53"/>
      <c r="K10" s="53"/>
    </row>
    <row r="11" spans="1:11" s="33" customFormat="1">
      <c r="A11" s="206">
        <v>7</v>
      </c>
      <c r="B11" s="26"/>
      <c r="C11" s="27" t="s">
        <v>297</v>
      </c>
      <c r="D11" s="13" t="s">
        <v>304</v>
      </c>
      <c r="E11" s="28" t="s">
        <v>61</v>
      </c>
      <c r="F11" s="29">
        <v>1</v>
      </c>
      <c r="G11" s="34">
        <v>1500</v>
      </c>
      <c r="H11" s="35">
        <f t="shared" si="0"/>
        <v>1500</v>
      </c>
      <c r="I11" s="206" t="s">
        <v>78</v>
      </c>
      <c r="J11" s="53"/>
      <c r="K11" s="53"/>
    </row>
    <row r="12" spans="1:11" s="33" customFormat="1">
      <c r="A12" s="206">
        <v>8</v>
      </c>
      <c r="B12" s="26"/>
      <c r="C12" s="27" t="s">
        <v>298</v>
      </c>
      <c r="D12" s="13" t="s">
        <v>305</v>
      </c>
      <c r="E12" s="28" t="s">
        <v>61</v>
      </c>
      <c r="F12" s="29">
        <v>1</v>
      </c>
      <c r="G12" s="136">
        <v>3000</v>
      </c>
      <c r="H12" s="35">
        <f t="shared" si="0"/>
        <v>3000</v>
      </c>
      <c r="I12" s="206" t="s">
        <v>78</v>
      </c>
      <c r="J12" s="53"/>
      <c r="K12" s="53"/>
    </row>
    <row r="13" spans="1:11" s="33" customFormat="1">
      <c r="A13" s="206">
        <v>9</v>
      </c>
      <c r="B13" s="26"/>
      <c r="C13" s="27" t="s">
        <v>299</v>
      </c>
      <c r="D13" s="13" t="s">
        <v>306</v>
      </c>
      <c r="E13" s="28" t="s">
        <v>1825</v>
      </c>
      <c r="F13" s="29">
        <v>2</v>
      </c>
      <c r="G13" s="136">
        <v>3400</v>
      </c>
      <c r="H13" s="35">
        <f t="shared" si="0"/>
        <v>6800</v>
      </c>
      <c r="I13" s="206" t="s">
        <v>78</v>
      </c>
      <c r="J13" s="53"/>
      <c r="K13" s="53"/>
    </row>
    <row r="14" spans="1:11" s="33" customFormat="1">
      <c r="A14" s="206">
        <v>10</v>
      </c>
      <c r="B14" s="26"/>
      <c r="C14" s="27" t="s">
        <v>300</v>
      </c>
      <c r="D14" s="13" t="s">
        <v>307</v>
      </c>
      <c r="E14" s="28" t="s">
        <v>1825</v>
      </c>
      <c r="F14" s="29">
        <v>2</v>
      </c>
      <c r="G14" s="136">
        <v>2900</v>
      </c>
      <c r="H14" s="35">
        <f t="shared" si="0"/>
        <v>5800</v>
      </c>
      <c r="I14" s="206" t="s">
        <v>78</v>
      </c>
      <c r="J14" s="53"/>
      <c r="K14" s="53"/>
    </row>
    <row r="15" spans="1:11" s="33" customFormat="1">
      <c r="A15" s="206">
        <v>11</v>
      </c>
      <c r="B15" s="26"/>
      <c r="C15" s="27" t="s">
        <v>301</v>
      </c>
      <c r="D15" s="13" t="s">
        <v>308</v>
      </c>
      <c r="E15" s="28" t="s">
        <v>1825</v>
      </c>
      <c r="F15" s="29">
        <v>1</v>
      </c>
      <c r="G15" s="136">
        <v>610</v>
      </c>
      <c r="H15" s="35">
        <f t="shared" si="0"/>
        <v>610</v>
      </c>
      <c r="I15" s="206" t="s">
        <v>78</v>
      </c>
      <c r="J15" s="53"/>
      <c r="K15" s="53"/>
    </row>
    <row r="16" spans="1:11">
      <c r="A16" s="369" t="s">
        <v>1906</v>
      </c>
      <c r="B16" s="370"/>
      <c r="C16" s="370"/>
      <c r="D16" s="370"/>
      <c r="E16" s="371"/>
      <c r="F16" s="47"/>
      <c r="G16" s="241"/>
      <c r="H16" s="239">
        <f>SUM(H5:H15)</f>
        <v>58410</v>
      </c>
      <c r="I16" s="206"/>
      <c r="J16" s="53"/>
      <c r="K16" s="53"/>
    </row>
    <row r="17" spans="1:11">
      <c r="A17" s="201"/>
      <c r="B17" s="201"/>
      <c r="C17" s="201"/>
      <c r="D17" s="201"/>
      <c r="E17" s="201"/>
      <c r="F17" s="193"/>
      <c r="G17" s="69"/>
      <c r="H17" s="69"/>
      <c r="I17" s="201"/>
      <c r="J17" s="53"/>
      <c r="K17" s="53"/>
    </row>
    <row r="18" spans="1:11" ht="27.75" customHeight="1">
      <c r="F18" s="353" t="s">
        <v>225</v>
      </c>
      <c r="G18" s="353"/>
      <c r="H18" s="353"/>
      <c r="I18" s="353"/>
      <c r="J18" s="201"/>
      <c r="K18" s="201"/>
    </row>
    <row r="19" spans="1:11">
      <c r="F19" s="353" t="s">
        <v>1752</v>
      </c>
      <c r="G19" s="353"/>
      <c r="H19" s="353"/>
      <c r="I19" s="353"/>
      <c r="J19" s="201"/>
      <c r="K19" s="201"/>
    </row>
    <row r="20" spans="1:11">
      <c r="F20" s="353" t="s">
        <v>226</v>
      </c>
      <c r="G20" s="353"/>
      <c r="H20" s="353"/>
      <c r="I20" s="353"/>
      <c r="J20" s="201"/>
      <c r="K20" s="201"/>
    </row>
    <row r="21" spans="1:11">
      <c r="F21" s="201"/>
      <c r="G21" s="201"/>
      <c r="H21" s="201"/>
      <c r="I21" s="201"/>
      <c r="J21" s="201"/>
      <c r="K21" s="201"/>
    </row>
  </sheetData>
  <mergeCells count="7">
    <mergeCell ref="A16:E16"/>
    <mergeCell ref="F18:I18"/>
    <mergeCell ref="F19:I19"/>
    <mergeCell ref="F20:I20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7"/>
  <sheetViews>
    <sheetView zoomScaleNormal="100" workbookViewId="0">
      <selection activeCell="J4" sqref="J4"/>
    </sheetView>
  </sheetViews>
  <sheetFormatPr defaultColWidth="9" defaultRowHeight="24"/>
  <cols>
    <col min="1" max="1" width="5.5703125" style="14" customWidth="1"/>
    <col min="2" max="2" width="12.28515625" style="14" customWidth="1"/>
    <col min="3" max="3" width="31.42578125" style="14" customWidth="1"/>
    <col min="4" max="4" width="34" style="14" customWidth="1"/>
    <col min="5" max="6" width="7" style="14" customWidth="1"/>
    <col min="7" max="7" width="13.42578125" style="14" customWidth="1"/>
    <col min="8" max="8" width="13.85546875" style="14" customWidth="1"/>
    <col min="9" max="9" width="11.5703125" style="14" customWidth="1"/>
    <col min="10" max="10" width="22.140625" style="14" customWidth="1"/>
    <col min="11" max="16384" width="9" style="14"/>
  </cols>
  <sheetData>
    <row r="1" spans="1:10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0">
      <c r="A2" s="354" t="s">
        <v>1657</v>
      </c>
      <c r="B2" s="354"/>
      <c r="C2" s="354"/>
      <c r="D2" s="354"/>
      <c r="E2" s="354"/>
      <c r="F2" s="354"/>
      <c r="G2" s="354"/>
      <c r="H2" s="354"/>
      <c r="I2" s="354"/>
    </row>
    <row r="3" spans="1:10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0" s="25" customFormat="1" ht="41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0" s="33" customFormat="1">
      <c r="A5" s="206">
        <v>1</v>
      </c>
      <c r="B5" s="26"/>
      <c r="C5" s="27" t="s">
        <v>309</v>
      </c>
      <c r="D5" s="13" t="s">
        <v>316</v>
      </c>
      <c r="E5" s="28" t="s">
        <v>62</v>
      </c>
      <c r="F5" s="29">
        <v>2</v>
      </c>
      <c r="G5" s="35">
        <v>1450</v>
      </c>
      <c r="H5" s="35">
        <f>SUM(F5*G5)</f>
        <v>2900</v>
      </c>
      <c r="I5" s="206" t="s">
        <v>78</v>
      </c>
      <c r="J5" s="201"/>
    </row>
    <row r="6" spans="1:10" s="33" customFormat="1">
      <c r="A6" s="206">
        <v>2</v>
      </c>
      <c r="B6" s="26"/>
      <c r="C6" s="27" t="s">
        <v>310</v>
      </c>
      <c r="D6" s="106" t="s">
        <v>317</v>
      </c>
      <c r="E6" s="28" t="s">
        <v>62</v>
      </c>
      <c r="F6" s="29">
        <v>1</v>
      </c>
      <c r="G6" s="85">
        <v>1500</v>
      </c>
      <c r="H6" s="35">
        <f t="shared" ref="H6:H12" si="0">SUM(F6*G6)</f>
        <v>1500</v>
      </c>
      <c r="I6" s="206" t="s">
        <v>78</v>
      </c>
      <c r="J6" s="201"/>
    </row>
    <row r="7" spans="1:10" s="33" customFormat="1">
      <c r="A7" s="206">
        <v>3</v>
      </c>
      <c r="B7" s="26"/>
      <c r="C7" s="27" t="s">
        <v>311</v>
      </c>
      <c r="D7" s="13" t="s">
        <v>238</v>
      </c>
      <c r="E7" s="28" t="s">
        <v>62</v>
      </c>
      <c r="F7" s="29">
        <v>1</v>
      </c>
      <c r="G7" s="35">
        <v>3350</v>
      </c>
      <c r="H7" s="35">
        <f t="shared" si="0"/>
        <v>3350</v>
      </c>
      <c r="I7" s="206" t="s">
        <v>78</v>
      </c>
      <c r="J7" s="201"/>
    </row>
    <row r="8" spans="1:10" s="33" customFormat="1">
      <c r="A8" s="206">
        <v>4</v>
      </c>
      <c r="B8" s="26"/>
      <c r="C8" s="106" t="s">
        <v>312</v>
      </c>
      <c r="D8" s="108" t="s">
        <v>318</v>
      </c>
      <c r="E8" s="28" t="s">
        <v>61</v>
      </c>
      <c r="F8" s="29">
        <v>1</v>
      </c>
      <c r="G8" s="35">
        <v>3700</v>
      </c>
      <c r="H8" s="35">
        <f t="shared" si="0"/>
        <v>3700</v>
      </c>
      <c r="I8" s="206" t="s">
        <v>77</v>
      </c>
      <c r="J8" s="201"/>
    </row>
    <row r="9" spans="1:10" s="33" customFormat="1">
      <c r="A9" s="206">
        <v>5</v>
      </c>
      <c r="B9" s="26"/>
      <c r="C9" s="106" t="s">
        <v>313</v>
      </c>
      <c r="D9" s="108" t="s">
        <v>319</v>
      </c>
      <c r="E9" s="28" t="s">
        <v>61</v>
      </c>
      <c r="F9" s="29">
        <v>15</v>
      </c>
      <c r="G9" s="35">
        <v>4238.5200000000004</v>
      </c>
      <c r="H9" s="35">
        <f t="shared" si="0"/>
        <v>63577.8</v>
      </c>
      <c r="I9" s="206" t="s">
        <v>77</v>
      </c>
      <c r="J9" s="201"/>
    </row>
    <row r="10" spans="1:10" s="33" customFormat="1">
      <c r="A10" s="206">
        <v>6</v>
      </c>
      <c r="B10" s="26"/>
      <c r="C10" s="106" t="s">
        <v>314</v>
      </c>
      <c r="D10" s="108" t="s">
        <v>320</v>
      </c>
      <c r="E10" s="28" t="s">
        <v>61</v>
      </c>
      <c r="F10" s="29">
        <v>1</v>
      </c>
      <c r="G10" s="35">
        <v>10140</v>
      </c>
      <c r="H10" s="35">
        <f t="shared" si="0"/>
        <v>10140</v>
      </c>
      <c r="I10" s="206" t="s">
        <v>77</v>
      </c>
      <c r="J10" s="201"/>
    </row>
    <row r="11" spans="1:10" s="33" customFormat="1">
      <c r="A11" s="206">
        <v>7</v>
      </c>
      <c r="B11" s="26"/>
      <c r="C11" s="106" t="s">
        <v>315</v>
      </c>
      <c r="D11" s="108" t="s">
        <v>321</v>
      </c>
      <c r="E11" s="28" t="s">
        <v>61</v>
      </c>
      <c r="F11" s="29">
        <v>1</v>
      </c>
      <c r="G11" s="35">
        <v>4400</v>
      </c>
      <c r="H11" s="35">
        <f t="shared" si="0"/>
        <v>4400</v>
      </c>
      <c r="I11" s="206" t="s">
        <v>78</v>
      </c>
      <c r="J11" s="201"/>
    </row>
    <row r="12" spans="1:10" s="33" customFormat="1">
      <c r="A12" s="206">
        <v>8</v>
      </c>
      <c r="B12" s="37" t="s">
        <v>323</v>
      </c>
      <c r="C12" s="190" t="s">
        <v>1916</v>
      </c>
      <c r="D12" s="13" t="s">
        <v>322</v>
      </c>
      <c r="E12" s="28" t="s">
        <v>62</v>
      </c>
      <c r="F12" s="29">
        <v>4</v>
      </c>
      <c r="G12" s="136">
        <v>15000</v>
      </c>
      <c r="H12" s="35">
        <f t="shared" si="0"/>
        <v>60000</v>
      </c>
      <c r="I12" s="206" t="s">
        <v>78</v>
      </c>
      <c r="J12" s="201"/>
    </row>
    <row r="13" spans="1:10">
      <c r="A13" s="369" t="s">
        <v>1906</v>
      </c>
      <c r="B13" s="370"/>
      <c r="C13" s="370"/>
      <c r="D13" s="370"/>
      <c r="E13" s="371"/>
      <c r="F13" s="47"/>
      <c r="G13" s="241"/>
      <c r="H13" s="239">
        <f>SUM(H5:H12)</f>
        <v>149567.79999999999</v>
      </c>
      <c r="I13" s="26"/>
      <c r="J13" s="53"/>
    </row>
    <row r="14" spans="1:10" ht="30.75" customHeight="1"/>
    <row r="15" spans="1:10">
      <c r="F15" s="353" t="s">
        <v>225</v>
      </c>
      <c r="G15" s="353"/>
      <c r="H15" s="353"/>
      <c r="I15" s="353"/>
      <c r="J15" s="201"/>
    </row>
    <row r="16" spans="1:10">
      <c r="F16" s="353" t="s">
        <v>324</v>
      </c>
      <c r="G16" s="353"/>
      <c r="H16" s="353"/>
      <c r="I16" s="353"/>
      <c r="J16" s="201"/>
    </row>
    <row r="17" spans="6:10">
      <c r="F17" s="353" t="s">
        <v>226</v>
      </c>
      <c r="G17" s="353"/>
      <c r="H17" s="353"/>
      <c r="I17" s="353"/>
      <c r="J17" s="201"/>
    </row>
  </sheetData>
  <mergeCells count="7">
    <mergeCell ref="F15:I15"/>
    <mergeCell ref="F16:I16"/>
    <mergeCell ref="F17:I17"/>
    <mergeCell ref="A1:I1"/>
    <mergeCell ref="A2:I2"/>
    <mergeCell ref="A3:I3"/>
    <mergeCell ref="A13:E1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14"/>
  <sheetViews>
    <sheetView workbookViewId="0">
      <selection activeCell="F13" sqref="F13:I13"/>
    </sheetView>
  </sheetViews>
  <sheetFormatPr defaultColWidth="9" defaultRowHeight="24"/>
  <cols>
    <col min="1" max="1" width="5.28515625" style="14" customWidth="1"/>
    <col min="2" max="2" width="12.5703125" style="14" customWidth="1"/>
    <col min="3" max="3" width="26.7109375" style="14" customWidth="1"/>
    <col min="4" max="4" width="42" style="14" customWidth="1"/>
    <col min="5" max="6" width="6.5703125" style="14" customWidth="1"/>
    <col min="7" max="7" width="13" style="14" customWidth="1"/>
    <col min="8" max="8" width="13.140625" style="14" customWidth="1"/>
    <col min="9" max="9" width="10" style="14" customWidth="1"/>
    <col min="10" max="11" width="11.85546875" style="14" customWidth="1"/>
    <col min="12" max="16384" width="9" style="14"/>
  </cols>
  <sheetData>
    <row r="1" spans="1:11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05"/>
      <c r="K1" s="205"/>
    </row>
    <row r="2" spans="1:11">
      <c r="A2" s="355" t="s">
        <v>1626</v>
      </c>
      <c r="B2" s="355"/>
      <c r="C2" s="355"/>
      <c r="D2" s="355"/>
      <c r="E2" s="355"/>
      <c r="F2" s="355"/>
      <c r="G2" s="355"/>
      <c r="H2" s="355"/>
      <c r="I2" s="355"/>
      <c r="J2" s="208"/>
      <c r="K2" s="208"/>
    </row>
    <row r="3" spans="1:11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01"/>
      <c r="K3" s="201"/>
    </row>
    <row r="4" spans="1:11" s="205" customFormat="1" ht="4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207"/>
      <c r="K4" s="207"/>
    </row>
    <row r="5" spans="1:11">
      <c r="A5" s="95">
        <v>1</v>
      </c>
      <c r="B5" s="37"/>
      <c r="C5" s="106" t="s">
        <v>869</v>
      </c>
      <c r="D5" s="108" t="s">
        <v>1627</v>
      </c>
      <c r="E5" s="28" t="s">
        <v>61</v>
      </c>
      <c r="F5" s="142">
        <v>1</v>
      </c>
      <c r="G5" s="35">
        <v>3000</v>
      </c>
      <c r="H5" s="35">
        <f>SUM(F5*G5)</f>
        <v>3000</v>
      </c>
      <c r="I5" s="99" t="s">
        <v>78</v>
      </c>
      <c r="J5" s="243"/>
      <c r="K5" s="243"/>
    </row>
    <row r="6" spans="1:11">
      <c r="A6" s="216">
        <v>2</v>
      </c>
      <c r="B6" s="100"/>
      <c r="C6" s="106" t="s">
        <v>1628</v>
      </c>
      <c r="D6" s="108" t="s">
        <v>74</v>
      </c>
      <c r="E6" s="28" t="s">
        <v>61</v>
      </c>
      <c r="F6" s="142">
        <v>1</v>
      </c>
      <c r="G6" s="35">
        <v>17000</v>
      </c>
      <c r="H6" s="35">
        <f t="shared" ref="H6:H9" si="0">SUM(F6*G6)</f>
        <v>17000</v>
      </c>
      <c r="I6" s="99" t="s">
        <v>78</v>
      </c>
      <c r="J6" s="243"/>
      <c r="K6" s="243"/>
    </row>
    <row r="7" spans="1:11">
      <c r="A7" s="95">
        <v>3</v>
      </c>
      <c r="B7" s="37"/>
      <c r="C7" s="106" t="s">
        <v>1689</v>
      </c>
      <c r="D7" s="108" t="s">
        <v>1627</v>
      </c>
      <c r="E7" s="28" t="s">
        <v>62</v>
      </c>
      <c r="F7" s="142">
        <v>1</v>
      </c>
      <c r="G7" s="35">
        <v>4500</v>
      </c>
      <c r="H7" s="35">
        <f t="shared" si="0"/>
        <v>4500</v>
      </c>
      <c r="I7" s="99" t="s">
        <v>78</v>
      </c>
      <c r="J7" s="243"/>
      <c r="K7" s="243"/>
    </row>
    <row r="8" spans="1:11">
      <c r="A8" s="95">
        <v>4</v>
      </c>
      <c r="B8" s="37" t="s">
        <v>1742</v>
      </c>
      <c r="C8" s="106" t="s">
        <v>1694</v>
      </c>
      <c r="D8" s="108" t="s">
        <v>1691</v>
      </c>
      <c r="E8" s="28" t="s">
        <v>62</v>
      </c>
      <c r="F8" s="142">
        <v>1</v>
      </c>
      <c r="G8" s="35">
        <v>4900</v>
      </c>
      <c r="H8" s="35">
        <f t="shared" si="0"/>
        <v>4900</v>
      </c>
      <c r="I8" s="99" t="s">
        <v>78</v>
      </c>
      <c r="J8" s="243"/>
      <c r="K8" s="243"/>
    </row>
    <row r="9" spans="1:11">
      <c r="A9" s="95">
        <v>5</v>
      </c>
      <c r="B9" s="37" t="s">
        <v>1742</v>
      </c>
      <c r="C9" s="106" t="s">
        <v>1692</v>
      </c>
      <c r="D9" s="108" t="s">
        <v>1693</v>
      </c>
      <c r="E9" s="28" t="s">
        <v>62</v>
      </c>
      <c r="F9" s="142">
        <v>1</v>
      </c>
      <c r="G9" s="35">
        <v>17900</v>
      </c>
      <c r="H9" s="35">
        <f t="shared" si="0"/>
        <v>17900</v>
      </c>
      <c r="I9" s="99" t="s">
        <v>78</v>
      </c>
      <c r="J9" s="243"/>
      <c r="K9" s="243"/>
    </row>
    <row r="10" spans="1:11">
      <c r="A10" s="358" t="s">
        <v>465</v>
      </c>
      <c r="B10" s="359"/>
      <c r="C10" s="359"/>
      <c r="D10" s="359"/>
      <c r="E10" s="360"/>
      <c r="F10" s="170"/>
      <c r="G10" s="244"/>
      <c r="H10" s="244">
        <f>SUM(H5:H9)</f>
        <v>47300</v>
      </c>
      <c r="I10" s="245"/>
      <c r="J10" s="201"/>
      <c r="K10" s="201"/>
    </row>
    <row r="11" spans="1:11" ht="30" customHeight="1">
      <c r="A11" s="53"/>
      <c r="B11" s="53"/>
      <c r="C11" s="53"/>
      <c r="D11" s="53"/>
      <c r="E11" s="53"/>
      <c r="F11" s="246"/>
      <c r="G11" s="53"/>
      <c r="H11" s="53"/>
      <c r="I11" s="53"/>
      <c r="J11" s="53"/>
      <c r="K11" s="53"/>
    </row>
    <row r="12" spans="1:11">
      <c r="A12" s="53"/>
      <c r="B12" s="53"/>
      <c r="C12" s="53"/>
      <c r="D12" s="53"/>
      <c r="E12" s="53"/>
      <c r="F12" s="353" t="s">
        <v>225</v>
      </c>
      <c r="G12" s="353"/>
      <c r="H12" s="353"/>
      <c r="I12" s="353"/>
      <c r="J12" s="201"/>
      <c r="K12" s="201"/>
    </row>
    <row r="13" spans="1:11">
      <c r="A13" s="53"/>
      <c r="B13" s="53"/>
      <c r="C13" s="53"/>
      <c r="D13" s="53"/>
      <c r="E13" s="53"/>
      <c r="F13" s="353" t="s">
        <v>1938</v>
      </c>
      <c r="G13" s="353"/>
      <c r="H13" s="353"/>
      <c r="I13" s="353"/>
      <c r="J13" s="201"/>
      <c r="K13" s="201"/>
    </row>
    <row r="14" spans="1:11">
      <c r="A14" s="53"/>
      <c r="B14" s="53"/>
      <c r="C14" s="53"/>
      <c r="D14" s="53"/>
      <c r="E14" s="53"/>
      <c r="F14" s="353" t="s">
        <v>226</v>
      </c>
      <c r="G14" s="353"/>
      <c r="H14" s="353"/>
      <c r="I14" s="353"/>
      <c r="J14" s="201"/>
      <c r="K14" s="201"/>
    </row>
  </sheetData>
  <mergeCells count="7">
    <mergeCell ref="F14:I14"/>
    <mergeCell ref="A10:E10"/>
    <mergeCell ref="F12:I12"/>
    <mergeCell ref="F13:I1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0"/>
  <sheetViews>
    <sheetView topLeftCell="A13" zoomScaleNormal="100" workbookViewId="0">
      <selection activeCell="M25" sqref="M25"/>
    </sheetView>
  </sheetViews>
  <sheetFormatPr defaultColWidth="9" defaultRowHeight="24"/>
  <cols>
    <col min="1" max="1" width="5.5703125" style="14" customWidth="1"/>
    <col min="2" max="2" width="11.28515625" style="14" customWidth="1"/>
    <col min="3" max="3" width="28.85546875" style="14" customWidth="1"/>
    <col min="4" max="4" width="38.5703125" style="14" customWidth="1"/>
    <col min="5" max="5" width="7" style="14" customWidth="1"/>
    <col min="6" max="6" width="7.42578125" style="14" customWidth="1"/>
    <col min="7" max="7" width="13.140625" style="14" customWidth="1"/>
    <col min="8" max="8" width="13.42578125" style="14" customWidth="1"/>
    <col min="9" max="9" width="10.5703125" style="205" customWidth="1"/>
    <col min="10" max="10" width="21.140625" style="14" customWidth="1"/>
    <col min="11" max="11" width="9.7109375" style="14" customWidth="1"/>
    <col min="12" max="16384" width="9" style="14"/>
  </cols>
  <sheetData>
    <row r="1" spans="1:1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1">
      <c r="A2" s="354" t="s">
        <v>242</v>
      </c>
      <c r="B2" s="354"/>
      <c r="C2" s="354"/>
      <c r="D2" s="354"/>
      <c r="E2" s="354"/>
      <c r="F2" s="354"/>
      <c r="G2" s="354"/>
      <c r="H2" s="354"/>
      <c r="I2" s="354"/>
    </row>
    <row r="3" spans="1:1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1" ht="41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  <c r="K4" s="52"/>
    </row>
    <row r="5" spans="1:11">
      <c r="A5" s="206">
        <v>1</v>
      </c>
      <c r="B5" s="26"/>
      <c r="C5" s="27" t="s">
        <v>243</v>
      </c>
      <c r="D5" s="13" t="s">
        <v>45</v>
      </c>
      <c r="E5" s="28" t="s">
        <v>62</v>
      </c>
      <c r="F5" s="29">
        <v>1</v>
      </c>
      <c r="G5" s="30">
        <v>2900</v>
      </c>
      <c r="H5" s="30">
        <f>SUM(F5*G5)</f>
        <v>2900</v>
      </c>
      <c r="I5" s="206" t="s">
        <v>78</v>
      </c>
      <c r="J5" s="53"/>
      <c r="K5" s="53"/>
    </row>
    <row r="6" spans="1:11">
      <c r="A6" s="206">
        <v>2</v>
      </c>
      <c r="B6" s="26"/>
      <c r="C6" s="27" t="s">
        <v>244</v>
      </c>
      <c r="D6" s="13" t="s">
        <v>111</v>
      </c>
      <c r="E6" s="28" t="s">
        <v>62</v>
      </c>
      <c r="F6" s="29">
        <v>1</v>
      </c>
      <c r="G6" s="30">
        <v>3100</v>
      </c>
      <c r="H6" s="30">
        <f t="shared" ref="H6:H15" si="0">SUM(F6*G6)</f>
        <v>3100</v>
      </c>
      <c r="I6" s="206" t="s">
        <v>78</v>
      </c>
      <c r="J6" s="53"/>
      <c r="K6" s="53"/>
    </row>
    <row r="7" spans="1:11">
      <c r="A7" s="206">
        <v>3</v>
      </c>
      <c r="B7" s="26"/>
      <c r="C7" s="27" t="s">
        <v>245</v>
      </c>
      <c r="D7" s="106" t="s">
        <v>238</v>
      </c>
      <c r="E7" s="28" t="s">
        <v>62</v>
      </c>
      <c r="F7" s="29">
        <v>1</v>
      </c>
      <c r="G7" s="247">
        <v>2800</v>
      </c>
      <c r="H7" s="30">
        <f t="shared" si="0"/>
        <v>2800</v>
      </c>
      <c r="I7" s="206" t="s">
        <v>78</v>
      </c>
      <c r="J7" s="53"/>
      <c r="K7" s="53"/>
    </row>
    <row r="8" spans="1:11">
      <c r="A8" s="206">
        <v>4</v>
      </c>
      <c r="B8" s="26"/>
      <c r="C8" s="27" t="s">
        <v>246</v>
      </c>
      <c r="D8" s="106" t="s">
        <v>181</v>
      </c>
      <c r="E8" s="28" t="s">
        <v>1825</v>
      </c>
      <c r="F8" s="29">
        <v>1</v>
      </c>
      <c r="G8" s="247">
        <v>5500</v>
      </c>
      <c r="H8" s="30">
        <f t="shared" si="0"/>
        <v>5500</v>
      </c>
      <c r="I8" s="206" t="s">
        <v>77</v>
      </c>
      <c r="J8" s="53"/>
      <c r="K8" s="53"/>
    </row>
    <row r="9" spans="1:11">
      <c r="A9" s="206">
        <v>5</v>
      </c>
      <c r="B9" s="26"/>
      <c r="C9" s="27" t="s">
        <v>247</v>
      </c>
      <c r="D9" s="106" t="s">
        <v>181</v>
      </c>
      <c r="E9" s="28" t="s">
        <v>62</v>
      </c>
      <c r="F9" s="29">
        <v>1</v>
      </c>
      <c r="G9" s="247">
        <v>5296.5</v>
      </c>
      <c r="H9" s="30">
        <f t="shared" si="0"/>
        <v>5296.5</v>
      </c>
      <c r="I9" s="206" t="s">
        <v>77</v>
      </c>
      <c r="J9" s="53"/>
      <c r="K9" s="53"/>
    </row>
    <row r="10" spans="1:11">
      <c r="A10" s="206">
        <v>6</v>
      </c>
      <c r="B10" s="26"/>
      <c r="C10" s="27" t="s">
        <v>248</v>
      </c>
      <c r="D10" s="106" t="s">
        <v>254</v>
      </c>
      <c r="E10" s="28" t="s">
        <v>62</v>
      </c>
      <c r="F10" s="29">
        <v>1</v>
      </c>
      <c r="G10" s="247">
        <v>3500</v>
      </c>
      <c r="H10" s="30">
        <f t="shared" si="0"/>
        <v>3500</v>
      </c>
      <c r="I10" s="206" t="s">
        <v>77</v>
      </c>
      <c r="J10" s="53"/>
      <c r="K10" s="53"/>
    </row>
    <row r="11" spans="1:11">
      <c r="A11" s="206">
        <v>7</v>
      </c>
      <c r="B11" s="26"/>
      <c r="C11" s="27" t="s">
        <v>249</v>
      </c>
      <c r="D11" s="106" t="s">
        <v>255</v>
      </c>
      <c r="E11" s="28" t="s">
        <v>61</v>
      </c>
      <c r="F11" s="29">
        <v>1</v>
      </c>
      <c r="G11" s="85">
        <v>2500</v>
      </c>
      <c r="H11" s="30">
        <f t="shared" si="0"/>
        <v>2500</v>
      </c>
      <c r="I11" s="206" t="s">
        <v>77</v>
      </c>
      <c r="J11" s="53"/>
      <c r="K11" s="53"/>
    </row>
    <row r="12" spans="1:11">
      <c r="A12" s="206">
        <v>8</v>
      </c>
      <c r="B12" s="26"/>
      <c r="C12" s="27" t="s">
        <v>250</v>
      </c>
      <c r="D12" s="106" t="s">
        <v>256</v>
      </c>
      <c r="E12" s="28" t="s">
        <v>61</v>
      </c>
      <c r="F12" s="29">
        <v>2</v>
      </c>
      <c r="G12" s="85">
        <v>3900</v>
      </c>
      <c r="H12" s="30">
        <f t="shared" si="0"/>
        <v>7800</v>
      </c>
      <c r="I12" s="206" t="s">
        <v>77</v>
      </c>
      <c r="J12" s="53"/>
      <c r="K12" s="53"/>
    </row>
    <row r="13" spans="1:11">
      <c r="A13" s="206">
        <v>9</v>
      </c>
      <c r="B13" s="26"/>
      <c r="C13" s="27" t="s">
        <v>251</v>
      </c>
      <c r="D13" s="106" t="s">
        <v>41</v>
      </c>
      <c r="E13" s="28" t="s">
        <v>61</v>
      </c>
      <c r="F13" s="29">
        <v>1</v>
      </c>
      <c r="G13" s="85">
        <v>1850</v>
      </c>
      <c r="H13" s="30">
        <f t="shared" si="0"/>
        <v>1850</v>
      </c>
      <c r="I13" s="206" t="s">
        <v>78</v>
      </c>
      <c r="J13" s="53"/>
      <c r="K13" s="53"/>
    </row>
    <row r="14" spans="1:11">
      <c r="A14" s="206">
        <v>10</v>
      </c>
      <c r="B14" s="26"/>
      <c r="C14" s="27" t="s">
        <v>252</v>
      </c>
      <c r="D14" s="106" t="s">
        <v>257</v>
      </c>
      <c r="E14" s="28" t="s">
        <v>61</v>
      </c>
      <c r="F14" s="29">
        <v>1</v>
      </c>
      <c r="G14" s="85">
        <v>19000</v>
      </c>
      <c r="H14" s="30">
        <f t="shared" si="0"/>
        <v>19000</v>
      </c>
      <c r="I14" s="206" t="s">
        <v>77</v>
      </c>
      <c r="J14" s="53"/>
      <c r="K14" s="53"/>
    </row>
    <row r="15" spans="1:11">
      <c r="A15" s="206">
        <v>11</v>
      </c>
      <c r="B15" s="37"/>
      <c r="C15" s="27" t="s">
        <v>253</v>
      </c>
      <c r="D15" s="106" t="s">
        <v>258</v>
      </c>
      <c r="E15" s="212" t="s">
        <v>61</v>
      </c>
      <c r="F15" s="29">
        <v>1</v>
      </c>
      <c r="G15" s="85">
        <v>22000</v>
      </c>
      <c r="H15" s="30">
        <f t="shared" si="0"/>
        <v>22000</v>
      </c>
      <c r="I15" s="206" t="s">
        <v>77</v>
      </c>
      <c r="J15" s="53"/>
      <c r="K15" s="53"/>
    </row>
    <row r="16" spans="1:11">
      <c r="A16" s="369" t="s">
        <v>1906</v>
      </c>
      <c r="B16" s="370"/>
      <c r="C16" s="370"/>
      <c r="D16" s="370"/>
      <c r="E16" s="371"/>
      <c r="F16" s="47"/>
      <c r="G16" s="241"/>
      <c r="H16" s="239">
        <f>SUM(H5:H15)</f>
        <v>76246.5</v>
      </c>
      <c r="I16" s="206"/>
      <c r="J16" s="53"/>
      <c r="K16" s="53"/>
    </row>
    <row r="18" spans="6:11">
      <c r="F18" s="353" t="s">
        <v>1650</v>
      </c>
      <c r="G18" s="353"/>
      <c r="H18" s="353"/>
      <c r="I18" s="353"/>
      <c r="J18" s="201"/>
      <c r="K18" s="201"/>
    </row>
    <row r="19" spans="6:11">
      <c r="F19" s="353" t="s">
        <v>1939</v>
      </c>
      <c r="G19" s="353"/>
      <c r="H19" s="353"/>
      <c r="I19" s="353"/>
      <c r="J19" s="201"/>
      <c r="K19" s="201"/>
    </row>
    <row r="20" spans="6:11">
      <c r="F20" s="353" t="s">
        <v>226</v>
      </c>
      <c r="G20" s="353"/>
      <c r="H20" s="353"/>
      <c r="I20" s="353"/>
      <c r="J20" s="201"/>
      <c r="K20" s="201"/>
    </row>
  </sheetData>
  <mergeCells count="7">
    <mergeCell ref="F20:I20"/>
    <mergeCell ref="A16:E16"/>
    <mergeCell ref="A1:I1"/>
    <mergeCell ref="A2:I2"/>
    <mergeCell ref="A3:I3"/>
    <mergeCell ref="F18:I18"/>
    <mergeCell ref="F19:I19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J30"/>
  <sheetViews>
    <sheetView topLeftCell="A19" zoomScaleNormal="100" workbookViewId="0">
      <selection activeCell="K6" sqref="K6"/>
    </sheetView>
  </sheetViews>
  <sheetFormatPr defaultColWidth="9" defaultRowHeight="24"/>
  <cols>
    <col min="1" max="1" width="5.42578125" style="14" customWidth="1"/>
    <col min="2" max="2" width="12.28515625" style="14" customWidth="1"/>
    <col min="3" max="3" width="28.5703125" style="14" customWidth="1"/>
    <col min="4" max="4" width="40" style="14" customWidth="1"/>
    <col min="5" max="6" width="7" style="14" customWidth="1"/>
    <col min="7" max="7" width="12.140625" style="14" customWidth="1"/>
    <col min="8" max="8" width="13" style="14" customWidth="1"/>
    <col min="9" max="9" width="10.42578125" style="14" customWidth="1"/>
    <col min="10" max="10" width="16.140625" style="14" customWidth="1"/>
    <col min="11" max="16384" width="9" style="14"/>
  </cols>
  <sheetData>
    <row r="1" spans="1:10" ht="26.25" customHeight="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0" ht="26.25" customHeight="1">
      <c r="A2" s="354" t="s">
        <v>1917</v>
      </c>
      <c r="B2" s="354"/>
      <c r="C2" s="354"/>
      <c r="D2" s="354"/>
      <c r="E2" s="354"/>
      <c r="F2" s="354"/>
      <c r="G2" s="354"/>
      <c r="H2" s="354"/>
      <c r="I2" s="354"/>
    </row>
    <row r="3" spans="1:10" ht="26.25" customHeight="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0" ht="44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0">
      <c r="A5" s="206">
        <v>1</v>
      </c>
      <c r="B5" s="26"/>
      <c r="C5" s="236" t="s">
        <v>435</v>
      </c>
      <c r="D5" s="218" t="s">
        <v>112</v>
      </c>
      <c r="E5" s="28" t="s">
        <v>61</v>
      </c>
      <c r="F5" s="28">
        <v>2</v>
      </c>
      <c r="G5" s="237">
        <v>2250</v>
      </c>
      <c r="H5" s="237">
        <f>SUM(F5*G5)</f>
        <v>4500</v>
      </c>
      <c r="I5" s="206" t="s">
        <v>78</v>
      </c>
      <c r="J5" s="53"/>
    </row>
    <row r="6" spans="1:10">
      <c r="A6" s="206">
        <v>2</v>
      </c>
      <c r="B6" s="26"/>
      <c r="C6" s="213" t="s">
        <v>436</v>
      </c>
      <c r="D6" s="197" t="s">
        <v>454</v>
      </c>
      <c r="E6" s="28" t="s">
        <v>62</v>
      </c>
      <c r="F6" s="28">
        <v>1</v>
      </c>
      <c r="G6" s="248">
        <v>3100</v>
      </c>
      <c r="H6" s="237">
        <f t="shared" ref="H6:H24" si="0">SUM(F6*G6)</f>
        <v>3100</v>
      </c>
      <c r="I6" s="206" t="s">
        <v>77</v>
      </c>
      <c r="J6" s="53"/>
    </row>
    <row r="7" spans="1:10">
      <c r="A7" s="206">
        <v>3</v>
      </c>
      <c r="B7" s="26"/>
      <c r="C7" s="27" t="s">
        <v>437</v>
      </c>
      <c r="D7" s="27" t="s">
        <v>48</v>
      </c>
      <c r="E7" s="28" t="s">
        <v>62</v>
      </c>
      <c r="F7" s="28">
        <v>1</v>
      </c>
      <c r="G7" s="194">
        <v>6900</v>
      </c>
      <c r="H7" s="237">
        <f t="shared" si="0"/>
        <v>6900</v>
      </c>
      <c r="I7" s="206" t="s">
        <v>77</v>
      </c>
      <c r="J7" s="53"/>
    </row>
    <row r="8" spans="1:10">
      <c r="A8" s="206">
        <v>4</v>
      </c>
      <c r="B8" s="26"/>
      <c r="C8" s="27" t="s">
        <v>438</v>
      </c>
      <c r="D8" s="27" t="s">
        <v>212</v>
      </c>
      <c r="E8" s="28" t="s">
        <v>62</v>
      </c>
      <c r="F8" s="28">
        <v>1</v>
      </c>
      <c r="G8" s="194">
        <v>695.5</v>
      </c>
      <c r="H8" s="237">
        <f t="shared" si="0"/>
        <v>695.5</v>
      </c>
      <c r="I8" s="206" t="s">
        <v>77</v>
      </c>
      <c r="J8" s="53"/>
    </row>
    <row r="9" spans="1:10">
      <c r="A9" s="206">
        <v>5</v>
      </c>
      <c r="B9" s="26"/>
      <c r="C9" s="27" t="s">
        <v>439</v>
      </c>
      <c r="D9" s="27" t="s">
        <v>50</v>
      </c>
      <c r="E9" s="28" t="s">
        <v>62</v>
      </c>
      <c r="F9" s="28">
        <v>1</v>
      </c>
      <c r="G9" s="194">
        <v>19088.8</v>
      </c>
      <c r="H9" s="237">
        <f t="shared" si="0"/>
        <v>19088.8</v>
      </c>
      <c r="I9" s="206" t="s">
        <v>77</v>
      </c>
      <c r="J9" s="53"/>
    </row>
    <row r="10" spans="1:10">
      <c r="A10" s="206">
        <v>6</v>
      </c>
      <c r="B10" s="26"/>
      <c r="C10" s="27" t="s">
        <v>440</v>
      </c>
      <c r="D10" s="27" t="s">
        <v>455</v>
      </c>
      <c r="E10" s="28" t="s">
        <v>62</v>
      </c>
      <c r="F10" s="28">
        <v>1</v>
      </c>
      <c r="G10" s="194">
        <v>12000</v>
      </c>
      <c r="H10" s="237">
        <f t="shared" si="0"/>
        <v>12000</v>
      </c>
      <c r="I10" s="206" t="s">
        <v>77</v>
      </c>
      <c r="J10" s="53"/>
    </row>
    <row r="11" spans="1:10">
      <c r="A11" s="206">
        <v>7</v>
      </c>
      <c r="B11" s="37"/>
      <c r="C11" s="213" t="s">
        <v>441</v>
      </c>
      <c r="D11" s="213" t="s">
        <v>182</v>
      </c>
      <c r="E11" s="28" t="s">
        <v>62</v>
      </c>
      <c r="F11" s="28">
        <v>1</v>
      </c>
      <c r="G11" s="249">
        <v>2800</v>
      </c>
      <c r="H11" s="237">
        <f t="shared" si="0"/>
        <v>2800</v>
      </c>
      <c r="I11" s="206" t="s">
        <v>78</v>
      </c>
      <c r="J11" s="53"/>
    </row>
    <row r="12" spans="1:10">
      <c r="A12" s="206">
        <v>8</v>
      </c>
      <c r="B12" s="26"/>
      <c r="C12" s="213" t="s">
        <v>442</v>
      </c>
      <c r="D12" s="213" t="s">
        <v>456</v>
      </c>
      <c r="E12" s="28" t="s">
        <v>62</v>
      </c>
      <c r="F12" s="28">
        <v>1</v>
      </c>
      <c r="G12" s="249">
        <v>3000</v>
      </c>
      <c r="H12" s="237">
        <f t="shared" si="0"/>
        <v>3000</v>
      </c>
      <c r="I12" s="206" t="s">
        <v>78</v>
      </c>
      <c r="J12" s="53"/>
    </row>
    <row r="13" spans="1:10">
      <c r="A13" s="206">
        <v>9</v>
      </c>
      <c r="B13" s="26"/>
      <c r="C13" s="213" t="s">
        <v>443</v>
      </c>
      <c r="D13" s="197" t="s">
        <v>454</v>
      </c>
      <c r="E13" s="28" t="s">
        <v>62</v>
      </c>
      <c r="F13" s="28">
        <v>1</v>
      </c>
      <c r="G13" s="248">
        <v>1700</v>
      </c>
      <c r="H13" s="237">
        <f t="shared" si="0"/>
        <v>1700</v>
      </c>
      <c r="I13" s="206" t="s">
        <v>78</v>
      </c>
      <c r="J13" s="53"/>
    </row>
    <row r="14" spans="1:10">
      <c r="A14" s="206">
        <v>10</v>
      </c>
      <c r="B14" s="26"/>
      <c r="C14" s="27" t="s">
        <v>444</v>
      </c>
      <c r="D14" s="27" t="s">
        <v>457</v>
      </c>
      <c r="E14" s="28" t="s">
        <v>62</v>
      </c>
      <c r="F14" s="28">
        <v>1</v>
      </c>
      <c r="G14" s="194">
        <v>17300</v>
      </c>
      <c r="H14" s="237">
        <f t="shared" si="0"/>
        <v>17300</v>
      </c>
      <c r="I14" s="206" t="s">
        <v>77</v>
      </c>
      <c r="J14" s="53"/>
    </row>
    <row r="15" spans="1:10">
      <c r="A15" s="206">
        <v>11</v>
      </c>
      <c r="B15" s="26"/>
      <c r="C15" s="27" t="s">
        <v>445</v>
      </c>
      <c r="D15" s="27" t="s">
        <v>463</v>
      </c>
      <c r="E15" s="28" t="s">
        <v>1825</v>
      </c>
      <c r="F15" s="28">
        <v>1</v>
      </c>
      <c r="G15" s="194">
        <v>14500</v>
      </c>
      <c r="H15" s="237">
        <f t="shared" si="0"/>
        <v>14500</v>
      </c>
      <c r="I15" s="206" t="s">
        <v>77</v>
      </c>
      <c r="J15" s="53"/>
    </row>
    <row r="16" spans="1:10">
      <c r="A16" s="206">
        <v>12</v>
      </c>
      <c r="B16" s="26"/>
      <c r="C16" s="27" t="s">
        <v>446</v>
      </c>
      <c r="D16" s="13" t="s">
        <v>458</v>
      </c>
      <c r="E16" s="28" t="s">
        <v>62</v>
      </c>
      <c r="F16" s="28">
        <v>1</v>
      </c>
      <c r="G16" s="30">
        <v>1006.25</v>
      </c>
      <c r="H16" s="237">
        <f t="shared" si="0"/>
        <v>1006.25</v>
      </c>
      <c r="I16" s="206" t="s">
        <v>78</v>
      </c>
      <c r="J16" s="53"/>
    </row>
    <row r="17" spans="1:10">
      <c r="A17" s="206">
        <v>13</v>
      </c>
      <c r="B17" s="37"/>
      <c r="C17" s="27" t="s">
        <v>447</v>
      </c>
      <c r="D17" s="13" t="s">
        <v>459</v>
      </c>
      <c r="E17" s="28" t="s">
        <v>62</v>
      </c>
      <c r="F17" s="28">
        <v>1</v>
      </c>
      <c r="G17" s="30">
        <v>5684.5</v>
      </c>
      <c r="H17" s="237">
        <f t="shared" si="0"/>
        <v>5684.5</v>
      </c>
      <c r="I17" s="206" t="s">
        <v>78</v>
      </c>
      <c r="J17" s="53"/>
    </row>
    <row r="18" spans="1:10">
      <c r="A18" s="206">
        <v>14</v>
      </c>
      <c r="B18" s="26"/>
      <c r="C18" s="27" t="s">
        <v>448</v>
      </c>
      <c r="D18" s="13" t="s">
        <v>464</v>
      </c>
      <c r="E18" s="28" t="s">
        <v>61</v>
      </c>
      <c r="F18" s="28">
        <v>1</v>
      </c>
      <c r="G18" s="30">
        <v>22000</v>
      </c>
      <c r="H18" s="237">
        <f t="shared" si="0"/>
        <v>22000</v>
      </c>
      <c r="I18" s="206" t="s">
        <v>77</v>
      </c>
      <c r="J18" s="53"/>
    </row>
    <row r="19" spans="1:10">
      <c r="A19" s="206">
        <v>15</v>
      </c>
      <c r="B19" s="26"/>
      <c r="C19" s="27" t="s">
        <v>449</v>
      </c>
      <c r="D19" s="13" t="s">
        <v>460</v>
      </c>
      <c r="E19" s="28" t="s">
        <v>61</v>
      </c>
      <c r="F19" s="28">
        <v>1</v>
      </c>
      <c r="G19" s="35">
        <v>3450</v>
      </c>
      <c r="H19" s="237">
        <f t="shared" si="0"/>
        <v>3450</v>
      </c>
      <c r="I19" s="206" t="s">
        <v>78</v>
      </c>
      <c r="J19" s="53"/>
    </row>
    <row r="20" spans="1:10">
      <c r="A20" s="206">
        <v>16</v>
      </c>
      <c r="B20" s="26"/>
      <c r="C20" s="44" t="s">
        <v>450</v>
      </c>
      <c r="D20" s="44" t="s">
        <v>73</v>
      </c>
      <c r="E20" s="28" t="s">
        <v>61</v>
      </c>
      <c r="F20" s="28">
        <v>1</v>
      </c>
      <c r="G20" s="34">
        <v>2590</v>
      </c>
      <c r="H20" s="237">
        <f t="shared" si="0"/>
        <v>2590</v>
      </c>
      <c r="I20" s="206" t="s">
        <v>77</v>
      </c>
      <c r="J20" s="53"/>
    </row>
    <row r="21" spans="1:10">
      <c r="A21" s="206">
        <v>17</v>
      </c>
      <c r="B21" s="26"/>
      <c r="C21" s="27" t="s">
        <v>451</v>
      </c>
      <c r="D21" s="13" t="s">
        <v>74</v>
      </c>
      <c r="E21" s="28" t="s">
        <v>61</v>
      </c>
      <c r="F21" s="28">
        <v>1</v>
      </c>
      <c r="G21" s="35">
        <v>17000</v>
      </c>
      <c r="H21" s="237">
        <f t="shared" si="0"/>
        <v>17000</v>
      </c>
      <c r="I21" s="206" t="s">
        <v>77</v>
      </c>
      <c r="J21" s="53"/>
    </row>
    <row r="22" spans="1:10">
      <c r="A22" s="206">
        <v>18</v>
      </c>
      <c r="B22" s="26"/>
      <c r="C22" s="27" t="s">
        <v>452</v>
      </c>
      <c r="D22" s="13" t="s">
        <v>461</v>
      </c>
      <c r="E22" s="28" t="s">
        <v>61</v>
      </c>
      <c r="F22" s="28">
        <v>4</v>
      </c>
      <c r="G22" s="35">
        <v>21000</v>
      </c>
      <c r="H22" s="237">
        <f t="shared" si="0"/>
        <v>84000</v>
      </c>
      <c r="I22" s="206" t="s">
        <v>77</v>
      </c>
      <c r="J22" s="53"/>
    </row>
    <row r="23" spans="1:10">
      <c r="A23" s="206">
        <v>19</v>
      </c>
      <c r="B23" s="26"/>
      <c r="C23" s="27" t="s">
        <v>453</v>
      </c>
      <c r="D23" s="13" t="s">
        <v>462</v>
      </c>
      <c r="E23" s="28" t="s">
        <v>62</v>
      </c>
      <c r="F23" s="28">
        <v>1</v>
      </c>
      <c r="G23" s="35">
        <v>15700</v>
      </c>
      <c r="H23" s="237">
        <f t="shared" si="0"/>
        <v>15700</v>
      </c>
      <c r="I23" s="206" t="s">
        <v>78</v>
      </c>
      <c r="J23" s="53"/>
    </row>
    <row r="24" spans="1:10">
      <c r="A24" s="206">
        <v>20</v>
      </c>
      <c r="B24" s="58">
        <v>23200</v>
      </c>
      <c r="C24" s="27" t="s">
        <v>1809</v>
      </c>
      <c r="D24" s="13" t="s">
        <v>1810</v>
      </c>
      <c r="E24" s="28" t="s">
        <v>62</v>
      </c>
      <c r="F24" s="28">
        <v>1</v>
      </c>
      <c r="G24" s="35">
        <v>4990</v>
      </c>
      <c r="H24" s="237">
        <f t="shared" si="0"/>
        <v>4990</v>
      </c>
      <c r="I24" s="206" t="s">
        <v>78</v>
      </c>
      <c r="J24" s="53"/>
    </row>
    <row r="25" spans="1:10">
      <c r="A25" s="358" t="s">
        <v>465</v>
      </c>
      <c r="B25" s="359"/>
      <c r="C25" s="359"/>
      <c r="D25" s="359"/>
      <c r="E25" s="360"/>
      <c r="F25" s="26"/>
      <c r="G25" s="250"/>
      <c r="H25" s="244">
        <f>SUM(H5:H24)</f>
        <v>242005.05</v>
      </c>
      <c r="I25" s="251"/>
      <c r="J25" s="252"/>
    </row>
    <row r="26" spans="1:10" ht="37.5" customHeight="1"/>
    <row r="27" spans="1:10">
      <c r="F27" s="353" t="s">
        <v>225</v>
      </c>
      <c r="G27" s="353"/>
      <c r="H27" s="353"/>
      <c r="I27" s="353"/>
      <c r="J27" s="201"/>
    </row>
    <row r="28" spans="1:10">
      <c r="F28" s="353" t="s">
        <v>1757</v>
      </c>
      <c r="G28" s="353"/>
      <c r="H28" s="353"/>
      <c r="I28" s="353"/>
      <c r="J28" s="201"/>
    </row>
    <row r="29" spans="1:10">
      <c r="F29" s="353" t="s">
        <v>226</v>
      </c>
      <c r="G29" s="353"/>
      <c r="H29" s="353"/>
      <c r="I29" s="353"/>
      <c r="J29" s="201"/>
    </row>
    <row r="30" spans="1:10">
      <c r="F30" s="201"/>
      <c r="G30" s="201"/>
      <c r="H30" s="201"/>
      <c r="I30" s="201"/>
      <c r="J30" s="201"/>
    </row>
  </sheetData>
  <mergeCells count="7">
    <mergeCell ref="F27:I27"/>
    <mergeCell ref="F28:I28"/>
    <mergeCell ref="F29:I29"/>
    <mergeCell ref="A25:E25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J18"/>
  <sheetViews>
    <sheetView zoomScaleNormal="100" workbookViewId="0">
      <selection activeCell="L6" sqref="L6"/>
    </sheetView>
  </sheetViews>
  <sheetFormatPr defaultColWidth="9" defaultRowHeight="24"/>
  <cols>
    <col min="1" max="1" width="5.5703125" style="14" customWidth="1"/>
    <col min="2" max="2" width="14.5703125" style="14" customWidth="1"/>
    <col min="3" max="3" width="27.7109375" style="14" customWidth="1"/>
    <col min="4" max="4" width="31.7109375" style="14" customWidth="1"/>
    <col min="5" max="5" width="7.140625" style="14" customWidth="1"/>
    <col min="6" max="6" width="7.28515625" style="14" customWidth="1"/>
    <col min="7" max="7" width="13.85546875" style="14" customWidth="1"/>
    <col min="8" max="8" width="15.7109375" style="14" customWidth="1"/>
    <col min="9" max="9" width="12.140625" style="205" customWidth="1"/>
    <col min="10" max="10" width="15" style="14" customWidth="1"/>
    <col min="11" max="16384" width="9" style="14"/>
  </cols>
  <sheetData>
    <row r="1" spans="1:10" ht="21" customHeight="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0" ht="21" customHeight="1">
      <c r="A2" s="354" t="s">
        <v>1658</v>
      </c>
      <c r="B2" s="354"/>
      <c r="C2" s="354"/>
      <c r="D2" s="354"/>
      <c r="E2" s="354"/>
      <c r="F2" s="354"/>
      <c r="G2" s="354"/>
      <c r="H2" s="354"/>
      <c r="I2" s="354"/>
    </row>
    <row r="3" spans="1:10" ht="21" customHeight="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0" ht="42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0">
      <c r="A5" s="206">
        <v>1</v>
      </c>
      <c r="B5" s="26"/>
      <c r="C5" s="27" t="s">
        <v>374</v>
      </c>
      <c r="D5" s="106" t="s">
        <v>238</v>
      </c>
      <c r="E5" s="28" t="s">
        <v>62</v>
      </c>
      <c r="F5" s="29">
        <v>1</v>
      </c>
      <c r="G5" s="85">
        <v>2490</v>
      </c>
      <c r="H5" s="85">
        <f>SUM(F5*G5)</f>
        <v>2490</v>
      </c>
      <c r="I5" s="206" t="s">
        <v>78</v>
      </c>
      <c r="J5" s="53"/>
    </row>
    <row r="6" spans="1:10">
      <c r="A6" s="206">
        <v>2</v>
      </c>
      <c r="B6" s="26"/>
      <c r="C6" s="27" t="s">
        <v>375</v>
      </c>
      <c r="D6" s="13" t="s">
        <v>383</v>
      </c>
      <c r="E6" s="28" t="s">
        <v>61</v>
      </c>
      <c r="F6" s="29">
        <v>1</v>
      </c>
      <c r="G6" s="35">
        <v>5950</v>
      </c>
      <c r="H6" s="85">
        <f t="shared" ref="H6:H13" si="0">SUM(F6*G6)</f>
        <v>5950</v>
      </c>
      <c r="I6" s="206" t="s">
        <v>77</v>
      </c>
      <c r="J6" s="53"/>
    </row>
    <row r="7" spans="1:10">
      <c r="A7" s="206">
        <v>3</v>
      </c>
      <c r="B7" s="26"/>
      <c r="C7" s="27" t="s">
        <v>376</v>
      </c>
      <c r="D7" s="13" t="s">
        <v>384</v>
      </c>
      <c r="E7" s="28" t="s">
        <v>61</v>
      </c>
      <c r="F7" s="29">
        <v>1</v>
      </c>
      <c r="G7" s="36">
        <v>12000</v>
      </c>
      <c r="H7" s="85">
        <f t="shared" si="0"/>
        <v>12000</v>
      </c>
      <c r="I7" s="206" t="s">
        <v>1896</v>
      </c>
      <c r="J7" s="53"/>
    </row>
    <row r="8" spans="1:10">
      <c r="A8" s="206">
        <v>4</v>
      </c>
      <c r="B8" s="26"/>
      <c r="C8" s="27" t="s">
        <v>377</v>
      </c>
      <c r="D8" s="13" t="s">
        <v>385</v>
      </c>
      <c r="E8" s="28" t="s">
        <v>61</v>
      </c>
      <c r="F8" s="29">
        <v>1</v>
      </c>
      <c r="G8" s="36">
        <v>21000</v>
      </c>
      <c r="H8" s="85">
        <f t="shared" si="0"/>
        <v>21000</v>
      </c>
      <c r="I8" s="206" t="s">
        <v>77</v>
      </c>
      <c r="J8" s="53"/>
    </row>
    <row r="9" spans="1:10">
      <c r="A9" s="206">
        <v>5</v>
      </c>
      <c r="B9" s="26"/>
      <c r="C9" s="27" t="s">
        <v>378</v>
      </c>
      <c r="D9" s="13" t="s">
        <v>386</v>
      </c>
      <c r="E9" s="28" t="s">
        <v>61</v>
      </c>
      <c r="F9" s="29">
        <v>1</v>
      </c>
      <c r="G9" s="36">
        <v>1100</v>
      </c>
      <c r="H9" s="85">
        <f t="shared" si="0"/>
        <v>1100</v>
      </c>
      <c r="I9" s="206" t="s">
        <v>78</v>
      </c>
      <c r="J9" s="53"/>
    </row>
    <row r="10" spans="1:10">
      <c r="A10" s="206">
        <v>6</v>
      </c>
      <c r="B10" s="26"/>
      <c r="C10" s="27" t="s">
        <v>379</v>
      </c>
      <c r="D10" s="13" t="s">
        <v>158</v>
      </c>
      <c r="E10" s="28" t="s">
        <v>61</v>
      </c>
      <c r="F10" s="29">
        <v>1</v>
      </c>
      <c r="G10" s="36">
        <v>3750</v>
      </c>
      <c r="H10" s="85">
        <f t="shared" si="0"/>
        <v>3750</v>
      </c>
      <c r="I10" s="206" t="s">
        <v>78</v>
      </c>
      <c r="J10" s="53"/>
    </row>
    <row r="11" spans="1:10">
      <c r="A11" s="206">
        <v>7</v>
      </c>
      <c r="B11" s="37"/>
      <c r="C11" s="44" t="s">
        <v>380</v>
      </c>
      <c r="D11" s="44" t="s">
        <v>73</v>
      </c>
      <c r="E11" s="28" t="s">
        <v>61</v>
      </c>
      <c r="F11" s="29">
        <v>1</v>
      </c>
      <c r="G11" s="34">
        <v>2590</v>
      </c>
      <c r="H11" s="85">
        <f t="shared" si="0"/>
        <v>2590</v>
      </c>
      <c r="I11" s="206" t="s">
        <v>78</v>
      </c>
      <c r="J11" s="53"/>
    </row>
    <row r="12" spans="1:10">
      <c r="A12" s="206">
        <v>8</v>
      </c>
      <c r="B12" s="26"/>
      <c r="C12" s="27" t="s">
        <v>381</v>
      </c>
      <c r="D12" s="108" t="s">
        <v>387</v>
      </c>
      <c r="E12" s="28" t="s">
        <v>61</v>
      </c>
      <c r="F12" s="29">
        <v>1</v>
      </c>
      <c r="G12" s="35">
        <v>49000</v>
      </c>
      <c r="H12" s="85">
        <f t="shared" si="0"/>
        <v>49000</v>
      </c>
      <c r="I12" s="206" t="s">
        <v>1896</v>
      </c>
      <c r="J12" s="53"/>
    </row>
    <row r="13" spans="1:10">
      <c r="A13" s="206">
        <v>9</v>
      </c>
      <c r="B13" s="26"/>
      <c r="C13" s="27" t="s">
        <v>382</v>
      </c>
      <c r="D13" s="108" t="s">
        <v>388</v>
      </c>
      <c r="E13" s="28" t="s">
        <v>61</v>
      </c>
      <c r="F13" s="29">
        <v>1</v>
      </c>
      <c r="G13" s="35">
        <v>45000</v>
      </c>
      <c r="H13" s="85">
        <f t="shared" si="0"/>
        <v>45000</v>
      </c>
      <c r="I13" s="206" t="s">
        <v>77</v>
      </c>
      <c r="J13" s="53"/>
    </row>
    <row r="14" spans="1:10">
      <c r="A14" s="369" t="s">
        <v>465</v>
      </c>
      <c r="B14" s="370"/>
      <c r="C14" s="370"/>
      <c r="D14" s="370"/>
      <c r="E14" s="371"/>
      <c r="F14" s="192"/>
      <c r="G14" s="241"/>
      <c r="H14" s="239">
        <f>SUM(H5:H13)</f>
        <v>142880</v>
      </c>
      <c r="I14" s="206"/>
      <c r="J14" s="53"/>
    </row>
    <row r="16" spans="1:10" ht="34.5" customHeight="1">
      <c r="F16" s="353" t="s">
        <v>225</v>
      </c>
      <c r="G16" s="353"/>
      <c r="H16" s="353"/>
      <c r="I16" s="353"/>
      <c r="J16" s="201"/>
    </row>
    <row r="17" spans="6:10">
      <c r="F17" s="353" t="s">
        <v>1754</v>
      </c>
      <c r="G17" s="353"/>
      <c r="H17" s="353"/>
      <c r="I17" s="353"/>
      <c r="J17" s="201"/>
    </row>
    <row r="18" spans="6:10">
      <c r="F18" s="353" t="s">
        <v>226</v>
      </c>
      <c r="G18" s="353"/>
      <c r="H18" s="353"/>
      <c r="I18" s="353"/>
      <c r="J18" s="201"/>
    </row>
  </sheetData>
  <mergeCells count="7">
    <mergeCell ref="F16:I16"/>
    <mergeCell ref="F17:I17"/>
    <mergeCell ref="F18:I18"/>
    <mergeCell ref="A14:E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N17"/>
  <sheetViews>
    <sheetView zoomScaleNormal="100" workbookViewId="0">
      <selection activeCell="L10" sqref="L10"/>
    </sheetView>
  </sheetViews>
  <sheetFormatPr defaultColWidth="9" defaultRowHeight="24"/>
  <cols>
    <col min="1" max="1" width="5.28515625" style="14" customWidth="1"/>
    <col min="2" max="2" width="12.7109375" style="14" customWidth="1"/>
    <col min="3" max="3" width="27.140625" style="14" customWidth="1"/>
    <col min="4" max="4" width="37.42578125" style="14" customWidth="1"/>
    <col min="5" max="5" width="7.28515625" style="14" customWidth="1"/>
    <col min="6" max="6" width="6.85546875" style="14" customWidth="1"/>
    <col min="7" max="7" width="13.42578125" style="14" customWidth="1"/>
    <col min="8" max="8" width="14.85546875" style="14" customWidth="1"/>
    <col min="9" max="9" width="10.7109375" style="205" customWidth="1"/>
    <col min="10" max="10" width="9" style="14"/>
    <col min="11" max="11" width="16.140625" style="14" customWidth="1"/>
    <col min="12" max="12" width="31.140625" style="14" customWidth="1"/>
    <col min="13" max="13" width="15.5703125" style="14" customWidth="1"/>
    <col min="14" max="16384" width="9" style="14"/>
  </cols>
  <sheetData>
    <row r="1" spans="1:14">
      <c r="A1" s="354" t="s">
        <v>664</v>
      </c>
      <c r="B1" s="354"/>
      <c r="C1" s="354"/>
      <c r="D1" s="354"/>
      <c r="E1" s="354"/>
      <c r="F1" s="354"/>
      <c r="G1" s="354"/>
      <c r="H1" s="354"/>
      <c r="I1" s="354"/>
    </row>
    <row r="2" spans="1:14">
      <c r="A2" s="355" t="s">
        <v>1616</v>
      </c>
      <c r="B2" s="355"/>
      <c r="C2" s="355"/>
      <c r="D2" s="355"/>
      <c r="E2" s="355"/>
      <c r="F2" s="355"/>
      <c r="G2" s="355"/>
      <c r="H2" s="355"/>
      <c r="I2" s="355"/>
    </row>
    <row r="3" spans="1:14">
      <c r="A3" s="361" t="s">
        <v>1781</v>
      </c>
      <c r="B3" s="361"/>
      <c r="C3" s="361"/>
      <c r="D3" s="361"/>
      <c r="E3" s="361"/>
      <c r="F3" s="361"/>
      <c r="G3" s="361"/>
      <c r="H3" s="361"/>
      <c r="I3" s="361"/>
    </row>
    <row r="4" spans="1:14" ht="42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</row>
    <row r="5" spans="1:14">
      <c r="A5" s="95">
        <v>1</v>
      </c>
      <c r="B5" s="37"/>
      <c r="C5" s="106" t="s">
        <v>312</v>
      </c>
      <c r="D5" s="108" t="s">
        <v>849</v>
      </c>
      <c r="E5" s="28" t="s">
        <v>61</v>
      </c>
      <c r="F5" s="142">
        <v>1</v>
      </c>
      <c r="G5" s="35">
        <v>3700</v>
      </c>
      <c r="H5" s="35">
        <f>SUM(F5*G5)</f>
        <v>3700</v>
      </c>
      <c r="I5" s="99" t="s">
        <v>78</v>
      </c>
    </row>
    <row r="6" spans="1:14">
      <c r="A6" s="216">
        <v>2</v>
      </c>
      <c r="B6" s="100"/>
      <c r="C6" s="106" t="s">
        <v>1617</v>
      </c>
      <c r="D6" s="108" t="s">
        <v>1618</v>
      </c>
      <c r="E6" s="28" t="s">
        <v>61</v>
      </c>
      <c r="F6" s="142">
        <v>1</v>
      </c>
      <c r="G6" s="35">
        <v>1100</v>
      </c>
      <c r="H6" s="35">
        <f t="shared" ref="H6:H11" si="0">SUM(F6*G6)</f>
        <v>1100</v>
      </c>
      <c r="I6" s="99" t="s">
        <v>78</v>
      </c>
      <c r="K6" s="14" t="s">
        <v>1859</v>
      </c>
      <c r="L6" s="14" t="s">
        <v>1861</v>
      </c>
      <c r="M6" s="14" t="s">
        <v>1858</v>
      </c>
      <c r="N6" s="53" t="s">
        <v>78</v>
      </c>
    </row>
    <row r="7" spans="1:14">
      <c r="A7" s="95">
        <v>3</v>
      </c>
      <c r="B7" s="37"/>
      <c r="C7" s="106" t="s">
        <v>1619</v>
      </c>
      <c r="D7" s="108" t="s">
        <v>429</v>
      </c>
      <c r="E7" s="28" t="s">
        <v>61</v>
      </c>
      <c r="F7" s="142">
        <v>1</v>
      </c>
      <c r="G7" s="35">
        <v>3750</v>
      </c>
      <c r="H7" s="35">
        <f t="shared" si="0"/>
        <v>3750</v>
      </c>
      <c r="I7" s="99" t="s">
        <v>78</v>
      </c>
      <c r="L7" s="14" t="s">
        <v>1860</v>
      </c>
      <c r="M7" s="14" t="s">
        <v>1862</v>
      </c>
      <c r="N7" s="53" t="s">
        <v>78</v>
      </c>
    </row>
    <row r="8" spans="1:14">
      <c r="A8" s="216">
        <v>4</v>
      </c>
      <c r="B8" s="37"/>
      <c r="C8" s="44" t="s">
        <v>1538</v>
      </c>
      <c r="D8" s="44" t="s">
        <v>73</v>
      </c>
      <c r="E8" s="28" t="s">
        <v>61</v>
      </c>
      <c r="F8" s="143">
        <v>1</v>
      </c>
      <c r="G8" s="34">
        <v>2590</v>
      </c>
      <c r="H8" s="35">
        <f t="shared" si="0"/>
        <v>2590</v>
      </c>
      <c r="I8" s="99" t="s">
        <v>77</v>
      </c>
      <c r="K8" s="53"/>
      <c r="L8" s="53"/>
      <c r="M8" s="53"/>
      <c r="N8" s="53"/>
    </row>
    <row r="9" spans="1:14">
      <c r="A9" s="95">
        <v>5</v>
      </c>
      <c r="B9" s="37"/>
      <c r="C9" s="44" t="s">
        <v>1620</v>
      </c>
      <c r="D9" s="44" t="s">
        <v>1621</v>
      </c>
      <c r="E9" s="28" t="s">
        <v>61</v>
      </c>
      <c r="F9" s="143">
        <v>1</v>
      </c>
      <c r="G9" s="34">
        <v>18000</v>
      </c>
      <c r="H9" s="35">
        <f t="shared" si="0"/>
        <v>18000</v>
      </c>
      <c r="I9" s="99" t="s">
        <v>78</v>
      </c>
    </row>
    <row r="10" spans="1:14">
      <c r="A10" s="216">
        <v>6</v>
      </c>
      <c r="B10" s="61"/>
      <c r="C10" s="62" t="s">
        <v>1622</v>
      </c>
      <c r="D10" s="62" t="s">
        <v>1623</v>
      </c>
      <c r="E10" s="64" t="s">
        <v>61</v>
      </c>
      <c r="F10" s="144">
        <v>1</v>
      </c>
      <c r="G10" s="67">
        <v>23590</v>
      </c>
      <c r="H10" s="35">
        <f t="shared" si="0"/>
        <v>23590</v>
      </c>
      <c r="I10" s="129" t="s">
        <v>78</v>
      </c>
    </row>
    <row r="11" spans="1:14">
      <c r="A11" s="95">
        <v>7</v>
      </c>
      <c r="B11" s="113"/>
      <c r="C11" s="62" t="s">
        <v>1624</v>
      </c>
      <c r="D11" s="62" t="s">
        <v>1625</v>
      </c>
      <c r="E11" s="64" t="s">
        <v>62</v>
      </c>
      <c r="F11" s="144">
        <v>1</v>
      </c>
      <c r="G11" s="67">
        <v>10910</v>
      </c>
      <c r="H11" s="35">
        <f t="shared" si="0"/>
        <v>10910</v>
      </c>
      <c r="I11" s="129" t="s">
        <v>78</v>
      </c>
    </row>
    <row r="12" spans="1:14">
      <c r="A12" s="358" t="s">
        <v>465</v>
      </c>
      <c r="B12" s="359"/>
      <c r="C12" s="359"/>
      <c r="D12" s="359"/>
      <c r="E12" s="360"/>
      <c r="F12" s="170"/>
      <c r="G12" s="244"/>
      <c r="H12" s="244">
        <f>SUM(H5:H11)</f>
        <v>63640</v>
      </c>
      <c r="I12" s="206"/>
    </row>
    <row r="13" spans="1:14" ht="31.5" customHeight="1">
      <c r="A13" s="53"/>
      <c r="B13" s="53"/>
      <c r="C13" s="53"/>
      <c r="D13" s="53"/>
      <c r="E13" s="53"/>
      <c r="F13" s="246"/>
      <c r="G13" s="53"/>
      <c r="H13" s="53"/>
      <c r="I13" s="201"/>
    </row>
    <row r="14" spans="1:14">
      <c r="A14" s="53"/>
      <c r="F14" s="353" t="s">
        <v>225</v>
      </c>
      <c r="G14" s="353"/>
      <c r="H14" s="353"/>
      <c r="I14" s="353"/>
    </row>
    <row r="15" spans="1:14">
      <c r="A15" s="53"/>
      <c r="F15" s="353" t="s">
        <v>1776</v>
      </c>
      <c r="G15" s="353"/>
      <c r="H15" s="353"/>
      <c r="I15" s="353"/>
    </row>
    <row r="16" spans="1:14">
      <c r="A16" s="53"/>
      <c r="F16" s="353" t="s">
        <v>226</v>
      </c>
      <c r="G16" s="353"/>
      <c r="H16" s="353"/>
      <c r="I16" s="353"/>
    </row>
    <row r="17" spans="1:9">
      <c r="A17" s="53"/>
      <c r="B17" s="53"/>
      <c r="C17" s="53"/>
      <c r="D17" s="53"/>
      <c r="E17" s="53"/>
      <c r="F17" s="201"/>
      <c r="G17" s="201"/>
      <c r="H17" s="201"/>
      <c r="I17" s="201"/>
    </row>
  </sheetData>
  <mergeCells count="7">
    <mergeCell ref="A1:I1"/>
    <mergeCell ref="A2:I2"/>
    <mergeCell ref="A3:I3"/>
    <mergeCell ref="F16:I16"/>
    <mergeCell ref="F15:I15"/>
    <mergeCell ref="A12:E12"/>
    <mergeCell ref="F14:I1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L17"/>
  <sheetViews>
    <sheetView zoomScaleNormal="100" workbookViewId="0">
      <selection activeCell="F16" sqref="F16:I16"/>
    </sheetView>
  </sheetViews>
  <sheetFormatPr defaultColWidth="9" defaultRowHeight="24"/>
  <cols>
    <col min="1" max="1" width="5.5703125" style="14" customWidth="1"/>
    <col min="2" max="2" width="12.7109375" style="14" customWidth="1"/>
    <col min="3" max="3" width="28.140625" style="14" customWidth="1"/>
    <col min="4" max="4" width="37.28515625" style="14" customWidth="1"/>
    <col min="5" max="6" width="7" style="14" customWidth="1"/>
    <col min="7" max="7" width="13.42578125" style="14" customWidth="1"/>
    <col min="8" max="8" width="14.42578125" style="14" customWidth="1"/>
    <col min="9" max="9" width="10.5703125" style="14" customWidth="1"/>
    <col min="10" max="10" width="15" style="14" customWidth="1"/>
    <col min="11" max="11" width="14" style="14" customWidth="1"/>
    <col min="12" max="16384" width="9" style="14"/>
  </cols>
  <sheetData>
    <row r="1" spans="1:12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2">
      <c r="A2" s="354" t="s">
        <v>1662</v>
      </c>
      <c r="B2" s="354"/>
      <c r="C2" s="354"/>
      <c r="D2" s="354"/>
      <c r="E2" s="354"/>
      <c r="F2" s="354"/>
      <c r="G2" s="354"/>
      <c r="H2" s="354"/>
      <c r="I2" s="354"/>
    </row>
    <row r="3" spans="1:12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2" s="25" customFormat="1" ht="48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2" s="33" customFormat="1">
      <c r="A5" s="206">
        <v>1</v>
      </c>
      <c r="B5" s="26"/>
      <c r="C5" s="56" t="s">
        <v>1835</v>
      </c>
      <c r="D5" s="55" t="s">
        <v>1465</v>
      </c>
      <c r="E5" s="127" t="s">
        <v>61</v>
      </c>
      <c r="F5" s="57">
        <v>2</v>
      </c>
      <c r="G5" s="39">
        <v>2900</v>
      </c>
      <c r="H5" s="39">
        <f>SUM(F5*G5)</f>
        <v>5800</v>
      </c>
      <c r="I5" s="206" t="s">
        <v>78</v>
      </c>
      <c r="J5" s="53"/>
      <c r="K5" s="215"/>
      <c r="L5" s="32"/>
    </row>
    <row r="6" spans="1:12" s="33" customFormat="1">
      <c r="A6" s="206">
        <v>2</v>
      </c>
      <c r="B6" s="26"/>
      <c r="C6" s="56" t="s">
        <v>1864</v>
      </c>
      <c r="D6" s="55" t="s">
        <v>1833</v>
      </c>
      <c r="E6" s="127" t="s">
        <v>61</v>
      </c>
      <c r="F6" s="57">
        <v>1</v>
      </c>
      <c r="G6" s="137">
        <v>2900</v>
      </c>
      <c r="H6" s="39">
        <f t="shared" ref="H6:H11" si="0">SUM(F6*G6)</f>
        <v>2900</v>
      </c>
      <c r="I6" s="206" t="s">
        <v>78</v>
      </c>
      <c r="J6" s="53"/>
      <c r="K6" s="215"/>
      <c r="L6" s="32"/>
    </row>
    <row r="7" spans="1:12" s="33" customFormat="1">
      <c r="A7" s="206">
        <v>3</v>
      </c>
      <c r="B7" s="26"/>
      <c r="C7" s="56" t="s">
        <v>1836</v>
      </c>
      <c r="D7" s="55" t="s">
        <v>1834</v>
      </c>
      <c r="E7" s="127" t="s">
        <v>61</v>
      </c>
      <c r="F7" s="57">
        <v>1</v>
      </c>
      <c r="G7" s="137">
        <v>3000</v>
      </c>
      <c r="H7" s="39">
        <f t="shared" si="0"/>
        <v>3000</v>
      </c>
      <c r="I7" s="206" t="s">
        <v>78</v>
      </c>
      <c r="J7" s="53"/>
      <c r="K7" s="215"/>
      <c r="L7" s="32"/>
    </row>
    <row r="8" spans="1:12" s="33" customFormat="1">
      <c r="A8" s="206">
        <v>4</v>
      </c>
      <c r="B8" s="26"/>
      <c r="C8" s="56" t="s">
        <v>1841</v>
      </c>
      <c r="D8" s="55" t="s">
        <v>849</v>
      </c>
      <c r="E8" s="127" t="s">
        <v>61</v>
      </c>
      <c r="F8" s="145">
        <v>1</v>
      </c>
      <c r="G8" s="137">
        <v>3700</v>
      </c>
      <c r="H8" s="39">
        <f t="shared" si="0"/>
        <v>3700</v>
      </c>
      <c r="I8" s="206" t="s">
        <v>77</v>
      </c>
      <c r="J8" s="53"/>
      <c r="K8" s="215"/>
      <c r="L8" s="32"/>
    </row>
    <row r="9" spans="1:12" s="33" customFormat="1">
      <c r="A9" s="206">
        <v>5</v>
      </c>
      <c r="B9" s="26"/>
      <c r="C9" s="56" t="s">
        <v>1837</v>
      </c>
      <c r="D9" s="56" t="s">
        <v>594</v>
      </c>
      <c r="E9" s="127" t="s">
        <v>61</v>
      </c>
      <c r="F9" s="57">
        <v>1</v>
      </c>
      <c r="G9" s="39">
        <v>7900</v>
      </c>
      <c r="H9" s="39">
        <f t="shared" si="0"/>
        <v>7900</v>
      </c>
      <c r="I9" s="206" t="s">
        <v>77</v>
      </c>
      <c r="J9" s="53"/>
      <c r="K9" s="215"/>
      <c r="L9" s="32"/>
    </row>
    <row r="10" spans="1:12" s="33" customFormat="1">
      <c r="A10" s="206">
        <v>6</v>
      </c>
      <c r="B10" s="26"/>
      <c r="C10" s="80" t="s">
        <v>1840</v>
      </c>
      <c r="D10" s="80" t="s">
        <v>73</v>
      </c>
      <c r="E10" s="127" t="s">
        <v>61</v>
      </c>
      <c r="F10" s="57">
        <v>1</v>
      </c>
      <c r="G10" s="138">
        <v>2590</v>
      </c>
      <c r="H10" s="39">
        <f t="shared" si="0"/>
        <v>2590</v>
      </c>
      <c r="I10" s="206" t="s">
        <v>77</v>
      </c>
      <c r="J10" s="53"/>
      <c r="K10" s="215"/>
      <c r="L10" s="32"/>
    </row>
    <row r="11" spans="1:12" s="33" customFormat="1">
      <c r="A11" s="206">
        <v>7</v>
      </c>
      <c r="B11" s="26"/>
      <c r="C11" s="26" t="s">
        <v>1839</v>
      </c>
      <c r="D11" s="26" t="s">
        <v>161</v>
      </c>
      <c r="E11" s="127" t="s">
        <v>62</v>
      </c>
      <c r="F11" s="57">
        <v>1</v>
      </c>
      <c r="G11" s="39">
        <v>22000</v>
      </c>
      <c r="H11" s="39">
        <f t="shared" si="0"/>
        <v>22000</v>
      </c>
      <c r="I11" s="206" t="s">
        <v>78</v>
      </c>
      <c r="J11" s="53"/>
      <c r="K11" s="215"/>
      <c r="L11" s="32"/>
    </row>
    <row r="12" spans="1:12">
      <c r="A12" s="358" t="s">
        <v>465</v>
      </c>
      <c r="B12" s="359"/>
      <c r="C12" s="359"/>
      <c r="D12" s="359"/>
      <c r="E12" s="360"/>
      <c r="F12" s="251"/>
      <c r="G12" s="47" t="s">
        <v>1857</v>
      </c>
      <c r="H12" s="39">
        <f>SUM(H5:H11)</f>
        <v>47890</v>
      </c>
      <c r="I12" s="26"/>
      <c r="J12" s="53"/>
      <c r="K12" s="215"/>
    </row>
    <row r="13" spans="1:12">
      <c r="A13" s="201"/>
      <c r="B13" s="201"/>
      <c r="C13" s="201"/>
      <c r="D13" s="201"/>
      <c r="E13" s="201"/>
      <c r="F13" s="201"/>
      <c r="G13" s="70"/>
      <c r="H13" s="70"/>
      <c r="I13" s="53"/>
      <c r="J13" s="53"/>
      <c r="K13" s="215"/>
    </row>
    <row r="14" spans="1:12" ht="25.5" customHeight="1">
      <c r="A14" s="201"/>
      <c r="B14" s="201"/>
      <c r="C14" s="201"/>
      <c r="D14" s="201"/>
      <c r="E14" s="201"/>
      <c r="F14" s="193"/>
      <c r="G14" s="69"/>
      <c r="H14" s="69"/>
      <c r="I14" s="53"/>
      <c r="J14" s="254"/>
      <c r="K14" s="215"/>
    </row>
    <row r="15" spans="1:12" ht="24" customHeight="1">
      <c r="F15" s="353" t="s">
        <v>1655</v>
      </c>
      <c r="G15" s="353"/>
      <c r="H15" s="353"/>
      <c r="I15" s="353"/>
      <c r="J15" s="201"/>
      <c r="K15" s="215" t="s">
        <v>1857</v>
      </c>
    </row>
    <row r="16" spans="1:12">
      <c r="F16" s="353" t="s">
        <v>1844</v>
      </c>
      <c r="G16" s="353"/>
      <c r="H16" s="353"/>
      <c r="I16" s="353"/>
      <c r="J16" s="201"/>
    </row>
    <row r="17" spans="6:11">
      <c r="F17" s="353" t="s">
        <v>226</v>
      </c>
      <c r="G17" s="353"/>
      <c r="H17" s="353"/>
      <c r="I17" s="353"/>
      <c r="J17" s="201"/>
      <c r="K17" s="215" t="s">
        <v>1857</v>
      </c>
    </row>
  </sheetData>
  <mergeCells count="7">
    <mergeCell ref="F15:I15"/>
    <mergeCell ref="F16:I16"/>
    <mergeCell ref="F17:I17"/>
    <mergeCell ref="A12:E12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J19"/>
  <sheetViews>
    <sheetView topLeftCell="A7" zoomScaleNormal="100" workbookViewId="0">
      <selection activeCell="F18" sqref="F18:I18"/>
    </sheetView>
  </sheetViews>
  <sheetFormatPr defaultColWidth="9" defaultRowHeight="24"/>
  <cols>
    <col min="1" max="1" width="5.5703125" style="14" customWidth="1"/>
    <col min="2" max="2" width="12.7109375" style="14" customWidth="1"/>
    <col min="3" max="3" width="28.5703125" style="14" customWidth="1"/>
    <col min="4" max="4" width="30.7109375" style="14" customWidth="1"/>
    <col min="5" max="5" width="8.42578125" style="14" customWidth="1"/>
    <col min="6" max="6" width="7.42578125" style="14" customWidth="1"/>
    <col min="7" max="7" width="14.42578125" style="14" customWidth="1"/>
    <col min="8" max="8" width="15.42578125" style="14" customWidth="1"/>
    <col min="9" max="9" width="12.85546875" style="14" customWidth="1"/>
    <col min="10" max="10" width="12.5703125" style="14" customWidth="1"/>
    <col min="11" max="16384" width="9" style="14"/>
  </cols>
  <sheetData>
    <row r="1" spans="1:10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10">
      <c r="A2" s="354" t="s">
        <v>399</v>
      </c>
      <c r="B2" s="354"/>
      <c r="C2" s="354"/>
      <c r="D2" s="354"/>
      <c r="E2" s="354"/>
      <c r="F2" s="354"/>
      <c r="G2" s="354"/>
      <c r="H2" s="354"/>
      <c r="I2" s="354"/>
    </row>
    <row r="3" spans="1:10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10" ht="4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52"/>
    </row>
    <row r="5" spans="1:10">
      <c r="A5" s="206">
        <v>1</v>
      </c>
      <c r="B5" s="26"/>
      <c r="C5" s="236" t="s">
        <v>389</v>
      </c>
      <c r="D5" s="218" t="s">
        <v>112</v>
      </c>
      <c r="E5" s="28" t="s">
        <v>61</v>
      </c>
      <c r="F5" s="29">
        <v>4</v>
      </c>
      <c r="G5" s="237">
        <v>2800</v>
      </c>
      <c r="H5" s="237">
        <f>SUM(F5*G5)</f>
        <v>11200</v>
      </c>
      <c r="I5" s="206" t="s">
        <v>78</v>
      </c>
      <c r="J5" s="53"/>
    </row>
    <row r="6" spans="1:10">
      <c r="A6" s="206">
        <v>2</v>
      </c>
      <c r="B6" s="26"/>
      <c r="C6" s="236" t="s">
        <v>390</v>
      </c>
      <c r="D6" s="93" t="s">
        <v>215</v>
      </c>
      <c r="E6" s="28" t="s">
        <v>62</v>
      </c>
      <c r="F6" s="29">
        <v>1</v>
      </c>
      <c r="G6" s="194">
        <v>17300</v>
      </c>
      <c r="H6" s="237">
        <f>SUM(F6*G6)</f>
        <v>17300</v>
      </c>
      <c r="I6" s="206" t="s">
        <v>77</v>
      </c>
      <c r="J6" s="53"/>
    </row>
    <row r="7" spans="1:10">
      <c r="A7" s="206">
        <v>3</v>
      </c>
      <c r="B7" s="26"/>
      <c r="C7" s="93" t="s">
        <v>64</v>
      </c>
      <c r="D7" s="93" t="s">
        <v>116</v>
      </c>
      <c r="E7" s="28" t="s">
        <v>62</v>
      </c>
      <c r="F7" s="29">
        <v>1</v>
      </c>
      <c r="G7" s="194">
        <v>1700</v>
      </c>
      <c r="H7" s="237">
        <f t="shared" ref="H7:H13" si="0">SUM(F7*G7)</f>
        <v>1700</v>
      </c>
      <c r="I7" s="206" t="s">
        <v>77</v>
      </c>
      <c r="J7" s="53"/>
    </row>
    <row r="8" spans="1:10">
      <c r="A8" s="206">
        <v>4</v>
      </c>
      <c r="B8" s="26"/>
      <c r="C8" s="93" t="s">
        <v>391</v>
      </c>
      <c r="D8" s="93" t="s">
        <v>400</v>
      </c>
      <c r="E8" s="28" t="s">
        <v>61</v>
      </c>
      <c r="F8" s="29">
        <v>2</v>
      </c>
      <c r="G8" s="194">
        <v>1800</v>
      </c>
      <c r="H8" s="237">
        <f t="shared" si="0"/>
        <v>3600</v>
      </c>
      <c r="I8" s="206" t="s">
        <v>77</v>
      </c>
      <c r="J8" s="53"/>
    </row>
    <row r="9" spans="1:10">
      <c r="A9" s="206">
        <v>5</v>
      </c>
      <c r="B9" s="26"/>
      <c r="C9" s="93" t="s">
        <v>392</v>
      </c>
      <c r="D9" s="93" t="s">
        <v>401</v>
      </c>
      <c r="E9" s="28" t="s">
        <v>61</v>
      </c>
      <c r="F9" s="29">
        <v>1</v>
      </c>
      <c r="G9" s="194">
        <v>7000</v>
      </c>
      <c r="H9" s="237">
        <f t="shared" si="0"/>
        <v>7000</v>
      </c>
      <c r="I9" s="206" t="s">
        <v>77</v>
      </c>
      <c r="J9" s="53"/>
    </row>
    <row r="10" spans="1:10">
      <c r="A10" s="206">
        <v>6</v>
      </c>
      <c r="B10" s="26"/>
      <c r="C10" s="93" t="s">
        <v>393</v>
      </c>
      <c r="D10" s="93" t="s">
        <v>402</v>
      </c>
      <c r="E10" s="28" t="s">
        <v>61</v>
      </c>
      <c r="F10" s="29">
        <v>1</v>
      </c>
      <c r="G10" s="34">
        <v>1150</v>
      </c>
      <c r="H10" s="237">
        <f t="shared" si="0"/>
        <v>1150</v>
      </c>
      <c r="I10" s="206" t="s">
        <v>77</v>
      </c>
      <c r="J10" s="53"/>
    </row>
    <row r="11" spans="1:10">
      <c r="A11" s="206">
        <v>7</v>
      </c>
      <c r="B11" s="37"/>
      <c r="C11" s="93" t="s">
        <v>394</v>
      </c>
      <c r="D11" s="93" t="s">
        <v>158</v>
      </c>
      <c r="E11" s="28" t="s">
        <v>61</v>
      </c>
      <c r="F11" s="29">
        <v>1</v>
      </c>
      <c r="G11" s="34">
        <v>3750</v>
      </c>
      <c r="H11" s="237">
        <f t="shared" si="0"/>
        <v>3750</v>
      </c>
      <c r="I11" s="206" t="s">
        <v>77</v>
      </c>
      <c r="J11" s="53"/>
    </row>
    <row r="12" spans="1:10">
      <c r="A12" s="206">
        <v>8</v>
      </c>
      <c r="B12" s="26"/>
      <c r="C12" s="93" t="s">
        <v>395</v>
      </c>
      <c r="D12" s="44" t="s">
        <v>73</v>
      </c>
      <c r="E12" s="28" t="s">
        <v>61</v>
      </c>
      <c r="F12" s="29">
        <v>1</v>
      </c>
      <c r="G12" s="34">
        <v>2590</v>
      </c>
      <c r="H12" s="237">
        <f t="shared" si="0"/>
        <v>2590</v>
      </c>
      <c r="I12" s="206" t="s">
        <v>77</v>
      </c>
      <c r="J12" s="53"/>
    </row>
    <row r="13" spans="1:10">
      <c r="A13" s="206">
        <v>9</v>
      </c>
      <c r="B13" s="26"/>
      <c r="C13" s="27" t="s">
        <v>396</v>
      </c>
      <c r="D13" s="13" t="s">
        <v>74</v>
      </c>
      <c r="E13" s="28" t="s">
        <v>61</v>
      </c>
      <c r="F13" s="29">
        <v>1</v>
      </c>
      <c r="G13" s="35">
        <v>17000</v>
      </c>
      <c r="H13" s="237">
        <f t="shared" si="0"/>
        <v>17000</v>
      </c>
      <c r="I13" s="206" t="s">
        <v>77</v>
      </c>
      <c r="J13" s="53"/>
    </row>
    <row r="14" spans="1:10">
      <c r="A14" s="369" t="s">
        <v>1906</v>
      </c>
      <c r="B14" s="370"/>
      <c r="C14" s="370"/>
      <c r="D14" s="370"/>
      <c r="E14" s="371"/>
      <c r="F14" s="47"/>
      <c r="G14" s="241"/>
      <c r="H14" s="239">
        <f>SUM(H5:H13)</f>
        <v>65290</v>
      </c>
      <c r="I14" s="206" t="s">
        <v>77</v>
      </c>
      <c r="J14" s="53"/>
    </row>
    <row r="15" spans="1:10">
      <c r="A15" s="201"/>
      <c r="B15" s="201"/>
      <c r="C15" s="201"/>
      <c r="D15" s="201"/>
      <c r="E15" s="201"/>
      <c r="F15" s="70"/>
      <c r="G15" s="240"/>
      <c r="H15" s="193"/>
      <c r="I15" s="201"/>
      <c r="J15" s="53"/>
    </row>
    <row r="17" spans="6:10">
      <c r="F17" s="353" t="s">
        <v>1764</v>
      </c>
      <c r="G17" s="353"/>
      <c r="H17" s="353"/>
      <c r="I17" s="353"/>
      <c r="J17" s="201"/>
    </row>
    <row r="18" spans="6:10">
      <c r="F18" s="353" t="s">
        <v>1940</v>
      </c>
      <c r="G18" s="353"/>
      <c r="H18" s="353"/>
      <c r="I18" s="353"/>
      <c r="J18" s="201"/>
    </row>
    <row r="19" spans="6:10">
      <c r="F19" s="353" t="s">
        <v>1756</v>
      </c>
      <c r="G19" s="353"/>
      <c r="H19" s="353"/>
      <c r="I19" s="353"/>
      <c r="J19" s="201"/>
    </row>
  </sheetData>
  <mergeCells count="7">
    <mergeCell ref="F17:I17"/>
    <mergeCell ref="F18:I18"/>
    <mergeCell ref="F19:I19"/>
    <mergeCell ref="A2:I2"/>
    <mergeCell ref="A1:I1"/>
    <mergeCell ref="A3:I3"/>
    <mergeCell ref="A14:E1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00"/>
  </sheetPr>
  <dimension ref="A1:I29"/>
  <sheetViews>
    <sheetView topLeftCell="A19" zoomScaleNormal="100" workbookViewId="0">
      <selection activeCell="N33" sqref="N33"/>
    </sheetView>
  </sheetViews>
  <sheetFormatPr defaultColWidth="9" defaultRowHeight="24"/>
  <cols>
    <col min="1" max="1" width="5.42578125" style="14" customWidth="1"/>
    <col min="2" max="2" width="10.5703125" style="14" customWidth="1"/>
    <col min="3" max="3" width="27.85546875" style="14" customWidth="1"/>
    <col min="4" max="4" width="44.42578125" style="14" customWidth="1"/>
    <col min="5" max="5" width="7.28515625" style="14" customWidth="1"/>
    <col min="6" max="6" width="6.140625" style="14" customWidth="1"/>
    <col min="7" max="7" width="12.42578125" style="14" customWidth="1"/>
    <col min="8" max="8" width="13.140625" style="14" customWidth="1"/>
    <col min="9" max="9" width="8.28515625" style="14" customWidth="1"/>
    <col min="10" max="16384" width="9" style="14"/>
  </cols>
  <sheetData>
    <row r="1" spans="1:9" ht="23.25" customHeight="1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9" ht="23.25" customHeight="1">
      <c r="A2" s="354" t="s">
        <v>1661</v>
      </c>
      <c r="B2" s="354"/>
      <c r="C2" s="354"/>
      <c r="D2" s="354"/>
      <c r="E2" s="354"/>
      <c r="F2" s="354"/>
      <c r="G2" s="354"/>
      <c r="H2" s="354"/>
      <c r="I2" s="354"/>
    </row>
    <row r="3" spans="1:9" ht="23.25" customHeight="1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9" s="25" customFormat="1" ht="43.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</row>
    <row r="5" spans="1:9">
      <c r="A5" s="206">
        <v>1</v>
      </c>
      <c r="B5" s="26"/>
      <c r="C5" s="236" t="s">
        <v>403</v>
      </c>
      <c r="D5" s="218" t="s">
        <v>421</v>
      </c>
      <c r="E5" s="28" t="s">
        <v>1825</v>
      </c>
      <c r="F5" s="29">
        <v>1</v>
      </c>
      <c r="G5" s="237">
        <v>780</v>
      </c>
      <c r="H5" s="237">
        <f>SUM(F5*G5)</f>
        <v>780</v>
      </c>
      <c r="I5" s="130" t="s">
        <v>77</v>
      </c>
    </row>
    <row r="6" spans="1:9">
      <c r="A6" s="206">
        <v>2</v>
      </c>
      <c r="B6" s="26"/>
      <c r="C6" s="93" t="s">
        <v>404</v>
      </c>
      <c r="D6" s="93" t="s">
        <v>422</v>
      </c>
      <c r="E6" s="28" t="s">
        <v>61</v>
      </c>
      <c r="F6" s="29">
        <v>1</v>
      </c>
      <c r="G6" s="34">
        <v>90000</v>
      </c>
      <c r="H6" s="237">
        <f t="shared" ref="H6:H23" si="0">SUM(F6*G6)</f>
        <v>90000</v>
      </c>
      <c r="I6" s="130" t="s">
        <v>78</v>
      </c>
    </row>
    <row r="7" spans="1:9">
      <c r="A7" s="206">
        <v>3</v>
      </c>
      <c r="B7" s="26"/>
      <c r="C7" s="93" t="s">
        <v>405</v>
      </c>
      <c r="D7" s="93" t="s">
        <v>423</v>
      </c>
      <c r="E7" s="28" t="s">
        <v>61</v>
      </c>
      <c r="F7" s="29">
        <v>6</v>
      </c>
      <c r="G7" s="34">
        <v>5250</v>
      </c>
      <c r="H7" s="237">
        <f t="shared" si="0"/>
        <v>31500</v>
      </c>
      <c r="I7" s="130" t="s">
        <v>77</v>
      </c>
    </row>
    <row r="8" spans="1:9">
      <c r="A8" s="206">
        <v>4</v>
      </c>
      <c r="B8" s="26"/>
      <c r="C8" s="93" t="s">
        <v>406</v>
      </c>
      <c r="D8" s="93" t="s">
        <v>424</v>
      </c>
      <c r="E8" s="28" t="s">
        <v>61</v>
      </c>
      <c r="F8" s="29">
        <v>2</v>
      </c>
      <c r="G8" s="34">
        <v>5800</v>
      </c>
      <c r="H8" s="237">
        <f t="shared" si="0"/>
        <v>11600</v>
      </c>
      <c r="I8" s="130" t="s">
        <v>77</v>
      </c>
    </row>
    <row r="9" spans="1:9">
      <c r="A9" s="206">
        <v>5</v>
      </c>
      <c r="B9" s="26"/>
      <c r="C9" s="93" t="s">
        <v>407</v>
      </c>
      <c r="D9" s="93" t="s">
        <v>425</v>
      </c>
      <c r="E9" s="28" t="s">
        <v>61</v>
      </c>
      <c r="F9" s="29">
        <v>1</v>
      </c>
      <c r="G9" s="34">
        <v>75900</v>
      </c>
      <c r="H9" s="237">
        <f t="shared" si="0"/>
        <v>75900</v>
      </c>
      <c r="I9" s="130" t="s">
        <v>78</v>
      </c>
    </row>
    <row r="10" spans="1:9">
      <c r="A10" s="206">
        <v>6</v>
      </c>
      <c r="B10" s="26"/>
      <c r="C10" s="93" t="s">
        <v>408</v>
      </c>
      <c r="D10" s="93" t="s">
        <v>426</v>
      </c>
      <c r="E10" s="28" t="s">
        <v>61</v>
      </c>
      <c r="F10" s="29">
        <v>1</v>
      </c>
      <c r="G10" s="34">
        <v>122600</v>
      </c>
      <c r="H10" s="237">
        <f t="shared" si="0"/>
        <v>122600</v>
      </c>
      <c r="I10" s="130" t="s">
        <v>78</v>
      </c>
    </row>
    <row r="11" spans="1:9">
      <c r="A11" s="206">
        <v>7</v>
      </c>
      <c r="B11" s="26"/>
      <c r="C11" s="93" t="s">
        <v>409</v>
      </c>
      <c r="D11" s="93" t="s">
        <v>427</v>
      </c>
      <c r="E11" s="28" t="s">
        <v>61</v>
      </c>
      <c r="F11" s="29">
        <v>1</v>
      </c>
      <c r="G11" s="34">
        <v>1100</v>
      </c>
      <c r="H11" s="237">
        <f t="shared" si="0"/>
        <v>1100</v>
      </c>
      <c r="I11" s="130" t="s">
        <v>77</v>
      </c>
    </row>
    <row r="12" spans="1:9">
      <c r="A12" s="206">
        <v>8</v>
      </c>
      <c r="B12" s="26"/>
      <c r="C12" s="93" t="s">
        <v>410</v>
      </c>
      <c r="D12" s="93" t="s">
        <v>428</v>
      </c>
      <c r="E12" s="28" t="s">
        <v>61</v>
      </c>
      <c r="F12" s="29">
        <v>1</v>
      </c>
      <c r="G12" s="34">
        <v>3000</v>
      </c>
      <c r="H12" s="237">
        <f t="shared" si="0"/>
        <v>3000</v>
      </c>
      <c r="I12" s="130" t="s">
        <v>78</v>
      </c>
    </row>
    <row r="13" spans="1:9">
      <c r="A13" s="206">
        <v>9</v>
      </c>
      <c r="B13" s="26"/>
      <c r="C13" s="93" t="s">
        <v>411</v>
      </c>
      <c r="D13" s="93" t="s">
        <v>429</v>
      </c>
      <c r="E13" s="28" t="s">
        <v>61</v>
      </c>
      <c r="F13" s="29">
        <v>1</v>
      </c>
      <c r="G13" s="34">
        <v>3750</v>
      </c>
      <c r="H13" s="237">
        <f t="shared" si="0"/>
        <v>3750</v>
      </c>
      <c r="I13" s="130" t="s">
        <v>78</v>
      </c>
    </row>
    <row r="14" spans="1:9">
      <c r="A14" s="206">
        <v>10</v>
      </c>
      <c r="B14" s="26"/>
      <c r="C14" s="119" t="s">
        <v>412</v>
      </c>
      <c r="D14" s="119" t="s">
        <v>73</v>
      </c>
      <c r="E14" s="28" t="s">
        <v>61</v>
      </c>
      <c r="F14" s="29">
        <v>1</v>
      </c>
      <c r="G14" s="34">
        <v>2590</v>
      </c>
      <c r="H14" s="237">
        <f t="shared" si="0"/>
        <v>2590</v>
      </c>
      <c r="I14" s="130" t="s">
        <v>77</v>
      </c>
    </row>
    <row r="15" spans="1:9">
      <c r="A15" s="206">
        <v>11</v>
      </c>
      <c r="B15" s="26"/>
      <c r="C15" s="119" t="s">
        <v>413</v>
      </c>
      <c r="D15" s="119" t="s">
        <v>430</v>
      </c>
      <c r="E15" s="212" t="s">
        <v>61</v>
      </c>
      <c r="F15" s="29">
        <v>5</v>
      </c>
      <c r="G15" s="34">
        <v>1000</v>
      </c>
      <c r="H15" s="237">
        <f t="shared" si="0"/>
        <v>5000</v>
      </c>
      <c r="I15" s="130" t="s">
        <v>77</v>
      </c>
    </row>
    <row r="16" spans="1:9">
      <c r="A16" s="206">
        <v>12</v>
      </c>
      <c r="B16" s="26"/>
      <c r="C16" s="119" t="s">
        <v>414</v>
      </c>
      <c r="D16" s="119" t="s">
        <v>431</v>
      </c>
      <c r="E16" s="28" t="s">
        <v>61</v>
      </c>
      <c r="F16" s="29">
        <v>5</v>
      </c>
      <c r="G16" s="34">
        <v>2500</v>
      </c>
      <c r="H16" s="237">
        <f t="shared" si="0"/>
        <v>12500</v>
      </c>
      <c r="I16" s="130" t="s">
        <v>77</v>
      </c>
    </row>
    <row r="17" spans="1:9">
      <c r="A17" s="206">
        <v>13</v>
      </c>
      <c r="B17" s="26"/>
      <c r="C17" s="119" t="s">
        <v>415</v>
      </c>
      <c r="D17" s="119" t="s">
        <v>432</v>
      </c>
      <c r="E17" s="28" t="s">
        <v>192</v>
      </c>
      <c r="F17" s="29">
        <v>1</v>
      </c>
      <c r="G17" s="34">
        <v>28250</v>
      </c>
      <c r="H17" s="237">
        <f t="shared" si="0"/>
        <v>28250</v>
      </c>
      <c r="I17" s="130" t="s">
        <v>78</v>
      </c>
    </row>
    <row r="18" spans="1:9">
      <c r="A18" s="206">
        <v>14</v>
      </c>
      <c r="B18" s="26"/>
      <c r="C18" s="119" t="s">
        <v>416</v>
      </c>
      <c r="D18" s="119" t="s">
        <v>434</v>
      </c>
      <c r="E18" s="28" t="s">
        <v>192</v>
      </c>
      <c r="F18" s="29">
        <v>4</v>
      </c>
      <c r="G18" s="34">
        <v>13807.5</v>
      </c>
      <c r="H18" s="237">
        <f t="shared" si="0"/>
        <v>55230</v>
      </c>
      <c r="I18" s="130" t="s">
        <v>77</v>
      </c>
    </row>
    <row r="19" spans="1:9">
      <c r="A19" s="206">
        <v>15</v>
      </c>
      <c r="B19" s="26"/>
      <c r="C19" s="119" t="s">
        <v>417</v>
      </c>
      <c r="D19" s="119" t="s">
        <v>433</v>
      </c>
      <c r="E19" s="28" t="s">
        <v>192</v>
      </c>
      <c r="F19" s="29">
        <v>3</v>
      </c>
      <c r="G19" s="34">
        <v>3590</v>
      </c>
      <c r="H19" s="237">
        <f t="shared" si="0"/>
        <v>10770</v>
      </c>
      <c r="I19" s="130" t="s">
        <v>77</v>
      </c>
    </row>
    <row r="20" spans="1:9">
      <c r="A20" s="206">
        <v>16</v>
      </c>
      <c r="B20" s="94" t="s">
        <v>1919</v>
      </c>
      <c r="C20" s="93" t="s">
        <v>418</v>
      </c>
      <c r="D20" s="93" t="s">
        <v>191</v>
      </c>
      <c r="E20" s="28" t="s">
        <v>192</v>
      </c>
      <c r="F20" s="29">
        <v>3</v>
      </c>
      <c r="G20" s="34">
        <v>25000</v>
      </c>
      <c r="H20" s="237">
        <f t="shared" si="0"/>
        <v>75000</v>
      </c>
      <c r="I20" s="130" t="s">
        <v>77</v>
      </c>
    </row>
    <row r="21" spans="1:9">
      <c r="A21" s="206">
        <v>17</v>
      </c>
      <c r="B21" s="94" t="s">
        <v>1920</v>
      </c>
      <c r="C21" s="44" t="s">
        <v>419</v>
      </c>
      <c r="D21" s="119" t="s">
        <v>434</v>
      </c>
      <c r="E21" s="28" t="s">
        <v>192</v>
      </c>
      <c r="F21" s="29">
        <v>2</v>
      </c>
      <c r="G21" s="34">
        <v>14000</v>
      </c>
      <c r="H21" s="237">
        <f t="shared" si="0"/>
        <v>28000</v>
      </c>
      <c r="I21" s="130" t="s">
        <v>77</v>
      </c>
    </row>
    <row r="22" spans="1:9">
      <c r="A22" s="206">
        <v>18</v>
      </c>
      <c r="B22" s="94" t="s">
        <v>420</v>
      </c>
      <c r="C22" s="44"/>
      <c r="D22" s="18" t="s">
        <v>1918</v>
      </c>
      <c r="E22" s="28" t="s">
        <v>192</v>
      </c>
      <c r="F22" s="29">
        <v>1</v>
      </c>
      <c r="G22" s="35">
        <v>10000</v>
      </c>
      <c r="H22" s="237">
        <f t="shared" si="0"/>
        <v>10000</v>
      </c>
      <c r="I22" s="130" t="s">
        <v>78</v>
      </c>
    </row>
    <row r="23" spans="1:9">
      <c r="A23" s="202">
        <v>19</v>
      </c>
      <c r="B23" s="94" t="s">
        <v>1782</v>
      </c>
      <c r="C23" s="44" t="s">
        <v>1779</v>
      </c>
      <c r="D23" s="119" t="s">
        <v>1780</v>
      </c>
      <c r="E23" s="28" t="s">
        <v>62</v>
      </c>
      <c r="F23" s="29">
        <v>1</v>
      </c>
      <c r="G23" s="35">
        <v>15000</v>
      </c>
      <c r="H23" s="237">
        <f t="shared" si="0"/>
        <v>15000</v>
      </c>
      <c r="I23" s="130" t="s">
        <v>78</v>
      </c>
    </row>
    <row r="24" spans="1:9" ht="22.5" customHeight="1">
      <c r="A24" s="369" t="s">
        <v>465</v>
      </c>
      <c r="B24" s="370"/>
      <c r="C24" s="370"/>
      <c r="D24" s="370"/>
      <c r="E24" s="371"/>
      <c r="F24" s="47"/>
      <c r="G24" s="139"/>
      <c r="H24" s="139">
        <f>SUM(H5:H23)</f>
        <v>582570</v>
      </c>
      <c r="I24" s="206"/>
    </row>
    <row r="25" spans="1:9" ht="18" customHeight="1">
      <c r="A25" s="201"/>
      <c r="B25" s="201"/>
      <c r="C25" s="201"/>
      <c r="D25" s="201"/>
      <c r="E25" s="201"/>
      <c r="F25" s="70"/>
      <c r="G25" s="235"/>
      <c r="H25" s="235"/>
      <c r="I25" s="235"/>
    </row>
    <row r="26" spans="1:9" ht="18" customHeight="1">
      <c r="A26" s="201"/>
      <c r="B26" s="201"/>
      <c r="C26" s="201"/>
      <c r="D26" s="201"/>
      <c r="E26" s="201"/>
      <c r="F26" s="70"/>
      <c r="G26" s="235"/>
      <c r="H26" s="235"/>
      <c r="I26" s="235"/>
    </row>
    <row r="27" spans="1:9">
      <c r="G27" s="353" t="s">
        <v>225</v>
      </c>
      <c r="H27" s="353"/>
      <c r="I27" s="353"/>
    </row>
    <row r="28" spans="1:9" ht="20.25" customHeight="1">
      <c r="G28" s="353" t="s">
        <v>1941</v>
      </c>
      <c r="H28" s="353"/>
      <c r="I28" s="353"/>
    </row>
    <row r="29" spans="1:9" ht="20.25" customHeight="1">
      <c r="G29" s="353" t="s">
        <v>226</v>
      </c>
      <c r="H29" s="353"/>
      <c r="I29" s="353"/>
    </row>
  </sheetData>
  <mergeCells count="7">
    <mergeCell ref="G27:I27"/>
    <mergeCell ref="G28:I28"/>
    <mergeCell ref="G29:I29"/>
    <mergeCell ref="A1:I1"/>
    <mergeCell ref="A2:I2"/>
    <mergeCell ref="A3:I3"/>
    <mergeCell ref="A24:E24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M14"/>
  <sheetViews>
    <sheetView workbookViewId="0">
      <selection activeCell="F13" sqref="F13:I13"/>
    </sheetView>
  </sheetViews>
  <sheetFormatPr defaultColWidth="9" defaultRowHeight="24"/>
  <cols>
    <col min="1" max="1" width="5.42578125" style="14" customWidth="1"/>
    <col min="2" max="2" width="10.7109375" style="14" customWidth="1"/>
    <col min="3" max="3" width="24.7109375" style="14" customWidth="1"/>
    <col min="4" max="4" width="35.42578125" style="14" customWidth="1"/>
    <col min="5" max="5" width="7.85546875" style="14" customWidth="1"/>
    <col min="6" max="6" width="6.7109375" style="14" customWidth="1"/>
    <col min="7" max="7" width="13.5703125" style="14" customWidth="1"/>
    <col min="8" max="8" width="16.140625" style="14" customWidth="1"/>
    <col min="9" max="9" width="12.7109375" style="205" customWidth="1"/>
    <col min="10" max="13" width="14.140625" style="14" customWidth="1"/>
    <col min="14" max="16384" width="9" style="14"/>
  </cols>
  <sheetData>
    <row r="1" spans="1:13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05"/>
      <c r="K1" s="205"/>
      <c r="L1" s="205"/>
      <c r="M1" s="205"/>
    </row>
    <row r="2" spans="1:13">
      <c r="A2" s="355" t="s">
        <v>1921</v>
      </c>
      <c r="B2" s="355"/>
      <c r="C2" s="355"/>
      <c r="D2" s="355"/>
      <c r="E2" s="355"/>
      <c r="F2" s="355"/>
      <c r="G2" s="355"/>
      <c r="H2" s="355"/>
      <c r="I2" s="355"/>
      <c r="J2" s="208"/>
      <c r="K2" s="208"/>
      <c r="L2" s="208"/>
      <c r="M2" s="208"/>
    </row>
    <row r="3" spans="1:13">
      <c r="A3" s="361" t="s">
        <v>1748</v>
      </c>
      <c r="B3" s="361"/>
      <c r="C3" s="361"/>
      <c r="D3" s="361"/>
      <c r="E3" s="361"/>
      <c r="F3" s="361"/>
      <c r="G3" s="361"/>
      <c r="H3" s="361"/>
      <c r="I3" s="361"/>
      <c r="J3" s="201"/>
      <c r="K3" s="201"/>
      <c r="L3" s="201"/>
      <c r="M3" s="201"/>
    </row>
    <row r="4" spans="1:13" ht="42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207"/>
      <c r="K4" s="207"/>
      <c r="L4" s="207"/>
      <c r="M4" s="207"/>
    </row>
    <row r="5" spans="1:13">
      <c r="A5" s="95">
        <v>1</v>
      </c>
      <c r="B5" s="37"/>
      <c r="C5" s="27" t="s">
        <v>683</v>
      </c>
      <c r="D5" s="106" t="s">
        <v>113</v>
      </c>
      <c r="E5" s="28" t="s">
        <v>62</v>
      </c>
      <c r="F5" s="28">
        <v>1</v>
      </c>
      <c r="G5" s="85">
        <v>33000</v>
      </c>
      <c r="H5" s="85">
        <f>SUM(F5*G5)</f>
        <v>33000</v>
      </c>
      <c r="I5" s="99" t="s">
        <v>77</v>
      </c>
      <c r="J5" s="243"/>
      <c r="K5" s="243"/>
      <c r="L5" s="243"/>
      <c r="M5" s="243"/>
    </row>
    <row r="6" spans="1:13">
      <c r="A6" s="216">
        <v>2</v>
      </c>
      <c r="B6" s="100"/>
      <c r="C6" s="27" t="s">
        <v>684</v>
      </c>
      <c r="D6" s="106" t="s">
        <v>594</v>
      </c>
      <c r="E6" s="28" t="s">
        <v>61</v>
      </c>
      <c r="F6" s="28">
        <v>1</v>
      </c>
      <c r="G6" s="85">
        <v>7900</v>
      </c>
      <c r="H6" s="85">
        <f t="shared" ref="H6:H8" si="0">SUM(F6*G6)</f>
        <v>7900</v>
      </c>
      <c r="I6" s="99" t="s">
        <v>77</v>
      </c>
      <c r="J6" s="243"/>
      <c r="K6" s="243"/>
      <c r="L6" s="243"/>
      <c r="M6" s="243"/>
    </row>
    <row r="7" spans="1:13">
      <c r="A7" s="95">
        <v>3</v>
      </c>
      <c r="B7" s="37"/>
      <c r="C7" s="27" t="s">
        <v>685</v>
      </c>
      <c r="D7" s="106" t="s">
        <v>686</v>
      </c>
      <c r="E7" s="28" t="s">
        <v>61</v>
      </c>
      <c r="F7" s="28">
        <v>1</v>
      </c>
      <c r="G7" s="85">
        <v>39500</v>
      </c>
      <c r="H7" s="85">
        <f t="shared" si="0"/>
        <v>39500</v>
      </c>
      <c r="I7" s="99" t="s">
        <v>77</v>
      </c>
      <c r="J7" s="243"/>
      <c r="K7" s="243"/>
      <c r="L7" s="243"/>
      <c r="M7" s="243"/>
    </row>
    <row r="8" spans="1:13">
      <c r="A8" s="216">
        <v>4</v>
      </c>
      <c r="B8" s="37"/>
      <c r="C8" s="27" t="s">
        <v>687</v>
      </c>
      <c r="D8" s="13" t="s">
        <v>74</v>
      </c>
      <c r="E8" s="28" t="s">
        <v>61</v>
      </c>
      <c r="F8" s="28">
        <v>1</v>
      </c>
      <c r="G8" s="35">
        <v>17000</v>
      </c>
      <c r="H8" s="85">
        <f t="shared" si="0"/>
        <v>17000</v>
      </c>
      <c r="I8" s="99" t="s">
        <v>78</v>
      </c>
      <c r="J8" s="243"/>
      <c r="K8" s="243"/>
      <c r="L8" s="243"/>
      <c r="M8" s="243"/>
    </row>
    <row r="9" spans="1:13">
      <c r="A9" s="358" t="s">
        <v>465</v>
      </c>
      <c r="B9" s="359"/>
      <c r="C9" s="359"/>
      <c r="D9" s="359"/>
      <c r="E9" s="360"/>
      <c r="F9" s="26"/>
      <c r="G9" s="244"/>
      <c r="H9" s="244">
        <f>SUM(H5:H8)</f>
        <v>97400</v>
      </c>
      <c r="I9" s="206"/>
      <c r="J9" s="252"/>
      <c r="K9" s="252"/>
      <c r="L9" s="252"/>
      <c r="M9" s="252"/>
    </row>
    <row r="10" spans="1:13">
      <c r="A10" s="204"/>
      <c r="B10" s="204"/>
      <c r="C10" s="204"/>
      <c r="D10" s="204"/>
      <c r="E10" s="204"/>
      <c r="F10" s="53"/>
      <c r="G10" s="255"/>
      <c r="H10" s="255"/>
      <c r="I10" s="201"/>
      <c r="J10" s="252"/>
      <c r="K10" s="252"/>
      <c r="L10" s="252"/>
      <c r="M10" s="252"/>
    </row>
    <row r="11" spans="1:13">
      <c r="A11" s="53"/>
      <c r="B11" s="53"/>
      <c r="C11" s="53"/>
      <c r="D11" s="53"/>
      <c r="E11" s="53"/>
      <c r="F11" s="53"/>
      <c r="G11" s="53"/>
      <c r="H11" s="53"/>
      <c r="I11" s="201"/>
      <c r="J11" s="53"/>
      <c r="K11" s="53"/>
      <c r="L11" s="53"/>
      <c r="M11" s="53"/>
    </row>
    <row r="12" spans="1:13">
      <c r="A12" s="53"/>
      <c r="B12" s="53"/>
      <c r="C12" s="53"/>
      <c r="D12" s="53"/>
      <c r="E12" s="53"/>
      <c r="F12" s="353" t="s">
        <v>1942</v>
      </c>
      <c r="G12" s="353"/>
      <c r="H12" s="353"/>
      <c r="I12" s="353"/>
      <c r="J12" s="201"/>
      <c r="K12" s="201"/>
      <c r="L12" s="201"/>
      <c r="M12" s="201"/>
    </row>
    <row r="13" spans="1:13">
      <c r="A13" s="53"/>
      <c r="B13" s="53"/>
      <c r="C13" s="53"/>
      <c r="D13" s="53"/>
      <c r="E13" s="53"/>
      <c r="F13" s="353" t="s">
        <v>1749</v>
      </c>
      <c r="G13" s="353"/>
      <c r="H13" s="353"/>
      <c r="I13" s="353"/>
      <c r="J13" s="201"/>
      <c r="K13" s="201"/>
      <c r="L13" s="201"/>
      <c r="M13" s="201"/>
    </row>
    <row r="14" spans="1:13">
      <c r="A14" s="53"/>
      <c r="B14" s="53"/>
      <c r="C14" s="53"/>
      <c r="D14" s="53"/>
      <c r="E14" s="53"/>
      <c r="F14" s="353" t="s">
        <v>226</v>
      </c>
      <c r="G14" s="353"/>
      <c r="H14" s="353"/>
      <c r="I14" s="353"/>
      <c r="J14" s="201"/>
      <c r="K14" s="201"/>
      <c r="L14" s="201"/>
      <c r="M14" s="201"/>
    </row>
  </sheetData>
  <mergeCells count="7">
    <mergeCell ref="A9:E9"/>
    <mergeCell ref="F12:I12"/>
    <mergeCell ref="F13:I13"/>
    <mergeCell ref="F14:I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J28"/>
  <sheetViews>
    <sheetView topLeftCell="A19" workbookViewId="0">
      <selection activeCell="K7" sqref="K7"/>
    </sheetView>
  </sheetViews>
  <sheetFormatPr defaultColWidth="9" defaultRowHeight="24" customHeight="1"/>
  <cols>
    <col min="1" max="1" width="5.42578125" style="14" customWidth="1"/>
    <col min="2" max="2" width="14.42578125" style="14" customWidth="1"/>
    <col min="3" max="3" width="29.7109375" style="14" customWidth="1"/>
    <col min="4" max="4" width="34.140625" style="14" customWidth="1"/>
    <col min="5" max="5" width="6.5703125" style="14" customWidth="1"/>
    <col min="6" max="6" width="6.85546875" style="14" customWidth="1"/>
    <col min="7" max="7" width="13.140625" style="14" customWidth="1"/>
    <col min="8" max="8" width="15" style="14" customWidth="1"/>
    <col min="9" max="9" width="10.85546875" style="205" customWidth="1"/>
    <col min="10" max="10" width="17.140625" style="14" customWidth="1"/>
    <col min="11" max="16384" width="9" style="14"/>
  </cols>
  <sheetData>
    <row r="1" spans="1:10" ht="24" customHeight="1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05"/>
    </row>
    <row r="2" spans="1:10" ht="24" customHeight="1">
      <c r="A2" s="355" t="s">
        <v>688</v>
      </c>
      <c r="B2" s="355"/>
      <c r="C2" s="355"/>
      <c r="D2" s="355"/>
      <c r="E2" s="355"/>
      <c r="F2" s="355"/>
      <c r="G2" s="355"/>
      <c r="H2" s="355"/>
      <c r="I2" s="355"/>
      <c r="J2" s="208"/>
    </row>
    <row r="3" spans="1:10" ht="24" customHeight="1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01"/>
    </row>
    <row r="4" spans="1:10" ht="42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207"/>
    </row>
    <row r="5" spans="1:10" ht="24" customHeight="1">
      <c r="A5" s="95">
        <v>1</v>
      </c>
      <c r="B5" s="37"/>
      <c r="C5" s="27" t="s">
        <v>689</v>
      </c>
      <c r="D5" s="13" t="s">
        <v>278</v>
      </c>
      <c r="E5" s="28" t="s">
        <v>61</v>
      </c>
      <c r="F5" s="28">
        <v>1</v>
      </c>
      <c r="G5" s="247">
        <v>900</v>
      </c>
      <c r="H5" s="247">
        <f>SUM(F5*G5)</f>
        <v>900</v>
      </c>
      <c r="I5" s="99" t="s">
        <v>77</v>
      </c>
      <c r="J5" s="243"/>
    </row>
    <row r="6" spans="1:10" ht="24" customHeight="1">
      <c r="A6" s="216">
        <v>2</v>
      </c>
      <c r="B6" s="100"/>
      <c r="C6" s="27" t="s">
        <v>690</v>
      </c>
      <c r="D6" s="13" t="s">
        <v>691</v>
      </c>
      <c r="E6" s="28" t="s">
        <v>61</v>
      </c>
      <c r="F6" s="28">
        <v>2</v>
      </c>
      <c r="G6" s="30">
        <v>2250</v>
      </c>
      <c r="H6" s="247">
        <f t="shared" ref="H6:H22" si="0">SUM(F6*G6)</f>
        <v>4500</v>
      </c>
      <c r="I6" s="99" t="s">
        <v>78</v>
      </c>
      <c r="J6" s="243"/>
    </row>
    <row r="7" spans="1:10" ht="24" customHeight="1">
      <c r="A7" s="95">
        <v>3</v>
      </c>
      <c r="B7" s="37"/>
      <c r="C7" s="27" t="s">
        <v>692</v>
      </c>
      <c r="D7" s="13" t="s">
        <v>693</v>
      </c>
      <c r="E7" s="28" t="s">
        <v>62</v>
      </c>
      <c r="F7" s="28">
        <v>2</v>
      </c>
      <c r="G7" s="247">
        <v>1650</v>
      </c>
      <c r="H7" s="247">
        <f t="shared" si="0"/>
        <v>3300</v>
      </c>
      <c r="I7" s="99" t="s">
        <v>77</v>
      </c>
      <c r="J7" s="243"/>
    </row>
    <row r="8" spans="1:10" ht="24" customHeight="1">
      <c r="A8" s="216">
        <v>4</v>
      </c>
      <c r="B8" s="37"/>
      <c r="C8" s="27" t="s">
        <v>694</v>
      </c>
      <c r="D8" s="13" t="s">
        <v>695</v>
      </c>
      <c r="E8" s="28" t="s">
        <v>62</v>
      </c>
      <c r="F8" s="28">
        <v>1</v>
      </c>
      <c r="G8" s="30">
        <v>2490</v>
      </c>
      <c r="H8" s="247">
        <f t="shared" si="0"/>
        <v>2490</v>
      </c>
      <c r="I8" s="99" t="s">
        <v>78</v>
      </c>
      <c r="J8" s="243"/>
    </row>
    <row r="9" spans="1:10" ht="24" customHeight="1">
      <c r="A9" s="95">
        <v>5</v>
      </c>
      <c r="B9" s="37"/>
      <c r="C9" s="27" t="s">
        <v>696</v>
      </c>
      <c r="D9" s="13" t="s">
        <v>484</v>
      </c>
      <c r="E9" s="28" t="s">
        <v>62</v>
      </c>
      <c r="F9" s="28">
        <v>1</v>
      </c>
      <c r="G9" s="247">
        <v>33000</v>
      </c>
      <c r="H9" s="247">
        <f t="shared" si="0"/>
        <v>33000</v>
      </c>
      <c r="I9" s="99" t="s">
        <v>77</v>
      </c>
      <c r="J9" s="243"/>
    </row>
    <row r="10" spans="1:10" ht="24" customHeight="1">
      <c r="A10" s="216">
        <v>6</v>
      </c>
      <c r="B10" s="37"/>
      <c r="C10" s="27" t="s">
        <v>697</v>
      </c>
      <c r="D10" s="13" t="s">
        <v>695</v>
      </c>
      <c r="E10" s="28" t="s">
        <v>62</v>
      </c>
      <c r="F10" s="28">
        <v>1</v>
      </c>
      <c r="G10" s="30">
        <v>2900</v>
      </c>
      <c r="H10" s="247">
        <f t="shared" si="0"/>
        <v>2900</v>
      </c>
      <c r="I10" s="99" t="s">
        <v>78</v>
      </c>
      <c r="J10" s="243"/>
    </row>
    <row r="11" spans="1:10" ht="24" customHeight="1">
      <c r="A11" s="95">
        <v>7</v>
      </c>
      <c r="B11" s="95"/>
      <c r="C11" s="27" t="s">
        <v>698</v>
      </c>
      <c r="D11" s="13" t="s">
        <v>48</v>
      </c>
      <c r="E11" s="28" t="s">
        <v>62</v>
      </c>
      <c r="F11" s="28">
        <v>1</v>
      </c>
      <c r="G11" s="30">
        <v>6900</v>
      </c>
      <c r="H11" s="247">
        <f t="shared" si="0"/>
        <v>6900</v>
      </c>
      <c r="I11" s="99" t="s">
        <v>77</v>
      </c>
      <c r="J11" s="243"/>
    </row>
    <row r="12" spans="1:10" ht="24" customHeight="1">
      <c r="A12" s="95">
        <v>8</v>
      </c>
      <c r="B12" s="37"/>
      <c r="C12" s="27" t="s">
        <v>699</v>
      </c>
      <c r="D12" s="13" t="s">
        <v>700</v>
      </c>
      <c r="E12" s="28" t="s">
        <v>62</v>
      </c>
      <c r="F12" s="28">
        <v>1</v>
      </c>
      <c r="G12" s="30">
        <v>2800</v>
      </c>
      <c r="H12" s="247">
        <f t="shared" si="0"/>
        <v>2800</v>
      </c>
      <c r="I12" s="99" t="s">
        <v>78</v>
      </c>
      <c r="J12" s="243"/>
    </row>
    <row r="13" spans="1:10" ht="24" customHeight="1">
      <c r="A13" s="95">
        <v>9</v>
      </c>
      <c r="B13" s="37"/>
      <c r="C13" s="27" t="s">
        <v>701</v>
      </c>
      <c r="D13" s="13" t="s">
        <v>357</v>
      </c>
      <c r="E13" s="28" t="s">
        <v>62</v>
      </c>
      <c r="F13" s="28">
        <v>1</v>
      </c>
      <c r="G13" s="30">
        <v>2650</v>
      </c>
      <c r="H13" s="247">
        <f t="shared" si="0"/>
        <v>2650</v>
      </c>
      <c r="I13" s="99" t="s">
        <v>78</v>
      </c>
      <c r="J13" s="243"/>
    </row>
    <row r="14" spans="1:10" ht="24" customHeight="1">
      <c r="A14" s="95">
        <v>10</v>
      </c>
      <c r="B14" s="37"/>
      <c r="C14" s="27" t="s">
        <v>702</v>
      </c>
      <c r="D14" s="13" t="s">
        <v>56</v>
      </c>
      <c r="E14" s="28" t="s">
        <v>62</v>
      </c>
      <c r="F14" s="28">
        <v>1</v>
      </c>
      <c r="G14" s="35">
        <v>3000</v>
      </c>
      <c r="H14" s="247">
        <f t="shared" si="0"/>
        <v>3000</v>
      </c>
      <c r="I14" s="107" t="s">
        <v>78</v>
      </c>
      <c r="J14" s="256"/>
    </row>
    <row r="15" spans="1:10" ht="24" customHeight="1">
      <c r="A15" s="257">
        <v>11</v>
      </c>
      <c r="B15" s="102"/>
      <c r="C15" s="27" t="s">
        <v>703</v>
      </c>
      <c r="D15" s="13" t="s">
        <v>458</v>
      </c>
      <c r="E15" s="28" t="s">
        <v>62</v>
      </c>
      <c r="F15" s="28">
        <v>1</v>
      </c>
      <c r="G15" s="35">
        <v>1006.25</v>
      </c>
      <c r="H15" s="247">
        <f t="shared" si="0"/>
        <v>1006.25</v>
      </c>
      <c r="I15" s="107" t="s">
        <v>77</v>
      </c>
      <c r="J15" s="256"/>
    </row>
    <row r="16" spans="1:10" ht="24" customHeight="1">
      <c r="A16" s="257">
        <v>12</v>
      </c>
      <c r="B16" s="102"/>
      <c r="C16" s="27" t="s">
        <v>704</v>
      </c>
      <c r="D16" s="13" t="s">
        <v>459</v>
      </c>
      <c r="E16" s="28" t="s">
        <v>62</v>
      </c>
      <c r="F16" s="28">
        <v>1</v>
      </c>
      <c r="G16" s="35">
        <v>5684.5</v>
      </c>
      <c r="H16" s="247">
        <f t="shared" si="0"/>
        <v>5684.5</v>
      </c>
      <c r="I16" s="96" t="s">
        <v>78</v>
      </c>
      <c r="J16" s="254"/>
    </row>
    <row r="17" spans="1:10" ht="24" customHeight="1">
      <c r="A17" s="257">
        <v>13</v>
      </c>
      <c r="B17" s="102"/>
      <c r="C17" s="27" t="s">
        <v>705</v>
      </c>
      <c r="D17" s="13" t="s">
        <v>56</v>
      </c>
      <c r="E17" s="28" t="s">
        <v>61</v>
      </c>
      <c r="F17" s="28">
        <v>2</v>
      </c>
      <c r="G17" s="35">
        <v>3200</v>
      </c>
      <c r="H17" s="247">
        <f t="shared" si="0"/>
        <v>6400</v>
      </c>
      <c r="I17" s="96" t="s">
        <v>78</v>
      </c>
      <c r="J17" s="254"/>
    </row>
    <row r="18" spans="1:10" ht="24" customHeight="1">
      <c r="A18" s="257">
        <v>14</v>
      </c>
      <c r="B18" s="102"/>
      <c r="C18" s="27" t="s">
        <v>706</v>
      </c>
      <c r="D18" s="13" t="s">
        <v>707</v>
      </c>
      <c r="E18" s="28" t="s">
        <v>61</v>
      </c>
      <c r="F18" s="28">
        <v>2</v>
      </c>
      <c r="G18" s="35">
        <v>3000</v>
      </c>
      <c r="H18" s="247">
        <f t="shared" si="0"/>
        <v>6000</v>
      </c>
      <c r="I18" s="96" t="s">
        <v>78</v>
      </c>
      <c r="J18" s="254"/>
    </row>
    <row r="19" spans="1:10" ht="24" customHeight="1">
      <c r="A19" s="257">
        <v>15</v>
      </c>
      <c r="B19" s="94"/>
      <c r="C19" s="27" t="s">
        <v>708</v>
      </c>
      <c r="D19" s="13" t="s">
        <v>429</v>
      </c>
      <c r="E19" s="28" t="s">
        <v>61</v>
      </c>
      <c r="F19" s="28">
        <v>1</v>
      </c>
      <c r="G19" s="35">
        <v>3750</v>
      </c>
      <c r="H19" s="247">
        <f t="shared" si="0"/>
        <v>3750</v>
      </c>
      <c r="I19" s="96" t="s">
        <v>78</v>
      </c>
      <c r="J19" s="254"/>
    </row>
    <row r="20" spans="1:10" ht="24" customHeight="1">
      <c r="A20" s="257">
        <v>16</v>
      </c>
      <c r="B20" s="94"/>
      <c r="C20" s="27" t="s">
        <v>709</v>
      </c>
      <c r="D20" s="13" t="s">
        <v>187</v>
      </c>
      <c r="E20" s="28" t="s">
        <v>61</v>
      </c>
      <c r="F20" s="28">
        <v>1</v>
      </c>
      <c r="G20" s="35">
        <v>1150</v>
      </c>
      <c r="H20" s="247">
        <f t="shared" si="0"/>
        <v>1150</v>
      </c>
      <c r="I20" s="96" t="s">
        <v>77</v>
      </c>
      <c r="J20" s="254"/>
    </row>
    <row r="21" spans="1:10" ht="24" customHeight="1">
      <c r="A21" s="257">
        <v>17</v>
      </c>
      <c r="B21" s="94"/>
      <c r="C21" s="27" t="s">
        <v>710</v>
      </c>
      <c r="D21" s="13" t="s">
        <v>74</v>
      </c>
      <c r="E21" s="28" t="s">
        <v>61</v>
      </c>
      <c r="F21" s="28">
        <v>1</v>
      </c>
      <c r="G21" s="35">
        <v>17000</v>
      </c>
      <c r="H21" s="247">
        <f t="shared" si="0"/>
        <v>17000</v>
      </c>
      <c r="I21" s="96" t="s">
        <v>77</v>
      </c>
      <c r="J21" s="254"/>
    </row>
    <row r="22" spans="1:10" ht="24" customHeight="1">
      <c r="A22" s="257">
        <v>18</v>
      </c>
      <c r="B22" s="94" t="s">
        <v>1763</v>
      </c>
      <c r="C22" s="27" t="s">
        <v>1694</v>
      </c>
      <c r="D22" s="13" t="s">
        <v>1691</v>
      </c>
      <c r="E22" s="28" t="s">
        <v>62</v>
      </c>
      <c r="F22" s="28">
        <v>1</v>
      </c>
      <c r="G22" s="35">
        <v>4700</v>
      </c>
      <c r="H22" s="247">
        <f t="shared" si="0"/>
        <v>4700</v>
      </c>
      <c r="I22" s="96" t="s">
        <v>78</v>
      </c>
      <c r="J22" s="254"/>
    </row>
    <row r="23" spans="1:10" ht="24" customHeight="1">
      <c r="A23" s="358" t="s">
        <v>465</v>
      </c>
      <c r="B23" s="359"/>
      <c r="C23" s="359"/>
      <c r="D23" s="359"/>
      <c r="E23" s="360"/>
      <c r="F23" s="26"/>
      <c r="G23" s="244"/>
      <c r="H23" s="244">
        <f>SUM(H5:H22)</f>
        <v>108130.75</v>
      </c>
      <c r="I23" s="206"/>
      <c r="J23" s="252"/>
    </row>
    <row r="24" spans="1:10" ht="24" customHeight="1">
      <c r="A24" s="204"/>
      <c r="B24" s="204"/>
      <c r="C24" s="204"/>
      <c r="D24" s="204"/>
      <c r="E24" s="204"/>
      <c r="F24" s="53"/>
      <c r="G24" s="255"/>
      <c r="H24" s="255"/>
      <c r="I24" s="201"/>
      <c r="J24" s="252"/>
    </row>
    <row r="25" spans="1:10" ht="24" customHeight="1">
      <c r="A25" s="204"/>
      <c r="B25" s="204"/>
      <c r="C25" s="204"/>
      <c r="D25" s="204"/>
      <c r="E25" s="204"/>
      <c r="F25" s="53"/>
      <c r="G25" s="255"/>
      <c r="H25" s="255"/>
      <c r="I25" s="201"/>
      <c r="J25" s="252"/>
    </row>
    <row r="26" spans="1:10" ht="24" customHeight="1">
      <c r="A26" s="53"/>
      <c r="B26" s="53"/>
      <c r="C26" s="53"/>
      <c r="D26" s="53"/>
      <c r="E26" s="53"/>
      <c r="F26" s="353" t="s">
        <v>225</v>
      </c>
      <c r="G26" s="353"/>
      <c r="H26" s="353"/>
      <c r="I26" s="353"/>
      <c r="J26" s="201"/>
    </row>
    <row r="27" spans="1:10" ht="24" customHeight="1">
      <c r="A27" s="53"/>
      <c r="B27" s="53"/>
      <c r="C27" s="53"/>
      <c r="D27" s="53"/>
      <c r="E27" s="53"/>
      <c r="F27" s="353" t="s">
        <v>1760</v>
      </c>
      <c r="G27" s="353"/>
      <c r="H27" s="353"/>
      <c r="I27" s="353"/>
      <c r="J27" s="201"/>
    </row>
    <row r="28" spans="1:10" ht="24" customHeight="1">
      <c r="A28" s="53"/>
      <c r="B28" s="53"/>
      <c r="C28" s="53"/>
      <c r="D28" s="53"/>
      <c r="E28" s="53"/>
      <c r="F28" s="353" t="s">
        <v>226</v>
      </c>
      <c r="G28" s="353"/>
      <c r="H28" s="353"/>
      <c r="I28" s="353"/>
      <c r="J28" s="201"/>
    </row>
  </sheetData>
  <mergeCells count="7">
    <mergeCell ref="F27:I27"/>
    <mergeCell ref="F28:I28"/>
    <mergeCell ref="A1:I1"/>
    <mergeCell ref="A2:I2"/>
    <mergeCell ref="A3:I3"/>
    <mergeCell ref="A23:E23"/>
    <mergeCell ref="F26:I26"/>
  </mergeCells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K21"/>
  <sheetViews>
    <sheetView topLeftCell="A13" zoomScaleNormal="100" workbookViewId="0">
      <selection activeCell="L5" sqref="L5"/>
    </sheetView>
  </sheetViews>
  <sheetFormatPr defaultColWidth="9" defaultRowHeight="24"/>
  <cols>
    <col min="1" max="1" width="5.7109375" style="14" customWidth="1"/>
    <col min="2" max="2" width="14" style="14" customWidth="1"/>
    <col min="3" max="3" width="24.5703125" style="14" customWidth="1"/>
    <col min="4" max="4" width="33.85546875" style="14" customWidth="1"/>
    <col min="5" max="5" width="7.85546875" style="14" customWidth="1"/>
    <col min="6" max="6" width="7.7109375" style="14" customWidth="1"/>
    <col min="7" max="7" width="14" style="14" customWidth="1"/>
    <col min="8" max="8" width="15.85546875" style="14" customWidth="1"/>
    <col min="9" max="9" width="11.5703125" style="205" customWidth="1"/>
    <col min="10" max="11" width="16.140625" style="14" customWidth="1"/>
    <col min="12" max="16384" width="9" style="14"/>
  </cols>
  <sheetData>
    <row r="1" spans="1:11">
      <c r="A1" s="354" t="s">
        <v>664</v>
      </c>
      <c r="B1" s="354"/>
      <c r="C1" s="354"/>
      <c r="D1" s="354"/>
      <c r="E1" s="354"/>
      <c r="F1" s="354"/>
      <c r="G1" s="354"/>
      <c r="H1" s="354"/>
      <c r="I1" s="354"/>
      <c r="J1" s="205"/>
      <c r="K1" s="205"/>
    </row>
    <row r="2" spans="1:11">
      <c r="A2" s="355" t="s">
        <v>665</v>
      </c>
      <c r="B2" s="355"/>
      <c r="C2" s="355"/>
      <c r="D2" s="355"/>
      <c r="E2" s="355"/>
      <c r="F2" s="355"/>
      <c r="G2" s="355"/>
      <c r="H2" s="355"/>
      <c r="I2" s="355"/>
      <c r="J2" s="208"/>
      <c r="K2" s="208"/>
    </row>
    <row r="3" spans="1:11">
      <c r="A3" s="361" t="s">
        <v>1781</v>
      </c>
      <c r="B3" s="361"/>
      <c r="C3" s="361"/>
      <c r="D3" s="361"/>
      <c r="E3" s="361"/>
      <c r="F3" s="361"/>
      <c r="G3" s="361"/>
      <c r="H3" s="361"/>
      <c r="I3" s="361"/>
      <c r="J3" s="201"/>
      <c r="K3" s="201"/>
    </row>
    <row r="4" spans="1:11" ht="48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83" t="s">
        <v>2</v>
      </c>
      <c r="J4" s="207"/>
      <c r="K4" s="207"/>
    </row>
    <row r="5" spans="1:11">
      <c r="A5" s="95">
        <v>1</v>
      </c>
      <c r="B5" s="37"/>
      <c r="C5" s="27" t="s">
        <v>666</v>
      </c>
      <c r="D5" s="13" t="s">
        <v>667</v>
      </c>
      <c r="E5" s="28" t="s">
        <v>62</v>
      </c>
      <c r="F5" s="28">
        <v>1</v>
      </c>
      <c r="G5" s="30">
        <v>2490</v>
      </c>
      <c r="H5" s="30">
        <f>SUM(F5*G5)</f>
        <v>2490</v>
      </c>
      <c r="I5" s="99" t="s">
        <v>78</v>
      </c>
      <c r="J5" s="243"/>
      <c r="K5" s="243"/>
    </row>
    <row r="6" spans="1:11">
      <c r="A6" s="216">
        <v>2</v>
      </c>
      <c r="B6" s="100"/>
      <c r="C6" s="27" t="s">
        <v>668</v>
      </c>
      <c r="D6" s="13" t="s">
        <v>669</v>
      </c>
      <c r="E6" s="28" t="s">
        <v>62</v>
      </c>
      <c r="F6" s="28">
        <v>1</v>
      </c>
      <c r="G6" s="30">
        <v>2600</v>
      </c>
      <c r="H6" s="30">
        <f t="shared" ref="H6:H15" si="0">SUM(F6*G6)</f>
        <v>2600</v>
      </c>
      <c r="I6" s="99" t="s">
        <v>78</v>
      </c>
      <c r="J6" s="243"/>
      <c r="K6" s="243"/>
    </row>
    <row r="7" spans="1:11">
      <c r="A7" s="95">
        <v>3</v>
      </c>
      <c r="B7" s="37"/>
      <c r="C7" s="27" t="s">
        <v>670</v>
      </c>
      <c r="D7" s="13" t="s">
        <v>671</v>
      </c>
      <c r="E7" s="28" t="s">
        <v>62</v>
      </c>
      <c r="F7" s="28">
        <v>1</v>
      </c>
      <c r="G7" s="35">
        <v>3100</v>
      </c>
      <c r="H7" s="30">
        <f t="shared" si="0"/>
        <v>3100</v>
      </c>
      <c r="I7" s="99" t="s">
        <v>78</v>
      </c>
      <c r="J7" s="243"/>
      <c r="K7" s="243"/>
    </row>
    <row r="8" spans="1:11">
      <c r="A8" s="216">
        <v>4</v>
      </c>
      <c r="B8" s="37"/>
      <c r="C8" s="93" t="s">
        <v>672</v>
      </c>
      <c r="D8" s="93" t="s">
        <v>673</v>
      </c>
      <c r="E8" s="28" t="s">
        <v>62</v>
      </c>
      <c r="F8" s="28">
        <v>1</v>
      </c>
      <c r="G8" s="35">
        <v>17300</v>
      </c>
      <c r="H8" s="30">
        <f t="shared" si="0"/>
        <v>17300</v>
      </c>
      <c r="I8" s="99" t="s">
        <v>77</v>
      </c>
      <c r="J8" s="243"/>
      <c r="K8" s="243"/>
    </row>
    <row r="9" spans="1:11">
      <c r="A9" s="95">
        <v>5</v>
      </c>
      <c r="B9" s="37"/>
      <c r="C9" s="27" t="s">
        <v>674</v>
      </c>
      <c r="D9" s="13" t="s">
        <v>675</v>
      </c>
      <c r="E9" s="28" t="s">
        <v>62</v>
      </c>
      <c r="F9" s="28">
        <v>1</v>
      </c>
      <c r="G9" s="35">
        <v>1700</v>
      </c>
      <c r="H9" s="30">
        <f t="shared" si="0"/>
        <v>1700</v>
      </c>
      <c r="I9" s="99" t="s">
        <v>79</v>
      </c>
      <c r="J9" s="243"/>
      <c r="K9" s="243"/>
    </row>
    <row r="10" spans="1:11">
      <c r="A10" s="216">
        <v>6</v>
      </c>
      <c r="B10" s="37"/>
      <c r="C10" s="27" t="s">
        <v>676</v>
      </c>
      <c r="D10" s="13" t="s">
        <v>677</v>
      </c>
      <c r="E10" s="28" t="s">
        <v>61</v>
      </c>
      <c r="F10" s="28">
        <v>1</v>
      </c>
      <c r="G10" s="35">
        <v>2900</v>
      </c>
      <c r="H10" s="30">
        <f t="shared" si="0"/>
        <v>2900</v>
      </c>
      <c r="I10" s="99" t="s">
        <v>78</v>
      </c>
      <c r="J10" s="243"/>
      <c r="K10" s="243"/>
    </row>
    <row r="11" spans="1:11">
      <c r="A11" s="95">
        <v>7</v>
      </c>
      <c r="B11" s="95"/>
      <c r="C11" s="27" t="s">
        <v>678</v>
      </c>
      <c r="D11" s="13" t="s">
        <v>386</v>
      </c>
      <c r="E11" s="28" t="s">
        <v>61</v>
      </c>
      <c r="F11" s="28">
        <v>1</v>
      </c>
      <c r="G11" s="35">
        <v>1100</v>
      </c>
      <c r="H11" s="30">
        <f t="shared" si="0"/>
        <v>1100</v>
      </c>
      <c r="I11" s="99" t="s">
        <v>77</v>
      </c>
      <c r="J11" s="243"/>
      <c r="K11" s="243"/>
    </row>
    <row r="12" spans="1:11">
      <c r="A12" s="216">
        <v>8</v>
      </c>
      <c r="B12" s="37"/>
      <c r="C12" s="27" t="s">
        <v>679</v>
      </c>
      <c r="D12" s="13" t="s">
        <v>237</v>
      </c>
      <c r="E12" s="28" t="s">
        <v>61</v>
      </c>
      <c r="F12" s="28">
        <v>1</v>
      </c>
      <c r="G12" s="35">
        <v>3500</v>
      </c>
      <c r="H12" s="30">
        <f t="shared" si="0"/>
        <v>3500</v>
      </c>
      <c r="I12" s="99" t="s">
        <v>78</v>
      </c>
      <c r="J12" s="243"/>
      <c r="K12" s="243"/>
    </row>
    <row r="13" spans="1:11">
      <c r="A13" s="95">
        <v>9</v>
      </c>
      <c r="B13" s="37"/>
      <c r="C13" s="27" t="s">
        <v>680</v>
      </c>
      <c r="D13" s="13" t="s">
        <v>429</v>
      </c>
      <c r="E13" s="28" t="s">
        <v>61</v>
      </c>
      <c r="F13" s="28">
        <v>1</v>
      </c>
      <c r="G13" s="35">
        <v>3750</v>
      </c>
      <c r="H13" s="30">
        <f t="shared" si="0"/>
        <v>3750</v>
      </c>
      <c r="I13" s="99" t="s">
        <v>78</v>
      </c>
      <c r="J13" s="243"/>
      <c r="K13" s="243"/>
    </row>
    <row r="14" spans="1:11">
      <c r="A14" s="216">
        <v>10</v>
      </c>
      <c r="B14" s="37"/>
      <c r="C14" s="27" t="s">
        <v>681</v>
      </c>
      <c r="D14" s="13" t="s">
        <v>320</v>
      </c>
      <c r="E14" s="28" t="s">
        <v>61</v>
      </c>
      <c r="F14" s="28">
        <v>1</v>
      </c>
      <c r="G14" s="35">
        <v>10140</v>
      </c>
      <c r="H14" s="30">
        <f t="shared" si="0"/>
        <v>10140</v>
      </c>
      <c r="I14" s="107" t="s">
        <v>77</v>
      </c>
      <c r="J14" s="256"/>
      <c r="K14" s="256"/>
    </row>
    <row r="15" spans="1:11">
      <c r="A15" s="95">
        <v>11</v>
      </c>
      <c r="B15" s="102"/>
      <c r="C15" s="27" t="s">
        <v>682</v>
      </c>
      <c r="D15" s="13" t="s">
        <v>74</v>
      </c>
      <c r="E15" s="28" t="s">
        <v>61</v>
      </c>
      <c r="F15" s="28">
        <v>1</v>
      </c>
      <c r="G15" s="35">
        <v>17000</v>
      </c>
      <c r="H15" s="30">
        <f t="shared" si="0"/>
        <v>17000</v>
      </c>
      <c r="I15" s="107" t="s">
        <v>77</v>
      </c>
      <c r="J15" s="256"/>
      <c r="K15" s="256"/>
    </row>
    <row r="16" spans="1:11">
      <c r="A16" s="358" t="s">
        <v>465</v>
      </c>
      <c r="B16" s="359"/>
      <c r="C16" s="359"/>
      <c r="D16" s="359"/>
      <c r="E16" s="360"/>
      <c r="F16" s="26"/>
      <c r="G16" s="244"/>
      <c r="H16" s="245">
        <f>SUM(H5:H15)</f>
        <v>65580</v>
      </c>
      <c r="I16" s="203"/>
      <c r="J16" s="252"/>
      <c r="K16" s="252"/>
    </row>
    <row r="17" spans="1:11">
      <c r="A17" s="204"/>
      <c r="B17" s="204"/>
      <c r="C17" s="204"/>
      <c r="D17" s="204"/>
      <c r="E17" s="204"/>
      <c r="F17" s="53"/>
      <c r="G17" s="255"/>
      <c r="H17" s="255"/>
      <c r="I17" s="201"/>
      <c r="J17" s="252"/>
      <c r="K17" s="252"/>
    </row>
    <row r="18" spans="1:11">
      <c r="A18" s="53"/>
      <c r="B18" s="53"/>
      <c r="C18" s="53"/>
      <c r="D18" s="53"/>
      <c r="E18" s="53"/>
      <c r="F18" s="53"/>
      <c r="G18" s="53"/>
      <c r="H18" s="53"/>
      <c r="I18" s="201"/>
      <c r="J18" s="53"/>
      <c r="K18" s="53"/>
    </row>
    <row r="19" spans="1:11">
      <c r="A19" s="53"/>
      <c r="B19" s="53"/>
      <c r="C19" s="53"/>
      <c r="D19" s="53"/>
      <c r="E19" s="53"/>
      <c r="F19" s="353" t="s">
        <v>225</v>
      </c>
      <c r="G19" s="353"/>
      <c r="H19" s="353"/>
      <c r="I19" s="353"/>
      <c r="J19" s="201"/>
      <c r="K19" s="201"/>
    </row>
    <row r="20" spans="1:11">
      <c r="A20" s="53"/>
      <c r="B20" s="53"/>
      <c r="C20" s="53"/>
      <c r="D20" s="53"/>
      <c r="E20" s="53"/>
      <c r="F20" s="353" t="s">
        <v>511</v>
      </c>
      <c r="G20" s="353"/>
      <c r="H20" s="353"/>
      <c r="I20" s="353"/>
      <c r="J20" s="201"/>
      <c r="K20" s="201"/>
    </row>
    <row r="21" spans="1:11">
      <c r="A21" s="53"/>
      <c r="B21" s="53"/>
      <c r="C21" s="53"/>
      <c r="D21" s="53"/>
      <c r="E21" s="53"/>
      <c r="F21" s="353" t="s">
        <v>226</v>
      </c>
      <c r="G21" s="353"/>
      <c r="H21" s="353"/>
      <c r="I21" s="353"/>
      <c r="J21" s="201"/>
      <c r="K21" s="201"/>
    </row>
  </sheetData>
  <mergeCells count="7">
    <mergeCell ref="F21:I21"/>
    <mergeCell ref="A16:E16"/>
    <mergeCell ref="F19:I19"/>
    <mergeCell ref="F20:I20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I44"/>
  <sheetViews>
    <sheetView topLeftCell="A31" zoomScaleNormal="100" workbookViewId="0">
      <selection activeCell="F43" sqref="F43:I43"/>
    </sheetView>
  </sheetViews>
  <sheetFormatPr defaultColWidth="9" defaultRowHeight="24"/>
  <cols>
    <col min="1" max="1" width="5.28515625" style="14" customWidth="1"/>
    <col min="2" max="2" width="13" style="14" customWidth="1"/>
    <col min="3" max="3" width="32.5703125" style="14" customWidth="1"/>
    <col min="4" max="4" width="35.140625" style="14" customWidth="1"/>
    <col min="5" max="5" width="6.5703125" style="14" customWidth="1"/>
    <col min="6" max="6" width="6.7109375" style="14" customWidth="1"/>
    <col min="7" max="7" width="11.7109375" style="14" customWidth="1"/>
    <col min="8" max="8" width="13.42578125" style="14" customWidth="1"/>
    <col min="9" max="9" width="10.28515625" style="14" customWidth="1"/>
    <col min="10" max="16384" width="9" style="14"/>
  </cols>
  <sheetData>
    <row r="1" spans="1:9">
      <c r="A1" s="354" t="s">
        <v>3</v>
      </c>
      <c r="B1" s="354"/>
      <c r="C1" s="354"/>
      <c r="D1" s="354"/>
      <c r="E1" s="354"/>
      <c r="F1" s="354"/>
      <c r="G1" s="354"/>
      <c r="H1" s="354"/>
      <c r="I1" s="354"/>
    </row>
    <row r="2" spans="1:9">
      <c r="A2" s="354" t="s">
        <v>599</v>
      </c>
      <c r="B2" s="354"/>
      <c r="C2" s="354"/>
      <c r="D2" s="354"/>
      <c r="E2" s="354"/>
      <c r="F2" s="354"/>
      <c r="G2" s="354"/>
      <c r="H2" s="354"/>
      <c r="I2" s="354"/>
    </row>
    <row r="3" spans="1:9">
      <c r="A3" s="372" t="s">
        <v>1781</v>
      </c>
      <c r="B3" s="372"/>
      <c r="C3" s="372"/>
      <c r="D3" s="372"/>
      <c r="E3" s="372"/>
      <c r="F3" s="372"/>
      <c r="G3" s="372"/>
      <c r="H3" s="372"/>
      <c r="I3" s="372"/>
    </row>
    <row r="4" spans="1:9" ht="44.2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</row>
    <row r="5" spans="1:9">
      <c r="A5" s="206">
        <v>1</v>
      </c>
      <c r="B5" s="26"/>
      <c r="C5" s="27" t="s">
        <v>607</v>
      </c>
      <c r="D5" s="13" t="s">
        <v>636</v>
      </c>
      <c r="E5" s="28" t="s">
        <v>61</v>
      </c>
      <c r="F5" s="28">
        <v>8</v>
      </c>
      <c r="G5" s="30">
        <v>6500</v>
      </c>
      <c r="H5" s="30">
        <f>SUM(F5*G5)</f>
        <v>52000</v>
      </c>
      <c r="I5" s="206" t="s">
        <v>1851</v>
      </c>
    </row>
    <row r="6" spans="1:9">
      <c r="A6" s="206">
        <v>2</v>
      </c>
      <c r="B6" s="26"/>
      <c r="C6" s="27" t="s">
        <v>608</v>
      </c>
      <c r="D6" s="13" t="s">
        <v>637</v>
      </c>
      <c r="E6" s="28" t="s">
        <v>61</v>
      </c>
      <c r="F6" s="28">
        <v>4</v>
      </c>
      <c r="G6" s="30">
        <v>8000</v>
      </c>
      <c r="H6" s="30">
        <f t="shared" ref="H6:H38" si="0">SUM(F6*G6)</f>
        <v>32000</v>
      </c>
      <c r="I6" s="206" t="s">
        <v>78</v>
      </c>
    </row>
    <row r="7" spans="1:9">
      <c r="A7" s="206">
        <v>3</v>
      </c>
      <c r="B7" s="26"/>
      <c r="C7" s="27" t="s">
        <v>609</v>
      </c>
      <c r="D7" s="13" t="s">
        <v>638</v>
      </c>
      <c r="E7" s="28" t="s">
        <v>61</v>
      </c>
      <c r="F7" s="28">
        <v>4</v>
      </c>
      <c r="G7" s="30">
        <v>14800</v>
      </c>
      <c r="H7" s="30">
        <f t="shared" si="0"/>
        <v>59200</v>
      </c>
      <c r="I7" s="206" t="s">
        <v>78</v>
      </c>
    </row>
    <row r="8" spans="1:9">
      <c r="A8" s="206">
        <v>4</v>
      </c>
      <c r="B8" s="26"/>
      <c r="C8" s="27" t="s">
        <v>610</v>
      </c>
      <c r="D8" s="13" t="s">
        <v>639</v>
      </c>
      <c r="E8" s="28" t="s">
        <v>61</v>
      </c>
      <c r="F8" s="28">
        <v>1</v>
      </c>
      <c r="G8" s="30">
        <v>5300</v>
      </c>
      <c r="H8" s="30">
        <f t="shared" si="0"/>
        <v>5300</v>
      </c>
      <c r="I8" s="206" t="s">
        <v>77</v>
      </c>
    </row>
    <row r="9" spans="1:9">
      <c r="A9" s="206">
        <v>5</v>
      </c>
      <c r="B9" s="26"/>
      <c r="C9" s="27" t="s">
        <v>611</v>
      </c>
      <c r="D9" s="13" t="s">
        <v>640</v>
      </c>
      <c r="E9" s="28" t="s">
        <v>61</v>
      </c>
      <c r="F9" s="28">
        <v>2</v>
      </c>
      <c r="G9" s="30">
        <v>2300</v>
      </c>
      <c r="H9" s="30">
        <f t="shared" si="0"/>
        <v>4600</v>
      </c>
      <c r="I9" s="206" t="s">
        <v>78</v>
      </c>
    </row>
    <row r="10" spans="1:9">
      <c r="A10" s="206">
        <v>6</v>
      </c>
      <c r="B10" s="37"/>
      <c r="C10" s="27" t="s">
        <v>612</v>
      </c>
      <c r="D10" s="13" t="s">
        <v>641</v>
      </c>
      <c r="E10" s="28" t="s">
        <v>61</v>
      </c>
      <c r="F10" s="28">
        <v>2</v>
      </c>
      <c r="G10" s="30">
        <v>15000</v>
      </c>
      <c r="H10" s="30">
        <f t="shared" si="0"/>
        <v>30000</v>
      </c>
      <c r="I10" s="206" t="s">
        <v>78</v>
      </c>
    </row>
    <row r="11" spans="1:9">
      <c r="A11" s="206">
        <v>7</v>
      </c>
      <c r="B11" s="26"/>
      <c r="C11" s="27" t="s">
        <v>613</v>
      </c>
      <c r="D11" s="13" t="s">
        <v>642</v>
      </c>
      <c r="E11" s="28" t="s">
        <v>61</v>
      </c>
      <c r="F11" s="28">
        <v>2</v>
      </c>
      <c r="G11" s="30">
        <v>3000</v>
      </c>
      <c r="H11" s="30">
        <f t="shared" si="0"/>
        <v>6000</v>
      </c>
      <c r="I11" s="206" t="s">
        <v>77</v>
      </c>
    </row>
    <row r="12" spans="1:9">
      <c r="A12" s="206">
        <v>8</v>
      </c>
      <c r="B12" s="26"/>
      <c r="C12" s="27" t="s">
        <v>193</v>
      </c>
      <c r="D12" s="13" t="s">
        <v>643</v>
      </c>
      <c r="E12" s="28" t="s">
        <v>62</v>
      </c>
      <c r="F12" s="28">
        <v>1</v>
      </c>
      <c r="G12" s="30">
        <v>7500</v>
      </c>
      <c r="H12" s="30">
        <f t="shared" si="0"/>
        <v>7500</v>
      </c>
      <c r="I12" s="206" t="s">
        <v>77</v>
      </c>
    </row>
    <row r="13" spans="1:9">
      <c r="A13" s="206">
        <v>9</v>
      </c>
      <c r="B13" s="26"/>
      <c r="C13" s="27" t="s">
        <v>614</v>
      </c>
      <c r="D13" s="13" t="s">
        <v>644</v>
      </c>
      <c r="E13" s="28" t="s">
        <v>61</v>
      </c>
      <c r="F13" s="28">
        <v>1</v>
      </c>
      <c r="G13" s="30">
        <v>50000</v>
      </c>
      <c r="H13" s="30">
        <f t="shared" si="0"/>
        <v>50000</v>
      </c>
      <c r="I13" s="206" t="s">
        <v>78</v>
      </c>
    </row>
    <row r="14" spans="1:9">
      <c r="A14" s="206">
        <v>10</v>
      </c>
      <c r="B14" s="26"/>
      <c r="C14" s="27" t="s">
        <v>615</v>
      </c>
      <c r="D14" s="13" t="s">
        <v>645</v>
      </c>
      <c r="E14" s="28" t="s">
        <v>61</v>
      </c>
      <c r="F14" s="28">
        <v>1</v>
      </c>
      <c r="G14" s="30">
        <v>5000</v>
      </c>
      <c r="H14" s="30">
        <f t="shared" si="0"/>
        <v>5000</v>
      </c>
      <c r="I14" s="206" t="s">
        <v>77</v>
      </c>
    </row>
    <row r="15" spans="1:9">
      <c r="A15" s="206">
        <v>11</v>
      </c>
      <c r="B15" s="26"/>
      <c r="C15" s="27" t="s">
        <v>616</v>
      </c>
      <c r="D15" s="13" t="s">
        <v>646</v>
      </c>
      <c r="E15" s="28" t="s">
        <v>61</v>
      </c>
      <c r="F15" s="28">
        <v>1</v>
      </c>
      <c r="G15" s="30">
        <v>35000</v>
      </c>
      <c r="H15" s="30">
        <f t="shared" si="0"/>
        <v>35000</v>
      </c>
      <c r="I15" s="206" t="s">
        <v>77</v>
      </c>
    </row>
    <row r="16" spans="1:9">
      <c r="A16" s="206">
        <v>12</v>
      </c>
      <c r="B16" s="37"/>
      <c r="C16" s="27" t="s">
        <v>617</v>
      </c>
      <c r="D16" s="27" t="s">
        <v>647</v>
      </c>
      <c r="E16" s="28" t="s">
        <v>61</v>
      </c>
      <c r="F16" s="28">
        <v>4</v>
      </c>
      <c r="G16" s="30">
        <v>8000</v>
      </c>
      <c r="H16" s="30">
        <f t="shared" si="0"/>
        <v>32000</v>
      </c>
      <c r="I16" s="206" t="s">
        <v>78</v>
      </c>
    </row>
    <row r="17" spans="1:9">
      <c r="A17" s="206">
        <v>13</v>
      </c>
      <c r="B17" s="26"/>
      <c r="C17" s="27" t="s">
        <v>618</v>
      </c>
      <c r="D17" s="27" t="s">
        <v>648</v>
      </c>
      <c r="E17" s="28" t="s">
        <v>61</v>
      </c>
      <c r="F17" s="28">
        <v>3</v>
      </c>
      <c r="G17" s="30">
        <v>5000</v>
      </c>
      <c r="H17" s="30">
        <f t="shared" si="0"/>
        <v>15000</v>
      </c>
      <c r="I17" s="206" t="s">
        <v>78</v>
      </c>
    </row>
    <row r="18" spans="1:9">
      <c r="A18" s="206">
        <v>14</v>
      </c>
      <c r="B18" s="26"/>
      <c r="C18" s="27" t="s">
        <v>619</v>
      </c>
      <c r="D18" s="27" t="s">
        <v>649</v>
      </c>
      <c r="E18" s="28" t="s">
        <v>61</v>
      </c>
      <c r="F18" s="28">
        <v>5</v>
      </c>
      <c r="G18" s="30">
        <v>9581.85</v>
      </c>
      <c r="H18" s="30">
        <f t="shared" si="0"/>
        <v>47909.25</v>
      </c>
      <c r="I18" s="206" t="s">
        <v>78</v>
      </c>
    </row>
    <row r="19" spans="1:9">
      <c r="A19" s="206">
        <v>15</v>
      </c>
      <c r="B19" s="26"/>
      <c r="C19" s="27" t="s">
        <v>620</v>
      </c>
      <c r="D19" s="13" t="s">
        <v>650</v>
      </c>
      <c r="E19" s="28" t="s">
        <v>62</v>
      </c>
      <c r="F19" s="28">
        <v>1</v>
      </c>
      <c r="G19" s="35">
        <v>2410.1799999999998</v>
      </c>
      <c r="H19" s="30">
        <f t="shared" si="0"/>
        <v>2410.1799999999998</v>
      </c>
      <c r="I19" s="206" t="s">
        <v>78</v>
      </c>
    </row>
    <row r="20" spans="1:9">
      <c r="A20" s="206">
        <v>16</v>
      </c>
      <c r="B20" s="26"/>
      <c r="C20" s="27" t="s">
        <v>621</v>
      </c>
      <c r="D20" s="106" t="s">
        <v>651</v>
      </c>
      <c r="E20" s="28" t="s">
        <v>61</v>
      </c>
      <c r="F20" s="28">
        <v>1</v>
      </c>
      <c r="G20" s="194">
        <v>7886.97</v>
      </c>
      <c r="H20" s="30">
        <f t="shared" si="0"/>
        <v>7886.97</v>
      </c>
      <c r="I20" s="206" t="s">
        <v>77</v>
      </c>
    </row>
    <row r="21" spans="1:9">
      <c r="A21" s="206">
        <v>17</v>
      </c>
      <c r="B21" s="26"/>
      <c r="C21" s="27" t="s">
        <v>622</v>
      </c>
      <c r="D21" s="13" t="s">
        <v>652</v>
      </c>
      <c r="E21" s="28" t="s">
        <v>62</v>
      </c>
      <c r="F21" s="28">
        <v>1</v>
      </c>
      <c r="G21" s="30">
        <v>31559.65</v>
      </c>
      <c r="H21" s="30">
        <f t="shared" si="0"/>
        <v>31559.65</v>
      </c>
      <c r="I21" s="206" t="s">
        <v>77</v>
      </c>
    </row>
    <row r="22" spans="1:9">
      <c r="A22" s="206">
        <v>18</v>
      </c>
      <c r="B22" s="87"/>
      <c r="C22" s="27" t="s">
        <v>623</v>
      </c>
      <c r="D22" s="27" t="s">
        <v>653</v>
      </c>
      <c r="E22" s="28" t="s">
        <v>62</v>
      </c>
      <c r="F22" s="28">
        <v>1</v>
      </c>
      <c r="G22" s="30">
        <v>33000</v>
      </c>
      <c r="H22" s="30">
        <f t="shared" si="0"/>
        <v>33000</v>
      </c>
      <c r="I22" s="206" t="s">
        <v>77</v>
      </c>
    </row>
    <row r="23" spans="1:9">
      <c r="A23" s="206">
        <v>19</v>
      </c>
      <c r="B23" s="26"/>
      <c r="C23" s="27" t="s">
        <v>624</v>
      </c>
      <c r="D23" s="27" t="s">
        <v>654</v>
      </c>
      <c r="E23" s="28" t="s">
        <v>62</v>
      </c>
      <c r="F23" s="28">
        <v>1</v>
      </c>
      <c r="G23" s="30">
        <v>8290</v>
      </c>
      <c r="H23" s="30">
        <f t="shared" si="0"/>
        <v>8290</v>
      </c>
      <c r="I23" s="206" t="s">
        <v>77</v>
      </c>
    </row>
    <row r="24" spans="1:9">
      <c r="A24" s="206">
        <v>20</v>
      </c>
      <c r="B24" s="26"/>
      <c r="C24" s="27" t="s">
        <v>625</v>
      </c>
      <c r="D24" s="27" t="s">
        <v>655</v>
      </c>
      <c r="E24" s="206" t="s">
        <v>62</v>
      </c>
      <c r="F24" s="29">
        <v>3</v>
      </c>
      <c r="G24" s="30">
        <v>2700</v>
      </c>
      <c r="H24" s="30">
        <f t="shared" si="0"/>
        <v>8100</v>
      </c>
      <c r="I24" s="206" t="s">
        <v>78</v>
      </c>
    </row>
    <row r="25" spans="1:9">
      <c r="A25" s="206">
        <v>21</v>
      </c>
      <c r="B25" s="26"/>
      <c r="C25" s="27" t="s">
        <v>626</v>
      </c>
      <c r="D25" s="27" t="s">
        <v>656</v>
      </c>
      <c r="E25" s="206" t="s">
        <v>62</v>
      </c>
      <c r="F25" s="29">
        <v>1</v>
      </c>
      <c r="G25" s="30">
        <v>1450</v>
      </c>
      <c r="H25" s="30">
        <f t="shared" si="0"/>
        <v>1450</v>
      </c>
      <c r="I25" s="206" t="s">
        <v>77</v>
      </c>
    </row>
    <row r="26" spans="1:9">
      <c r="A26" s="206">
        <v>22</v>
      </c>
      <c r="B26" s="26"/>
      <c r="C26" s="27" t="s">
        <v>627</v>
      </c>
      <c r="D26" s="27" t="s">
        <v>657</v>
      </c>
      <c r="E26" s="206" t="s">
        <v>62</v>
      </c>
      <c r="F26" s="29">
        <v>4</v>
      </c>
      <c r="G26" s="30">
        <v>650</v>
      </c>
      <c r="H26" s="30">
        <f t="shared" si="0"/>
        <v>2600</v>
      </c>
      <c r="I26" s="206" t="s">
        <v>77</v>
      </c>
    </row>
    <row r="27" spans="1:9">
      <c r="A27" s="206">
        <v>23</v>
      </c>
      <c r="B27" s="26"/>
      <c r="C27" s="27" t="s">
        <v>628</v>
      </c>
      <c r="D27" s="27" t="s">
        <v>658</v>
      </c>
      <c r="E27" s="206" t="s">
        <v>62</v>
      </c>
      <c r="F27" s="29">
        <v>3</v>
      </c>
      <c r="G27" s="30">
        <v>300</v>
      </c>
      <c r="H27" s="30">
        <f t="shared" si="0"/>
        <v>900</v>
      </c>
      <c r="I27" s="206" t="s">
        <v>77</v>
      </c>
    </row>
    <row r="28" spans="1:9">
      <c r="A28" s="206">
        <v>24</v>
      </c>
      <c r="B28" s="26"/>
      <c r="C28" s="27" t="s">
        <v>629</v>
      </c>
      <c r="D28" s="27" t="s">
        <v>658</v>
      </c>
      <c r="E28" s="206" t="s">
        <v>62</v>
      </c>
      <c r="F28" s="29">
        <v>1</v>
      </c>
      <c r="G28" s="30">
        <v>300</v>
      </c>
      <c r="H28" s="30">
        <f t="shared" si="0"/>
        <v>300</v>
      </c>
      <c r="I28" s="206" t="s">
        <v>77</v>
      </c>
    </row>
    <row r="29" spans="1:9">
      <c r="A29" s="206">
        <v>25</v>
      </c>
      <c r="B29" s="26"/>
      <c r="C29" s="213" t="s">
        <v>630</v>
      </c>
      <c r="D29" s="27" t="s">
        <v>659</v>
      </c>
      <c r="E29" s="206" t="s">
        <v>62</v>
      </c>
      <c r="F29" s="29">
        <v>3</v>
      </c>
      <c r="G29" s="248">
        <v>1800</v>
      </c>
      <c r="H29" s="30">
        <f t="shared" si="0"/>
        <v>5400</v>
      </c>
      <c r="I29" s="206" t="s">
        <v>78</v>
      </c>
    </row>
    <row r="30" spans="1:9">
      <c r="A30" s="206">
        <v>26</v>
      </c>
      <c r="B30" s="26"/>
      <c r="C30" s="27" t="s">
        <v>631</v>
      </c>
      <c r="D30" s="27" t="s">
        <v>660</v>
      </c>
      <c r="E30" s="206" t="s">
        <v>62</v>
      </c>
      <c r="F30" s="29">
        <v>1</v>
      </c>
      <c r="G30" s="30">
        <v>340</v>
      </c>
      <c r="H30" s="30">
        <f t="shared" si="0"/>
        <v>340</v>
      </c>
      <c r="I30" s="206" t="s">
        <v>77</v>
      </c>
    </row>
    <row r="31" spans="1:9">
      <c r="A31" s="206">
        <v>27</v>
      </c>
      <c r="B31" s="26"/>
      <c r="C31" s="27" t="s">
        <v>632</v>
      </c>
      <c r="D31" s="27" t="s">
        <v>658</v>
      </c>
      <c r="E31" s="206" t="s">
        <v>62</v>
      </c>
      <c r="F31" s="29">
        <v>4</v>
      </c>
      <c r="G31" s="264">
        <v>750</v>
      </c>
      <c r="H31" s="30">
        <f t="shared" si="0"/>
        <v>3000</v>
      </c>
      <c r="I31" s="206" t="s">
        <v>77</v>
      </c>
    </row>
    <row r="32" spans="1:9">
      <c r="A32" s="206">
        <v>28</v>
      </c>
      <c r="B32" s="26"/>
      <c r="C32" s="27" t="s">
        <v>633</v>
      </c>
      <c r="D32" s="27" t="s">
        <v>661</v>
      </c>
      <c r="E32" s="206" t="s">
        <v>62</v>
      </c>
      <c r="F32" s="29">
        <v>2</v>
      </c>
      <c r="G32" s="30">
        <v>1900</v>
      </c>
      <c r="H32" s="30">
        <f t="shared" si="0"/>
        <v>3800</v>
      </c>
      <c r="I32" s="206" t="s">
        <v>77</v>
      </c>
    </row>
    <row r="33" spans="1:9">
      <c r="A33" s="206">
        <v>29</v>
      </c>
      <c r="B33" s="26"/>
      <c r="C33" s="27" t="s">
        <v>634</v>
      </c>
      <c r="D33" s="27" t="s">
        <v>662</v>
      </c>
      <c r="E33" s="206" t="s">
        <v>62</v>
      </c>
      <c r="F33" s="29">
        <v>1</v>
      </c>
      <c r="G33" s="248">
        <v>1190</v>
      </c>
      <c r="H33" s="30">
        <f t="shared" si="0"/>
        <v>1190</v>
      </c>
      <c r="I33" s="206" t="s">
        <v>77</v>
      </c>
    </row>
    <row r="34" spans="1:9">
      <c r="A34" s="206">
        <v>30</v>
      </c>
      <c r="B34" s="26"/>
      <c r="C34" s="27" t="s">
        <v>635</v>
      </c>
      <c r="D34" s="27" t="s">
        <v>663</v>
      </c>
      <c r="E34" s="206" t="s">
        <v>62</v>
      </c>
      <c r="F34" s="29">
        <v>5</v>
      </c>
      <c r="G34" s="30">
        <v>350</v>
      </c>
      <c r="H34" s="30">
        <f t="shared" si="0"/>
        <v>1750</v>
      </c>
      <c r="I34" s="206" t="s">
        <v>77</v>
      </c>
    </row>
    <row r="35" spans="1:9">
      <c r="A35" s="206">
        <v>31</v>
      </c>
      <c r="B35" s="87"/>
      <c r="C35" s="27" t="s">
        <v>600</v>
      </c>
      <c r="D35" s="27" t="s">
        <v>604</v>
      </c>
      <c r="E35" s="265" t="s">
        <v>61</v>
      </c>
      <c r="F35" s="28">
        <v>1</v>
      </c>
      <c r="G35" s="264">
        <v>3200</v>
      </c>
      <c r="H35" s="30">
        <f t="shared" si="0"/>
        <v>3200</v>
      </c>
      <c r="I35" s="206" t="s">
        <v>78</v>
      </c>
    </row>
    <row r="36" spans="1:9">
      <c r="A36" s="206">
        <v>32</v>
      </c>
      <c r="B36" s="26"/>
      <c r="C36" s="27" t="s">
        <v>601</v>
      </c>
      <c r="D36" s="27" t="s">
        <v>605</v>
      </c>
      <c r="E36" s="265" t="s">
        <v>61</v>
      </c>
      <c r="F36" s="28">
        <v>12</v>
      </c>
      <c r="G36" s="35">
        <v>15750</v>
      </c>
      <c r="H36" s="30">
        <f t="shared" si="0"/>
        <v>189000</v>
      </c>
      <c r="I36" s="206" t="s">
        <v>77</v>
      </c>
    </row>
    <row r="37" spans="1:9">
      <c r="A37" s="206">
        <v>33</v>
      </c>
      <c r="B37" s="26"/>
      <c r="C37" s="27" t="s">
        <v>602</v>
      </c>
      <c r="D37" s="27" t="s">
        <v>606</v>
      </c>
      <c r="E37" s="265" t="s">
        <v>61</v>
      </c>
      <c r="F37" s="28">
        <v>1</v>
      </c>
      <c r="G37" s="35">
        <v>5350</v>
      </c>
      <c r="H37" s="30">
        <f t="shared" si="0"/>
        <v>5350</v>
      </c>
      <c r="I37" s="206" t="s">
        <v>77</v>
      </c>
    </row>
    <row r="38" spans="1:9">
      <c r="A38" s="206">
        <v>34</v>
      </c>
      <c r="B38" s="26"/>
      <c r="C38" s="27" t="s">
        <v>603</v>
      </c>
      <c r="D38" s="13" t="s">
        <v>74</v>
      </c>
      <c r="E38" s="265" t="s">
        <v>61</v>
      </c>
      <c r="F38" s="28">
        <v>1</v>
      </c>
      <c r="G38" s="35">
        <v>17000</v>
      </c>
      <c r="H38" s="30">
        <f t="shared" si="0"/>
        <v>17000</v>
      </c>
      <c r="I38" s="206" t="s">
        <v>77</v>
      </c>
    </row>
    <row r="39" spans="1:9">
      <c r="A39" s="358" t="s">
        <v>465</v>
      </c>
      <c r="B39" s="359"/>
      <c r="C39" s="359"/>
      <c r="D39" s="359"/>
      <c r="E39" s="360"/>
      <c r="F39" s="26"/>
      <c r="G39" s="244"/>
      <c r="H39" s="245">
        <f>SUM(H5:H38)</f>
        <v>708036.05</v>
      </c>
      <c r="I39" s="245"/>
    </row>
    <row r="40" spans="1:9">
      <c r="A40" s="210"/>
      <c r="B40" s="210"/>
      <c r="C40" s="210"/>
      <c r="D40" s="210"/>
      <c r="E40" s="210"/>
      <c r="F40" s="53"/>
      <c r="G40" s="255"/>
      <c r="H40" s="255"/>
      <c r="I40" s="255"/>
    </row>
    <row r="41" spans="1:9" ht="21.75" customHeight="1"/>
    <row r="42" spans="1:9">
      <c r="F42" s="368" t="s">
        <v>225</v>
      </c>
      <c r="G42" s="368"/>
      <c r="H42" s="368"/>
      <c r="I42" s="368"/>
    </row>
    <row r="43" spans="1:9">
      <c r="F43" s="353" t="s">
        <v>1943</v>
      </c>
      <c r="G43" s="353"/>
      <c r="H43" s="353"/>
      <c r="I43" s="353"/>
    </row>
    <row r="44" spans="1:9">
      <c r="F44" s="353" t="s">
        <v>226</v>
      </c>
      <c r="G44" s="353"/>
      <c r="H44" s="353"/>
      <c r="I44" s="353"/>
    </row>
  </sheetData>
  <mergeCells count="7">
    <mergeCell ref="F43:I43"/>
    <mergeCell ref="F44:I44"/>
    <mergeCell ref="A1:I1"/>
    <mergeCell ref="A2:I2"/>
    <mergeCell ref="A3:I3"/>
    <mergeCell ref="A39:E39"/>
    <mergeCell ref="F42:I42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J60"/>
  <sheetViews>
    <sheetView zoomScaleNormal="100" workbookViewId="0">
      <selection activeCell="L48" sqref="L48"/>
    </sheetView>
  </sheetViews>
  <sheetFormatPr defaultColWidth="9" defaultRowHeight="23.25"/>
  <cols>
    <col min="1" max="1" width="5.42578125" style="1" customWidth="1"/>
    <col min="2" max="2" width="12.5703125" style="1" customWidth="1"/>
    <col min="3" max="3" width="25" style="1" customWidth="1"/>
    <col min="4" max="4" width="44.28515625" style="1" customWidth="1"/>
    <col min="5" max="5" width="7" style="1" customWidth="1"/>
    <col min="6" max="6" width="6.7109375" style="1" customWidth="1"/>
    <col min="7" max="7" width="12.28515625" style="1" customWidth="1"/>
    <col min="8" max="8" width="13.140625" style="1" customWidth="1"/>
    <col min="9" max="9" width="9.5703125" style="1" customWidth="1"/>
    <col min="10" max="10" width="14.28515625" style="1" customWidth="1"/>
    <col min="11" max="16384" width="9" style="1"/>
  </cols>
  <sheetData>
    <row r="1" spans="1:10">
      <c r="A1" s="386" t="s">
        <v>3</v>
      </c>
      <c r="B1" s="386"/>
      <c r="C1" s="386"/>
      <c r="D1" s="386"/>
      <c r="E1" s="386"/>
      <c r="F1" s="386"/>
      <c r="G1" s="386"/>
      <c r="H1" s="386"/>
      <c r="I1" s="386"/>
    </row>
    <row r="2" spans="1:10">
      <c r="A2" s="386" t="s">
        <v>598</v>
      </c>
      <c r="B2" s="386"/>
      <c r="C2" s="386"/>
      <c r="D2" s="386"/>
      <c r="E2" s="386"/>
      <c r="F2" s="386"/>
      <c r="G2" s="386"/>
      <c r="H2" s="386"/>
      <c r="I2" s="386"/>
    </row>
    <row r="3" spans="1:10">
      <c r="A3" s="387" t="s">
        <v>1781</v>
      </c>
      <c r="B3" s="387"/>
      <c r="C3" s="387"/>
      <c r="D3" s="387"/>
      <c r="E3" s="387"/>
      <c r="F3" s="387"/>
      <c r="G3" s="387"/>
      <c r="H3" s="387"/>
      <c r="I3" s="387"/>
    </row>
    <row r="4" spans="1:10" ht="45" customHeight="1">
      <c r="A4" s="152" t="s">
        <v>1898</v>
      </c>
      <c r="B4" s="152" t="s">
        <v>1902</v>
      </c>
      <c r="C4" s="152" t="s">
        <v>1903</v>
      </c>
      <c r="D4" s="83" t="s">
        <v>0</v>
      </c>
      <c r="E4" s="152" t="s">
        <v>1899</v>
      </c>
      <c r="F4" s="83" t="s">
        <v>1</v>
      </c>
      <c r="G4" s="152" t="s">
        <v>1900</v>
      </c>
      <c r="H4" s="152" t="s">
        <v>1907</v>
      </c>
      <c r="I4" s="152" t="s">
        <v>2</v>
      </c>
      <c r="J4" s="49"/>
    </row>
    <row r="5" spans="1:10">
      <c r="A5" s="2">
        <v>1</v>
      </c>
      <c r="B5" s="3"/>
      <c r="C5" s="17" t="s">
        <v>512</v>
      </c>
      <c r="D5" s="17" t="s">
        <v>542</v>
      </c>
      <c r="E5" s="15" t="s">
        <v>61</v>
      </c>
      <c r="F5" s="15">
        <v>1</v>
      </c>
      <c r="G5" s="9">
        <v>3600</v>
      </c>
      <c r="H5" s="9">
        <f>SUM(F5*G5)</f>
        <v>3600</v>
      </c>
      <c r="I5" s="54" t="s">
        <v>77</v>
      </c>
      <c r="J5" s="19"/>
    </row>
    <row r="6" spans="1:10">
      <c r="A6" s="2">
        <v>2</v>
      </c>
      <c r="B6" s="3"/>
      <c r="C6" s="17" t="s">
        <v>513</v>
      </c>
      <c r="D6" s="17" t="s">
        <v>543</v>
      </c>
      <c r="E6" s="15" t="s">
        <v>61</v>
      </c>
      <c r="F6" s="15">
        <v>1</v>
      </c>
      <c r="G6" s="9">
        <v>45000</v>
      </c>
      <c r="H6" s="9">
        <f t="shared" ref="H6:H45" si="0">SUM(F6*G6)</f>
        <v>45000</v>
      </c>
      <c r="I6" s="54" t="s">
        <v>77</v>
      </c>
      <c r="J6" s="19"/>
    </row>
    <row r="7" spans="1:10">
      <c r="A7" s="2">
        <v>3</v>
      </c>
      <c r="B7" s="3"/>
      <c r="C7" s="17" t="s">
        <v>514</v>
      </c>
      <c r="D7" s="12" t="s">
        <v>544</v>
      </c>
      <c r="E7" s="15" t="s">
        <v>61</v>
      </c>
      <c r="F7" s="15">
        <v>1</v>
      </c>
      <c r="G7" s="9">
        <v>8500</v>
      </c>
      <c r="H7" s="9">
        <f t="shared" si="0"/>
        <v>8500</v>
      </c>
      <c r="I7" s="54" t="s">
        <v>77</v>
      </c>
      <c r="J7" s="19"/>
    </row>
    <row r="8" spans="1:10">
      <c r="A8" s="2">
        <v>4</v>
      </c>
      <c r="B8" s="3"/>
      <c r="C8" s="17" t="s">
        <v>515</v>
      </c>
      <c r="D8" s="12" t="s">
        <v>545</v>
      </c>
      <c r="E8" s="15" t="s">
        <v>61</v>
      </c>
      <c r="F8" s="15">
        <v>1</v>
      </c>
      <c r="G8" s="9">
        <v>9000</v>
      </c>
      <c r="H8" s="9">
        <f t="shared" si="0"/>
        <v>9000</v>
      </c>
      <c r="I8" s="54" t="s">
        <v>77</v>
      </c>
      <c r="J8" s="19"/>
    </row>
    <row r="9" spans="1:10">
      <c r="A9" s="2">
        <v>5</v>
      </c>
      <c r="B9" s="3"/>
      <c r="C9" s="17" t="s">
        <v>516</v>
      </c>
      <c r="D9" s="12" t="s">
        <v>546</v>
      </c>
      <c r="E9" s="15" t="s">
        <v>62</v>
      </c>
      <c r="F9" s="15">
        <v>1</v>
      </c>
      <c r="G9" s="9">
        <v>53900</v>
      </c>
      <c r="H9" s="9">
        <f t="shared" si="0"/>
        <v>53900</v>
      </c>
      <c r="I9" s="54" t="s">
        <v>77</v>
      </c>
      <c r="J9" s="19"/>
    </row>
    <row r="10" spans="1:10">
      <c r="A10" s="2">
        <v>6</v>
      </c>
      <c r="B10" s="3"/>
      <c r="C10" s="17" t="s">
        <v>517</v>
      </c>
      <c r="D10" s="17" t="s">
        <v>547</v>
      </c>
      <c r="E10" s="15" t="s">
        <v>62</v>
      </c>
      <c r="F10" s="15">
        <v>3</v>
      </c>
      <c r="G10" s="9">
        <v>9400</v>
      </c>
      <c r="H10" s="9">
        <f t="shared" si="0"/>
        <v>28200</v>
      </c>
      <c r="I10" s="54" t="s">
        <v>77</v>
      </c>
      <c r="J10" s="19"/>
    </row>
    <row r="11" spans="1:10">
      <c r="A11" s="2">
        <v>8</v>
      </c>
      <c r="B11" s="16"/>
      <c r="C11" s="17" t="s">
        <v>518</v>
      </c>
      <c r="D11" s="17" t="s">
        <v>547</v>
      </c>
      <c r="E11" s="15" t="s">
        <v>62</v>
      </c>
      <c r="F11" s="15">
        <v>4</v>
      </c>
      <c r="G11" s="9">
        <v>7650</v>
      </c>
      <c r="H11" s="9">
        <f t="shared" si="0"/>
        <v>30600</v>
      </c>
      <c r="I11" s="54" t="s">
        <v>77</v>
      </c>
      <c r="J11" s="19"/>
    </row>
    <row r="12" spans="1:10">
      <c r="A12" s="2">
        <v>9</v>
      </c>
      <c r="B12" s="3"/>
      <c r="C12" s="17" t="s">
        <v>519</v>
      </c>
      <c r="D12" s="17" t="s">
        <v>542</v>
      </c>
      <c r="E12" s="15" t="s">
        <v>62</v>
      </c>
      <c r="F12" s="15">
        <v>4</v>
      </c>
      <c r="G12" s="9">
        <v>3600</v>
      </c>
      <c r="H12" s="9">
        <f t="shared" si="0"/>
        <v>14400</v>
      </c>
      <c r="I12" s="54" t="s">
        <v>77</v>
      </c>
      <c r="J12" s="19"/>
    </row>
    <row r="13" spans="1:10">
      <c r="A13" s="2">
        <v>10</v>
      </c>
      <c r="B13" s="3"/>
      <c r="C13" s="17" t="s">
        <v>520</v>
      </c>
      <c r="D13" s="12" t="s">
        <v>548</v>
      </c>
      <c r="E13" s="15" t="s">
        <v>563</v>
      </c>
      <c r="F13" s="15">
        <v>1</v>
      </c>
      <c r="G13" s="9">
        <v>15500</v>
      </c>
      <c r="H13" s="9">
        <f t="shared" si="0"/>
        <v>15500</v>
      </c>
      <c r="I13" s="54" t="s">
        <v>77</v>
      </c>
      <c r="J13" s="19"/>
    </row>
    <row r="14" spans="1:10">
      <c r="A14" s="2">
        <v>11</v>
      </c>
      <c r="B14" s="3"/>
      <c r="C14" s="17" t="s">
        <v>521</v>
      </c>
      <c r="D14" s="12" t="s">
        <v>549</v>
      </c>
      <c r="E14" s="15" t="s">
        <v>62</v>
      </c>
      <c r="F14" s="15">
        <v>1</v>
      </c>
      <c r="G14" s="9">
        <v>8700</v>
      </c>
      <c r="H14" s="9">
        <f t="shared" si="0"/>
        <v>8700</v>
      </c>
      <c r="I14" s="54" t="s">
        <v>77</v>
      </c>
      <c r="J14" s="19"/>
    </row>
    <row r="15" spans="1:10">
      <c r="A15" s="2">
        <v>12</v>
      </c>
      <c r="B15" s="3"/>
      <c r="C15" s="17" t="s">
        <v>522</v>
      </c>
      <c r="D15" s="12" t="s">
        <v>550</v>
      </c>
      <c r="E15" s="15" t="s">
        <v>62</v>
      </c>
      <c r="F15" s="15">
        <v>1</v>
      </c>
      <c r="G15" s="9">
        <v>3000</v>
      </c>
      <c r="H15" s="9">
        <f t="shared" si="0"/>
        <v>3000</v>
      </c>
      <c r="I15" s="54" t="s">
        <v>77</v>
      </c>
      <c r="J15" s="19"/>
    </row>
    <row r="16" spans="1:10">
      <c r="A16" s="2">
        <v>13</v>
      </c>
      <c r="B16" s="3"/>
      <c r="C16" s="17" t="s">
        <v>523</v>
      </c>
      <c r="D16" s="12" t="s">
        <v>551</v>
      </c>
      <c r="E16" s="15" t="s">
        <v>62</v>
      </c>
      <c r="F16" s="15">
        <v>1</v>
      </c>
      <c r="G16" s="9">
        <v>5990</v>
      </c>
      <c r="H16" s="9">
        <f t="shared" si="0"/>
        <v>5990</v>
      </c>
      <c r="I16" s="54" t="s">
        <v>77</v>
      </c>
      <c r="J16" s="19"/>
    </row>
    <row r="17" spans="1:10">
      <c r="A17" s="2">
        <v>14</v>
      </c>
      <c r="B17" s="16"/>
      <c r="C17" s="17" t="s">
        <v>524</v>
      </c>
      <c r="D17" s="12" t="s">
        <v>552</v>
      </c>
      <c r="E17" s="15" t="s">
        <v>62</v>
      </c>
      <c r="F17" s="15">
        <v>1</v>
      </c>
      <c r="G17" s="9">
        <v>2650</v>
      </c>
      <c r="H17" s="9">
        <f t="shared" si="0"/>
        <v>2650</v>
      </c>
      <c r="I17" s="54" t="s">
        <v>77</v>
      </c>
      <c r="J17" s="19"/>
    </row>
    <row r="18" spans="1:10">
      <c r="A18" s="2">
        <v>15</v>
      </c>
      <c r="B18" s="3"/>
      <c r="C18" s="17" t="s">
        <v>525</v>
      </c>
      <c r="D18" s="21" t="s">
        <v>553</v>
      </c>
      <c r="E18" s="15" t="s">
        <v>62</v>
      </c>
      <c r="F18" s="15">
        <v>2</v>
      </c>
      <c r="G18" s="8">
        <v>4050</v>
      </c>
      <c r="H18" s="9">
        <f t="shared" si="0"/>
        <v>8100</v>
      </c>
      <c r="I18" s="54" t="s">
        <v>77</v>
      </c>
      <c r="J18" s="19"/>
    </row>
    <row r="19" spans="1:10">
      <c r="A19" s="2">
        <v>16</v>
      </c>
      <c r="B19" s="3"/>
      <c r="C19" s="17" t="s">
        <v>526</v>
      </c>
      <c r="D19" s="12" t="s">
        <v>554</v>
      </c>
      <c r="E19" s="15" t="s">
        <v>61</v>
      </c>
      <c r="F19" s="15">
        <v>1</v>
      </c>
      <c r="G19" s="9">
        <v>130000</v>
      </c>
      <c r="H19" s="9">
        <f t="shared" si="0"/>
        <v>130000</v>
      </c>
      <c r="I19" s="54" t="s">
        <v>77</v>
      </c>
      <c r="J19" s="19"/>
    </row>
    <row r="20" spans="1:10">
      <c r="A20" s="2">
        <v>17</v>
      </c>
      <c r="B20" s="3"/>
      <c r="C20" s="17" t="s">
        <v>527</v>
      </c>
      <c r="D20" s="12" t="s">
        <v>555</v>
      </c>
      <c r="E20" s="15" t="s">
        <v>61</v>
      </c>
      <c r="F20" s="15">
        <v>1</v>
      </c>
      <c r="G20" s="9">
        <v>35000</v>
      </c>
      <c r="H20" s="9">
        <f t="shared" si="0"/>
        <v>35000</v>
      </c>
      <c r="I20" s="54" t="s">
        <v>77</v>
      </c>
      <c r="J20" s="19"/>
    </row>
    <row r="21" spans="1:10">
      <c r="A21" s="2">
        <v>18</v>
      </c>
      <c r="B21" s="3"/>
      <c r="C21" s="17" t="s">
        <v>528</v>
      </c>
      <c r="D21" s="12" t="s">
        <v>556</v>
      </c>
      <c r="E21" s="15" t="s">
        <v>61</v>
      </c>
      <c r="F21" s="15">
        <v>1</v>
      </c>
      <c r="G21" s="9">
        <v>462312</v>
      </c>
      <c r="H21" s="9">
        <f t="shared" si="0"/>
        <v>462312</v>
      </c>
      <c r="I21" s="54" t="s">
        <v>77</v>
      </c>
      <c r="J21" s="19"/>
    </row>
    <row r="22" spans="1:10">
      <c r="A22" s="2">
        <v>19</v>
      </c>
      <c r="B22" s="3"/>
      <c r="C22" s="17" t="s">
        <v>529</v>
      </c>
      <c r="D22" s="12" t="s">
        <v>557</v>
      </c>
      <c r="E22" s="15" t="s">
        <v>563</v>
      </c>
      <c r="F22" s="15">
        <v>1</v>
      </c>
      <c r="G22" s="9">
        <v>42000</v>
      </c>
      <c r="H22" s="9">
        <f t="shared" si="0"/>
        <v>42000</v>
      </c>
      <c r="I22" s="54" t="s">
        <v>77</v>
      </c>
      <c r="J22" s="19"/>
    </row>
    <row r="23" spans="1:10">
      <c r="A23" s="41">
        <v>20</v>
      </c>
      <c r="B23" s="20"/>
      <c r="C23" s="17" t="s">
        <v>530</v>
      </c>
      <c r="D23" s="12" t="s">
        <v>113</v>
      </c>
      <c r="E23" s="15" t="s">
        <v>563</v>
      </c>
      <c r="F23" s="15">
        <v>6</v>
      </c>
      <c r="G23" s="9">
        <v>20000</v>
      </c>
      <c r="H23" s="9">
        <f t="shared" si="0"/>
        <v>120000</v>
      </c>
      <c r="I23" s="54" t="s">
        <v>77</v>
      </c>
      <c r="J23" s="19"/>
    </row>
    <row r="24" spans="1:10">
      <c r="A24" s="41">
        <v>21</v>
      </c>
      <c r="B24" s="3"/>
      <c r="C24" s="24" t="s">
        <v>531</v>
      </c>
      <c r="D24" s="42" t="s">
        <v>558</v>
      </c>
      <c r="E24" s="2" t="s">
        <v>62</v>
      </c>
      <c r="F24" s="40">
        <v>1</v>
      </c>
      <c r="G24" s="9">
        <v>12990</v>
      </c>
      <c r="H24" s="9">
        <f t="shared" si="0"/>
        <v>12990</v>
      </c>
      <c r="I24" s="54" t="s">
        <v>78</v>
      </c>
      <c r="J24" s="19"/>
    </row>
    <row r="25" spans="1:10">
      <c r="A25" s="41">
        <v>22</v>
      </c>
      <c r="B25" s="3"/>
      <c r="C25" s="17" t="s">
        <v>532</v>
      </c>
      <c r="D25" s="12" t="s">
        <v>559</v>
      </c>
      <c r="E25" s="2" t="s">
        <v>61</v>
      </c>
      <c r="F25" s="40">
        <v>1</v>
      </c>
      <c r="G25" s="9">
        <v>1694000</v>
      </c>
      <c r="H25" s="9">
        <f t="shared" si="0"/>
        <v>1694000</v>
      </c>
      <c r="I25" s="54" t="s">
        <v>77</v>
      </c>
      <c r="J25" s="19"/>
    </row>
    <row r="26" spans="1:10">
      <c r="A26" s="41">
        <v>23</v>
      </c>
      <c r="B26" s="3"/>
      <c r="C26" s="17" t="s">
        <v>533</v>
      </c>
      <c r="D26" s="12" t="s">
        <v>157</v>
      </c>
      <c r="E26" s="2" t="s">
        <v>61</v>
      </c>
      <c r="F26" s="40">
        <v>1</v>
      </c>
      <c r="G26" s="9">
        <v>1100</v>
      </c>
      <c r="H26" s="9">
        <f t="shared" si="0"/>
        <v>1100</v>
      </c>
      <c r="I26" s="54" t="s">
        <v>77</v>
      </c>
      <c r="J26" s="19"/>
    </row>
    <row r="27" spans="1:10">
      <c r="A27" s="41">
        <v>24</v>
      </c>
      <c r="B27" s="3"/>
      <c r="C27" s="17" t="s">
        <v>534</v>
      </c>
      <c r="D27" s="12" t="s">
        <v>237</v>
      </c>
      <c r="E27" s="2" t="s">
        <v>61</v>
      </c>
      <c r="F27" s="40">
        <v>1</v>
      </c>
      <c r="G27" s="9">
        <v>3500</v>
      </c>
      <c r="H27" s="9">
        <f t="shared" si="0"/>
        <v>3500</v>
      </c>
      <c r="I27" s="54" t="s">
        <v>77</v>
      </c>
      <c r="J27" s="19"/>
    </row>
    <row r="28" spans="1:10">
      <c r="A28" s="41">
        <v>25</v>
      </c>
      <c r="B28" s="3"/>
      <c r="C28" s="17" t="s">
        <v>535</v>
      </c>
      <c r="D28" s="12" t="s">
        <v>429</v>
      </c>
      <c r="E28" s="2" t="s">
        <v>61</v>
      </c>
      <c r="F28" s="40">
        <v>1</v>
      </c>
      <c r="G28" s="9">
        <v>3750</v>
      </c>
      <c r="H28" s="9">
        <f t="shared" si="0"/>
        <v>3750</v>
      </c>
      <c r="I28" s="54" t="s">
        <v>77</v>
      </c>
      <c r="J28" s="19"/>
    </row>
    <row r="29" spans="1:10">
      <c r="A29" s="41">
        <v>26</v>
      </c>
      <c r="B29" s="3"/>
      <c r="C29" s="17" t="s">
        <v>536</v>
      </c>
      <c r="D29" s="12" t="s">
        <v>560</v>
      </c>
      <c r="E29" s="2" t="s">
        <v>61</v>
      </c>
      <c r="F29" s="40">
        <v>28</v>
      </c>
      <c r="G29" s="9">
        <v>16700</v>
      </c>
      <c r="H29" s="9">
        <f t="shared" si="0"/>
        <v>467600</v>
      </c>
      <c r="I29" s="54" t="s">
        <v>77</v>
      </c>
      <c r="J29" s="19"/>
    </row>
    <row r="30" spans="1:10">
      <c r="A30" s="41">
        <v>27</v>
      </c>
      <c r="B30" s="3"/>
      <c r="C30" s="24" t="s">
        <v>537</v>
      </c>
      <c r="D30" s="23" t="s">
        <v>74</v>
      </c>
      <c r="E30" s="2" t="s">
        <v>61</v>
      </c>
      <c r="F30" s="40">
        <v>20</v>
      </c>
      <c r="G30" s="22">
        <v>18495</v>
      </c>
      <c r="H30" s="9">
        <f t="shared" si="0"/>
        <v>369900</v>
      </c>
      <c r="I30" s="54" t="s">
        <v>77</v>
      </c>
      <c r="J30" s="19"/>
    </row>
    <row r="31" spans="1:10">
      <c r="A31" s="41">
        <v>28</v>
      </c>
      <c r="B31" s="3"/>
      <c r="C31" s="17" t="s">
        <v>538</v>
      </c>
      <c r="D31" s="12" t="s">
        <v>561</v>
      </c>
      <c r="E31" s="2" t="s">
        <v>61</v>
      </c>
      <c r="F31" s="40">
        <v>1</v>
      </c>
      <c r="G31" s="9">
        <v>30000</v>
      </c>
      <c r="H31" s="9">
        <f t="shared" si="0"/>
        <v>30000</v>
      </c>
      <c r="I31" s="54" t="s">
        <v>77</v>
      </c>
      <c r="J31" s="19"/>
    </row>
    <row r="32" spans="1:10">
      <c r="A32" s="41">
        <v>29</v>
      </c>
      <c r="B32" s="3"/>
      <c r="C32" s="17" t="s">
        <v>539</v>
      </c>
      <c r="D32" s="12" t="s">
        <v>74</v>
      </c>
      <c r="E32" s="2" t="s">
        <v>61</v>
      </c>
      <c r="F32" s="40">
        <v>1</v>
      </c>
      <c r="G32" s="9">
        <v>17000</v>
      </c>
      <c r="H32" s="9">
        <f t="shared" si="0"/>
        <v>17000</v>
      </c>
      <c r="I32" s="54" t="s">
        <v>77</v>
      </c>
      <c r="J32" s="19"/>
    </row>
    <row r="33" spans="1:10">
      <c r="A33" s="41">
        <v>30</v>
      </c>
      <c r="B33" s="3"/>
      <c r="C33" s="17" t="s">
        <v>540</v>
      </c>
      <c r="D33" s="12" t="s">
        <v>74</v>
      </c>
      <c r="E33" s="2" t="s">
        <v>61</v>
      </c>
      <c r="F33" s="40">
        <v>10</v>
      </c>
      <c r="G33" s="9">
        <v>19400</v>
      </c>
      <c r="H33" s="9">
        <f t="shared" si="0"/>
        <v>194000</v>
      </c>
      <c r="I33" s="54" t="s">
        <v>77</v>
      </c>
      <c r="J33" s="19"/>
    </row>
    <row r="34" spans="1:10">
      <c r="A34" s="41">
        <v>31</v>
      </c>
      <c r="B34" s="3"/>
      <c r="C34" s="17" t="s">
        <v>541</v>
      </c>
      <c r="D34" s="12" t="s">
        <v>562</v>
      </c>
      <c r="E34" s="2" t="s">
        <v>61</v>
      </c>
      <c r="F34" s="40">
        <v>1</v>
      </c>
      <c r="G34" s="9">
        <v>70000</v>
      </c>
      <c r="H34" s="9">
        <f t="shared" si="0"/>
        <v>70000</v>
      </c>
      <c r="I34" s="54" t="s">
        <v>77</v>
      </c>
      <c r="J34" s="19"/>
    </row>
    <row r="35" spans="1:10">
      <c r="A35" s="41">
        <v>32</v>
      </c>
      <c r="B35" s="3"/>
      <c r="C35" s="17" t="s">
        <v>564</v>
      </c>
      <c r="D35" s="12" t="s">
        <v>583</v>
      </c>
      <c r="E35" s="43" t="s">
        <v>61</v>
      </c>
      <c r="F35" s="15">
        <v>34</v>
      </c>
      <c r="G35" s="9">
        <v>2535</v>
      </c>
      <c r="H35" s="9">
        <f t="shared" si="0"/>
        <v>86190</v>
      </c>
      <c r="I35" s="54" t="s">
        <v>78</v>
      </c>
      <c r="J35" s="19"/>
    </row>
    <row r="36" spans="1:10">
      <c r="A36" s="41">
        <v>33</v>
      </c>
      <c r="B36" s="20"/>
      <c r="C36" s="17" t="s">
        <v>565</v>
      </c>
      <c r="D36" s="12" t="s">
        <v>1826</v>
      </c>
      <c r="E36" s="43" t="s">
        <v>61</v>
      </c>
      <c r="F36" s="15">
        <v>2</v>
      </c>
      <c r="G36" s="9">
        <v>858</v>
      </c>
      <c r="H36" s="9">
        <f t="shared" si="0"/>
        <v>1716</v>
      </c>
      <c r="I36" s="54" t="s">
        <v>77</v>
      </c>
      <c r="J36" s="19"/>
    </row>
    <row r="37" spans="1:10">
      <c r="A37" s="41">
        <v>34</v>
      </c>
      <c r="B37" s="3"/>
      <c r="C37" s="17" t="s">
        <v>566</v>
      </c>
      <c r="D37" s="12" t="s">
        <v>584</v>
      </c>
      <c r="E37" s="43" t="s">
        <v>61</v>
      </c>
      <c r="F37" s="15">
        <v>2</v>
      </c>
      <c r="G37" s="9">
        <v>4550</v>
      </c>
      <c r="H37" s="9">
        <f t="shared" si="0"/>
        <v>9100</v>
      </c>
      <c r="I37" s="54" t="s">
        <v>77</v>
      </c>
      <c r="J37" s="19"/>
    </row>
    <row r="38" spans="1:10">
      <c r="A38" s="41">
        <v>35</v>
      </c>
      <c r="B38" s="3"/>
      <c r="C38" s="17" t="s">
        <v>567</v>
      </c>
      <c r="D38" s="12" t="s">
        <v>585</v>
      </c>
      <c r="E38" s="43" t="s">
        <v>61</v>
      </c>
      <c r="F38" s="15">
        <v>5</v>
      </c>
      <c r="G38" s="9">
        <v>3250</v>
      </c>
      <c r="H38" s="9">
        <f t="shared" si="0"/>
        <v>16250</v>
      </c>
      <c r="I38" s="54" t="s">
        <v>78</v>
      </c>
      <c r="J38" s="19"/>
    </row>
    <row r="39" spans="1:10">
      <c r="A39" s="41">
        <v>36</v>
      </c>
      <c r="B39" s="3"/>
      <c r="C39" s="17" t="s">
        <v>568</v>
      </c>
      <c r="D39" s="12" t="s">
        <v>586</v>
      </c>
      <c r="E39" s="43" t="s">
        <v>61</v>
      </c>
      <c r="F39" s="15">
        <v>27</v>
      </c>
      <c r="G39" s="9">
        <v>858</v>
      </c>
      <c r="H39" s="9">
        <f t="shared" si="0"/>
        <v>23166</v>
      </c>
      <c r="I39" s="54" t="s">
        <v>77</v>
      </c>
      <c r="J39" s="19"/>
    </row>
    <row r="40" spans="1:10">
      <c r="A40" s="41">
        <v>37</v>
      </c>
      <c r="B40" s="3"/>
      <c r="C40" s="17" t="s">
        <v>569</v>
      </c>
      <c r="D40" s="12" t="s">
        <v>587</v>
      </c>
      <c r="E40" s="43" t="s">
        <v>61</v>
      </c>
      <c r="F40" s="15">
        <v>1</v>
      </c>
      <c r="G40" s="9">
        <v>71050</v>
      </c>
      <c r="H40" s="9">
        <f t="shared" si="0"/>
        <v>71050</v>
      </c>
      <c r="I40" s="54" t="s">
        <v>78</v>
      </c>
      <c r="J40" s="19"/>
    </row>
    <row r="41" spans="1:10">
      <c r="A41" s="41">
        <v>38</v>
      </c>
      <c r="B41" s="3"/>
      <c r="C41" s="17" t="s">
        <v>570</v>
      </c>
      <c r="D41" s="12" t="s">
        <v>588</v>
      </c>
      <c r="E41" s="43" t="s">
        <v>61</v>
      </c>
      <c r="F41" s="15">
        <v>1</v>
      </c>
      <c r="G41" s="9">
        <v>52000</v>
      </c>
      <c r="H41" s="9">
        <f t="shared" si="0"/>
        <v>52000</v>
      </c>
      <c r="I41" s="54" t="s">
        <v>78</v>
      </c>
      <c r="J41" s="19"/>
    </row>
    <row r="42" spans="1:10">
      <c r="A42" s="41">
        <v>39</v>
      </c>
      <c r="B42" s="3"/>
      <c r="C42" s="17" t="s">
        <v>571</v>
      </c>
      <c r="D42" s="12" t="s">
        <v>589</v>
      </c>
      <c r="E42" s="43" t="s">
        <v>61</v>
      </c>
      <c r="F42" s="15">
        <v>1</v>
      </c>
      <c r="G42" s="9">
        <v>45500</v>
      </c>
      <c r="H42" s="9">
        <f t="shared" si="0"/>
        <v>45500</v>
      </c>
      <c r="I42" s="54" t="s">
        <v>78</v>
      </c>
      <c r="J42" s="19"/>
    </row>
    <row r="43" spans="1:10">
      <c r="A43" s="41">
        <v>40</v>
      </c>
      <c r="B43" s="3"/>
      <c r="C43" s="17" t="s">
        <v>572</v>
      </c>
      <c r="D43" s="12" t="s">
        <v>590</v>
      </c>
      <c r="E43" s="43" t="s">
        <v>61</v>
      </c>
      <c r="F43" s="15">
        <v>7</v>
      </c>
      <c r="G43" s="9">
        <v>28500</v>
      </c>
      <c r="H43" s="9">
        <f t="shared" si="0"/>
        <v>199500</v>
      </c>
      <c r="I43" s="54" t="s">
        <v>78</v>
      </c>
      <c r="J43" s="19"/>
    </row>
    <row r="44" spans="1:10">
      <c r="A44" s="41">
        <v>41</v>
      </c>
      <c r="B44" s="3"/>
      <c r="C44" s="17" t="s">
        <v>573</v>
      </c>
      <c r="D44" s="12" t="s">
        <v>586</v>
      </c>
      <c r="E44" s="43" t="s">
        <v>61</v>
      </c>
      <c r="F44" s="15">
        <v>7</v>
      </c>
      <c r="G44" s="9">
        <v>850</v>
      </c>
      <c r="H44" s="9">
        <f t="shared" si="0"/>
        <v>5950</v>
      </c>
      <c r="I44" s="54" t="s">
        <v>77</v>
      </c>
      <c r="J44" s="19"/>
    </row>
    <row r="45" spans="1:10">
      <c r="A45" s="41">
        <v>42</v>
      </c>
      <c r="B45" s="3"/>
      <c r="C45" s="17" t="s">
        <v>574</v>
      </c>
      <c r="D45" s="12" t="s">
        <v>287</v>
      </c>
      <c r="E45" s="43" t="s">
        <v>61</v>
      </c>
      <c r="F45" s="15">
        <v>7</v>
      </c>
      <c r="G45" s="9">
        <v>18150</v>
      </c>
      <c r="H45" s="9">
        <f t="shared" si="0"/>
        <v>127050</v>
      </c>
      <c r="I45" s="54" t="s">
        <v>78</v>
      </c>
      <c r="J45" s="19"/>
    </row>
    <row r="46" spans="1:10">
      <c r="A46" s="388" t="s">
        <v>1910</v>
      </c>
      <c r="B46" s="389"/>
      <c r="C46" s="389"/>
      <c r="D46" s="390"/>
      <c r="E46" s="43"/>
      <c r="F46" s="15"/>
      <c r="G46" s="9"/>
      <c r="H46" s="9">
        <f>SUM(H5:H45)</f>
        <v>4527764</v>
      </c>
      <c r="I46" s="74"/>
      <c r="J46" s="19"/>
    </row>
    <row r="47" spans="1:10">
      <c r="A47" s="388" t="s">
        <v>1911</v>
      </c>
      <c r="B47" s="389"/>
      <c r="C47" s="389"/>
      <c r="D47" s="390"/>
      <c r="E47" s="43"/>
      <c r="F47" s="15"/>
      <c r="G47" s="9"/>
      <c r="H47" s="9">
        <f>SUM(H46)</f>
        <v>4527764</v>
      </c>
      <c r="I47" s="74"/>
      <c r="J47" s="19"/>
    </row>
    <row r="48" spans="1:10">
      <c r="A48" s="41">
        <v>43</v>
      </c>
      <c r="B48" s="3"/>
      <c r="C48" s="24" t="s">
        <v>575</v>
      </c>
      <c r="D48" s="42" t="s">
        <v>591</v>
      </c>
      <c r="E48" s="15" t="s">
        <v>192</v>
      </c>
      <c r="F48" s="15">
        <v>4</v>
      </c>
      <c r="G48" s="9">
        <v>24880</v>
      </c>
      <c r="H48" s="9">
        <f t="shared" ref="H48:H55" si="1">SUM(F48*G48)</f>
        <v>99520</v>
      </c>
      <c r="I48" s="54" t="s">
        <v>78</v>
      </c>
      <c r="J48" s="19"/>
    </row>
    <row r="49" spans="1:10">
      <c r="A49" s="41">
        <v>44</v>
      </c>
      <c r="B49" s="3"/>
      <c r="C49" s="24" t="s">
        <v>576</v>
      </c>
      <c r="D49" s="42" t="s">
        <v>591</v>
      </c>
      <c r="E49" s="15" t="s">
        <v>192</v>
      </c>
      <c r="F49" s="15">
        <v>1</v>
      </c>
      <c r="G49" s="9">
        <v>24800</v>
      </c>
      <c r="H49" s="9">
        <f t="shared" si="1"/>
        <v>24800</v>
      </c>
      <c r="I49" s="54" t="s">
        <v>78</v>
      </c>
      <c r="J49" s="19"/>
    </row>
    <row r="50" spans="1:10">
      <c r="A50" s="41">
        <v>45</v>
      </c>
      <c r="B50" s="3"/>
      <c r="C50" s="24" t="s">
        <v>577</v>
      </c>
      <c r="D50" s="42" t="s">
        <v>592</v>
      </c>
      <c r="E50" s="15" t="s">
        <v>192</v>
      </c>
      <c r="F50" s="15">
        <v>4</v>
      </c>
      <c r="G50" s="9">
        <v>18650</v>
      </c>
      <c r="H50" s="9">
        <f t="shared" si="1"/>
        <v>74600</v>
      </c>
      <c r="I50" s="54" t="s">
        <v>78</v>
      </c>
      <c r="J50" s="19"/>
    </row>
    <row r="51" spans="1:10">
      <c r="A51" s="41">
        <v>46</v>
      </c>
      <c r="B51" s="3"/>
      <c r="C51" s="24" t="s">
        <v>578</v>
      </c>
      <c r="D51" s="42" t="s">
        <v>593</v>
      </c>
      <c r="E51" s="15" t="s">
        <v>192</v>
      </c>
      <c r="F51" s="15">
        <v>2</v>
      </c>
      <c r="G51" s="9">
        <v>40000</v>
      </c>
      <c r="H51" s="9">
        <f t="shared" si="1"/>
        <v>80000</v>
      </c>
      <c r="I51" s="54" t="s">
        <v>78</v>
      </c>
      <c r="J51" s="19"/>
    </row>
    <row r="52" spans="1:10">
      <c r="A52" s="41">
        <v>47</v>
      </c>
      <c r="B52" s="3"/>
      <c r="C52" s="17" t="s">
        <v>579</v>
      </c>
      <c r="D52" s="12" t="s">
        <v>594</v>
      </c>
      <c r="E52" s="15" t="s">
        <v>192</v>
      </c>
      <c r="F52" s="40">
        <v>1</v>
      </c>
      <c r="G52" s="9">
        <v>12600</v>
      </c>
      <c r="H52" s="9">
        <f t="shared" si="1"/>
        <v>12600</v>
      </c>
      <c r="I52" s="54" t="s">
        <v>78</v>
      </c>
      <c r="J52" s="19"/>
    </row>
    <row r="53" spans="1:10">
      <c r="A53" s="41">
        <v>48</v>
      </c>
      <c r="B53" s="3"/>
      <c r="C53" s="17" t="s">
        <v>580</v>
      </c>
      <c r="D53" s="12" t="s">
        <v>595</v>
      </c>
      <c r="E53" s="15" t="s">
        <v>192</v>
      </c>
      <c r="F53" s="40">
        <v>1</v>
      </c>
      <c r="G53" s="9">
        <v>11900</v>
      </c>
      <c r="H53" s="9">
        <f t="shared" si="1"/>
        <v>11900</v>
      </c>
      <c r="I53" s="54" t="s">
        <v>78</v>
      </c>
      <c r="J53" s="19"/>
    </row>
    <row r="54" spans="1:10">
      <c r="A54" s="41">
        <v>49</v>
      </c>
      <c r="B54" s="3"/>
      <c r="C54" s="17" t="s">
        <v>581</v>
      </c>
      <c r="D54" s="12" t="s">
        <v>596</v>
      </c>
      <c r="E54" s="15" t="s">
        <v>192</v>
      </c>
      <c r="F54" s="40">
        <v>1</v>
      </c>
      <c r="G54" s="9">
        <v>3500</v>
      </c>
      <c r="H54" s="9">
        <f t="shared" si="1"/>
        <v>3500</v>
      </c>
      <c r="I54" s="54" t="s">
        <v>78</v>
      </c>
      <c r="J54" s="19"/>
    </row>
    <row r="55" spans="1:10">
      <c r="A55" s="41">
        <v>50</v>
      </c>
      <c r="B55" s="3"/>
      <c r="C55" s="17" t="s">
        <v>582</v>
      </c>
      <c r="D55" s="12" t="s">
        <v>597</v>
      </c>
      <c r="E55" s="15" t="s">
        <v>192</v>
      </c>
      <c r="F55" s="40">
        <v>1</v>
      </c>
      <c r="G55" s="9">
        <v>6000</v>
      </c>
      <c r="H55" s="9">
        <f t="shared" si="1"/>
        <v>6000</v>
      </c>
      <c r="I55" s="54" t="s">
        <v>78</v>
      </c>
      <c r="J55" s="19"/>
    </row>
    <row r="56" spans="1:10">
      <c r="A56" s="383" t="s">
        <v>465</v>
      </c>
      <c r="B56" s="384"/>
      <c r="C56" s="384"/>
      <c r="D56" s="384"/>
      <c r="E56" s="385"/>
      <c r="F56" s="3"/>
      <c r="G56" s="50"/>
      <c r="H56" s="50">
        <f>SUM(H47:H55)</f>
        <v>4840684</v>
      </c>
      <c r="I56" s="4"/>
      <c r="J56" s="51"/>
    </row>
    <row r="57" spans="1:10" ht="42.75" customHeight="1"/>
    <row r="58" spans="1:10">
      <c r="F58" s="382" t="s">
        <v>225</v>
      </c>
      <c r="G58" s="382"/>
      <c r="H58" s="382"/>
      <c r="I58" s="382"/>
      <c r="J58" s="51"/>
    </row>
    <row r="59" spans="1:10">
      <c r="F59" s="382" t="s">
        <v>1755</v>
      </c>
      <c r="G59" s="382"/>
      <c r="H59" s="382"/>
      <c r="I59" s="382"/>
      <c r="J59" s="51"/>
    </row>
    <row r="60" spans="1:10">
      <c r="F60" s="382" t="s">
        <v>226</v>
      </c>
      <c r="G60" s="382"/>
      <c r="H60" s="382"/>
      <c r="I60" s="382"/>
      <c r="J60" s="51"/>
    </row>
  </sheetData>
  <mergeCells count="9">
    <mergeCell ref="F58:I58"/>
    <mergeCell ref="F59:I59"/>
    <mergeCell ref="F60:I60"/>
    <mergeCell ref="A56:E56"/>
    <mergeCell ref="A1:I1"/>
    <mergeCell ref="A2:I2"/>
    <mergeCell ref="A3:I3"/>
    <mergeCell ref="A46:D46"/>
    <mergeCell ref="A47:D47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38</vt:i4>
      </vt:variant>
      <vt:variant>
        <vt:lpstr>ช่วงที่มีชื่อ</vt:lpstr>
      </vt:variant>
      <vt:variant>
        <vt:i4>8</vt:i4>
      </vt:variant>
    </vt:vector>
  </HeadingPairs>
  <TitlesOfParts>
    <vt:vector size="46" baseType="lpstr">
      <vt:lpstr>แผนกช่างยนต์</vt:lpstr>
      <vt:lpstr>แผนกเครื่องกลอุตสาหกรรม</vt:lpstr>
      <vt:lpstr>แผนกช่างเชื่อมโลหะ</vt:lpstr>
      <vt:lpstr>แผนกเทคนิคพื้นฐาน</vt:lpstr>
      <vt:lpstr>แผนกช่างไฟฟ้ากำลัง</vt:lpstr>
      <vt:lpstr>แผนกช่างกลโรงงาน</vt:lpstr>
      <vt:lpstr>แผนกช่างอิเล็กทรอนิคส์</vt:lpstr>
      <vt:lpstr>แผนกคอมพิวเตอร์</vt:lpstr>
      <vt:lpstr>แผนกการตลาด</vt:lpstr>
      <vt:lpstr>แผนกการโรมแรม</vt:lpstr>
      <vt:lpstr>แผนกการบัญชี</vt:lpstr>
      <vt:lpstr>แผนกก่อสร้าง</vt:lpstr>
      <vt:lpstr>แผนกสามัญสัมพันธ์</vt:lpstr>
      <vt:lpstr>งานทะเบียน</vt:lpstr>
      <vt:lpstr>งานบริหารงานทั่วไป</vt:lpstr>
      <vt:lpstr>งานพัสดุ</vt:lpstr>
      <vt:lpstr>งานบัญชี</vt:lpstr>
      <vt:lpstr>งานบุคลากร</vt:lpstr>
      <vt:lpstr>งานการเงิน</vt:lpstr>
      <vt:lpstr>งานอาคารสถานที่</vt:lpstr>
      <vt:lpstr>งานประชาสัมพันธ์</vt:lpstr>
      <vt:lpstr>งานโครงการพิเศษ</vt:lpstr>
      <vt:lpstr>งานกิจกรรม</vt:lpstr>
      <vt:lpstr>งานแนะแนว</vt:lpstr>
      <vt:lpstr>งานสวัสดิการ</vt:lpstr>
      <vt:lpstr>งานครูที่ปรึกษา</vt:lpstr>
      <vt:lpstr>งานปกครอง</vt:lpstr>
      <vt:lpstr>งานวางแผน</vt:lpstr>
      <vt:lpstr>งานส่งเสริมผลิตผลการค้า</vt:lpstr>
      <vt:lpstr>งานประกันคุณภาพ</vt:lpstr>
      <vt:lpstr>งานวิจัยฯ</vt:lpstr>
      <vt:lpstr>งานความร่วมมือ</vt:lpstr>
      <vt:lpstr>งานศูนย์ข้อมูลฯ</vt:lpstr>
      <vt:lpstr>งานทวิภาคี</vt:lpstr>
      <vt:lpstr>งานพัฒนาหลักสูตร</vt:lpstr>
      <vt:lpstr>งานวัดผลและประเมินผล</vt:lpstr>
      <vt:lpstr>งานวิทยบริการและห้องสมุด</vt:lpstr>
      <vt:lpstr>งานสื่อการเรียนการสอน</vt:lpstr>
      <vt:lpstr>แผนกสามัญสัมพันธ์!Print_Area</vt:lpstr>
      <vt:lpstr>งานพัสดุ!Print_Titles</vt:lpstr>
      <vt:lpstr>งานสื่อการเรียนการสอน!Print_Titles</vt:lpstr>
      <vt:lpstr>งานอาคารสถานที่!Print_Titles</vt:lpstr>
      <vt:lpstr>แผนกคอมพิวเตอร์!Print_Titles</vt:lpstr>
      <vt:lpstr>แผนกช่างไฟฟ้ากำลัง!Print_Titles</vt:lpstr>
      <vt:lpstr>แผนกช่างยนต์!Print_Titles</vt:lpstr>
      <vt:lpstr>แผนกช่างอิเล็กทรอนิคส์!Print_Titles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2021-10-14T09:05:23Z</cp:lastPrinted>
  <dcterms:created xsi:type="dcterms:W3CDTF">2017-11-14T01:32:33Z</dcterms:created>
  <dcterms:modified xsi:type="dcterms:W3CDTF">2021-10-14T09:24:54Z</dcterms:modified>
</cp:coreProperties>
</file>