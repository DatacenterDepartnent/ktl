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05C40237-A83F-45F9-83C0-89B147BAFBE5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เชื่อมโลหะ" sheetId="3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0" i="30" l="1"/>
  <c r="H6" i="30" l="1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5" i="30"/>
  <c r="H41" i="30" s="1"/>
</calcChain>
</file>

<file path=xl/sharedStrings.xml><?xml version="1.0" encoding="utf-8"?>
<sst xmlns="http://schemas.openxmlformats.org/spreadsheetml/2006/main" count="151" uniqueCount="94">
  <si>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</si>
  <si>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</si>
  <si>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</si>
  <si>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</si>
  <si>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</si>
  <si>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</si>
  <si>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</si>
  <si>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</si>
  <si>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เครื่องฉายภาพทึบแสง</t>
  </si>
  <si>
    <t>ชุดเครื่องคอมพิวเตอร์</t>
  </si>
  <si>
    <t xml:space="preserve"> สถานศึกษา วิทยาลัยเทคนิคกันทรลักษ์</t>
  </si>
  <si>
    <t>5130-007-0004/391-001</t>
  </si>
  <si>
    <t>สว่านไฟฟ้าตั้งโต๊ะ  13 มม.</t>
  </si>
  <si>
    <t>3433-002-0002/391-001</t>
  </si>
  <si>
    <t>เครื่องตัดด้วยแก๊สแบบอัตโนมัติชนิดตัดตรง</t>
  </si>
  <si>
    <t>3441-007-0001/391-001</t>
  </si>
  <si>
    <t>เครื่องพับกล่อง ขนาด 1200  มม.</t>
  </si>
  <si>
    <t>7110-007-0013/391-001-391-010</t>
  </si>
  <si>
    <t>โต๊ะเชื่อมแก๊สพร้อมเก้าอี้</t>
  </si>
  <si>
    <t>3438-009-0001/391-001-391-010</t>
  </si>
  <si>
    <t>บู๊ชเชื่อมไฟฟ้า</t>
  </si>
  <si>
    <t>7110-007-0003/391-001-391-010</t>
  </si>
  <si>
    <t>โต๊ะเชื่อมไฟฟ้าพร้อมเก้าอี้</t>
  </si>
  <si>
    <t>3470-002-0003/391-001,003</t>
  </si>
  <si>
    <t>ชุดเชื่อมแก๊สแบบเคลื่อนที่พร้อมอุปกรณ์</t>
  </si>
  <si>
    <t>3455-007-0001/391-001</t>
  </si>
  <si>
    <t>เครื่องตัดแบบคันโยก</t>
  </si>
  <si>
    <t>3470-002-0001/391-001</t>
  </si>
  <si>
    <t>ชุดเครื่องมือและอุปกรณ์งานเชื่อมแก๊ส</t>
  </si>
  <si>
    <t>3431-003-0001/391-001-391-010</t>
  </si>
  <si>
    <t>เครื่องเชื่อมไฟฟ้าแบบAC/DCขนาด250 A</t>
  </si>
  <si>
    <t>4710-007-0002/391-001-391-005</t>
  </si>
  <si>
    <t>ชุดท่อบรรจุแก๊ส ขนาด 40 ลิตร</t>
  </si>
  <si>
    <t>4710-007-0003/391-001-391-005</t>
  </si>
  <si>
    <t>ชุดท่อบรรจุแก๊ส ออกซิเจนขนาด40ลิตร</t>
  </si>
  <si>
    <t>7110-007-0015/391-001</t>
  </si>
  <si>
    <t>โต๊ะปฏิบัติงานบัดกรี</t>
  </si>
  <si>
    <t>3470-003-0002/391-001</t>
  </si>
  <si>
    <t>ชุดเครื่องมือและอุปกรณ์งานโลหะแผ่น</t>
  </si>
  <si>
    <t>7510-012-0001/391-001</t>
  </si>
  <si>
    <t>4530-001-0001/391-002</t>
  </si>
  <si>
    <t>เตาเผาหัวแร้งชนิดใช้แก๊ส</t>
  </si>
  <si>
    <t>7440-001-0001/462-003</t>
  </si>
  <si>
    <t>3441-001-0001/461-001</t>
  </si>
  <si>
    <t>เครื่องดัดท่อแบบขับเคลื่อนด้วยมอเตอร์</t>
  </si>
  <si>
    <t>3470-005-0001/471-001</t>
  </si>
  <si>
    <t>เครื่องเชื่อมพลาสติก</t>
  </si>
  <si>
    <t>3445-002-0002/471-001</t>
  </si>
  <si>
    <t>เครื่องตัดอลูมิเนี่ยม</t>
  </si>
  <si>
    <t>7110-002-0006/492-077-078</t>
  </si>
  <si>
    <t>ตู้กระจก 2 บานเลื่อน 4 ฟุต</t>
  </si>
  <si>
    <t>3431-003-0002/502-001</t>
  </si>
  <si>
    <t>เครื่องเชื่อมไฟฟ้าINVERTER 2ระบบ</t>
  </si>
  <si>
    <t>3431-003-0004/511-001-002</t>
  </si>
  <si>
    <t>3431-003-0003/511-001-002</t>
  </si>
  <si>
    <t>3415-001-0003/511-001</t>
  </si>
  <si>
    <t>6730-001-0003/521-002</t>
  </si>
  <si>
    <t>เครื่องฉายโปรเจคเตอร์ SONY UPL-ES-7</t>
  </si>
  <si>
    <t>3445-002-0002/521-002</t>
  </si>
  <si>
    <t>3470-002-0003/531-010</t>
  </si>
  <si>
    <t>เครื่องเชื่อม  Tig 200 พร้อมอุปกรณ์</t>
  </si>
  <si>
    <t>3470-002-0003/531-009</t>
  </si>
  <si>
    <t>เครื่องเชื่อม  mig 200 พร้อมอุปกรณ์</t>
  </si>
  <si>
    <t>3470-002-0003/531-005-008</t>
  </si>
  <si>
    <t>เครื่องเชื่อม  orbit -220</t>
  </si>
  <si>
    <t>3470-002-0004/531-001-004</t>
  </si>
  <si>
    <t>3433-002-0002/531-001</t>
  </si>
  <si>
    <t>เครื่องตัดพลาสมา  orbit</t>
  </si>
  <si>
    <t>6730-007-0001/571-001</t>
  </si>
  <si>
    <t>3433-002-0003/571-001</t>
  </si>
  <si>
    <t>เครื่องตัดพลาสม่า ชนิดใช้อากาศ</t>
  </si>
  <si>
    <t>3431-003-0003/571-001-005</t>
  </si>
  <si>
    <t>เครื่องเชื่อมมิก ขนาด 250A</t>
  </si>
  <si>
    <t>ถังแก๊สหุ่งต้ม ขนาด 50 กก.พร้อมอุปกรณ์ปรับความดัน</t>
  </si>
  <si>
    <t>เครื่องเชื่อมทิก ขนาด 250 A WIM MODEL: TG300P</t>
  </si>
  <si>
    <t>เครื่องเชื่อมมิก ขนาด 250 A MODEL : KEMPOWELD 4000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</si>
  <si>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</si>
  <si>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</si>
  <si>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</si>
  <si>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</si>
  <si>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</si>
  <si>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</si>
  <si>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</si>
  <si>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</si>
  <si>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8 มิ.ย.64</t>
  </si>
  <si>
    <t>7440-010-0002/642-005(13)</t>
  </si>
  <si>
    <t>เครื่องพิมพ์เลเซอร์</t>
  </si>
  <si>
    <t>(นายจักรกฤษณ์  พันธ์ศรี)</t>
  </si>
  <si>
    <t>2539</t>
  </si>
  <si>
    <t>2552</t>
  </si>
  <si>
    <t>2553</t>
  </si>
  <si>
    <t>2557</t>
  </si>
  <si>
    <t>ประจำปี 2564  ณ วันที่ 30 กันยายน 2564</t>
  </si>
  <si>
    <t>บัญชีรายการ  แผนกวิชาช่างเชื่อมโลหะ 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</si>
</sst>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61">
    <xf numFmtId="0" fontId="0" fillId="0" borderId="0" xfId="0"/>
    <xf numFmtId="0" fontId="2" fillId="0" borderId="1" xfId="6" applyFont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2" borderId="1" xfId="0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43" fontId="4" fillId="2" borderId="1" xfId="1" applyFont="1" applyFill="1" applyBorder="1"/>
    <xf numFmtId="0" fontId="5" fillId="0" borderId="1" xfId="0" applyFont="1" applyBorder="1" applyAlignment="1">
      <alignment horizontal="center" vertical="center"/>
    </xf>
    <xf numFmtId="0" fontId="4" fillId="2" borderId="1" xfId="6" applyFont="1" applyFill="1" applyBorder="1"/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49" fontId="4" fillId="2" borderId="1" xfId="13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vertical="top"/>
    </xf>
    <xf numFmtId="0" fontId="4" fillId="0" borderId="1" xfId="8" applyFont="1" applyBorder="1"/>
    <xf numFmtId="0" fontId="4" fillId="0" borderId="1" xfId="6" applyFont="1" applyBorder="1" applyAlignment="1">
      <alignment vertical="top" wrapText="1"/>
    </xf>
    <xf numFmtId="0" fontId="4" fillId="0" borderId="1" xfId="6" applyFont="1" applyBorder="1" applyAlignment="1">
      <alignment horizontal="left" vertical="top"/>
    </xf>
    <xf numFmtId="0" fontId="4" fillId="0" borderId="1" xfId="8" applyFont="1" applyBorder="1" applyAlignment="1">
      <alignment horizontal="left"/>
    </xf>
    <xf numFmtId="0" fontId="4" fillId="0" borderId="1" xfId="2" applyFont="1" applyBorder="1" applyAlignment="1">
      <alignment horizontal="center" vertical="top"/>
    </xf>
    <xf numFmtId="43" fontId="4" fillId="2" borderId="1" xfId="12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43" fontId="4" fillId="0" borderId="1" xfId="12" applyNumberFormat="1" applyFont="1" applyBorder="1" applyAlignment="1">
      <alignment horizontal="center" vertical="top"/>
    </xf>
    <xf numFmtId="43" fontId="4" fillId="2" borderId="1" xfId="12" applyFont="1" applyFill="1" applyBorder="1" applyAlignment="1">
      <alignment horizontal="center"/>
    </xf>
    <xf numFmtId="43" fontId="4" fillId="0" borderId="1" xfId="1" applyFont="1" applyBorder="1" applyAlignment="1">
      <alignment vertical="top"/>
    </xf>
    <xf numFmtId="0" fontId="4" fillId="0" borderId="1" xfId="8" applyFont="1" applyBorder="1" applyAlignment="1">
      <alignment horizontal="center"/>
    </xf>
    <xf numFmtId="0" fontId="4" fillId="0" borderId="1" xfId="6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/>
    </xf>
    <xf numFmtId="0" fontId="4" fillId="2" borderId="1" xfId="6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0" borderId="6" xfId="6" applyFont="1" applyBorder="1" applyAlignment="1">
      <alignment horizontal="left"/>
    </xf>
    <xf numFmtId="43" fontId="5" fillId="0" borderId="1" xfId="0" applyNumberFormat="1" applyFont="1" applyBorder="1" applyAlignment="1"/>
    <xf numFmtId="0" fontId="4" fillId="0" borderId="8" xfId="2" applyFont="1" applyBorder="1" applyAlignment="1">
      <alignment horizontal="center"/>
    </xf>
    <xf numFmtId="43" fontId="5" fillId="0" borderId="2" xfId="0" applyNumberFormat="1" applyFont="1" applyBorder="1" applyAlignment="1"/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2" applyFont="1" applyBorder="1" applyAlignment="1">
      <alignment horizontal="center"/>
    </xf>
    <xf numFmtId="0" fontId="4" fillId="0" borderId="2" xfId="6" applyFont="1" applyBorder="1" applyAlignment="1">
      <alignment horizontal="center"/>
    </xf>
    <xf numFmtId="0" fontId="4" fillId="0" borderId="6" xfId="6" applyFont="1" applyBorder="1"/>
    <xf numFmtId="0" fontId="4" fillId="0" borderId="7" xfId="6" applyFont="1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2" borderId="5" xfId="6" applyFont="1" applyFill="1" applyBorder="1" applyAlignment="1">
      <alignment horizontal="center"/>
    </xf>
    <xf numFmtId="43" fontId="4" fillId="2" borderId="2" xfId="1" applyFont="1" applyFill="1" applyBorder="1"/>
    <xf numFmtId="43" fontId="4" fillId="2" borderId="4" xfId="1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0</xdr:row>
      <xdr:rowOff>76200</xdr:rowOff>
    </xdr:from>
    <xdr:to>
      <xdr:col>8</xdr:col>
      <xdr:colOff>590550</xdr:colOff>
      <xdr:row>1</xdr:row>
      <xdr:rowOff>95250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048625" y="76200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46"/>
  <sheetViews>
    <sheetView tabSelected="1" topLeftCell="A25" zoomScaleNormal="100" workbookViewId="0">
      <selection activeCell="C34" sqref="C34"/>
    </sheetView>
  </sheetViews>
  <sheetFormatPr defaultColWidth="9" defaultRowHeight="24"/>
  <cols>
    <col min="1" max="1" width="5.28515625" style="3" customWidth="1"/>
    <col min="2" max="2" width="12.85546875" style="3" customWidth="1"/>
    <col min="3" max="3" width="33" style="3" customWidth="1"/>
    <col min="4" max="4" width="44.42578125" style="3" customWidth="1"/>
    <col min="5" max="5" width="6.5703125" style="3" customWidth="1"/>
    <col min="6" max="6" width="6.28515625" style="3" customWidth="1"/>
    <col min="7" max="7" width="12.7109375" style="3" customWidth="1"/>
    <col min="8" max="8" width="14.140625" style="3" customWidth="1"/>
    <col min="9" max="9" width="9.7109375" style="44" customWidth="1"/>
    <col min="10" max="16384" width="9" style="3"/>
  </cols>
  <sheetData>
    <row r="1" spans="1:9">
      <c r="A1" s="54" t="s">
        <v>10</v>
      </c>
      <c r="B1" s="54"/>
      <c r="C1" s="54"/>
      <c r="D1" s="54"/>
      <c r="E1" s="54"/>
      <c r="F1" s="54"/>
      <c r="G1" s="54"/>
      <c r="H1" s="54"/>
      <c r="I1" s="54"/>
    </row>
    <row r="2" spans="1:9">
      <c r="A2" s="59" t="s">
        <v>93</v>
      </c>
      <c r="B2" s="59"/>
      <c r="C2" s="59"/>
      <c r="D2" s="59"/>
      <c r="E2" s="59"/>
      <c r="F2" s="59"/>
      <c r="G2" s="59"/>
      <c r="H2" s="59"/>
      <c r="I2" s="59"/>
    </row>
    <row r="3" spans="1:9">
      <c r="A3" s="60" t="s">
        <v>92</v>
      </c>
      <c r="B3" s="60"/>
      <c r="C3" s="60"/>
      <c r="D3" s="60"/>
      <c r="E3" s="60"/>
      <c r="F3" s="60"/>
      <c r="G3" s="60"/>
      <c r="H3" s="60"/>
      <c r="I3" s="60"/>
    </row>
    <row r="4" spans="1:9" ht="42.75" customHeight="1">
      <c r="A4" s="33" t="s">
        <v>78</v>
      </c>
      <c r="B4" s="33" t="s">
        <v>81</v>
      </c>
      <c r="C4" s="33" t="s">
        <v>82</v>
      </c>
      <c r="D4" s="13" t="s">
        <v>0</v>
      </c>
      <c r="E4" s="33" t="s">
        <v>79</v>
      </c>
      <c r="F4" s="13" t="s">
        <v>1</v>
      </c>
      <c r="G4" s="33" t="s">
        <v>80</v>
      </c>
      <c r="H4" s="33" t="s">
        <v>83</v>
      </c>
      <c r="I4" s="33" t="s">
        <v>2</v>
      </c>
    </row>
    <row r="5" spans="1:9">
      <c r="A5" s="15">
        <v>1</v>
      </c>
      <c r="B5" s="8" t="s">
        <v>88</v>
      </c>
      <c r="C5" s="38" t="s">
        <v>11</v>
      </c>
      <c r="D5" s="2" t="s">
        <v>12</v>
      </c>
      <c r="E5" s="5" t="s">
        <v>3</v>
      </c>
      <c r="F5" s="47">
        <v>1</v>
      </c>
      <c r="G5" s="7">
        <v>15400</v>
      </c>
      <c r="H5" s="7">
        <f>SUM(F5*G5)</f>
        <v>15400</v>
      </c>
      <c r="I5" s="16"/>
    </row>
    <row r="6" spans="1:9">
      <c r="A6" s="37">
        <v>2</v>
      </c>
      <c r="B6" s="8" t="s">
        <v>88</v>
      </c>
      <c r="C6" s="38" t="s">
        <v>13</v>
      </c>
      <c r="D6" s="2" t="s">
        <v>14</v>
      </c>
      <c r="E6" s="5" t="s">
        <v>3</v>
      </c>
      <c r="F6" s="47">
        <v>1</v>
      </c>
      <c r="G6" s="7">
        <v>56074.76</v>
      </c>
      <c r="H6" s="7">
        <f t="shared" ref="H6:H40" si="0">SUM(F6*G6)</f>
        <v>56074.76</v>
      </c>
      <c r="I6" s="16"/>
    </row>
    <row r="7" spans="1:9">
      <c r="A7" s="15">
        <v>3</v>
      </c>
      <c r="B7" s="8" t="s">
        <v>88</v>
      </c>
      <c r="C7" s="38" t="s">
        <v>15</v>
      </c>
      <c r="D7" s="2" t="s">
        <v>16</v>
      </c>
      <c r="E7" s="5" t="s">
        <v>3</v>
      </c>
      <c r="F7" s="47">
        <v>1</v>
      </c>
      <c r="G7" s="7">
        <v>158700</v>
      </c>
      <c r="H7" s="7">
        <f t="shared" si="0"/>
        <v>158700</v>
      </c>
      <c r="I7" s="16"/>
    </row>
    <row r="8" spans="1:9">
      <c r="A8" s="37">
        <v>4</v>
      </c>
      <c r="B8" s="8" t="s">
        <v>88</v>
      </c>
      <c r="C8" s="38" t="s">
        <v>17</v>
      </c>
      <c r="D8" s="2" t="s">
        <v>18</v>
      </c>
      <c r="E8" s="5" t="s">
        <v>3</v>
      </c>
      <c r="F8" s="47">
        <v>10</v>
      </c>
      <c r="G8" s="7">
        <v>3000</v>
      </c>
      <c r="H8" s="7">
        <f t="shared" si="0"/>
        <v>30000</v>
      </c>
      <c r="I8" s="16"/>
    </row>
    <row r="9" spans="1:9">
      <c r="A9" s="15">
        <v>5</v>
      </c>
      <c r="B9" s="8" t="s">
        <v>88</v>
      </c>
      <c r="C9" s="38" t="s">
        <v>19</v>
      </c>
      <c r="D9" s="2" t="s">
        <v>20</v>
      </c>
      <c r="E9" s="5" t="s">
        <v>3</v>
      </c>
      <c r="F9" s="47">
        <v>10</v>
      </c>
      <c r="G9" s="7">
        <v>10000</v>
      </c>
      <c r="H9" s="7">
        <f t="shared" si="0"/>
        <v>100000</v>
      </c>
      <c r="I9" s="16"/>
    </row>
    <row r="10" spans="1:9">
      <c r="A10" s="37">
        <v>6</v>
      </c>
      <c r="B10" s="8" t="s">
        <v>88</v>
      </c>
      <c r="C10" s="38" t="s">
        <v>21</v>
      </c>
      <c r="D10" s="4" t="s">
        <v>22</v>
      </c>
      <c r="E10" s="5" t="s">
        <v>3</v>
      </c>
      <c r="F10" s="47">
        <v>10</v>
      </c>
      <c r="G10" s="7">
        <v>3000</v>
      </c>
      <c r="H10" s="7">
        <f t="shared" si="0"/>
        <v>30000</v>
      </c>
      <c r="I10" s="16"/>
    </row>
    <row r="11" spans="1:9">
      <c r="A11" s="15">
        <v>7</v>
      </c>
      <c r="B11" s="8" t="s">
        <v>88</v>
      </c>
      <c r="C11" s="38" t="s">
        <v>23</v>
      </c>
      <c r="D11" s="4" t="s">
        <v>24</v>
      </c>
      <c r="E11" s="5" t="s">
        <v>3</v>
      </c>
      <c r="F11" s="47">
        <v>5</v>
      </c>
      <c r="G11" s="7">
        <v>14980</v>
      </c>
      <c r="H11" s="7">
        <f t="shared" si="0"/>
        <v>74900</v>
      </c>
      <c r="I11" s="16"/>
    </row>
    <row r="12" spans="1:9">
      <c r="A12" s="15">
        <v>8</v>
      </c>
      <c r="B12" s="8" t="s">
        <v>88</v>
      </c>
      <c r="C12" s="38" t="s">
        <v>25</v>
      </c>
      <c r="D12" s="4" t="s">
        <v>26</v>
      </c>
      <c r="E12" s="5" t="s">
        <v>3</v>
      </c>
      <c r="F12" s="47">
        <v>1</v>
      </c>
      <c r="G12" s="7">
        <v>59920</v>
      </c>
      <c r="H12" s="7">
        <f t="shared" si="0"/>
        <v>59920</v>
      </c>
      <c r="I12" s="16"/>
    </row>
    <row r="13" spans="1:9">
      <c r="A13" s="37">
        <v>9</v>
      </c>
      <c r="B13" s="8" t="s">
        <v>88</v>
      </c>
      <c r="C13" s="38" t="s">
        <v>27</v>
      </c>
      <c r="D13" s="2" t="s">
        <v>28</v>
      </c>
      <c r="E13" s="5" t="s">
        <v>3</v>
      </c>
      <c r="F13" s="47">
        <v>1</v>
      </c>
      <c r="G13" s="7">
        <v>40000</v>
      </c>
      <c r="H13" s="7">
        <f t="shared" si="0"/>
        <v>40000</v>
      </c>
      <c r="I13" s="17"/>
    </row>
    <row r="14" spans="1:9">
      <c r="A14" s="15">
        <v>10</v>
      </c>
      <c r="B14" s="8" t="s">
        <v>88</v>
      </c>
      <c r="C14" s="38" t="s">
        <v>29</v>
      </c>
      <c r="D14" s="48" t="s">
        <v>30</v>
      </c>
      <c r="E14" s="5" t="s">
        <v>3</v>
      </c>
      <c r="F14" s="49">
        <v>10</v>
      </c>
      <c r="G14" s="7">
        <v>40000</v>
      </c>
      <c r="H14" s="7">
        <f t="shared" si="0"/>
        <v>400000</v>
      </c>
      <c r="I14" s="17"/>
    </row>
    <row r="15" spans="1:9">
      <c r="A15" s="37">
        <v>11</v>
      </c>
      <c r="B15" s="8" t="s">
        <v>88</v>
      </c>
      <c r="C15" s="38" t="s">
        <v>31</v>
      </c>
      <c r="D15" s="2" t="s">
        <v>32</v>
      </c>
      <c r="E15" s="5" t="s">
        <v>3</v>
      </c>
      <c r="F15" s="47">
        <v>5</v>
      </c>
      <c r="G15" s="7">
        <v>4494</v>
      </c>
      <c r="H15" s="7">
        <f t="shared" si="0"/>
        <v>22470</v>
      </c>
      <c r="I15" s="36"/>
    </row>
    <row r="16" spans="1:9">
      <c r="A16" s="15">
        <v>12</v>
      </c>
      <c r="B16" s="8" t="s">
        <v>88</v>
      </c>
      <c r="C16" s="4" t="s">
        <v>33</v>
      </c>
      <c r="D16" s="2" t="s">
        <v>34</v>
      </c>
      <c r="E16" s="5" t="s">
        <v>3</v>
      </c>
      <c r="F16" s="47">
        <v>5</v>
      </c>
      <c r="G16" s="7">
        <v>4494</v>
      </c>
      <c r="H16" s="7">
        <f t="shared" si="0"/>
        <v>22470</v>
      </c>
      <c r="I16" s="36"/>
    </row>
    <row r="17" spans="1:9">
      <c r="A17" s="37">
        <v>13</v>
      </c>
      <c r="B17" s="8" t="s">
        <v>88</v>
      </c>
      <c r="C17" s="4" t="s">
        <v>35</v>
      </c>
      <c r="D17" s="2" t="s">
        <v>36</v>
      </c>
      <c r="E17" s="5" t="s">
        <v>3</v>
      </c>
      <c r="F17" s="47">
        <v>1</v>
      </c>
      <c r="G17" s="7">
        <v>2461</v>
      </c>
      <c r="H17" s="7">
        <f t="shared" si="0"/>
        <v>2461</v>
      </c>
      <c r="I17" s="36"/>
    </row>
    <row r="18" spans="1:9">
      <c r="A18" s="15">
        <v>14</v>
      </c>
      <c r="B18" s="8" t="s">
        <v>88</v>
      </c>
      <c r="C18" s="38" t="s">
        <v>37</v>
      </c>
      <c r="D18" s="2" t="s">
        <v>38</v>
      </c>
      <c r="E18" s="5" t="s">
        <v>3</v>
      </c>
      <c r="F18" s="47">
        <v>1</v>
      </c>
      <c r="G18" s="7">
        <v>199700</v>
      </c>
      <c r="H18" s="7">
        <f t="shared" si="0"/>
        <v>199700</v>
      </c>
      <c r="I18" s="36"/>
    </row>
    <row r="19" spans="1:9">
      <c r="A19" s="37">
        <v>15</v>
      </c>
      <c r="B19" s="8" t="s">
        <v>88</v>
      </c>
      <c r="C19" s="38" t="s">
        <v>39</v>
      </c>
      <c r="D19" s="2" t="s">
        <v>73</v>
      </c>
      <c r="E19" s="5" t="s">
        <v>3</v>
      </c>
      <c r="F19" s="47">
        <v>1</v>
      </c>
      <c r="G19" s="7">
        <v>4700</v>
      </c>
      <c r="H19" s="7">
        <f t="shared" si="0"/>
        <v>4700</v>
      </c>
      <c r="I19" s="36"/>
    </row>
    <row r="20" spans="1:9">
      <c r="A20" s="37">
        <v>16</v>
      </c>
      <c r="B20" s="8" t="s">
        <v>88</v>
      </c>
      <c r="C20" s="4" t="s">
        <v>40</v>
      </c>
      <c r="D20" s="2" t="s">
        <v>41</v>
      </c>
      <c r="E20" s="5" t="s">
        <v>3</v>
      </c>
      <c r="F20" s="47">
        <v>1</v>
      </c>
      <c r="G20" s="7">
        <v>9950</v>
      </c>
      <c r="H20" s="7">
        <f t="shared" si="0"/>
        <v>9950</v>
      </c>
      <c r="I20" s="36"/>
    </row>
    <row r="21" spans="1:9">
      <c r="A21" s="15">
        <v>17</v>
      </c>
      <c r="B21" s="36">
        <v>2546</v>
      </c>
      <c r="C21" s="4" t="s">
        <v>42</v>
      </c>
      <c r="D21" s="2" t="s">
        <v>9</v>
      </c>
      <c r="E21" s="5" t="s">
        <v>4</v>
      </c>
      <c r="F21" s="47">
        <v>1</v>
      </c>
      <c r="G21" s="7">
        <v>33000</v>
      </c>
      <c r="H21" s="7">
        <f t="shared" si="0"/>
        <v>33000</v>
      </c>
      <c r="I21" s="36"/>
    </row>
    <row r="22" spans="1:9">
      <c r="A22" s="37">
        <v>18</v>
      </c>
      <c r="B22" s="36">
        <v>2546</v>
      </c>
      <c r="C22" s="4" t="s">
        <v>43</v>
      </c>
      <c r="D22" s="2" t="s">
        <v>44</v>
      </c>
      <c r="E22" s="36" t="s">
        <v>3</v>
      </c>
      <c r="F22" s="47">
        <v>1</v>
      </c>
      <c r="G22" s="7">
        <v>60000</v>
      </c>
      <c r="H22" s="7">
        <f t="shared" si="0"/>
        <v>60000</v>
      </c>
      <c r="I22" s="36"/>
    </row>
    <row r="23" spans="1:9">
      <c r="A23" s="15">
        <v>19</v>
      </c>
      <c r="B23" s="36">
        <v>2547</v>
      </c>
      <c r="C23" s="4" t="s">
        <v>45</v>
      </c>
      <c r="D23" s="2" t="s">
        <v>46</v>
      </c>
      <c r="E23" s="36" t="s">
        <v>3</v>
      </c>
      <c r="F23" s="47">
        <v>1</v>
      </c>
      <c r="G23" s="7">
        <v>28000</v>
      </c>
      <c r="H23" s="7">
        <f t="shared" si="0"/>
        <v>28000</v>
      </c>
      <c r="I23" s="36"/>
    </row>
    <row r="24" spans="1:9">
      <c r="A24" s="37">
        <v>20</v>
      </c>
      <c r="B24" s="36">
        <v>2547</v>
      </c>
      <c r="C24" s="4" t="s">
        <v>47</v>
      </c>
      <c r="D24" s="2" t="s">
        <v>48</v>
      </c>
      <c r="E24" s="36" t="s">
        <v>3</v>
      </c>
      <c r="F24" s="47">
        <v>1</v>
      </c>
      <c r="G24" s="7">
        <v>12550</v>
      </c>
      <c r="H24" s="7">
        <f t="shared" si="0"/>
        <v>12550</v>
      </c>
      <c r="I24" s="36"/>
    </row>
    <row r="25" spans="1:9">
      <c r="A25" s="15">
        <v>21</v>
      </c>
      <c r="B25" s="36">
        <v>2549</v>
      </c>
      <c r="C25" s="4" t="s">
        <v>49</v>
      </c>
      <c r="D25" s="2" t="s">
        <v>50</v>
      </c>
      <c r="E25" s="36" t="s">
        <v>4</v>
      </c>
      <c r="F25" s="47">
        <v>2</v>
      </c>
      <c r="G25" s="7">
        <v>2800</v>
      </c>
      <c r="H25" s="7">
        <f t="shared" si="0"/>
        <v>5600</v>
      </c>
      <c r="I25" s="36"/>
    </row>
    <row r="26" spans="1:9">
      <c r="A26" s="37">
        <v>22</v>
      </c>
      <c r="B26" s="36">
        <v>2550</v>
      </c>
      <c r="C26" s="4" t="s">
        <v>51</v>
      </c>
      <c r="D26" s="2" t="s">
        <v>52</v>
      </c>
      <c r="E26" s="36" t="s">
        <v>4</v>
      </c>
      <c r="F26" s="47">
        <v>1</v>
      </c>
      <c r="G26" s="7">
        <v>30000</v>
      </c>
      <c r="H26" s="7">
        <f t="shared" si="0"/>
        <v>30000</v>
      </c>
      <c r="I26" s="36"/>
    </row>
    <row r="27" spans="1:9">
      <c r="A27" s="15">
        <v>23</v>
      </c>
      <c r="B27" s="36">
        <v>2551</v>
      </c>
      <c r="C27" s="4" t="s">
        <v>53</v>
      </c>
      <c r="D27" s="2" t="s">
        <v>74</v>
      </c>
      <c r="E27" s="36" t="s">
        <v>3</v>
      </c>
      <c r="F27" s="47">
        <v>2</v>
      </c>
      <c r="G27" s="7">
        <v>122836</v>
      </c>
      <c r="H27" s="7">
        <f t="shared" si="0"/>
        <v>245672</v>
      </c>
      <c r="I27" s="36"/>
    </row>
    <row r="28" spans="1:9">
      <c r="A28" s="15">
        <v>24</v>
      </c>
      <c r="B28" s="36">
        <v>2551</v>
      </c>
      <c r="C28" s="4" t="s">
        <v>54</v>
      </c>
      <c r="D28" s="1" t="s">
        <v>75</v>
      </c>
      <c r="E28" s="36" t="s">
        <v>3</v>
      </c>
      <c r="F28" s="47">
        <v>2</v>
      </c>
      <c r="G28" s="7">
        <v>117432.5</v>
      </c>
      <c r="H28" s="7">
        <f t="shared" si="0"/>
        <v>234865</v>
      </c>
      <c r="I28" s="36"/>
    </row>
    <row r="29" spans="1:9">
      <c r="A29" s="15">
        <v>25</v>
      </c>
      <c r="B29" s="36">
        <v>2551</v>
      </c>
      <c r="C29" s="4" t="s">
        <v>55</v>
      </c>
      <c r="D29" s="2" t="s">
        <v>76</v>
      </c>
      <c r="E29" s="36" t="s">
        <v>3</v>
      </c>
      <c r="F29" s="47">
        <v>1</v>
      </c>
      <c r="G29" s="7">
        <v>78463</v>
      </c>
      <c r="H29" s="7">
        <f t="shared" si="0"/>
        <v>78463</v>
      </c>
      <c r="I29" s="36"/>
    </row>
    <row r="30" spans="1:9">
      <c r="A30" s="15">
        <v>26</v>
      </c>
      <c r="B30" s="8" t="s">
        <v>89</v>
      </c>
      <c r="C30" s="4" t="s">
        <v>56</v>
      </c>
      <c r="D30" s="2" t="s">
        <v>57</v>
      </c>
      <c r="E30" s="5" t="s">
        <v>3</v>
      </c>
      <c r="F30" s="6">
        <v>1</v>
      </c>
      <c r="G30" s="7">
        <v>22900</v>
      </c>
      <c r="H30" s="7">
        <f t="shared" si="0"/>
        <v>22900</v>
      </c>
      <c r="I30" s="16"/>
    </row>
    <row r="31" spans="1:9" ht="43.5" customHeight="1">
      <c r="A31" s="50">
        <v>27</v>
      </c>
      <c r="B31" s="20" t="s">
        <v>89</v>
      </c>
      <c r="C31" s="23" t="s">
        <v>58</v>
      </c>
      <c r="D31" s="22" t="s">
        <v>77</v>
      </c>
      <c r="E31" s="25" t="s">
        <v>3</v>
      </c>
      <c r="F31" s="32">
        <v>3</v>
      </c>
      <c r="G31" s="30">
        <v>19880</v>
      </c>
      <c r="H31" s="30">
        <f t="shared" si="0"/>
        <v>59640</v>
      </c>
      <c r="I31" s="28"/>
    </row>
    <row r="32" spans="1:9">
      <c r="A32" s="37">
        <v>28</v>
      </c>
      <c r="B32" s="8" t="s">
        <v>90</v>
      </c>
      <c r="C32" s="24" t="s">
        <v>59</v>
      </c>
      <c r="D32" s="21" t="s">
        <v>60</v>
      </c>
      <c r="E32" s="5" t="s">
        <v>3</v>
      </c>
      <c r="F32" s="31">
        <v>1</v>
      </c>
      <c r="G32" s="7">
        <v>40000</v>
      </c>
      <c r="H32" s="7">
        <f t="shared" si="0"/>
        <v>40000</v>
      </c>
      <c r="I32" s="16"/>
    </row>
    <row r="33" spans="1:9">
      <c r="A33" s="15">
        <v>29</v>
      </c>
      <c r="B33" s="8" t="s">
        <v>90</v>
      </c>
      <c r="C33" s="24" t="s">
        <v>61</v>
      </c>
      <c r="D33" s="21" t="s">
        <v>62</v>
      </c>
      <c r="E33" s="5" t="s">
        <v>3</v>
      </c>
      <c r="F33" s="31">
        <v>1</v>
      </c>
      <c r="G33" s="7">
        <v>46500</v>
      </c>
      <c r="H33" s="7">
        <f t="shared" si="0"/>
        <v>46500</v>
      </c>
      <c r="I33" s="16"/>
    </row>
    <row r="34" spans="1:9">
      <c r="A34" s="37">
        <v>30</v>
      </c>
      <c r="B34" s="8" t="s">
        <v>90</v>
      </c>
      <c r="C34" s="24" t="s">
        <v>63</v>
      </c>
      <c r="D34" s="21" t="s">
        <v>64</v>
      </c>
      <c r="E34" s="5" t="s">
        <v>3</v>
      </c>
      <c r="F34" s="31">
        <v>4</v>
      </c>
      <c r="G34" s="7">
        <v>23000</v>
      </c>
      <c r="H34" s="7">
        <f t="shared" si="0"/>
        <v>92000</v>
      </c>
      <c r="I34" s="16"/>
    </row>
    <row r="35" spans="1:9">
      <c r="A35" s="15">
        <v>31</v>
      </c>
      <c r="B35" s="8" t="s">
        <v>90</v>
      </c>
      <c r="C35" s="24" t="s">
        <v>65</v>
      </c>
      <c r="D35" s="21" t="s">
        <v>64</v>
      </c>
      <c r="E35" s="5" t="s">
        <v>3</v>
      </c>
      <c r="F35" s="31">
        <v>4</v>
      </c>
      <c r="G35" s="7">
        <v>23000</v>
      </c>
      <c r="H35" s="7">
        <f t="shared" si="0"/>
        <v>92000</v>
      </c>
      <c r="I35" s="16"/>
    </row>
    <row r="36" spans="1:9">
      <c r="A36" s="37">
        <v>32</v>
      </c>
      <c r="B36" s="8" t="s">
        <v>90</v>
      </c>
      <c r="C36" s="24" t="s">
        <v>66</v>
      </c>
      <c r="D36" s="21" t="s">
        <v>67</v>
      </c>
      <c r="E36" s="5" t="s">
        <v>3</v>
      </c>
      <c r="F36" s="31">
        <v>1</v>
      </c>
      <c r="G36" s="7">
        <v>37500</v>
      </c>
      <c r="H36" s="7">
        <f t="shared" si="0"/>
        <v>37500</v>
      </c>
      <c r="I36" s="16"/>
    </row>
    <row r="37" spans="1:9">
      <c r="A37" s="19">
        <v>33</v>
      </c>
      <c r="B37" s="10" t="s">
        <v>91</v>
      </c>
      <c r="C37" s="35" t="s">
        <v>68</v>
      </c>
      <c r="D37" s="14" t="s">
        <v>8</v>
      </c>
      <c r="E37" s="11" t="s">
        <v>3</v>
      </c>
      <c r="F37" s="27">
        <v>1</v>
      </c>
      <c r="G37" s="12">
        <v>45000</v>
      </c>
      <c r="H37" s="7">
        <f t="shared" si="0"/>
        <v>45000</v>
      </c>
      <c r="I37" s="26"/>
    </row>
    <row r="38" spans="1:9">
      <c r="A38" s="45">
        <v>34</v>
      </c>
      <c r="B38" s="10" t="s">
        <v>91</v>
      </c>
      <c r="C38" s="35" t="s">
        <v>69</v>
      </c>
      <c r="D38" s="14" t="s">
        <v>70</v>
      </c>
      <c r="E38" s="11" t="s">
        <v>3</v>
      </c>
      <c r="F38" s="27">
        <v>1</v>
      </c>
      <c r="G38" s="12">
        <v>80000</v>
      </c>
      <c r="H38" s="7">
        <f t="shared" si="0"/>
        <v>80000</v>
      </c>
      <c r="I38" s="29"/>
    </row>
    <row r="39" spans="1:9">
      <c r="A39" s="19">
        <v>35</v>
      </c>
      <c r="B39" s="18" t="s">
        <v>91</v>
      </c>
      <c r="C39" s="35" t="s">
        <v>71</v>
      </c>
      <c r="D39" s="14" t="s">
        <v>72</v>
      </c>
      <c r="E39" s="11" t="s">
        <v>3</v>
      </c>
      <c r="F39" s="27">
        <v>5</v>
      </c>
      <c r="G39" s="12">
        <v>98000</v>
      </c>
      <c r="H39" s="7">
        <f t="shared" si="0"/>
        <v>490000</v>
      </c>
      <c r="I39" s="29"/>
    </row>
    <row r="40" spans="1:9">
      <c r="A40" s="45">
        <v>36</v>
      </c>
      <c r="B40" s="18" t="s">
        <v>84</v>
      </c>
      <c r="C40" s="35" t="s">
        <v>85</v>
      </c>
      <c r="D40" s="14" t="s">
        <v>86</v>
      </c>
      <c r="E40" s="11" t="s">
        <v>4</v>
      </c>
      <c r="F40" s="51">
        <v>1</v>
      </c>
      <c r="G40" s="52">
        <v>2690</v>
      </c>
      <c r="H40" s="7">
        <f t="shared" si="0"/>
        <v>2690</v>
      </c>
      <c r="I40" s="53"/>
    </row>
    <row r="41" spans="1:9">
      <c r="A41" s="56" t="s">
        <v>7</v>
      </c>
      <c r="B41" s="57"/>
      <c r="C41" s="57"/>
      <c r="D41" s="57"/>
      <c r="E41" s="58"/>
      <c r="F41" s="34"/>
      <c r="G41" s="41"/>
      <c r="H41" s="39">
        <f>SUM(H5:H40)</f>
        <v>2963125.76</v>
      </c>
      <c r="I41" s="43"/>
    </row>
    <row r="42" spans="1:9">
      <c r="A42" s="9"/>
      <c r="B42" s="9"/>
      <c r="C42" s="9"/>
      <c r="D42" s="9"/>
      <c r="E42" s="9"/>
      <c r="F42" s="40"/>
      <c r="G42" s="9"/>
      <c r="H42" s="9"/>
      <c r="I42" s="42"/>
    </row>
    <row r="43" spans="1:9">
      <c r="A43" s="9"/>
      <c r="B43" s="9"/>
      <c r="C43" s="9"/>
      <c r="D43" s="9"/>
      <c r="E43" s="9"/>
      <c r="F43" s="46"/>
      <c r="G43" s="9"/>
      <c r="H43" s="9"/>
      <c r="I43" s="42"/>
    </row>
    <row r="44" spans="1:9">
      <c r="A44" s="9"/>
      <c r="B44" s="9"/>
      <c r="C44" s="9"/>
      <c r="D44" s="9"/>
      <c r="E44" s="9"/>
      <c r="F44" s="55" t="s">
        <v>5</v>
      </c>
      <c r="G44" s="55"/>
      <c r="H44" s="55"/>
      <c r="I44" s="55"/>
    </row>
    <row r="45" spans="1:9">
      <c r="A45" s="9"/>
      <c r="B45" s="9"/>
      <c r="C45" s="9"/>
      <c r="D45" s="9"/>
      <c r="E45" s="9"/>
      <c r="F45" s="55" t="s">
        <v>87</v>
      </c>
      <c r="G45" s="55"/>
      <c r="H45" s="55"/>
      <c r="I45" s="55"/>
    </row>
    <row r="46" spans="1:9">
      <c r="A46" s="9"/>
      <c r="B46" s="9"/>
      <c r="C46" s="9"/>
      <c r="D46" s="9"/>
      <c r="E46" s="9"/>
      <c r="F46" s="55" t="s">
        <v>6</v>
      </c>
      <c r="G46" s="55"/>
      <c r="H46" s="55"/>
      <c r="I46" s="55"/>
    </row>
  </sheetData>
  <mergeCells count="7">
    <mergeCell ref="A1:I1"/>
    <mergeCell ref="F46:I46"/>
    <mergeCell ref="A41:E41"/>
    <mergeCell ref="F44:I44"/>
    <mergeCell ref="F45:I45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แผนกช่างเชื่อมโลหะ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2022-04-28T07:20:18Z</cp:lastPrinted>
  <dcterms:created xsi:type="dcterms:W3CDTF">2017-11-14T01:32:33Z</dcterms:created>
  <dcterms:modified xsi:type="dcterms:W3CDTF">2022-06-07T03:42:32Z</dcterms:modified>
</cp:coreProperties>
</file>