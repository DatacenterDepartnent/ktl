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1F66A624-78B6-49FD-8952-A2866E7F970C}" xr6:coauthVersionLast="47" xr6:coauthVersionMax="47" xr10:uidLastSave="{00000000-0000-0000-0000-000000000000}"/>
  <bookViews>
    <workbookView xWindow="-120" yWindow="585" windowWidth="11970" windowHeight="9645" tabRatio="897" xr2:uid="{00000000-000D-0000-FFFF-FFFF00000000}"/>
  </bookViews>
  <sheets>
    <sheet name="งานสวัสดิการ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10" l="1"/>
  <c r="H6" i="10"/>
  <c r="H7" i="10"/>
  <c r="H8" i="10"/>
  <c r="H9" i="10"/>
  <c r="H10" i="10"/>
  <c r="H11" i="10"/>
  <c r="H12" i="10"/>
  <c r="H5" i="10"/>
  <c r="H14" i="10" l="1"/>
</calcChain>
</file>

<file path=xl/sharedStrings.xml><?xml version="1.0" encoding="utf-8"?>
<sst xmlns="http://schemas.openxmlformats.org/spreadsheetml/2006/main" count="45" uniqueCount="38">
  <si>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</si>
  <si>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</si>
  <si>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</si>
  <si>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</si>
  <si>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</si>
  <si>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</si>
  <si>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</si>
  <si>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</si>
  <si>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ตู้บานเลื่อนกระจก 4 ฟุต</t>
  </si>
  <si>
    <t>7150-003-0001/432-001-002</t>
  </si>
  <si>
    <t>4140-001-0001/432-005</t>
  </si>
  <si>
    <t>7110-002-0006/482-064</t>
  </si>
  <si>
    <t>7430-008-0002/531-016</t>
  </si>
  <si>
    <t>4110-002-0003/531-003-017</t>
  </si>
  <si>
    <t>7430-008-0006/531-028</t>
  </si>
  <si>
    <t>7125-002-0002/531-001</t>
  </si>
  <si>
    <t>เตียงเหล็ก</t>
  </si>
  <si>
    <t>พัดลมตั้งพื้น 16 นิ้ว</t>
  </si>
  <si>
    <t>ปั้มอัตโนมัติ  WP-305Q</t>
  </si>
  <si>
    <t>เครื่องทำน้ำเย็น  VT-699 VICTOR</t>
  </si>
  <si>
    <t>Printer HP Laserjet M1522n MFP</t>
  </si>
  <si>
    <t>ตู้บานเลื่อนกระจก สูง  (ตู้ยา)</t>
  </si>
  <si>
    <t>ตู้กินมือกด,เท้าเหยียบ</t>
  </si>
  <si>
    <t>(นางเพ็ชรา  โหม่งมาตร์)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</si>
  <si>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</si>
  <si>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</si>
  <si>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</si>
  <si>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</si>
  <si>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</si>
  <si>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</si>
  <si>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</si>
  <si>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4610-007-0001/602-001 (4)</t>
  </si>
  <si>
    <t>บัญชีรายการ งานสวัสดิการนักเรียนนักศึกษา  คงเหลือ</t>
  </si>
  <si>
    <t>ประจำปี 2565  ณ วันที่ 30 กันยายน 2565</t>
  </si>
  <si>
    <t>9 ส.ค.60</t>
  </si>
  <si>
    <t>24 ส.ค.65</t>
  </si>
  <si>
    <t>4140-002-0001/652-001(2)</t>
  </si>
  <si>
    <t>พัดลมดูดอากาศติดผนัง ขนาดไม่น้อยกว่า 20 นิ้ว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</si>
</sst>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6"/>
      <color rgb="FF2F75B5"/>
      <name val="TH SarabunPSK"/>
      <family val="2"/>
    </font>
    <font>
      <sz val="16"/>
      <color rgb="FF2F75B5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7" fillId="0" borderId="0" xfId="0" applyFont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43" fontId="3" fillId="0" borderId="1" xfId="5" applyNumberFormat="1" applyFont="1" applyBorder="1"/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49" fontId="3" fillId="0" borderId="1" xfId="6" applyNumberFormat="1" applyFont="1" applyBorder="1" applyAlignment="1">
      <alignment horizontal="left"/>
    </xf>
    <xf numFmtId="49" fontId="3" fillId="0" borderId="1" xfId="6" applyNumberFormat="1" applyFont="1" applyBorder="1"/>
    <xf numFmtId="164" fontId="3" fillId="0" borderId="1" xfId="1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3" fillId="2" borderId="1" xfId="6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1" xfId="5" applyFont="1" applyBorder="1"/>
    <xf numFmtId="0" fontId="3" fillId="0" borderId="4" xfId="2" applyFont="1" applyBorder="1" applyAlignment="1">
      <alignment horizontal="center"/>
    </xf>
    <xf numFmtId="43" fontId="3" fillId="0" borderId="4" xfId="1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8" fillId="0" borderId="1" xfId="6" applyNumberFormat="1" applyFont="1" applyBorder="1" applyAlignment="1">
      <alignment horizontal="left"/>
    </xf>
    <xf numFmtId="49" fontId="8" fillId="0" borderId="1" xfId="6" applyNumberFormat="1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/>
    <xf numFmtId="0" fontId="8" fillId="0" borderId="0" xfId="0" applyFont="1" applyAlignment="1">
      <alignment horizontal="center"/>
    </xf>
    <xf numFmtId="0" fontId="9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0</xdr:row>
      <xdr:rowOff>123825</xdr:rowOff>
    </xdr:from>
    <xdr:to>
      <xdr:col>8</xdr:col>
      <xdr:colOff>647700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7543800" y="12382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J19"/>
  <sheetViews>
    <sheetView tabSelected="1" topLeftCell="C1" zoomScaleNormal="100" workbookViewId="0">
      <selection activeCell="D7" sqref="D7"/>
    </sheetView>
  </sheetViews>
  <sheetFormatPr defaultColWidth="9" defaultRowHeight="24"/>
  <cols>
    <col min="1" max="1" width="5.5703125" style="2" customWidth="1"/>
    <col min="2" max="2" width="11" style="2" customWidth="1"/>
    <col min="3" max="3" width="28.42578125" style="2" customWidth="1"/>
    <col min="4" max="4" width="39.42578125" style="2" customWidth="1"/>
    <col min="5" max="5" width="7" style="2" customWidth="1"/>
    <col min="6" max="6" width="6.42578125" style="2" customWidth="1"/>
    <col min="7" max="7" width="12.5703125" style="2" customWidth="1"/>
    <col min="8" max="8" width="13.85546875" style="2" customWidth="1"/>
    <col min="9" max="9" width="11.5703125" style="2" customWidth="1"/>
    <col min="10" max="10" width="22.140625" style="2" customWidth="1"/>
    <col min="11" max="16384" width="9" style="2"/>
  </cols>
  <sheetData>
    <row r="1" spans="1:10">
      <c r="A1" s="26" t="s">
        <v>3</v>
      </c>
      <c r="B1" s="26"/>
      <c r="C1" s="26"/>
      <c r="D1" s="26"/>
      <c r="E1" s="26"/>
      <c r="F1" s="26"/>
      <c r="G1" s="26"/>
      <c r="H1" s="26"/>
      <c r="I1" s="26"/>
    </row>
    <row r="2" spans="1:10">
      <c r="A2" s="26" t="s">
        <v>32</v>
      </c>
      <c r="B2" s="26"/>
      <c r="C2" s="26"/>
      <c r="D2" s="26"/>
      <c r="E2" s="26"/>
      <c r="F2" s="26"/>
      <c r="G2" s="26"/>
      <c r="H2" s="26"/>
      <c r="I2" s="26"/>
    </row>
    <row r="3" spans="1:10">
      <c r="A3" s="27" t="s">
        <v>33</v>
      </c>
      <c r="B3" s="27"/>
      <c r="C3" s="27"/>
      <c r="D3" s="27"/>
      <c r="E3" s="27"/>
      <c r="F3" s="27"/>
      <c r="G3" s="27"/>
      <c r="H3" s="27"/>
      <c r="I3" s="27"/>
    </row>
    <row r="4" spans="1:10" s="3" customFormat="1" ht="41.25" customHeight="1">
      <c r="A4" s="17" t="s">
        <v>24</v>
      </c>
      <c r="B4" s="17" t="s">
        <v>27</v>
      </c>
      <c r="C4" s="17" t="s">
        <v>28</v>
      </c>
      <c r="D4" s="12" t="s">
        <v>0</v>
      </c>
      <c r="E4" s="17" t="s">
        <v>25</v>
      </c>
      <c r="F4" s="12" t="s">
        <v>1</v>
      </c>
      <c r="G4" s="17" t="s">
        <v>26</v>
      </c>
      <c r="H4" s="17" t="s">
        <v>30</v>
      </c>
      <c r="I4" s="12" t="s">
        <v>2</v>
      </c>
    </row>
    <row r="5" spans="1:10" s="8" customFormat="1">
      <c r="A5" s="20">
        <v>1</v>
      </c>
      <c r="B5" s="20">
        <v>2543</v>
      </c>
      <c r="C5" s="5" t="s">
        <v>9</v>
      </c>
      <c r="D5" s="1" t="s">
        <v>16</v>
      </c>
      <c r="E5" s="6" t="s">
        <v>5</v>
      </c>
      <c r="F5" s="7">
        <v>2</v>
      </c>
      <c r="G5" s="9">
        <v>1450</v>
      </c>
      <c r="H5" s="9">
        <f>SUM(F5*G5)</f>
        <v>2900</v>
      </c>
      <c r="I5" s="20"/>
      <c r="J5" s="19"/>
    </row>
    <row r="6" spans="1:10" s="8" customFormat="1">
      <c r="A6" s="20">
        <v>2</v>
      </c>
      <c r="B6" s="20">
        <v>2543</v>
      </c>
      <c r="C6" s="5" t="s">
        <v>10</v>
      </c>
      <c r="D6" s="14" t="s">
        <v>17</v>
      </c>
      <c r="E6" s="6" t="s">
        <v>5</v>
      </c>
      <c r="F6" s="7">
        <v>1</v>
      </c>
      <c r="G6" s="13">
        <v>1500</v>
      </c>
      <c r="H6" s="9">
        <f t="shared" ref="H6:H13" si="0">SUM(F6*G6)</f>
        <v>1500</v>
      </c>
      <c r="I6" s="20"/>
      <c r="J6" s="19"/>
    </row>
    <row r="7" spans="1:10" s="8" customFormat="1">
      <c r="A7" s="20">
        <v>3</v>
      </c>
      <c r="B7" s="20">
        <v>2548</v>
      </c>
      <c r="C7" s="5" t="s">
        <v>11</v>
      </c>
      <c r="D7" s="1" t="s">
        <v>8</v>
      </c>
      <c r="E7" s="6" t="s">
        <v>5</v>
      </c>
      <c r="F7" s="7">
        <v>1</v>
      </c>
      <c r="G7" s="9">
        <v>3350</v>
      </c>
      <c r="H7" s="9">
        <f t="shared" si="0"/>
        <v>3350</v>
      </c>
      <c r="I7" s="20"/>
      <c r="J7" s="19"/>
    </row>
    <row r="8" spans="1:10" s="38" customFormat="1">
      <c r="A8" s="31">
        <v>4</v>
      </c>
      <c r="B8" s="31">
        <v>2553</v>
      </c>
      <c r="C8" s="32" t="s">
        <v>12</v>
      </c>
      <c r="D8" s="33" t="s">
        <v>18</v>
      </c>
      <c r="E8" s="34" t="s">
        <v>4</v>
      </c>
      <c r="F8" s="35">
        <v>1</v>
      </c>
      <c r="G8" s="36">
        <v>3700</v>
      </c>
      <c r="H8" s="36">
        <f t="shared" si="0"/>
        <v>3700</v>
      </c>
      <c r="I8" s="31"/>
      <c r="J8" s="37"/>
    </row>
    <row r="9" spans="1:10" s="38" customFormat="1">
      <c r="A9" s="31">
        <v>5</v>
      </c>
      <c r="B9" s="31">
        <v>2553</v>
      </c>
      <c r="C9" s="32" t="s">
        <v>13</v>
      </c>
      <c r="D9" s="33" t="s">
        <v>19</v>
      </c>
      <c r="E9" s="34" t="s">
        <v>4</v>
      </c>
      <c r="F9" s="35">
        <v>15</v>
      </c>
      <c r="G9" s="36">
        <v>4238.5200000000004</v>
      </c>
      <c r="H9" s="36">
        <f t="shared" si="0"/>
        <v>63577.8</v>
      </c>
      <c r="I9" s="31"/>
      <c r="J9" s="37"/>
    </row>
    <row r="10" spans="1:10" s="38" customFormat="1">
      <c r="A10" s="31">
        <v>6</v>
      </c>
      <c r="B10" s="31">
        <v>2553</v>
      </c>
      <c r="C10" s="32" t="s">
        <v>14</v>
      </c>
      <c r="D10" s="33" t="s">
        <v>20</v>
      </c>
      <c r="E10" s="34" t="s">
        <v>4</v>
      </c>
      <c r="F10" s="35">
        <v>1</v>
      </c>
      <c r="G10" s="36">
        <v>10140</v>
      </c>
      <c r="H10" s="36">
        <f t="shared" si="0"/>
        <v>10140</v>
      </c>
      <c r="I10" s="31"/>
      <c r="J10" s="37"/>
    </row>
    <row r="11" spans="1:10" s="8" customFormat="1">
      <c r="A11" s="20">
        <v>7</v>
      </c>
      <c r="B11" s="20">
        <v>2553</v>
      </c>
      <c r="C11" s="14" t="s">
        <v>15</v>
      </c>
      <c r="D11" s="15" t="s">
        <v>21</v>
      </c>
      <c r="E11" s="6" t="s">
        <v>4</v>
      </c>
      <c r="F11" s="7">
        <v>1</v>
      </c>
      <c r="G11" s="9">
        <v>4400</v>
      </c>
      <c r="H11" s="9">
        <f t="shared" si="0"/>
        <v>4400</v>
      </c>
      <c r="I11" s="20"/>
      <c r="J11" s="19"/>
    </row>
    <row r="12" spans="1:10" s="8" customFormat="1">
      <c r="A12" s="20">
        <v>8</v>
      </c>
      <c r="B12" s="10" t="s">
        <v>34</v>
      </c>
      <c r="C12" s="18" t="s">
        <v>31</v>
      </c>
      <c r="D12" s="1" t="s">
        <v>22</v>
      </c>
      <c r="E12" s="6" t="s">
        <v>5</v>
      </c>
      <c r="F12" s="7">
        <v>4</v>
      </c>
      <c r="G12" s="16">
        <v>15000</v>
      </c>
      <c r="H12" s="9">
        <f t="shared" si="0"/>
        <v>60000</v>
      </c>
      <c r="I12" s="20"/>
      <c r="J12" s="19"/>
    </row>
    <row r="13" spans="1:10" s="8" customFormat="1">
      <c r="A13" s="20">
        <v>9</v>
      </c>
      <c r="B13" s="10" t="s">
        <v>35</v>
      </c>
      <c r="C13" s="18" t="s">
        <v>36</v>
      </c>
      <c r="D13" s="1" t="s">
        <v>37</v>
      </c>
      <c r="E13" s="23" t="s">
        <v>5</v>
      </c>
      <c r="F13" s="7">
        <v>2</v>
      </c>
      <c r="G13" s="16">
        <v>1950</v>
      </c>
      <c r="H13" s="24">
        <f t="shared" si="0"/>
        <v>3900</v>
      </c>
      <c r="I13" s="20"/>
      <c r="J13" s="19"/>
    </row>
    <row r="14" spans="1:10">
      <c r="A14" s="28" t="s">
        <v>29</v>
      </c>
      <c r="B14" s="29"/>
      <c r="C14" s="29"/>
      <c r="D14" s="29"/>
      <c r="E14" s="30"/>
      <c r="F14" s="11"/>
      <c r="G14" s="22"/>
      <c r="H14" s="21">
        <f>SUM(H5:H13)</f>
        <v>153467.79999999999</v>
      </c>
      <c r="I14" s="4"/>
    </row>
    <row r="17" spans="6:10">
      <c r="F17" s="25" t="s">
        <v>6</v>
      </c>
      <c r="G17" s="25"/>
      <c r="H17" s="25"/>
      <c r="I17" s="25"/>
      <c r="J17" s="19"/>
    </row>
    <row r="18" spans="6:10">
      <c r="F18" s="25" t="s">
        <v>23</v>
      </c>
      <c r="G18" s="25"/>
      <c r="H18" s="25"/>
      <c r="I18" s="25"/>
      <c r="J18" s="19"/>
    </row>
    <row r="19" spans="6:10">
      <c r="F19" s="25" t="s">
        <v>7</v>
      </c>
      <c r="G19" s="25"/>
      <c r="H19" s="25"/>
      <c r="I19" s="25"/>
      <c r="J19" s="19"/>
    </row>
  </sheetData>
  <mergeCells count="7">
    <mergeCell ref="F17:I17"/>
    <mergeCell ref="F18:I18"/>
    <mergeCell ref="F19:I19"/>
    <mergeCell ref="A1:I1"/>
    <mergeCell ref="A2:I2"/>
    <mergeCell ref="A3:I3"/>
    <mergeCell ref="A14:E14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งานสวัสดิการ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2022-10-07T07:50:44Z</cp:lastPrinted>
  <dcterms:created xsi:type="dcterms:W3CDTF">2017-11-14T01:32:33Z</dcterms:created>
  <dcterms:modified xsi:type="dcterms:W3CDTF">2023-02-07T02:39:06Z</dcterms:modified>
</cp:coreProperties>
</file>