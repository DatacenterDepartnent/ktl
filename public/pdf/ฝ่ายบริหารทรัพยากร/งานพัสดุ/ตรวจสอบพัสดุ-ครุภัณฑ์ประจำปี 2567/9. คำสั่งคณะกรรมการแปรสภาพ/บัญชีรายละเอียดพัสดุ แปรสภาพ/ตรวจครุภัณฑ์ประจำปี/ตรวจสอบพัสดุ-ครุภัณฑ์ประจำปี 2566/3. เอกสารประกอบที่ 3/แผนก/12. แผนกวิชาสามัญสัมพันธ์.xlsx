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29"/>
  <workbookPr/>
  <mc:AlternateContent xmlns:mc="http://schemas.openxmlformats.org/markup-compatibility/2006">
    <mc:Choice Requires="x15">
      <x15ac:absPath xmlns:x15ac="http://schemas.microsoft.com/office/spreadsheetml/2010/11/ac" url="C:\Users\Pasdoo\Documents\งานพัสดุ ธนพร\ตรวจครุภัณฑ์ประจำปี\ตรวจสอบพัสดุ-ครุภัณฑ์ประจำปี 2565\เอกสารประกอบที่ 3\แผนก\"/>
    </mc:Choice>
  </mc:AlternateContent>
  <xr:revisionPtr revIDLastSave="0" documentId="13_ncr:1_{FB50D08B-0144-4D67-BD5E-82A7E6CC4E41}" xr6:coauthVersionLast="47" xr6:coauthVersionMax="47" xr10:uidLastSave="{00000000-0000-0000-0000-000000000000}"/>
  <bookViews>
    <workbookView xWindow="-120" yWindow="-120" windowWidth="24240" windowHeight="13140" tabRatio="897" xr2:uid="{00000000-000D-0000-FFFF-FFFF00000000}"/>
  </bookViews>
  <sheets>
    <sheet name="ต้นฉบับ" sheetId="46" r:id="rId1"/>
  </sheets>
  <definedNames>
    <definedName name="_xlnm.Print_Titles" localSheetId="0">ต้นฉบับ!$2:$5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16" i="46" l="1"/>
  <c r="K8" i="46"/>
  <c r="K9" i="46"/>
  <c r="K10" i="46"/>
  <c r="K11" i="46"/>
  <c r="K12" i="46"/>
  <c r="K13" i="46"/>
  <c r="K14" i="46"/>
  <c r="K15" i="46"/>
  <c r="K7" i="46"/>
</calcChain>
</file>

<file path=xl/sharedStrings.xml><?xml version="1.0" encoding="utf-8"?>
<sst xmlns="http://schemas.openxmlformats.org/spreadsheetml/2006/main" count="69" uniqueCount="51">
  <si>
    <t>รายการ ขนาด ลักษณะ</t>
  </si>
  <si>
    <t>จำนวน</t>
  </si>
  <si>
    <t>หมายเหตุ</t>
  </si>
  <si>
    <t>ชำรุด</t>
  </si>
  <si>
    <t>หัวหน้าหน่วยจ่าย/หน่วยเบิก</t>
  </si>
  <si>
    <t>รวมเป็นเงิน</t>
  </si>
  <si>
    <t xml:space="preserve"> สถานศึกษา วิทยาลัยเทคนิคกันทรลักษ์</t>
  </si>
  <si>
    <t>บัญชีรายการ ครุภัณฑ์ ชำรุด เสื่อมคุณภาพ ไม่ใช้ราชการ ของสถานศึกษา</t>
  </si>
  <si>
    <t>ลำดับ
ที่</t>
  </si>
  <si>
    <t>เป็นเงิน</t>
  </si>
  <si>
    <t>ระยะเวลา
ใช้งาน</t>
  </si>
  <si>
    <t>ได้มา
โดยวิธีใด</t>
  </si>
  <si>
    <t>เคย
ซ่อม
กี่ครั้ง</t>
  </si>
  <si>
    <t>เต็มตาม
บัญชี</t>
  </si>
  <si>
    <t>คำชี้แจง
ประกอบ
ของชำรุด</t>
  </si>
  <si>
    <t>หน่วยละ</t>
  </si>
  <si>
    <t xml:space="preserve">หมายเลขประจำ
วัสดุครุภัณฑ์ </t>
  </si>
  <si>
    <t>1. ให้แยกบัญชี เช่น บัญชีรายการครุภัณฑ์มูลค่าต่ำกว่าเกณฑ์ หรือ บัญชีรายการครุภัณฑ์ชำรุด เป็นต้น</t>
  </si>
  <si>
    <t>2. ในช่อง "เป็นเงิน" ให้ลงจำนวนเงินรวมตามจำนวนของที่ชำรุดเท่านั้น</t>
  </si>
  <si>
    <t>วัน เดือน ปี 
ที่ได้มา</t>
  </si>
  <si>
    <t xml:space="preserve"> .................................................................</t>
  </si>
  <si>
    <t>7440-001-0001/462-006</t>
  </si>
  <si>
    <t>ชุดคอมพิวเตอร์</t>
  </si>
  <si>
    <t>บกศ.</t>
  </si>
  <si>
    <t>-</t>
  </si>
  <si>
    <t>เครื่องประมวลผลและจอแสดงผลใช้งานไม่ได้</t>
  </si>
  <si>
    <t>7810-012-0001/463-001-463-005</t>
  </si>
  <si>
    <t>โต๊ะปิงปอง</t>
  </si>
  <si>
    <t>บริจาค</t>
  </si>
  <si>
    <t>โต๊ะแตกหัก โครงขึ้นสนิมผิดรูป</t>
  </si>
  <si>
    <t>4140-001-0001/482-001</t>
  </si>
  <si>
    <t>พัดลมเพดาน 48 นิ้ว</t>
  </si>
  <si>
    <t>7730-006-0003/501-001</t>
  </si>
  <si>
    <t xml:space="preserve">เครื่องเล่นเทป VCD </t>
  </si>
  <si>
    <t>งปม.</t>
  </si>
  <si>
    <t>วงจรภายในเสียหายใช้งานไม่ได้</t>
  </si>
  <si>
    <t>6730-001-0003/531-014-015</t>
  </si>
  <si>
    <t>เครื่องโปรเจคเตอร์พร้อมจอรับภาพ</t>
  </si>
  <si>
    <t>วงจรภายในเสียหาย ภายนอกแตกหักใช้งานไม่ได้</t>
  </si>
  <si>
    <t>7440-001-0001/531-154-155</t>
  </si>
  <si>
    <t>เครื่องคอมพิวเตอร์พร้อมโต๊ะเก้าอี้</t>
  </si>
  <si>
    <t>เครื่องประมวลผลและจอแสดงผมใช้งานไม่ได้</t>
  </si>
  <si>
    <t>7730-001-0001/531-001-002</t>
  </si>
  <si>
    <t>เครื่องเล่น  DVD</t>
  </si>
  <si>
    <t>6730-001-0003/531-019</t>
  </si>
  <si>
    <t>เครื่องฉายโปรเจกเตอร์  Acer</t>
  </si>
  <si>
    <t>7440-001-0001/531-156</t>
  </si>
  <si>
    <t>(นางวีนัส สุวรรณ)</t>
  </si>
  <si>
    <t>มอเตอร์ไหม้</t>
  </si>
  <si>
    <t>เอกสารหมายเลข.................</t>
  </si>
  <si>
    <t>ประจำปี 2565 สิ้นงวดเมื่อวันที่ 30 กันยายน 2565 ของแผนกสามัญสัมพันธ์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</si>
</sst>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9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  <font>
      <u/>
      <sz val="16"/>
      <color theme="1"/>
      <name val="TH SarabunPSK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49">
    <xf numFmtId="0" fontId="0" fillId="0" borderId="0" xfId="0"/>
    <xf numFmtId="0" fontId="3" fillId="0" borderId="1" xfId="6" applyFont="1" applyBorder="1"/>
    <xf numFmtId="0" fontId="4" fillId="0" borderId="0" xfId="0" applyFont="1"/>
    <xf numFmtId="0" fontId="3" fillId="0" borderId="1" xfId="6" applyFont="1" applyBorder="1" applyAlignment="1">
      <alignment horizontal="left"/>
    </xf>
    <xf numFmtId="0" fontId="3" fillId="0" borderId="1" xfId="2" applyFont="1" applyBorder="1" applyAlignment="1">
      <alignment horizontal="center"/>
    </xf>
    <xf numFmtId="0" fontId="3" fillId="0" borderId="1" xfId="6" applyFont="1" applyBorder="1" applyAlignment="1">
      <alignment horizontal="center"/>
    </xf>
    <xf numFmtId="43" fontId="3" fillId="0" borderId="1" xfId="1" applyFont="1" applyBorder="1"/>
    <xf numFmtId="0" fontId="4" fillId="0" borderId="0" xfId="0" applyFont="1" applyBorder="1"/>
    <xf numFmtId="0" fontId="4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/>
    </xf>
    <xf numFmtId="0" fontId="4" fillId="0" borderId="0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 applyBorder="1" applyAlignment="1"/>
    <xf numFmtId="43" fontId="4" fillId="0" borderId="0" xfId="0" applyNumberFormat="1" applyFont="1" applyBorder="1" applyAlignment="1"/>
    <xf numFmtId="0" fontId="3" fillId="0" borderId="0" xfId="2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43" fontId="4" fillId="0" borderId="6" xfId="0" applyNumberFormat="1" applyFont="1" applyBorder="1" applyAlignment="1"/>
    <xf numFmtId="0" fontId="4" fillId="0" borderId="6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3" fillId="0" borderId="5" xfId="6" applyFont="1" applyBorder="1" applyAlignment="1">
      <alignment horizontal="left" vertical="center"/>
    </xf>
    <xf numFmtId="0" fontId="3" fillId="0" borderId="10" xfId="6" applyFont="1" applyBorder="1" applyAlignment="1">
      <alignment horizontal="left" vertical="center"/>
    </xf>
    <xf numFmtId="43" fontId="3" fillId="0" borderId="1" xfId="1" applyFont="1" applyBorder="1" applyAlignment="1">
      <alignment horizontal="center"/>
    </xf>
    <xf numFmtId="43" fontId="3" fillId="0" borderId="5" xfId="1" applyFont="1" applyBorder="1"/>
    <xf numFmtId="0" fontId="3" fillId="0" borderId="4" xfId="6" applyFont="1" applyBorder="1" applyAlignment="1">
      <alignment horizontal="left"/>
    </xf>
    <xf numFmtId="0" fontId="3" fillId="0" borderId="4" xfId="6" applyFont="1" applyBorder="1"/>
    <xf numFmtId="0" fontId="3" fillId="0" borderId="1" xfId="8" applyFont="1" applyBorder="1" applyAlignment="1">
      <alignment horizontal="left"/>
    </xf>
    <xf numFmtId="0" fontId="3" fillId="0" borderId="1" xfId="8" applyFont="1" applyBorder="1"/>
    <xf numFmtId="0" fontId="3" fillId="0" borderId="4" xfId="8" applyFont="1" applyBorder="1" applyAlignment="1">
      <alignment horizontal="left"/>
    </xf>
    <xf numFmtId="0" fontId="3" fillId="0" borderId="4" xfId="8" applyFont="1" applyBorder="1"/>
    <xf numFmtId="43" fontId="3" fillId="0" borderId="4" xfId="1" applyFont="1" applyBorder="1"/>
    <xf numFmtId="43" fontId="3" fillId="0" borderId="1" xfId="12" applyNumberFormat="1" applyFont="1" applyBorder="1" applyAlignment="1">
      <alignment horizontal="left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7" fillId="0" borderId="0" xfId="9" applyFont="1" applyAlignment="1">
      <alignment horizontal="center" vertical="center"/>
    </xf>
    <xf numFmtId="0" fontId="6" fillId="0" borderId="10" xfId="0" applyFont="1" applyBorder="1" applyAlignment="1" applyProtection="1">
      <alignment horizontal="center"/>
      <protection locked="0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center" vertical="top" wrapText="1"/>
    </xf>
    <xf numFmtId="0" fontId="4" fillId="0" borderId="0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mruColors>
      <color rgb="FF7030A0"/>
      <color rgb="FF993300"/>
      <color rgb="FF0070C0"/>
      <color rgb="FFFF0066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2038350</xdr:colOff>
      <xdr:row>17</xdr:row>
      <xdr:rowOff>57150</xdr:rowOff>
    </xdr:from>
    <xdr:to>
      <xdr:col>11</xdr:col>
      <xdr:colOff>2362200</xdr:colOff>
      <xdr:row>21</xdr:row>
      <xdr:rowOff>238125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1ABDFF0D-4410-4951-B29D-68DF474422F5}"/>
            </a:ext>
          </a:extLst>
        </xdr:cNvPr>
        <xdr:cNvSpPr txBox="1"/>
      </xdr:nvSpPr>
      <xdr:spPr>
        <a:xfrm rot="5400000">
          <a:off x="11244262" y="6110288"/>
          <a:ext cx="1400175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L28"/>
  <sheetViews>
    <sheetView tabSelected="1" topLeftCell="A13" zoomScaleNormal="100" workbookViewId="0">
      <selection activeCell="L21" sqref="L21"/>
    </sheetView>
  </sheetViews>
  <sheetFormatPr defaultColWidth="9" defaultRowHeight="24"/>
  <cols>
    <col min="1" max="1" width="5.28515625" style="2" customWidth="1"/>
    <col min="2" max="2" width="12" style="19" customWidth="1"/>
    <col min="3" max="3" width="34.5703125" style="12" customWidth="1"/>
    <col min="4" max="4" width="30" style="2" customWidth="1"/>
    <col min="5" max="5" width="7.5703125" style="2" customWidth="1"/>
    <col min="6" max="6" width="8.5703125" style="2" customWidth="1"/>
    <col min="7" max="7" width="6.5703125" style="2" customWidth="1"/>
    <col min="8" max="9" width="7.5703125" style="2" customWidth="1"/>
    <col min="10" max="10" width="12.5703125" style="2" customWidth="1"/>
    <col min="11" max="11" width="13.85546875" style="2" customWidth="1"/>
    <col min="12" max="12" width="40" style="19" customWidth="1"/>
    <col min="13" max="16384" width="9" style="2"/>
  </cols>
  <sheetData>
    <row r="1" spans="1:12">
      <c r="L1" s="19" t="s">
        <v>49</v>
      </c>
    </row>
    <row r="2" spans="1:12">
      <c r="A2" s="36" t="s">
        <v>6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</row>
    <row r="3" spans="1:12">
      <c r="A3" s="37" t="s">
        <v>7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</row>
    <row r="4" spans="1:12">
      <c r="A4" s="38" t="s">
        <v>50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</row>
    <row r="5" spans="1:12" ht="24" customHeight="1">
      <c r="A5" s="34" t="s">
        <v>8</v>
      </c>
      <c r="B5" s="34" t="s">
        <v>19</v>
      </c>
      <c r="C5" s="34" t="s">
        <v>16</v>
      </c>
      <c r="D5" s="39" t="s">
        <v>0</v>
      </c>
      <c r="E5" s="34" t="s">
        <v>11</v>
      </c>
      <c r="F5" s="34" t="s">
        <v>10</v>
      </c>
      <c r="G5" s="41" t="s">
        <v>12</v>
      </c>
      <c r="H5" s="47" t="s">
        <v>1</v>
      </c>
      <c r="I5" s="48"/>
      <c r="J5" s="34" t="s">
        <v>15</v>
      </c>
      <c r="K5" s="34" t="s">
        <v>9</v>
      </c>
      <c r="L5" s="34" t="s">
        <v>14</v>
      </c>
    </row>
    <row r="6" spans="1:12" ht="48">
      <c r="A6" s="35"/>
      <c r="B6" s="35"/>
      <c r="C6" s="35"/>
      <c r="D6" s="40"/>
      <c r="E6" s="35"/>
      <c r="F6" s="35"/>
      <c r="G6" s="42"/>
      <c r="H6" s="9" t="s">
        <v>13</v>
      </c>
      <c r="I6" s="8" t="s">
        <v>3</v>
      </c>
      <c r="J6" s="35"/>
      <c r="K6" s="35"/>
      <c r="L6" s="35"/>
    </row>
    <row r="7" spans="1:12">
      <c r="A7" s="10">
        <v>1</v>
      </c>
      <c r="B7" s="10">
        <v>2546</v>
      </c>
      <c r="C7" s="22" t="s">
        <v>21</v>
      </c>
      <c r="D7" s="23" t="s">
        <v>22</v>
      </c>
      <c r="E7" s="4" t="s">
        <v>23</v>
      </c>
      <c r="F7" s="4">
        <v>19</v>
      </c>
      <c r="G7" s="4" t="s">
        <v>24</v>
      </c>
      <c r="H7" s="4">
        <v>1</v>
      </c>
      <c r="I7" s="5">
        <v>1</v>
      </c>
      <c r="J7" s="24">
        <v>33000</v>
      </c>
      <c r="K7" s="25">
        <f>SUM(I7*J7)</f>
        <v>33000</v>
      </c>
      <c r="L7" s="33" t="s">
        <v>25</v>
      </c>
    </row>
    <row r="8" spans="1:12">
      <c r="A8" s="10">
        <v>2</v>
      </c>
      <c r="B8" s="10">
        <v>2546</v>
      </c>
      <c r="C8" s="26" t="s">
        <v>26</v>
      </c>
      <c r="D8" s="27" t="s">
        <v>27</v>
      </c>
      <c r="E8" s="4" t="s">
        <v>28</v>
      </c>
      <c r="F8" s="4">
        <v>19</v>
      </c>
      <c r="G8" s="4" t="s">
        <v>24</v>
      </c>
      <c r="H8" s="4">
        <v>5</v>
      </c>
      <c r="I8" s="5">
        <v>5</v>
      </c>
      <c r="J8" s="6">
        <v>3970</v>
      </c>
      <c r="K8" s="25">
        <f t="shared" ref="K8:K15" si="0">SUM(I8*J8)</f>
        <v>19850</v>
      </c>
      <c r="L8" s="33" t="s">
        <v>29</v>
      </c>
    </row>
    <row r="9" spans="1:12">
      <c r="A9" s="10">
        <v>3</v>
      </c>
      <c r="B9" s="10">
        <v>2548</v>
      </c>
      <c r="C9" s="3" t="s">
        <v>30</v>
      </c>
      <c r="D9" s="1" t="s">
        <v>31</v>
      </c>
      <c r="E9" s="4" t="s">
        <v>23</v>
      </c>
      <c r="F9" s="4">
        <v>19</v>
      </c>
      <c r="G9" s="4" t="s">
        <v>24</v>
      </c>
      <c r="H9" s="4">
        <v>1</v>
      </c>
      <c r="I9" s="5">
        <v>1</v>
      </c>
      <c r="J9" s="6">
        <v>690</v>
      </c>
      <c r="K9" s="25">
        <f t="shared" si="0"/>
        <v>690</v>
      </c>
      <c r="L9" s="33" t="s">
        <v>48</v>
      </c>
    </row>
    <row r="10" spans="1:12">
      <c r="A10" s="10">
        <v>4</v>
      </c>
      <c r="B10" s="10">
        <v>2550</v>
      </c>
      <c r="C10" s="3" t="s">
        <v>32</v>
      </c>
      <c r="D10" s="1" t="s">
        <v>33</v>
      </c>
      <c r="E10" s="4" t="s">
        <v>34</v>
      </c>
      <c r="F10" s="4">
        <v>15</v>
      </c>
      <c r="G10" s="4" t="s">
        <v>24</v>
      </c>
      <c r="H10" s="4">
        <v>1</v>
      </c>
      <c r="I10" s="5">
        <v>1</v>
      </c>
      <c r="J10" s="6">
        <v>3350</v>
      </c>
      <c r="K10" s="25">
        <f t="shared" si="0"/>
        <v>3350</v>
      </c>
      <c r="L10" s="33" t="s">
        <v>35</v>
      </c>
    </row>
    <row r="11" spans="1:12">
      <c r="A11" s="10">
        <v>5</v>
      </c>
      <c r="B11" s="10">
        <v>2553</v>
      </c>
      <c r="C11" s="3" t="s">
        <v>36</v>
      </c>
      <c r="D11" s="1" t="s">
        <v>37</v>
      </c>
      <c r="E11" s="4" t="s">
        <v>34</v>
      </c>
      <c r="F11" s="4">
        <v>12</v>
      </c>
      <c r="G11" s="4" t="s">
        <v>24</v>
      </c>
      <c r="H11" s="4">
        <v>2</v>
      </c>
      <c r="I11" s="5">
        <v>2</v>
      </c>
      <c r="J11" s="6">
        <v>32000</v>
      </c>
      <c r="K11" s="25">
        <f t="shared" si="0"/>
        <v>64000</v>
      </c>
      <c r="L11" s="33" t="s">
        <v>38</v>
      </c>
    </row>
    <row r="12" spans="1:12">
      <c r="A12" s="10">
        <v>6</v>
      </c>
      <c r="B12" s="10">
        <v>2553</v>
      </c>
      <c r="C12" s="3" t="s">
        <v>39</v>
      </c>
      <c r="D12" s="1" t="s">
        <v>40</v>
      </c>
      <c r="E12" s="4" t="s">
        <v>34</v>
      </c>
      <c r="F12" s="4">
        <v>12</v>
      </c>
      <c r="G12" s="4" t="s">
        <v>24</v>
      </c>
      <c r="H12" s="4">
        <v>2</v>
      </c>
      <c r="I12" s="5">
        <v>2</v>
      </c>
      <c r="J12" s="6">
        <v>17000</v>
      </c>
      <c r="K12" s="25">
        <f t="shared" si="0"/>
        <v>34000</v>
      </c>
      <c r="L12" s="33" t="s">
        <v>41</v>
      </c>
    </row>
    <row r="13" spans="1:12">
      <c r="A13" s="10">
        <v>7</v>
      </c>
      <c r="B13" s="10">
        <v>2553</v>
      </c>
      <c r="C13" s="28" t="s">
        <v>42</v>
      </c>
      <c r="D13" s="29" t="s">
        <v>43</v>
      </c>
      <c r="E13" s="4" t="s">
        <v>34</v>
      </c>
      <c r="F13" s="4">
        <v>12</v>
      </c>
      <c r="G13" s="4" t="s">
        <v>24</v>
      </c>
      <c r="H13" s="4">
        <v>2</v>
      </c>
      <c r="I13" s="5">
        <v>2</v>
      </c>
      <c r="J13" s="6">
        <v>1950</v>
      </c>
      <c r="K13" s="25">
        <f t="shared" si="0"/>
        <v>3900</v>
      </c>
      <c r="L13" s="33" t="s">
        <v>35</v>
      </c>
    </row>
    <row r="14" spans="1:12">
      <c r="A14" s="10">
        <v>8</v>
      </c>
      <c r="B14" s="10">
        <v>2553</v>
      </c>
      <c r="C14" s="28" t="s">
        <v>44</v>
      </c>
      <c r="D14" s="29" t="s">
        <v>45</v>
      </c>
      <c r="E14" s="4" t="s">
        <v>34</v>
      </c>
      <c r="F14" s="4">
        <v>12</v>
      </c>
      <c r="G14" s="4" t="s">
        <v>24</v>
      </c>
      <c r="H14" s="4">
        <v>1</v>
      </c>
      <c r="I14" s="5">
        <v>1</v>
      </c>
      <c r="J14" s="6">
        <v>30000</v>
      </c>
      <c r="K14" s="25">
        <f t="shared" si="0"/>
        <v>30000</v>
      </c>
      <c r="L14" s="33" t="s">
        <v>38</v>
      </c>
    </row>
    <row r="15" spans="1:12" ht="24.75" thickBot="1">
      <c r="A15" s="10">
        <v>9</v>
      </c>
      <c r="B15" s="10">
        <v>2553</v>
      </c>
      <c r="C15" s="30" t="s">
        <v>46</v>
      </c>
      <c r="D15" s="31" t="s">
        <v>40</v>
      </c>
      <c r="E15" s="4" t="s">
        <v>34</v>
      </c>
      <c r="F15" s="4">
        <v>12</v>
      </c>
      <c r="G15" s="4" t="s">
        <v>24</v>
      </c>
      <c r="H15" s="4">
        <v>1</v>
      </c>
      <c r="I15" s="5">
        <v>1</v>
      </c>
      <c r="J15" s="32">
        <v>20000</v>
      </c>
      <c r="K15" s="25">
        <f t="shared" si="0"/>
        <v>20000</v>
      </c>
      <c r="L15" s="33" t="s">
        <v>41</v>
      </c>
    </row>
    <row r="16" spans="1:12" ht="24.75" thickBot="1">
      <c r="A16" s="44" t="s">
        <v>5</v>
      </c>
      <c r="B16" s="45"/>
      <c r="C16" s="45"/>
      <c r="D16" s="45"/>
      <c r="E16" s="45"/>
      <c r="F16" s="45"/>
      <c r="G16" s="45"/>
      <c r="H16" s="45"/>
      <c r="I16" s="45"/>
      <c r="J16" s="46"/>
      <c r="K16" s="17">
        <f>SUM(K7:K15)</f>
        <v>208790</v>
      </c>
      <c r="L16" s="18"/>
    </row>
    <row r="17" spans="1:12" ht="24.75" thickTop="1">
      <c r="A17" s="20"/>
      <c r="B17" s="20"/>
      <c r="C17" s="20"/>
      <c r="D17" s="20"/>
      <c r="E17" s="20"/>
      <c r="F17" s="20"/>
      <c r="G17" s="20"/>
      <c r="H17" s="20"/>
      <c r="I17" s="15"/>
      <c r="J17" s="14"/>
      <c r="K17" s="14"/>
      <c r="L17" s="2"/>
    </row>
    <row r="18" spans="1:12">
      <c r="A18" s="7"/>
      <c r="B18" s="16" t="s">
        <v>2</v>
      </c>
      <c r="C18" s="11" t="s">
        <v>17</v>
      </c>
      <c r="D18" s="7"/>
      <c r="E18" s="7"/>
      <c r="F18" s="7"/>
      <c r="G18" s="7"/>
      <c r="H18" s="7"/>
      <c r="I18" s="15"/>
      <c r="J18" s="7"/>
      <c r="K18" s="7"/>
      <c r="L18" s="2"/>
    </row>
    <row r="19" spans="1:12">
      <c r="A19" s="7"/>
      <c r="B19" s="21"/>
      <c r="C19" s="11" t="s">
        <v>18</v>
      </c>
      <c r="D19" s="7"/>
      <c r="E19" s="7"/>
      <c r="F19" s="7"/>
      <c r="G19" s="7"/>
      <c r="H19" s="13"/>
      <c r="I19" s="13"/>
      <c r="J19" s="13"/>
      <c r="K19" s="13"/>
      <c r="L19" s="2"/>
    </row>
    <row r="20" spans="1:12">
      <c r="A20" s="7"/>
      <c r="B20" s="21"/>
      <c r="C20" s="11"/>
      <c r="D20" s="7"/>
      <c r="E20" s="7"/>
      <c r="F20" s="7"/>
      <c r="G20" s="7"/>
      <c r="H20" s="13"/>
      <c r="I20" s="13"/>
      <c r="J20" s="13"/>
      <c r="K20" s="13"/>
      <c r="L20" s="2"/>
    </row>
    <row r="21" spans="1:12">
      <c r="A21" s="7"/>
      <c r="B21" s="21"/>
      <c r="C21" s="11"/>
      <c r="D21" s="7"/>
      <c r="E21" s="7"/>
      <c r="F21" s="7"/>
      <c r="G21" s="7"/>
      <c r="H21" s="43" t="s">
        <v>20</v>
      </c>
      <c r="I21" s="43"/>
      <c r="J21" s="43"/>
      <c r="K21" s="43"/>
      <c r="L21" s="2"/>
    </row>
    <row r="22" spans="1:12">
      <c r="H22" s="43" t="s">
        <v>47</v>
      </c>
      <c r="I22" s="43"/>
      <c r="J22" s="43"/>
      <c r="K22" s="43"/>
      <c r="L22" s="2"/>
    </row>
    <row r="23" spans="1:12">
      <c r="B23" s="2"/>
      <c r="C23" s="2"/>
      <c r="H23" s="43" t="s">
        <v>4</v>
      </c>
      <c r="I23" s="43"/>
      <c r="J23" s="43"/>
      <c r="K23" s="43"/>
      <c r="L23" s="2"/>
    </row>
    <row r="24" spans="1:12">
      <c r="L24" s="2"/>
    </row>
    <row r="25" spans="1:12">
      <c r="L25" s="2"/>
    </row>
    <row r="26" spans="1:12">
      <c r="L26" s="2"/>
    </row>
    <row r="27" spans="1:12">
      <c r="L27" s="2"/>
    </row>
    <row r="28" spans="1:12">
      <c r="L28" s="2"/>
    </row>
  </sheetData>
  <mergeCells count="18">
    <mergeCell ref="H23:K23"/>
    <mergeCell ref="A16:J16"/>
    <mergeCell ref="H21:K21"/>
    <mergeCell ref="H22:K22"/>
    <mergeCell ref="H5:I5"/>
    <mergeCell ref="J5:J6"/>
    <mergeCell ref="K5:K6"/>
    <mergeCell ref="L5:L6"/>
    <mergeCell ref="A2:L2"/>
    <mergeCell ref="A3:L3"/>
    <mergeCell ref="A4:L4"/>
    <mergeCell ref="A5:A6"/>
    <mergeCell ref="B5:B6"/>
    <mergeCell ref="C5:C6"/>
    <mergeCell ref="D5:D6"/>
    <mergeCell ref="E5:E6"/>
    <mergeCell ref="F5:F6"/>
    <mergeCell ref="G5:G6"/>
  </mergeCells>
  <printOptions horizontalCentered="1"/>
  <pageMargins left="0.19685039370078741" right="0.19685039370078741" top="0.59055118110236227" bottom="0.19685039370078741" header="0" footer="0"/>
  <pageSetup paperSize="9" scale="75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1</vt:i4>
      </vt:variant>
    </vt:vector>
  </HeadingPairs>
  <TitlesOfParts>
    <vt:vector size="2" baseType="lpstr">
      <vt:lpstr>ต้นฉบับ</vt:lpstr>
      <vt:lpstr>ต้นฉบับ!Print_Titles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Pasdoo</cp:lastModifiedBy>
  <cp:lastPrinted>2022-10-19T04:46:57Z</cp:lastPrinted>
  <dcterms:created xsi:type="dcterms:W3CDTF">2017-11-14T01:32:33Z</dcterms:created>
  <dcterms:modified xsi:type="dcterms:W3CDTF">2022-10-19T04:47:01Z</dcterms:modified>
</cp:coreProperties>
</file>