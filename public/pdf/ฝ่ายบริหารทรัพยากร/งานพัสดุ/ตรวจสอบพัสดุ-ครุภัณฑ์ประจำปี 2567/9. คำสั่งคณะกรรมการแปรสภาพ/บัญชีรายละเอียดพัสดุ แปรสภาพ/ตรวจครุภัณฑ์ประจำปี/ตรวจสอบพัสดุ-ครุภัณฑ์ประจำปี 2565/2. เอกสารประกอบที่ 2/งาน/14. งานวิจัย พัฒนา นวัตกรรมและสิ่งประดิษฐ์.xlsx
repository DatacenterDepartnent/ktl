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C099AFD3-7F25-4239-84CB-2FC5E3F70874}" xr6:coauthVersionLast="47" xr6:coauthVersionMax="47" xr10:uidLastSave="{00000000-0000-0000-0000-000000000000}"/>
  <bookViews>
    <workbookView xWindow="735" yWindow="735" windowWidth="11970" windowHeight="9645" tabRatio="897" xr2:uid="{00000000-000D-0000-FFFF-FFFF00000000}"/>
  </bookViews>
  <sheets>
    <sheet name="งานวิจัย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1" l="1"/>
  <c r="H7" i="11"/>
  <c r="H8" i="11"/>
  <c r="H9" i="11"/>
  <c r="H10" i="11"/>
  <c r="H11" i="11"/>
  <c r="H12" i="11"/>
  <c r="H5" i="11"/>
  <c r="H13" i="11" s="1"/>
</calcChain>
</file>

<file path=xl/sharedStrings.xml><?xml version="1.0" encoding="utf-8"?>
<sst xmlns="http://schemas.openxmlformats.org/spreadsheetml/2006/main" count="46" uniqueCount="36">
  <si>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</si>
  <si>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</si>
  <si>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</si>
  <si>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</si>
  <si>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</si>
  <si>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</si>
  <si>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</si>
  <si>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</si>
  <si>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</si>
  <si>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</si>
  <si>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</si>
  <si>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</si>
  <si>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</si>
  <si>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</si>
  <si>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</si>
  <si>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HP Laserjet P1005</t>
  </si>
  <si>
    <t>เครื่องสำรองไฟฟ้า</t>
  </si>
  <si>
    <t>2553</t>
  </si>
  <si>
    <t>บัญชีรายการ งานวิจัย พัฒนา นวัตกรรมและสิ่งประดิษฐ์  คงเหลือ</t>
  </si>
  <si>
    <t>7110-002-0006/491-011-012</t>
  </si>
  <si>
    <t>ตู้กระจก 2 บานเลื่อน</t>
  </si>
  <si>
    <t>7110-002-0007/521-002</t>
  </si>
  <si>
    <t>ตู้ 2 บานเลื่อนทึบ  4 ฟุต SMART FORM</t>
  </si>
  <si>
    <t>7110-002-0006/521-022</t>
  </si>
  <si>
    <t>ตู้ 2 บานเลื่อนกระจก  4 ฟุต SMART FORM</t>
  </si>
  <si>
    <t>7430-008-0002/531-015</t>
  </si>
  <si>
    <t>6720-005-0002/531-004</t>
  </si>
  <si>
    <t>กล้องถ่ายภาพนิ่ง</t>
  </si>
  <si>
    <t>6130-001-0001/531-009</t>
  </si>
  <si>
    <t>7440-001-0001/582-001</t>
  </si>
  <si>
    <t>เครื่องคอมพิวเตอร์ ALL IN ONE</t>
  </si>
  <si>
    <t>2549</t>
  </si>
  <si>
    <t>2552</t>
  </si>
  <si>
    <t>7440-001-0002/642-001</t>
  </si>
  <si>
    <t>ประจำปี 2565  ณ วันที่ 30 กันยายน 2565</t>
  </si>
  <si>
    <t>(นางคนองรักษ์  ป้อมหิน)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</si>
</sst>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0" fontId="4" fillId="0" borderId="1" xfId="0" applyFont="1" applyBorder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5" applyFont="1"/>
    <xf numFmtId="0" fontId="3" fillId="0" borderId="1" xfId="5" applyFont="1" applyBorder="1"/>
    <xf numFmtId="43" fontId="3" fillId="0" borderId="1" xfId="5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6" applyNumberFormat="1" applyFont="1" applyBorder="1"/>
    <xf numFmtId="0" fontId="3" fillId="0" borderId="1" xfId="6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0" fontId="3" fillId="3" borderId="1" xfId="2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left"/>
    </xf>
    <xf numFmtId="0" fontId="7" fillId="3" borderId="1" xfId="2" applyFont="1" applyFill="1" applyBorder="1" applyAlignment="1">
      <alignment horizontal="center"/>
    </xf>
    <xf numFmtId="43" fontId="7" fillId="3" borderId="1" xfId="1" applyFont="1" applyFill="1" applyBorder="1" applyAlignment="1">
      <alignment horizontal="center"/>
    </xf>
    <xf numFmtId="43" fontId="7" fillId="0" borderId="1" xfId="1" applyFont="1" applyBorder="1"/>
    <xf numFmtId="0" fontId="7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133350</xdr:rowOff>
    </xdr:from>
    <xdr:to>
      <xdr:col>8</xdr:col>
      <xdr:colOff>485775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86650" y="133350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8"/>
  <sheetViews>
    <sheetView tabSelected="1" topLeftCell="C4" workbookViewId="0">
      <selection activeCell="F11" sqref="F11:G11"/>
    </sheetView>
  </sheetViews>
  <sheetFormatPr defaultColWidth="9" defaultRowHeight="24"/>
  <cols>
    <col min="1" max="1" width="5.5703125" style="2" customWidth="1"/>
    <col min="2" max="2" width="12.7109375" style="15" customWidth="1"/>
    <col min="3" max="3" width="30.140625" style="2" customWidth="1"/>
    <col min="4" max="4" width="37.140625" style="2" customWidth="1"/>
    <col min="5" max="5" width="6.85546875" style="2" customWidth="1"/>
    <col min="6" max="6" width="6.7109375" style="2" customWidth="1"/>
    <col min="7" max="7" width="13.140625" style="2" customWidth="1"/>
    <col min="8" max="8" width="13.5703125" style="2" customWidth="1"/>
    <col min="9" max="9" width="10" style="15" customWidth="1"/>
    <col min="10" max="12" width="21" style="2" customWidth="1"/>
    <col min="13" max="16384" width="9" style="2"/>
  </cols>
  <sheetData>
    <row r="1" spans="1:12" ht="24" customHeight="1">
      <c r="A1" s="33" t="s">
        <v>3</v>
      </c>
      <c r="B1" s="33"/>
      <c r="C1" s="33"/>
      <c r="D1" s="33"/>
      <c r="E1" s="33"/>
      <c r="F1" s="33"/>
      <c r="G1" s="33"/>
      <c r="H1" s="33"/>
      <c r="I1" s="33"/>
    </row>
    <row r="2" spans="1:12" ht="24" customHeight="1">
      <c r="A2" s="33" t="s">
        <v>18</v>
      </c>
      <c r="B2" s="33"/>
      <c r="C2" s="33"/>
      <c r="D2" s="33"/>
      <c r="E2" s="33"/>
      <c r="F2" s="33"/>
      <c r="G2" s="33"/>
      <c r="H2" s="33"/>
      <c r="I2" s="33"/>
    </row>
    <row r="3" spans="1:12" ht="24" customHeight="1">
      <c r="A3" s="34" t="s">
        <v>34</v>
      </c>
      <c r="B3" s="34"/>
      <c r="C3" s="34"/>
      <c r="D3" s="34"/>
      <c r="E3" s="34"/>
      <c r="F3" s="34"/>
      <c r="G3" s="34"/>
      <c r="H3" s="34"/>
      <c r="I3" s="34"/>
    </row>
    <row r="4" spans="1:12" ht="42.75" customHeight="1">
      <c r="A4" s="13" t="s">
        <v>9</v>
      </c>
      <c r="B4" s="13" t="s">
        <v>12</v>
      </c>
      <c r="C4" s="13" t="s">
        <v>13</v>
      </c>
      <c r="D4" s="11" t="s">
        <v>0</v>
      </c>
      <c r="E4" s="13" t="s">
        <v>10</v>
      </c>
      <c r="F4" s="11" t="s">
        <v>1</v>
      </c>
      <c r="G4" s="13" t="s">
        <v>11</v>
      </c>
      <c r="H4" s="13" t="s">
        <v>14</v>
      </c>
      <c r="I4" s="11" t="s">
        <v>2</v>
      </c>
      <c r="J4" s="9"/>
      <c r="K4" s="9"/>
      <c r="L4" s="9"/>
    </row>
    <row r="5" spans="1:12">
      <c r="A5" s="20">
        <v>1</v>
      </c>
      <c r="B5" s="21" t="s">
        <v>31</v>
      </c>
      <c r="C5" s="12" t="s">
        <v>19</v>
      </c>
      <c r="D5" s="22" t="s">
        <v>20</v>
      </c>
      <c r="E5" s="4" t="s">
        <v>4</v>
      </c>
      <c r="F5" s="23">
        <v>2</v>
      </c>
      <c r="G5" s="7">
        <v>2900</v>
      </c>
      <c r="H5" s="7">
        <f>SUM(F5*G5)</f>
        <v>5800</v>
      </c>
      <c r="I5" s="16"/>
    </row>
    <row r="6" spans="1:12">
      <c r="A6" s="24">
        <v>2</v>
      </c>
      <c r="B6" s="21" t="s">
        <v>32</v>
      </c>
      <c r="C6" s="12" t="s">
        <v>21</v>
      </c>
      <c r="D6" s="22" t="s">
        <v>22</v>
      </c>
      <c r="E6" s="4" t="s">
        <v>4</v>
      </c>
      <c r="F6" s="23">
        <v>1</v>
      </c>
      <c r="G6" s="7">
        <v>2900</v>
      </c>
      <c r="H6" s="7">
        <f t="shared" ref="H6:H12" si="0">SUM(F6*G6)</f>
        <v>2900</v>
      </c>
      <c r="I6" s="16"/>
    </row>
    <row r="7" spans="1:12">
      <c r="A7" s="20">
        <v>3</v>
      </c>
      <c r="B7" s="21" t="s">
        <v>32</v>
      </c>
      <c r="C7" s="12" t="s">
        <v>23</v>
      </c>
      <c r="D7" s="22" t="s">
        <v>24</v>
      </c>
      <c r="E7" s="4" t="s">
        <v>4</v>
      </c>
      <c r="F7" s="23">
        <v>1</v>
      </c>
      <c r="G7" s="7">
        <v>3000</v>
      </c>
      <c r="H7" s="7">
        <f t="shared" si="0"/>
        <v>3000</v>
      </c>
      <c r="I7" s="16"/>
    </row>
    <row r="8" spans="1:12">
      <c r="A8" s="24">
        <v>4</v>
      </c>
      <c r="B8" s="21" t="s">
        <v>17</v>
      </c>
      <c r="C8" s="25" t="s">
        <v>25</v>
      </c>
      <c r="D8" s="25" t="s">
        <v>15</v>
      </c>
      <c r="E8" s="4" t="s">
        <v>4</v>
      </c>
      <c r="F8" s="20">
        <v>1</v>
      </c>
      <c r="G8" s="6">
        <v>3700</v>
      </c>
      <c r="H8" s="7">
        <f t="shared" si="0"/>
        <v>3700</v>
      </c>
      <c r="I8" s="16"/>
    </row>
    <row r="9" spans="1:12">
      <c r="A9" s="20">
        <v>5</v>
      </c>
      <c r="B9" s="21" t="s">
        <v>17</v>
      </c>
      <c r="C9" s="25" t="s">
        <v>26</v>
      </c>
      <c r="D9" s="25" t="s">
        <v>27</v>
      </c>
      <c r="E9" s="4" t="s">
        <v>4</v>
      </c>
      <c r="F9" s="20">
        <v>1</v>
      </c>
      <c r="G9" s="6">
        <v>7900</v>
      </c>
      <c r="H9" s="7">
        <f t="shared" si="0"/>
        <v>7900</v>
      </c>
      <c r="I9" s="16"/>
    </row>
    <row r="10" spans="1:12">
      <c r="A10" s="24">
        <v>6</v>
      </c>
      <c r="B10" s="26" t="s">
        <v>17</v>
      </c>
      <c r="C10" s="27" t="s">
        <v>28</v>
      </c>
      <c r="D10" s="27" t="s">
        <v>16</v>
      </c>
      <c r="E10" s="28" t="s">
        <v>4</v>
      </c>
      <c r="F10" s="29">
        <v>1</v>
      </c>
      <c r="G10" s="30">
        <v>2590</v>
      </c>
      <c r="H10" s="7">
        <f t="shared" si="0"/>
        <v>2590</v>
      </c>
      <c r="I10" s="16"/>
    </row>
    <row r="11" spans="1:12" s="44" customFormat="1">
      <c r="A11" s="38">
        <v>7</v>
      </c>
      <c r="B11" s="39">
        <v>2558</v>
      </c>
      <c r="C11" s="40" t="s">
        <v>29</v>
      </c>
      <c r="D11" s="40" t="s">
        <v>30</v>
      </c>
      <c r="E11" s="41" t="s">
        <v>5</v>
      </c>
      <c r="F11" s="39">
        <v>1</v>
      </c>
      <c r="G11" s="42">
        <v>22000</v>
      </c>
      <c r="H11" s="43">
        <f t="shared" si="0"/>
        <v>22000</v>
      </c>
      <c r="I11" s="38"/>
    </row>
    <row r="12" spans="1:12">
      <c r="A12" s="24">
        <v>8</v>
      </c>
      <c r="B12" s="31">
        <v>23321</v>
      </c>
      <c r="C12" s="3" t="s">
        <v>33</v>
      </c>
      <c r="D12" s="1" t="s">
        <v>30</v>
      </c>
      <c r="E12" s="4" t="s">
        <v>5</v>
      </c>
      <c r="F12" s="5">
        <v>1</v>
      </c>
      <c r="G12" s="6">
        <v>20000</v>
      </c>
      <c r="H12" s="7">
        <f t="shared" si="0"/>
        <v>20000</v>
      </c>
      <c r="I12" s="16"/>
    </row>
    <row r="13" spans="1:12">
      <c r="A13" s="35" t="s">
        <v>8</v>
      </c>
      <c r="B13" s="36"/>
      <c r="C13" s="36"/>
      <c r="D13" s="36"/>
      <c r="E13" s="37"/>
      <c r="F13" s="8"/>
      <c r="G13" s="18"/>
      <c r="H13" s="19">
        <f>SUM(H5:H12)</f>
        <v>67890</v>
      </c>
      <c r="I13" s="16"/>
    </row>
    <row r="14" spans="1:12" ht="30.75" customHeight="1">
      <c r="A14" s="15"/>
      <c r="C14" s="15"/>
      <c r="D14" s="15"/>
      <c r="E14" s="15"/>
      <c r="F14" s="10"/>
      <c r="G14" s="17"/>
      <c r="H14" s="14"/>
    </row>
    <row r="15" spans="1:12" ht="31.5" customHeight="1">
      <c r="F15" s="32" t="s">
        <v>6</v>
      </c>
      <c r="G15" s="32"/>
      <c r="H15" s="32"/>
      <c r="I15" s="32"/>
      <c r="J15" s="15"/>
      <c r="K15" s="15"/>
      <c r="L15" s="15"/>
    </row>
    <row r="16" spans="1:12">
      <c r="F16" s="32" t="s">
        <v>35</v>
      </c>
      <c r="G16" s="32"/>
      <c r="H16" s="32"/>
      <c r="I16" s="32"/>
      <c r="J16" s="15"/>
      <c r="K16" s="15"/>
      <c r="L16" s="15"/>
    </row>
    <row r="17" spans="6:12">
      <c r="F17" s="32" t="s">
        <v>7</v>
      </c>
      <c r="G17" s="32"/>
      <c r="H17" s="32"/>
      <c r="I17" s="32"/>
      <c r="J17" s="15"/>
      <c r="K17" s="15"/>
      <c r="L17" s="15"/>
    </row>
    <row r="18" spans="6:12" ht="16.5" customHeight="1"/>
  </sheetData>
  <mergeCells count="7">
    <mergeCell ref="F15:I15"/>
    <mergeCell ref="F16:I16"/>
    <mergeCell ref="F17:I17"/>
    <mergeCell ref="A1:I1"/>
    <mergeCell ref="A2:I2"/>
    <mergeCell ref="A3:I3"/>
    <mergeCell ref="A13:E13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งานวิจัย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2022-10-07T07:39:38Z</cp:lastPrinted>
  <dcterms:created xsi:type="dcterms:W3CDTF">2017-11-14T01:32:33Z</dcterms:created>
  <dcterms:modified xsi:type="dcterms:W3CDTF">2023-02-06T09:03:08Z</dcterms:modified>
</cp:coreProperties>
</file>