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4\เอกสารประกอบที่ 2\แผนก\"/>
    </mc:Choice>
  </mc:AlternateContent>
  <xr:revisionPtr revIDLastSave="0" documentId="13_ncr:1_{DCBD29DD-2CB8-4933-BEA1-4D787716CBF5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แผนกช่างกลโรงงาน" sheetId="32" r:id="rId1"/>
  </sheets>
  <definedNames>
    <definedName name="_xlnm.Print_Titles" localSheetId="0">แผนกช่างกลโรงงาน!$1:$4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8" i="32" l="1"/>
  <c r="H17" i="32"/>
  <c r="H19" i="32"/>
  <c r="H16" i="32"/>
  <c r="H6" i="32" l="1"/>
  <c r="H7" i="32"/>
  <c r="H8" i="32"/>
  <c r="H9" i="32"/>
  <c r="H10" i="32"/>
  <c r="H11" i="32"/>
  <c r="H12" i="32"/>
  <c r="H13" i="32"/>
  <c r="H14" i="32"/>
  <c r="H15" i="32"/>
  <c r="H5" i="32"/>
  <c r="H20" i="32" l="1"/>
</calcChain>
</file>

<file path=xl/sharedStrings.xml><?xml version="1.0" encoding="utf-8"?>
<sst xmlns="http://schemas.openxmlformats.org/spreadsheetml/2006/main" count="65" uniqueCount="52">
  <si>
    <t>รายการ ขนาด ลักษณะ</t>
  </si>
  <si>
    <t>จำนวน</t>
  </si>
  <si>
    <t>หมายเหตุ</t>
  </si>
  <si>
    <t>งปม.</t>
  </si>
  <si>
    <t>บกศ.</t>
  </si>
  <si>
    <t>....................................................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</si>
  <si>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</si>
  <si>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</si>
  <si>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</si>
  <si>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บริจาค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</si>
  <si>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</si>
  <si>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</si>
  <si>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</si>
  <si>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</si>
  <si>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</si>
  <si>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</si>
  <si>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ประจำปี 2564  ณ วันที่ 30 กันยายน 2564</t>
  </si>
  <si>
    <t>บัญชีรายการ แผนกวิชาช่างกลโรงงาน คงเหลือ</t>
  </si>
  <si>
    <t>(นายประภาส  นามโคตร)</t>
  </si>
  <si>
    <t>3416-001-0001/463-001</t>
  </si>
  <si>
    <t>เครื่องกลึงขนาดยันศูนย์เหนือแท่น 125 มม.</t>
  </si>
  <si>
    <t>3416-001-0001/463-002</t>
  </si>
  <si>
    <t>3416-001-0002/551-001-002</t>
  </si>
  <si>
    <t>เครื่องกลึงขนาดยันศูนย์เหนือแท่น 165 มม.</t>
  </si>
  <si>
    <t>3416-001-0001/601-001(6)</t>
  </si>
  <si>
    <t>เครื่องกลึงยันศูนย์เหนือแท่น 150 มม.</t>
  </si>
  <si>
    <t>5210-0004-0001/622-001</t>
  </si>
  <si>
    <t>เวอร์เนียไฮเกจ</t>
  </si>
  <si>
    <t>3416-001-0001/623-001(6)</t>
  </si>
  <si>
    <t>เครื่องกลึง</t>
  </si>
  <si>
    <t>3417-001-0001/623-001(2)</t>
  </si>
  <si>
    <t>เครื่องกัดตั้ง</t>
  </si>
  <si>
    <t xml:space="preserve">3417-001-0002/623-001 </t>
  </si>
  <si>
    <t>เครื่องกัด Coppy</t>
  </si>
  <si>
    <t>3443-001-0001/623-001</t>
  </si>
  <si>
    <t>เครื่องปั้มเล็ก</t>
  </si>
  <si>
    <t>6105-010-0001/632-001</t>
  </si>
  <si>
    <t xml:space="preserve">UPS เครื่องสำรองไฟ </t>
  </si>
  <si>
    <t>5210-004-0001/632-001</t>
  </si>
  <si>
    <t xml:space="preserve">Dial Height gavge </t>
  </si>
  <si>
    <t xml:space="preserve"> 2546</t>
  </si>
  <si>
    <t>2546</t>
  </si>
  <si>
    <t>2555</t>
  </si>
  <si>
    <t>2562</t>
  </si>
  <si>
    <t>เครื่องตัดไฟเบอร์ 14 นิ้ว</t>
  </si>
  <si>
    <t>เลื่อยฉลุไฟฟ้า</t>
  </si>
  <si>
    <t>สว่านไฟฟ้า ขนาด 10 มม.</t>
  </si>
  <si>
    <t>เลื่อยวงเดือน 7 นิ้ว</t>
  </si>
  <si>
    <t>5110-013-0001/641-001</t>
  </si>
  <si>
    <t>3210-003-0002/641-001</t>
  </si>
  <si>
    <t>5130-007-0004/641-001</t>
  </si>
  <si>
    <t>3210-003-0001/641-001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</si>
</sst>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sz val="16"/>
      <color theme="1"/>
      <name val="TH SarabunIT๙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7">
    <xf numFmtId="0" fontId="0" fillId="0" borderId="0" xfId="0"/>
    <xf numFmtId="0" fontId="4" fillId="0" borderId="0" xfId="0" applyFont="1"/>
    <xf numFmtId="0" fontId="3" fillId="0" borderId="1" xfId="6" applyFont="1" applyBorder="1" applyAlignment="1">
      <alignment horizontal="left"/>
    </xf>
    <xf numFmtId="49" fontId="3" fillId="0" borderId="1" xfId="0" applyNumberFormat="1" applyFont="1" applyBorder="1" applyAlignment="1">
      <alignment horizontal="center"/>
    </xf>
    <xf numFmtId="0" fontId="4" fillId="0" borderId="0" xfId="0" applyFont="1" applyBorder="1"/>
    <xf numFmtId="0" fontId="4" fillId="0" borderId="0" xfId="0" applyFont="1" applyFill="1" applyAlignment="1">
      <alignment horizontal="center"/>
    </xf>
    <xf numFmtId="0" fontId="4" fillId="0" borderId="1" xfId="0" applyFont="1" applyFill="1" applyBorder="1" applyAlignment="1">
      <alignment horizontal="center"/>
    </xf>
    <xf numFmtId="43" fontId="3" fillId="0" borderId="1" xfId="12" applyNumberFormat="1" applyFont="1" applyFill="1" applyBorder="1" applyAlignment="1">
      <alignment horizontal="center"/>
    </xf>
    <xf numFmtId="43" fontId="3" fillId="0" borderId="1" xfId="12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49" fontId="3" fillId="0" borderId="1" xfId="13" applyNumberFormat="1" applyFont="1" applyBorder="1" applyAlignment="1">
      <alignment horizontal="center"/>
    </xf>
    <xf numFmtId="15" fontId="3" fillId="0" borderId="1" xfId="0" applyNumberFormat="1" applyFont="1" applyBorder="1" applyAlignment="1">
      <alignment horizontal="center"/>
    </xf>
    <xf numFmtId="43" fontId="3" fillId="0" borderId="1" xfId="1" applyFont="1" applyFill="1" applyBorder="1"/>
    <xf numFmtId="0" fontId="4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0" borderId="5" xfId="6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0" xfId="0" applyFont="1" applyFill="1" applyBorder="1"/>
    <xf numFmtId="0" fontId="4" fillId="0" borderId="0" xfId="0" applyFont="1" applyAlignment="1">
      <alignment horizontal="left"/>
    </xf>
    <xf numFmtId="0" fontId="4" fillId="0" borderId="0" xfId="0" applyFont="1" applyFill="1"/>
    <xf numFmtId="43" fontId="4" fillId="0" borderId="1" xfId="0" applyNumberFormat="1" applyFont="1" applyFill="1" applyBorder="1" applyAlignment="1"/>
    <xf numFmtId="0" fontId="4" fillId="0" borderId="4" xfId="0" applyFont="1" applyFill="1" applyBorder="1" applyAlignment="1"/>
    <xf numFmtId="0" fontId="3" fillId="0" borderId="6" xfId="2" applyFont="1" applyFill="1" applyBorder="1" applyAlignment="1">
      <alignment horizontal="center"/>
    </xf>
    <xf numFmtId="0" fontId="3" fillId="0" borderId="1" xfId="6" applyFont="1" applyBorder="1"/>
    <xf numFmtId="0" fontId="8" fillId="0" borderId="1" xfId="0" applyFont="1" applyBorder="1"/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43" fontId="3" fillId="0" borderId="1" xfId="1" applyFont="1" applyBorder="1"/>
    <xf numFmtId="15" fontId="4" fillId="0" borderId="1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Border="1" applyAlignment="1" applyProtection="1">
      <alignment horizontal="center"/>
      <protection locked="0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857250</xdr:colOff>
      <xdr:row>0</xdr:row>
      <xdr:rowOff>47625</xdr:rowOff>
    </xdr:from>
    <xdr:to>
      <xdr:col>8</xdr:col>
      <xdr:colOff>762000</xdr:colOff>
      <xdr:row>1</xdr:row>
      <xdr:rowOff>66675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715250" y="47625"/>
          <a:ext cx="17526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I24"/>
  <sheetViews>
    <sheetView tabSelected="1" zoomScaleNormal="100" workbookViewId="0">
      <selection activeCell="C12" sqref="C12"/>
    </sheetView>
  </sheetViews>
  <sheetFormatPr defaultColWidth="9" defaultRowHeight="24"/>
  <cols>
    <col min="1" max="1" width="5.42578125" style="1" customWidth="1"/>
    <col min="2" max="2" width="11.28515625" style="1" customWidth="1"/>
    <col min="3" max="3" width="28.42578125" style="1" customWidth="1"/>
    <col min="4" max="4" width="36.42578125" style="20" customWidth="1"/>
    <col min="5" max="5" width="6.85546875" style="21" customWidth="1"/>
    <col min="6" max="6" width="6.7109375" style="21" customWidth="1"/>
    <col min="7" max="7" width="14" style="21" customWidth="1"/>
    <col min="8" max="8" width="15" style="21" customWidth="1"/>
    <col min="9" max="9" width="11.85546875" style="5" customWidth="1"/>
    <col min="10" max="16384" width="9" style="1"/>
  </cols>
  <sheetData>
    <row r="1" spans="1:9">
      <c r="A1" s="34" t="s">
        <v>8</v>
      </c>
      <c r="B1" s="34"/>
      <c r="C1" s="34"/>
      <c r="D1" s="34"/>
      <c r="E1" s="34"/>
      <c r="F1" s="34"/>
      <c r="G1" s="34"/>
      <c r="H1" s="34"/>
      <c r="I1" s="34"/>
    </row>
    <row r="2" spans="1:9">
      <c r="A2" s="35" t="s">
        <v>17</v>
      </c>
      <c r="B2" s="35"/>
      <c r="C2" s="35"/>
      <c r="D2" s="35"/>
      <c r="E2" s="35"/>
      <c r="F2" s="35"/>
      <c r="G2" s="35"/>
      <c r="H2" s="35"/>
      <c r="I2" s="35"/>
    </row>
    <row r="3" spans="1:9">
      <c r="A3" s="36" t="s">
        <v>16</v>
      </c>
      <c r="B3" s="36"/>
      <c r="C3" s="36"/>
      <c r="D3" s="36"/>
      <c r="E3" s="36"/>
      <c r="F3" s="36"/>
      <c r="G3" s="36"/>
      <c r="H3" s="36"/>
      <c r="I3" s="36"/>
    </row>
    <row r="4" spans="1:9" ht="46.5" customHeight="1">
      <c r="A4" s="15" t="s">
        <v>10</v>
      </c>
      <c r="B4" s="15" t="s">
        <v>13</v>
      </c>
      <c r="C4" s="15" t="s">
        <v>14</v>
      </c>
      <c r="D4" s="10" t="s">
        <v>0</v>
      </c>
      <c r="E4" s="15" t="s">
        <v>11</v>
      </c>
      <c r="F4" s="10" t="s">
        <v>1</v>
      </c>
      <c r="G4" s="15" t="s">
        <v>12</v>
      </c>
      <c r="H4" s="15" t="s">
        <v>15</v>
      </c>
      <c r="I4" s="15" t="s">
        <v>2</v>
      </c>
    </row>
    <row r="5" spans="1:9">
      <c r="A5" s="11">
        <v>1</v>
      </c>
      <c r="B5" s="12" t="s">
        <v>40</v>
      </c>
      <c r="C5" s="2" t="s">
        <v>19</v>
      </c>
      <c r="D5" s="25" t="s">
        <v>20</v>
      </c>
      <c r="E5" s="27" t="s">
        <v>9</v>
      </c>
      <c r="F5" s="28">
        <v>1</v>
      </c>
      <c r="G5" s="29">
        <v>69950</v>
      </c>
      <c r="H5" s="14">
        <f>SUM(F5*G5)</f>
        <v>69950</v>
      </c>
      <c r="I5" s="7"/>
    </row>
    <row r="6" spans="1:9">
      <c r="A6" s="16">
        <v>2</v>
      </c>
      <c r="B6" s="12" t="s">
        <v>41</v>
      </c>
      <c r="C6" s="2" t="s">
        <v>21</v>
      </c>
      <c r="D6" s="25" t="s">
        <v>20</v>
      </c>
      <c r="E6" s="27" t="s">
        <v>9</v>
      </c>
      <c r="F6" s="28">
        <v>1</v>
      </c>
      <c r="G6" s="29">
        <v>86000</v>
      </c>
      <c r="H6" s="14">
        <f t="shared" ref="H6:H19" si="0">SUM(F6*G6)</f>
        <v>86000</v>
      </c>
      <c r="I6" s="7"/>
    </row>
    <row r="7" spans="1:9">
      <c r="A7" s="11">
        <v>3</v>
      </c>
      <c r="B7" s="3" t="s">
        <v>42</v>
      </c>
      <c r="C7" s="17" t="s">
        <v>22</v>
      </c>
      <c r="D7" s="25" t="s">
        <v>23</v>
      </c>
      <c r="E7" s="27" t="s">
        <v>3</v>
      </c>
      <c r="F7" s="28">
        <v>2</v>
      </c>
      <c r="G7" s="29">
        <v>294800</v>
      </c>
      <c r="H7" s="14">
        <f t="shared" si="0"/>
        <v>589600</v>
      </c>
      <c r="I7" s="7"/>
    </row>
    <row r="8" spans="1:9">
      <c r="A8" s="16">
        <v>4</v>
      </c>
      <c r="B8" s="13">
        <v>21953</v>
      </c>
      <c r="C8" s="17" t="s">
        <v>24</v>
      </c>
      <c r="D8" s="25" t="s">
        <v>25</v>
      </c>
      <c r="E8" s="27" t="s">
        <v>3</v>
      </c>
      <c r="F8" s="28">
        <v>6</v>
      </c>
      <c r="G8" s="29">
        <v>2395000</v>
      </c>
      <c r="H8" s="14">
        <f t="shared" si="0"/>
        <v>14370000</v>
      </c>
      <c r="I8" s="7"/>
    </row>
    <row r="9" spans="1:9">
      <c r="A9" s="11">
        <v>5</v>
      </c>
      <c r="B9" s="3" t="s">
        <v>43</v>
      </c>
      <c r="C9" s="17" t="s">
        <v>26</v>
      </c>
      <c r="D9" s="25" t="s">
        <v>27</v>
      </c>
      <c r="E9" s="27" t="s">
        <v>4</v>
      </c>
      <c r="F9" s="28">
        <v>1</v>
      </c>
      <c r="G9" s="29">
        <v>3500</v>
      </c>
      <c r="H9" s="14">
        <f t="shared" si="0"/>
        <v>3500</v>
      </c>
      <c r="I9" s="7"/>
    </row>
    <row r="10" spans="1:9">
      <c r="A10" s="16">
        <v>6</v>
      </c>
      <c r="B10" s="13">
        <v>22914</v>
      </c>
      <c r="C10" s="17" t="s">
        <v>28</v>
      </c>
      <c r="D10" s="26" t="s">
        <v>29</v>
      </c>
      <c r="E10" s="27" t="s">
        <v>9</v>
      </c>
      <c r="F10" s="28">
        <v>6</v>
      </c>
      <c r="G10" s="29">
        <v>38000</v>
      </c>
      <c r="H10" s="14">
        <f t="shared" si="0"/>
        <v>228000</v>
      </c>
      <c r="I10" s="7"/>
    </row>
    <row r="11" spans="1:9">
      <c r="A11" s="11">
        <v>7</v>
      </c>
      <c r="B11" s="13">
        <v>22914</v>
      </c>
      <c r="C11" s="17" t="s">
        <v>30</v>
      </c>
      <c r="D11" s="26" t="s">
        <v>31</v>
      </c>
      <c r="E11" s="27" t="s">
        <v>9</v>
      </c>
      <c r="F11" s="28">
        <v>2</v>
      </c>
      <c r="G11" s="29">
        <v>31000</v>
      </c>
      <c r="H11" s="14">
        <f t="shared" si="0"/>
        <v>62000</v>
      </c>
      <c r="I11" s="7"/>
    </row>
    <row r="12" spans="1:9">
      <c r="A12" s="16">
        <v>8</v>
      </c>
      <c r="B12" s="13">
        <v>22914</v>
      </c>
      <c r="C12" s="17" t="s">
        <v>32</v>
      </c>
      <c r="D12" s="26" t="s">
        <v>33</v>
      </c>
      <c r="E12" s="27" t="s">
        <v>9</v>
      </c>
      <c r="F12" s="28">
        <v>1</v>
      </c>
      <c r="G12" s="29">
        <v>35000</v>
      </c>
      <c r="H12" s="14">
        <f t="shared" si="0"/>
        <v>35000</v>
      </c>
      <c r="I12" s="7"/>
    </row>
    <row r="13" spans="1:9">
      <c r="A13" s="11">
        <v>9</v>
      </c>
      <c r="B13" s="13">
        <v>22914</v>
      </c>
      <c r="C13" s="17" t="s">
        <v>34</v>
      </c>
      <c r="D13" s="26" t="s">
        <v>35</v>
      </c>
      <c r="E13" s="27" t="s">
        <v>9</v>
      </c>
      <c r="F13" s="28">
        <v>1</v>
      </c>
      <c r="G13" s="29">
        <v>25000</v>
      </c>
      <c r="H13" s="14">
        <f t="shared" si="0"/>
        <v>25000</v>
      </c>
      <c r="I13" s="7"/>
    </row>
    <row r="14" spans="1:9">
      <c r="A14" s="16">
        <v>10</v>
      </c>
      <c r="B14" s="13">
        <v>22956</v>
      </c>
      <c r="C14" s="17" t="s">
        <v>36</v>
      </c>
      <c r="D14" s="26" t="s">
        <v>37</v>
      </c>
      <c r="E14" s="27" t="s">
        <v>4</v>
      </c>
      <c r="F14" s="28">
        <v>1</v>
      </c>
      <c r="G14" s="29">
        <v>2900</v>
      </c>
      <c r="H14" s="14">
        <f t="shared" si="0"/>
        <v>2900</v>
      </c>
      <c r="I14" s="7"/>
    </row>
    <row r="15" spans="1:9">
      <c r="A15" s="11">
        <v>11</v>
      </c>
      <c r="B15" s="13">
        <v>22986</v>
      </c>
      <c r="C15" s="2" t="s">
        <v>38</v>
      </c>
      <c r="D15" s="26" t="s">
        <v>39</v>
      </c>
      <c r="E15" s="27" t="s">
        <v>4</v>
      </c>
      <c r="F15" s="28">
        <v>1</v>
      </c>
      <c r="G15" s="29">
        <v>12260</v>
      </c>
      <c r="H15" s="14">
        <f t="shared" si="0"/>
        <v>12260</v>
      </c>
      <c r="I15" s="8"/>
    </row>
    <row r="16" spans="1:9">
      <c r="A16" s="16">
        <v>12</v>
      </c>
      <c r="B16" s="30">
        <v>23650</v>
      </c>
      <c r="C16" s="2" t="s">
        <v>48</v>
      </c>
      <c r="D16" s="2" t="s">
        <v>44</v>
      </c>
      <c r="E16" s="6" t="s">
        <v>3</v>
      </c>
      <c r="F16" s="28">
        <v>1</v>
      </c>
      <c r="G16" s="14">
        <v>4700</v>
      </c>
      <c r="H16" s="14">
        <f t="shared" si="0"/>
        <v>4700</v>
      </c>
      <c r="I16" s="8"/>
    </row>
    <row r="17" spans="1:9">
      <c r="A17" s="11">
        <v>13</v>
      </c>
      <c r="B17" s="30">
        <v>23650</v>
      </c>
      <c r="C17" s="2" t="s">
        <v>50</v>
      </c>
      <c r="D17" s="2" t="s">
        <v>46</v>
      </c>
      <c r="E17" s="6" t="s">
        <v>3</v>
      </c>
      <c r="F17" s="28">
        <v>1</v>
      </c>
      <c r="G17" s="14">
        <v>2500</v>
      </c>
      <c r="H17" s="14">
        <f>SUM(F17*G17)</f>
        <v>2500</v>
      </c>
      <c r="I17" s="7"/>
    </row>
    <row r="18" spans="1:9">
      <c r="A18" s="16">
        <v>14</v>
      </c>
      <c r="B18" s="30">
        <v>23650</v>
      </c>
      <c r="C18" s="2" t="s">
        <v>51</v>
      </c>
      <c r="D18" s="2" t="s">
        <v>47</v>
      </c>
      <c r="E18" s="6" t="s">
        <v>3</v>
      </c>
      <c r="F18" s="28">
        <v>1</v>
      </c>
      <c r="G18" s="14">
        <v>3400</v>
      </c>
      <c r="H18" s="14">
        <f>SUM(F18*G18)</f>
        <v>3400</v>
      </c>
      <c r="I18" s="6"/>
    </row>
    <row r="19" spans="1:9">
      <c r="A19" s="11">
        <v>15</v>
      </c>
      <c r="B19" s="30">
        <v>23650</v>
      </c>
      <c r="C19" s="2" t="s">
        <v>49</v>
      </c>
      <c r="D19" s="2" t="s">
        <v>45</v>
      </c>
      <c r="E19" s="6" t="s">
        <v>3</v>
      </c>
      <c r="F19" s="28">
        <v>1</v>
      </c>
      <c r="G19" s="14">
        <v>2900</v>
      </c>
      <c r="H19" s="14">
        <f t="shared" si="0"/>
        <v>2900</v>
      </c>
      <c r="I19" s="8"/>
    </row>
    <row r="20" spans="1:9">
      <c r="A20" s="31" t="s">
        <v>7</v>
      </c>
      <c r="B20" s="32"/>
      <c r="C20" s="32"/>
      <c r="D20" s="32"/>
      <c r="E20" s="32"/>
      <c r="F20" s="32"/>
      <c r="G20" s="32"/>
      <c r="H20" s="22">
        <f>SUM(H5:H19)</f>
        <v>15497710</v>
      </c>
      <c r="I20" s="23"/>
    </row>
    <row r="21" spans="1:9" ht="42" customHeight="1">
      <c r="A21" s="4"/>
      <c r="B21" s="4"/>
      <c r="C21" s="4"/>
      <c r="D21" s="18"/>
      <c r="E21" s="19"/>
      <c r="F21" s="24"/>
      <c r="G21" s="19"/>
      <c r="H21" s="19"/>
      <c r="I21" s="9"/>
    </row>
    <row r="22" spans="1:9">
      <c r="A22" s="4"/>
      <c r="B22" s="4"/>
      <c r="C22" s="4"/>
      <c r="D22" s="18"/>
      <c r="E22" s="19"/>
      <c r="F22" s="33" t="s">
        <v>5</v>
      </c>
      <c r="G22" s="33"/>
      <c r="H22" s="33"/>
      <c r="I22" s="33"/>
    </row>
    <row r="23" spans="1:9">
      <c r="A23" s="4"/>
      <c r="B23" s="4"/>
      <c r="C23" s="4"/>
      <c r="D23" s="18"/>
      <c r="E23" s="19"/>
      <c r="F23" s="33" t="s">
        <v>18</v>
      </c>
      <c r="G23" s="33"/>
      <c r="H23" s="33"/>
      <c r="I23" s="33"/>
    </row>
    <row r="24" spans="1:9">
      <c r="A24" s="4"/>
      <c r="B24" s="4"/>
      <c r="C24" s="4"/>
      <c r="D24" s="18"/>
      <c r="E24" s="19"/>
      <c r="F24" s="33" t="s">
        <v>6</v>
      </c>
      <c r="G24" s="33"/>
      <c r="H24" s="33"/>
      <c r="I24" s="33"/>
    </row>
  </sheetData>
  <mergeCells count="7">
    <mergeCell ref="A20:G20"/>
    <mergeCell ref="F24:I24"/>
    <mergeCell ref="F23:I23"/>
    <mergeCell ref="F22:I22"/>
    <mergeCell ref="A1:I1"/>
    <mergeCell ref="A2:I2"/>
    <mergeCell ref="A3:I3"/>
  </mergeCells>
  <printOptions horizontalCentered="1"/>
  <pageMargins left="0.19685039370078741" right="0" top="0.59055118110236227" bottom="0.19685039370078741" header="0" footer="0"/>
  <pageSetup paperSize="9" scale="75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แผนกช่างกลโรงงาน</vt:lpstr>
      <vt:lpstr>แผนกช่างกลโรงงาน!Print_Titles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2022-04-28T07:19:58Z</cp:lastPrinted>
  <dcterms:created xsi:type="dcterms:W3CDTF">2017-11-14T01:32:33Z</dcterms:created>
  <dcterms:modified xsi:type="dcterms:W3CDTF">2022-08-10T06:46:53Z</dcterms:modified>
</cp:coreProperties>
</file>