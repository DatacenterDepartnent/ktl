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2. เอกสารประกอบที่ 2\งาน\"/>
    </mc:Choice>
  </mc:AlternateContent>
  <xr:revisionPtr revIDLastSave="0" documentId="13_ncr:1_{C060B6AB-A43D-492F-B739-EAC0322FAC73}" xr6:coauthVersionLast="47" xr6:coauthVersionMax="47" xr10:uidLastSave="{00000000-0000-0000-0000-000000000000}"/>
  <bookViews>
    <workbookView xWindow="360" yWindow="480" windowWidth="11970" windowHeight="9645" tabRatio="897" xr2:uid="{00000000-000D-0000-FFFF-FFFF00000000}"/>
  </bookViews>
  <sheets>
    <sheet name="งานวัดผลและประเมินผล" sheetId="2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22" l="1"/>
  <c r="H7" i="22"/>
  <c r="H8" i="22"/>
  <c r="H9" i="22"/>
  <c r="H10" i="22"/>
  <c r="H11" i="22"/>
  <c r="H12" i="22"/>
  <c r="H13" i="22"/>
  <c r="H14" i="22"/>
  <c r="H15" i="22"/>
  <c r="H5" i="22"/>
  <c r="H16" i="22" l="1"/>
</calcChain>
</file>

<file path=xl/sharedStrings.xml><?xml version="1.0" encoding="utf-8"?>
<sst xmlns="http://schemas.openxmlformats.org/spreadsheetml/2006/main" count="55" uniqueCount="43">
  <si>
    <t>รายการ ขนาด ลักษณะ</t>
  </si>
  <si>
    <t>จำนวน</t>
  </si>
  <si>
    <t>หมายเหตุ</t>
  </si>
  <si>
    <t>งปม.</t>
  </si>
  <si>
    <t>บกศ.</t>
  </si>
  <si>
    <t>เครื่องคอมพิวเตอร์พร้อมโต๊ะเก้าอี้</t>
  </si>
  <si>
    <t>....................................................</t>
  </si>
  <si>
    <t>หัวหน้าหน่วยจ่าย/หน่วยเบิก</t>
  </si>
  <si>
    <t>ตู้เหล็ก  2  บานเปิด</t>
  </si>
  <si>
    <t>Printer HP Laserjet M1522n MFP</t>
  </si>
  <si>
    <t>เก้าอี้ (ขาเหล็ก)  5  แฉก</t>
  </si>
  <si>
    <t>โต๊ะเหล็ก  4  ฟุต</t>
  </si>
  <si>
    <t>รวมเป็นเงิน</t>
  </si>
  <si>
    <t xml:space="preserve"> สถานศึกษา วิทยาลัยเทคนิคกันทรลักษ์</t>
  </si>
  <si>
    <t>7110-002-0006/462-054</t>
  </si>
  <si>
    <t xml:space="preserve">ตู้เหล็ก 2 บานเลื่อนไทโย             </t>
  </si>
  <si>
    <t>7125-002-0002/462-003</t>
  </si>
  <si>
    <t xml:space="preserve">ตู้เหล็ก 4 ลิ้นชัก                         </t>
  </si>
  <si>
    <t>7125-002-0002/492-006</t>
  </si>
  <si>
    <t xml:space="preserve">ตู้เหล็ก 4 ลิ้นชัก                        </t>
  </si>
  <si>
    <t>7440-001-0001/502-051</t>
  </si>
  <si>
    <t xml:space="preserve">ชุดคอมพิวเตอร์                          </t>
  </si>
  <si>
    <t>7110-007-0001/502-005</t>
  </si>
  <si>
    <t xml:space="preserve">โต๊ะวางเครื่องคอมพิวเตอร์พร้อมเก้าอี้ </t>
  </si>
  <si>
    <t>7110-002-0002/501-003</t>
  </si>
  <si>
    <t xml:space="preserve">ตู้เหล็ก 15 ลิ้นชัก                     </t>
  </si>
  <si>
    <t>7110-006-0006/531-015</t>
  </si>
  <si>
    <t>7110-002-0005/531-027</t>
  </si>
  <si>
    <t>7110-007-0004/531-010</t>
  </si>
  <si>
    <t>7430-008-0006/531-027</t>
  </si>
  <si>
    <t>7440-001-0001/531-151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</si>
  <si>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</si>
  <si>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</si>
  <si>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</si>
  <si>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</si>
  <si>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</si>
  <si>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</si>
  <si>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งานวัดผลและประเมินผล  คงเหลือ</t>
  </si>
  <si>
    <t>2546</t>
  </si>
  <si>
    <t>2549</t>
  </si>
  <si>
    <t>2550</t>
  </si>
  <si>
    <t>ประจำปี 2565  ณ วันที่ 30 กันยายน 2565</t>
  </si>
  <si>
    <t>(นายโสภณัฐ  พละศักดิ์)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</si>
</sst>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8"/>
      <name val="Calibri"/>
      <family val="2"/>
      <charset val="222"/>
      <scheme val="minor"/>
    </font>
    <font>
      <sz val="16"/>
      <color rgb="FFFF0000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3">
    <xf numFmtId="0" fontId="0" fillId="0" borderId="0" xfId="0"/>
    <xf numFmtId="0" fontId="3" fillId="0" borderId="1" xfId="6" applyFont="1" applyBorder="1"/>
    <xf numFmtId="0" fontId="4" fillId="0" borderId="0" xfId="0" applyFont="1"/>
    <xf numFmtId="0" fontId="4" fillId="0" borderId="1" xfId="0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43" fontId="3" fillId="0" borderId="2" xfId="1" applyFont="1" applyBorder="1"/>
    <xf numFmtId="43" fontId="3" fillId="0" borderId="1" xfId="1" applyFont="1" applyBorder="1"/>
    <xf numFmtId="49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6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43" fontId="3" fillId="0" borderId="1" xfId="12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3" fontId="3" fillId="0" borderId="0" xfId="12" applyFont="1" applyBorder="1" applyAlignment="1"/>
    <xf numFmtId="43" fontId="4" fillId="0" borderId="1" xfId="0" applyNumberFormat="1" applyFont="1" applyBorder="1"/>
    <xf numFmtId="43" fontId="4" fillId="0" borderId="4" xfId="0" applyNumberFormat="1" applyFont="1" applyBorder="1"/>
    <xf numFmtId="43" fontId="4" fillId="0" borderId="0" xfId="0" applyNumberFormat="1" applyFont="1"/>
    <xf numFmtId="43" fontId="3" fillId="0" borderId="0" xfId="12" applyFont="1" applyBorder="1"/>
    <xf numFmtId="0" fontId="4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6" applyFont="1" applyBorder="1" applyAlignment="1">
      <alignment horizontal="left"/>
    </xf>
    <xf numFmtId="0" fontId="9" fillId="0" borderId="1" xfId="6" applyFont="1" applyBorder="1"/>
    <xf numFmtId="0" fontId="9" fillId="0" borderId="1" xfId="2" applyFont="1" applyBorder="1" applyAlignment="1">
      <alignment horizontal="center"/>
    </xf>
    <xf numFmtId="43" fontId="9" fillId="0" borderId="1" xfId="1" applyFont="1" applyBorder="1"/>
    <xf numFmtId="43" fontId="9" fillId="0" borderId="2" xfId="1" applyFont="1" applyBorder="1"/>
    <xf numFmtId="43" fontId="9" fillId="0" borderId="1" xfId="12" applyFont="1" applyBorder="1" applyAlignment="1">
      <alignment horizontal="center"/>
    </xf>
    <xf numFmtId="43" fontId="9" fillId="0" borderId="0" xfId="12" applyFont="1" applyBorder="1"/>
    <xf numFmtId="0" fontId="9" fillId="0" borderId="0" xfId="0" applyFont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314326</xdr:colOff>
      <xdr:row>0</xdr:row>
      <xdr:rowOff>114300</xdr:rowOff>
    </xdr:from>
    <xdr:to>
      <xdr:col>8</xdr:col>
      <xdr:colOff>666751</xdr:colOff>
      <xdr:row>1</xdr:row>
      <xdr:rowOff>114300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SpPr txBox="1"/>
      </xdr:nvSpPr>
      <xdr:spPr>
        <a:xfrm>
          <a:off x="8534401" y="114300"/>
          <a:ext cx="156210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0066"/>
  </sheetPr>
  <dimension ref="A1:K21"/>
  <sheetViews>
    <sheetView tabSelected="1" topLeftCell="B7" zoomScaleNormal="100" workbookViewId="0">
      <selection activeCell="F14" sqref="F14:G14"/>
    </sheetView>
  </sheetViews>
  <sheetFormatPr defaultColWidth="9" defaultRowHeight="24"/>
  <cols>
    <col min="1" max="1" width="5.7109375" style="2" customWidth="1"/>
    <col min="2" max="2" width="13" style="2" customWidth="1"/>
    <col min="3" max="3" width="25.42578125" style="2" customWidth="1"/>
    <col min="4" max="4" width="38.5703125" style="2" customWidth="1"/>
    <col min="5" max="5" width="7.140625" style="2" customWidth="1"/>
    <col min="6" max="6" width="6.7109375" style="2" customWidth="1"/>
    <col min="7" max="7" width="13.28515625" style="2" customWidth="1"/>
    <col min="8" max="8" width="14.42578125" style="2" customWidth="1"/>
    <col min="9" max="9" width="11.5703125" style="15" customWidth="1"/>
    <col min="10" max="11" width="16.140625" style="2" customWidth="1"/>
    <col min="12" max="16384" width="9" style="2"/>
  </cols>
  <sheetData>
    <row r="1" spans="1:11">
      <c r="A1" s="30" t="s">
        <v>13</v>
      </c>
      <c r="B1" s="30"/>
      <c r="C1" s="30"/>
      <c r="D1" s="30"/>
      <c r="E1" s="30"/>
      <c r="F1" s="30"/>
      <c r="G1" s="30"/>
      <c r="H1" s="30"/>
      <c r="I1" s="30"/>
      <c r="J1" s="15"/>
      <c r="K1" s="15"/>
    </row>
    <row r="2" spans="1:11">
      <c r="A2" s="31" t="s">
        <v>37</v>
      </c>
      <c r="B2" s="31"/>
      <c r="C2" s="31"/>
      <c r="D2" s="31"/>
      <c r="E2" s="31"/>
      <c r="F2" s="31"/>
      <c r="G2" s="31"/>
      <c r="H2" s="31"/>
      <c r="I2" s="31"/>
      <c r="J2" s="19"/>
      <c r="K2" s="19"/>
    </row>
    <row r="3" spans="1:11">
      <c r="A3" s="32" t="s">
        <v>41</v>
      </c>
      <c r="B3" s="32"/>
      <c r="C3" s="32"/>
      <c r="D3" s="32"/>
      <c r="E3" s="32"/>
      <c r="F3" s="32"/>
      <c r="G3" s="32"/>
      <c r="H3" s="32"/>
      <c r="I3" s="32"/>
      <c r="J3" s="15"/>
      <c r="K3" s="15"/>
    </row>
    <row r="4" spans="1:11" ht="48">
      <c r="A4" s="14" t="s">
        <v>31</v>
      </c>
      <c r="B4" s="14" t="s">
        <v>34</v>
      </c>
      <c r="C4" s="14" t="s">
        <v>35</v>
      </c>
      <c r="D4" s="9" t="s">
        <v>0</v>
      </c>
      <c r="E4" s="14" t="s">
        <v>32</v>
      </c>
      <c r="F4" s="9" t="s">
        <v>1</v>
      </c>
      <c r="G4" s="14" t="s">
        <v>33</v>
      </c>
      <c r="H4" s="14" t="s">
        <v>36</v>
      </c>
      <c r="I4" s="9" t="s">
        <v>2</v>
      </c>
      <c r="J4" s="18"/>
      <c r="K4" s="18"/>
    </row>
    <row r="5" spans="1:11">
      <c r="A5" s="11">
        <v>1</v>
      </c>
      <c r="B5" s="8" t="s">
        <v>38</v>
      </c>
      <c r="C5" s="4" t="s">
        <v>14</v>
      </c>
      <c r="D5" s="1" t="s">
        <v>15</v>
      </c>
      <c r="E5" s="5" t="s">
        <v>4</v>
      </c>
      <c r="F5" s="5">
        <v>1</v>
      </c>
      <c r="G5" s="6">
        <v>2490</v>
      </c>
      <c r="H5" s="6">
        <f>SUM(F5*G5)</f>
        <v>2490</v>
      </c>
      <c r="I5" s="12"/>
      <c r="J5" s="21"/>
      <c r="K5" s="21"/>
    </row>
    <row r="6" spans="1:11">
      <c r="A6" s="20">
        <v>2</v>
      </c>
      <c r="B6" s="13" t="s">
        <v>38</v>
      </c>
      <c r="C6" s="4" t="s">
        <v>16</v>
      </c>
      <c r="D6" s="1" t="s">
        <v>17</v>
      </c>
      <c r="E6" s="5" t="s">
        <v>4</v>
      </c>
      <c r="F6" s="5">
        <v>1</v>
      </c>
      <c r="G6" s="6">
        <v>2600</v>
      </c>
      <c r="H6" s="6">
        <f t="shared" ref="H6:H15" si="0">SUM(F6*G6)</f>
        <v>2600</v>
      </c>
      <c r="I6" s="12"/>
      <c r="J6" s="21"/>
      <c r="K6" s="21"/>
    </row>
    <row r="7" spans="1:11">
      <c r="A7" s="11">
        <v>3</v>
      </c>
      <c r="B7" s="8" t="s">
        <v>39</v>
      </c>
      <c r="C7" s="4" t="s">
        <v>18</v>
      </c>
      <c r="D7" s="1" t="s">
        <v>19</v>
      </c>
      <c r="E7" s="5" t="s">
        <v>4</v>
      </c>
      <c r="F7" s="5">
        <v>1</v>
      </c>
      <c r="G7" s="7">
        <v>3100</v>
      </c>
      <c r="H7" s="6">
        <f t="shared" si="0"/>
        <v>3100</v>
      </c>
      <c r="I7" s="12"/>
      <c r="J7" s="21"/>
      <c r="K7" s="21"/>
    </row>
    <row r="8" spans="1:11">
      <c r="A8" s="20">
        <v>4</v>
      </c>
      <c r="B8" s="8" t="s">
        <v>40</v>
      </c>
      <c r="C8" s="10" t="s">
        <v>20</v>
      </c>
      <c r="D8" s="10" t="s">
        <v>21</v>
      </c>
      <c r="E8" s="5" t="s">
        <v>4</v>
      </c>
      <c r="F8" s="5">
        <v>1</v>
      </c>
      <c r="G8" s="7">
        <v>17300</v>
      </c>
      <c r="H8" s="6">
        <f t="shared" si="0"/>
        <v>17300</v>
      </c>
      <c r="I8" s="12"/>
      <c r="J8" s="21"/>
      <c r="K8" s="21"/>
    </row>
    <row r="9" spans="1:11">
      <c r="A9" s="11">
        <v>5</v>
      </c>
      <c r="B9" s="8" t="s">
        <v>40</v>
      </c>
      <c r="C9" s="4" t="s">
        <v>22</v>
      </c>
      <c r="D9" s="1" t="s">
        <v>23</v>
      </c>
      <c r="E9" s="5" t="s">
        <v>4</v>
      </c>
      <c r="F9" s="5">
        <v>1</v>
      </c>
      <c r="G9" s="7">
        <v>1700</v>
      </c>
      <c r="H9" s="6">
        <f t="shared" si="0"/>
        <v>1700</v>
      </c>
      <c r="I9" s="12"/>
      <c r="J9" s="21"/>
      <c r="K9" s="21"/>
    </row>
    <row r="10" spans="1:11">
      <c r="A10" s="20">
        <v>6</v>
      </c>
      <c r="B10" s="8" t="s">
        <v>40</v>
      </c>
      <c r="C10" s="4" t="s">
        <v>24</v>
      </c>
      <c r="D10" s="1" t="s">
        <v>25</v>
      </c>
      <c r="E10" s="5" t="s">
        <v>3</v>
      </c>
      <c r="F10" s="5">
        <v>1</v>
      </c>
      <c r="G10" s="7">
        <v>2900</v>
      </c>
      <c r="H10" s="6">
        <f t="shared" si="0"/>
        <v>2900</v>
      </c>
      <c r="I10" s="12"/>
      <c r="J10" s="21"/>
      <c r="K10" s="21"/>
    </row>
    <row r="11" spans="1:11">
      <c r="A11" s="11">
        <v>7</v>
      </c>
      <c r="B11" s="11">
        <v>2553</v>
      </c>
      <c r="C11" s="4" t="s">
        <v>26</v>
      </c>
      <c r="D11" s="1" t="s">
        <v>10</v>
      </c>
      <c r="E11" s="5" t="s">
        <v>3</v>
      </c>
      <c r="F11" s="5">
        <v>1</v>
      </c>
      <c r="G11" s="7">
        <v>1100</v>
      </c>
      <c r="H11" s="6">
        <f t="shared" si="0"/>
        <v>1100</v>
      </c>
      <c r="I11" s="12"/>
      <c r="J11" s="21"/>
      <c r="K11" s="21"/>
    </row>
    <row r="12" spans="1:11">
      <c r="A12" s="20">
        <v>8</v>
      </c>
      <c r="B12" s="11">
        <v>2553</v>
      </c>
      <c r="C12" s="4" t="s">
        <v>27</v>
      </c>
      <c r="D12" s="1" t="s">
        <v>8</v>
      </c>
      <c r="E12" s="5" t="s">
        <v>3</v>
      </c>
      <c r="F12" s="5">
        <v>1</v>
      </c>
      <c r="G12" s="7">
        <v>3500</v>
      </c>
      <c r="H12" s="6">
        <f t="shared" si="0"/>
        <v>3500</v>
      </c>
      <c r="I12" s="12"/>
      <c r="J12" s="21"/>
      <c r="K12" s="21"/>
    </row>
    <row r="13" spans="1:11">
      <c r="A13" s="11">
        <v>9</v>
      </c>
      <c r="B13" s="11">
        <v>2553</v>
      </c>
      <c r="C13" s="4" t="s">
        <v>28</v>
      </c>
      <c r="D13" s="1" t="s">
        <v>11</v>
      </c>
      <c r="E13" s="5" t="s">
        <v>3</v>
      </c>
      <c r="F13" s="5">
        <v>1</v>
      </c>
      <c r="G13" s="7">
        <v>3750</v>
      </c>
      <c r="H13" s="6">
        <f t="shared" si="0"/>
        <v>3750</v>
      </c>
      <c r="I13" s="12"/>
      <c r="J13" s="21"/>
      <c r="K13" s="21"/>
    </row>
    <row r="14" spans="1:11" s="42" customFormat="1">
      <c r="A14" s="33">
        <v>10</v>
      </c>
      <c r="B14" s="34">
        <v>2553</v>
      </c>
      <c r="C14" s="35" t="s">
        <v>29</v>
      </c>
      <c r="D14" s="36" t="s">
        <v>9</v>
      </c>
      <c r="E14" s="37" t="s">
        <v>3</v>
      </c>
      <c r="F14" s="37">
        <v>1</v>
      </c>
      <c r="G14" s="38">
        <v>10140</v>
      </c>
      <c r="H14" s="39">
        <f t="shared" si="0"/>
        <v>10140</v>
      </c>
      <c r="I14" s="40"/>
      <c r="J14" s="41"/>
      <c r="K14" s="41"/>
    </row>
    <row r="15" spans="1:11">
      <c r="A15" s="11">
        <v>11</v>
      </c>
      <c r="B15" s="11">
        <v>2553</v>
      </c>
      <c r="C15" s="4" t="s">
        <v>30</v>
      </c>
      <c r="D15" s="1" t="s">
        <v>5</v>
      </c>
      <c r="E15" s="5" t="s">
        <v>3</v>
      </c>
      <c r="F15" s="5">
        <v>1</v>
      </c>
      <c r="G15" s="7">
        <v>17000</v>
      </c>
      <c r="H15" s="6">
        <f t="shared" si="0"/>
        <v>17000</v>
      </c>
      <c r="I15" s="12"/>
      <c r="J15" s="25"/>
      <c r="K15" s="25"/>
    </row>
    <row r="16" spans="1:11">
      <c r="A16" s="27" t="s">
        <v>12</v>
      </c>
      <c r="B16" s="28"/>
      <c r="C16" s="28"/>
      <c r="D16" s="28"/>
      <c r="E16" s="29"/>
      <c r="F16" s="3"/>
      <c r="G16" s="22"/>
      <c r="H16" s="23">
        <f>SUM(H5:H15)</f>
        <v>65580</v>
      </c>
      <c r="I16" s="16"/>
    </row>
    <row r="17" spans="1:11">
      <c r="A17" s="17"/>
      <c r="B17" s="17"/>
      <c r="C17" s="17"/>
      <c r="D17" s="17"/>
      <c r="E17" s="17"/>
      <c r="G17" s="24"/>
      <c r="H17" s="24"/>
    </row>
    <row r="19" spans="1:11">
      <c r="F19" s="26" t="s">
        <v>6</v>
      </c>
      <c r="G19" s="26"/>
      <c r="H19" s="26"/>
      <c r="I19" s="26"/>
      <c r="J19" s="15"/>
      <c r="K19" s="15"/>
    </row>
    <row r="20" spans="1:11">
      <c r="F20" s="26" t="s">
        <v>42</v>
      </c>
      <c r="G20" s="26"/>
      <c r="H20" s="26"/>
      <c r="I20" s="26"/>
      <c r="J20" s="15"/>
      <c r="K20" s="15"/>
    </row>
    <row r="21" spans="1:11">
      <c r="F21" s="26" t="s">
        <v>7</v>
      </c>
      <c r="G21" s="26"/>
      <c r="H21" s="26"/>
      <c r="I21" s="26"/>
      <c r="J21" s="15"/>
      <c r="K21" s="15"/>
    </row>
  </sheetData>
  <mergeCells count="7">
    <mergeCell ref="F21:I21"/>
    <mergeCell ref="A16:E16"/>
    <mergeCell ref="F19:I19"/>
    <mergeCell ref="F20:I20"/>
    <mergeCell ref="A1:I1"/>
    <mergeCell ref="A2:I2"/>
    <mergeCell ref="A3:I3"/>
  </mergeCells>
  <phoneticPr fontId="8" type="noConversion"/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งานวัดผลและประเมินผล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2022-10-07T07:43:49Z</cp:lastPrinted>
  <dcterms:created xsi:type="dcterms:W3CDTF">2017-11-14T01:32:33Z</dcterms:created>
  <dcterms:modified xsi:type="dcterms:W3CDTF">2023-02-06T09:07:06Z</dcterms:modified>
</cp:coreProperties>
</file>