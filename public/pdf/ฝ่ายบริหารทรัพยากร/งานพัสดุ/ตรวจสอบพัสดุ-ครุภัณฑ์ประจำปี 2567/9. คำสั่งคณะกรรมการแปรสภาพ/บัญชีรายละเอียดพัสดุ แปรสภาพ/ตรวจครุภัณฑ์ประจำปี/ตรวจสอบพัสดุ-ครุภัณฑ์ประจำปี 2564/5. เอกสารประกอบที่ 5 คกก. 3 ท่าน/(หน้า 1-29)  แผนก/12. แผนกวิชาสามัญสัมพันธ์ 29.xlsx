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xr:revisionPtr revIDLastSave="0" documentId="13_ncr:1_{17C11066-D68D-4046-96AA-8860EC2FCBA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46" l="1"/>
  <c r="K8" i="46"/>
  <c r="K9" i="46"/>
  <c r="K10" i="46"/>
  <c r="K11" i="46"/>
  <c r="K12" i="46"/>
  <c r="K13" i="46"/>
  <c r="K14" i="46"/>
  <c r="K15" i="46"/>
  <c r="K7" i="46"/>
</calcChain>
</file>

<file path=xl/sharedStrings.xml><?xml version="1.0" encoding="utf-8"?>
<sst xmlns="http://schemas.openxmlformats.org/spreadsheetml/2006/main" count="78" uniqueCount="57">
  <si>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</si>
  <si>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</si>
  <si>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</si>
  <si>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</si>
  <si>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</si>
  <si>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</si>
  <si>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</si>
  <si>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</si>
  <si>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</si>
  <si>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</si>
  <si>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</si>
  <si>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</si>
  <si>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</si>
  <si>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</si>
  <si>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</si>
  <si>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</si>
  <si>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</si>
  <si>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</si>
  <si>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</si>
  <si>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7440-001-0001/462-006</t>
  </si>
  <si>
    <t>ชุดคอมพิวเตอร์</t>
  </si>
  <si>
    <t>บกศ.</t>
  </si>
  <si>
    <t>-</t>
  </si>
  <si>
    <t>เครื่องประมวลผลและจอแสดงผลใช้งานไม่ได้</t>
  </si>
  <si>
    <t>7810-012-0001/463-001-463-005</t>
  </si>
  <si>
    <t>โต๊ะปิงปอง</t>
  </si>
  <si>
    <t>บริจาค</t>
  </si>
  <si>
    <t>โต๊ะแตกหัก โครงขึ้นสนิมผิดรูป</t>
  </si>
  <si>
    <t>4140-001-0001/482-001</t>
  </si>
  <si>
    <t>พัดลมเพดาน 48 นิ้ว</t>
  </si>
  <si>
    <t>มอเตอร์ทำงานไม่ได้และใบพัดหักผิดรูป</t>
  </si>
  <si>
    <t>7730-006-0003/501-001</t>
  </si>
  <si>
    <t xml:space="preserve">เครื่องเล่นเทป VCD </t>
  </si>
  <si>
    <t>งปม.</t>
  </si>
  <si>
    <t>วงจรภายในเสียหายใช้งานไม่ได้</t>
  </si>
  <si>
    <t>6730-001-0003/531-014-015</t>
  </si>
  <si>
    <t>เครื่องโปรเจคเตอร์พร้อมจอรับภาพ</t>
  </si>
  <si>
    <t>วงจรภายในเสียหาย ภายนอกแตกหักใช้งานไม่ได้</t>
  </si>
  <si>
    <t>7440-001-0001/531-154-155</t>
  </si>
  <si>
    <t>เครื่องคอมพิวเตอร์พร้อมโต๊ะเก้าอี้</t>
  </si>
  <si>
    <t>เครื่องประมวลผลและจอแสดงผมใช้งานไม่ได้</t>
  </si>
  <si>
    <t>7730-001-0001/531-001-002</t>
  </si>
  <si>
    <t>เครื่องเล่น  DVD</t>
  </si>
  <si>
    <t>6730-001-0003/531-019</t>
  </si>
  <si>
    <t>เครื่องฉายโปรเจกเตอร์  Acer</t>
  </si>
  <si>
    <t>7440-001-0001/531-156</t>
  </si>
  <si>
    <t>ลงชื่อ</t>
  </si>
  <si>
    <t>...........................................................</t>
  </si>
  <si>
    <t xml:space="preserve"> ประธานกรรมการ   </t>
  </si>
  <si>
    <t xml:space="preserve"> กรรมการ   </t>
  </si>
  <si>
    <t xml:space="preserve"> กรรมการและเลขานุการ   </t>
  </si>
  <si>
    <t>ประจำปี 2564 สิ้นงวดเมื่อวันที่ 30 กันยายน 2564 ของแผนกวิชาสามัญสัมพันธ์</t>
  </si>
  <si>
    <t>เอกสารหมายเลข 29</t>
  </si>
  <si>
    <t>(นางนงลักษณ์  ศรีชา)</t>
  </si>
  <si>
    <t>(นางสาวหนึ่งฤทัย  สุวรรณพงษ์)</t>
  </si>
  <si>
    <t>(นางสาวระวิรรณ  แสงจันทร์)</t>
  </si>
  <si>
    <t>วงจรภายในเสียหาย ภายนอกแตกหักใช้งานไม่ได้พบซาก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</si>
</sst>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4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5" xfId="6" applyFont="1" applyBorder="1" applyAlignment="1">
      <alignment horizontal="left" vertical="center"/>
    </xf>
    <xf numFmtId="0" fontId="3" fillId="0" borderId="6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43" fontId="3" fillId="0" borderId="5" xfId="1" applyFont="1" applyBorder="1"/>
    <xf numFmtId="0" fontId="3" fillId="0" borderId="4" xfId="6" applyFont="1" applyBorder="1" applyAlignment="1">
      <alignment horizontal="left"/>
    </xf>
    <xf numFmtId="0" fontId="3" fillId="0" borderId="4" xfId="6" applyFont="1" applyBorder="1"/>
    <xf numFmtId="0" fontId="3" fillId="0" borderId="1" xfId="8" applyFont="1" applyBorder="1" applyAlignment="1">
      <alignment horizontal="left"/>
    </xf>
    <xf numFmtId="0" fontId="3" fillId="0" borderId="1" xfId="8" applyFont="1" applyBorder="1"/>
    <xf numFmtId="0" fontId="3" fillId="0" borderId="4" xfId="8" applyFont="1" applyBorder="1" applyAlignment="1">
      <alignment horizontal="left"/>
    </xf>
    <xf numFmtId="0" fontId="3" fillId="0" borderId="4" xfId="8" applyFont="1" applyBorder="1"/>
    <xf numFmtId="43" fontId="3" fillId="0" borderId="4" xfId="1" applyFont="1" applyBorder="1"/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4" xfId="6" applyFont="1" applyBorder="1" applyAlignment="1">
      <alignment horizontal="center"/>
    </xf>
    <xf numFmtId="0" fontId="4" fillId="0" borderId="7" xfId="0" applyFont="1" applyBorder="1"/>
    <xf numFmtId="0" fontId="6" fillId="0" borderId="7" xfId="0" applyFont="1" applyBorder="1" applyAlignment="1"/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43" fontId="6" fillId="0" borderId="7" xfId="0" applyNumberFormat="1" applyFont="1" applyBorder="1" applyAlignment="1"/>
    <xf numFmtId="43" fontId="3" fillId="0" borderId="1" xfId="12" applyNumberFormat="1" applyFont="1" applyBorder="1" applyAlignment="1"/>
    <xf numFmtId="43" fontId="3" fillId="0" borderId="4" xfId="12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6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2171699</xdr:colOff>
      <xdr:row>17</xdr:row>
      <xdr:rowOff>9527</xdr:rowOff>
    </xdr:from>
    <xdr:to>
      <xdr:col>11</xdr:col>
      <xdr:colOff>2505074</xdr:colOff>
      <xdr:row>21</xdr:row>
      <xdr:rowOff>19052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53217E08-15DF-4D09-8603-0BB20D091B8B}"/>
            </a:ext>
          </a:extLst>
        </xdr:cNvPr>
        <xdr:cNvSpPr txBox="1"/>
      </xdr:nvSpPr>
      <xdr:spPr>
        <a:xfrm rot="5400000">
          <a:off x="11387137" y="6043614"/>
          <a:ext cx="13906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7"/>
  <sheetViews>
    <sheetView tabSelected="1" zoomScaleNormal="100" workbookViewId="0">
      <selection activeCell="N9" sqref="N9"/>
    </sheetView>
  </sheetViews>
  <sheetFormatPr defaultColWidth="9" defaultRowHeight="24" x14ac:dyDescent="0.55000000000000004"/>
  <cols>
    <col min="1" max="1" width="5.25" style="2" customWidth="1"/>
    <col min="2" max="2" width="12" style="17" customWidth="1"/>
    <col min="3" max="3" width="32.25" style="12" customWidth="1"/>
    <col min="4" max="4" width="30" style="2" customWidth="1"/>
    <col min="5" max="5" width="7.625" style="2" customWidth="1"/>
    <col min="6" max="6" width="8.625" style="2" customWidth="1"/>
    <col min="7" max="7" width="6.625" style="2" customWidth="1"/>
    <col min="8" max="9" width="7.625" style="2" customWidth="1"/>
    <col min="10" max="10" width="12.625" style="2" customWidth="1"/>
    <col min="11" max="11" width="13.875" style="2" customWidth="1"/>
    <col min="12" max="12" width="45.75" style="17" customWidth="1"/>
    <col min="13" max="16384" width="9" style="2"/>
  </cols>
  <sheetData>
    <row r="1" spans="1:12" x14ac:dyDescent="0.55000000000000004">
      <c r="L1" s="17" t="s">
        <v>52</v>
      </c>
    </row>
    <row r="2" spans="1:12" x14ac:dyDescent="0.55000000000000004">
      <c r="A2" s="45" t="s">
        <v>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x14ac:dyDescent="0.55000000000000004">
      <c r="A3" s="46" t="s">
        <v>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55000000000000004">
      <c r="A4" s="47" t="s">
        <v>51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ht="24" customHeight="1" x14ac:dyDescent="0.55000000000000004">
      <c r="A5" s="43" t="s">
        <v>7</v>
      </c>
      <c r="B5" s="43" t="s">
        <v>18</v>
      </c>
      <c r="C5" s="43" t="s">
        <v>15</v>
      </c>
      <c r="D5" s="48" t="s">
        <v>0</v>
      </c>
      <c r="E5" s="43" t="s">
        <v>10</v>
      </c>
      <c r="F5" s="43" t="s">
        <v>9</v>
      </c>
      <c r="G5" s="50" t="s">
        <v>11</v>
      </c>
      <c r="H5" s="52" t="s">
        <v>1</v>
      </c>
      <c r="I5" s="53"/>
      <c r="J5" s="43" t="s">
        <v>14</v>
      </c>
      <c r="K5" s="43" t="s">
        <v>8</v>
      </c>
      <c r="L5" s="43" t="s">
        <v>13</v>
      </c>
    </row>
    <row r="6" spans="1:12" ht="48" x14ac:dyDescent="0.55000000000000004">
      <c r="A6" s="44"/>
      <c r="B6" s="44"/>
      <c r="C6" s="44"/>
      <c r="D6" s="49"/>
      <c r="E6" s="44"/>
      <c r="F6" s="44"/>
      <c r="G6" s="51"/>
      <c r="H6" s="9" t="s">
        <v>12</v>
      </c>
      <c r="I6" s="8" t="s">
        <v>3</v>
      </c>
      <c r="J6" s="44"/>
      <c r="K6" s="44"/>
      <c r="L6" s="44"/>
    </row>
    <row r="7" spans="1:12" x14ac:dyDescent="0.55000000000000004">
      <c r="A7" s="10">
        <v>1</v>
      </c>
      <c r="B7" s="10">
        <v>2546</v>
      </c>
      <c r="C7" s="18" t="s">
        <v>19</v>
      </c>
      <c r="D7" s="19" t="s">
        <v>20</v>
      </c>
      <c r="E7" s="4" t="s">
        <v>21</v>
      </c>
      <c r="F7" s="4">
        <v>18</v>
      </c>
      <c r="G7" s="4" t="s">
        <v>22</v>
      </c>
      <c r="H7" s="4">
        <v>1</v>
      </c>
      <c r="I7" s="5">
        <v>1</v>
      </c>
      <c r="J7" s="20">
        <v>33000</v>
      </c>
      <c r="K7" s="21">
        <f>SUM(I7*J7)</f>
        <v>33000</v>
      </c>
      <c r="L7" s="39" t="s">
        <v>23</v>
      </c>
    </row>
    <row r="8" spans="1:12" x14ac:dyDescent="0.55000000000000004">
      <c r="A8" s="10">
        <v>2</v>
      </c>
      <c r="B8" s="10">
        <v>2546</v>
      </c>
      <c r="C8" s="22" t="s">
        <v>24</v>
      </c>
      <c r="D8" s="23" t="s">
        <v>25</v>
      </c>
      <c r="E8" s="4" t="s">
        <v>26</v>
      </c>
      <c r="F8" s="4">
        <v>18</v>
      </c>
      <c r="G8" s="4" t="s">
        <v>22</v>
      </c>
      <c r="H8" s="4">
        <v>5</v>
      </c>
      <c r="I8" s="5">
        <v>5</v>
      </c>
      <c r="J8" s="6">
        <v>3970</v>
      </c>
      <c r="K8" s="21">
        <f t="shared" ref="K8:K15" si="0">SUM(I8*J8)</f>
        <v>19850</v>
      </c>
      <c r="L8" s="39" t="s">
        <v>27</v>
      </c>
    </row>
    <row r="9" spans="1:12" x14ac:dyDescent="0.55000000000000004">
      <c r="A9" s="10">
        <v>3</v>
      </c>
      <c r="B9" s="10">
        <v>2548</v>
      </c>
      <c r="C9" s="3" t="s">
        <v>28</v>
      </c>
      <c r="D9" s="1" t="s">
        <v>29</v>
      </c>
      <c r="E9" s="4" t="s">
        <v>21</v>
      </c>
      <c r="F9" s="4">
        <v>16</v>
      </c>
      <c r="G9" s="4" t="s">
        <v>22</v>
      </c>
      <c r="H9" s="4">
        <v>1</v>
      </c>
      <c r="I9" s="5">
        <v>1</v>
      </c>
      <c r="J9" s="6">
        <v>690</v>
      </c>
      <c r="K9" s="21">
        <f t="shared" si="0"/>
        <v>690</v>
      </c>
      <c r="L9" s="39" t="s">
        <v>30</v>
      </c>
    </row>
    <row r="10" spans="1:12" x14ac:dyDescent="0.55000000000000004">
      <c r="A10" s="10">
        <v>4</v>
      </c>
      <c r="B10" s="10">
        <v>2550</v>
      </c>
      <c r="C10" s="3" t="s">
        <v>31</v>
      </c>
      <c r="D10" s="1" t="s">
        <v>32</v>
      </c>
      <c r="E10" s="4" t="s">
        <v>33</v>
      </c>
      <c r="F10" s="4">
        <v>14</v>
      </c>
      <c r="G10" s="4" t="s">
        <v>22</v>
      </c>
      <c r="H10" s="4">
        <v>1</v>
      </c>
      <c r="I10" s="5">
        <v>1</v>
      </c>
      <c r="J10" s="6">
        <v>3350</v>
      </c>
      <c r="K10" s="21">
        <f t="shared" si="0"/>
        <v>3350</v>
      </c>
      <c r="L10" s="39" t="s">
        <v>34</v>
      </c>
    </row>
    <row r="11" spans="1:12" x14ac:dyDescent="0.55000000000000004">
      <c r="A11" s="10">
        <v>5</v>
      </c>
      <c r="B11" s="10">
        <v>2553</v>
      </c>
      <c r="C11" s="3" t="s">
        <v>35</v>
      </c>
      <c r="D11" s="1" t="s">
        <v>36</v>
      </c>
      <c r="E11" s="4" t="s">
        <v>33</v>
      </c>
      <c r="F11" s="4">
        <v>11</v>
      </c>
      <c r="G11" s="4" t="s">
        <v>22</v>
      </c>
      <c r="H11" s="4">
        <v>2</v>
      </c>
      <c r="I11" s="5">
        <v>2</v>
      </c>
      <c r="J11" s="6">
        <v>32000</v>
      </c>
      <c r="K11" s="21">
        <f t="shared" si="0"/>
        <v>64000</v>
      </c>
      <c r="L11" s="39" t="s">
        <v>56</v>
      </c>
    </row>
    <row r="12" spans="1:12" x14ac:dyDescent="0.55000000000000004">
      <c r="A12" s="10">
        <v>6</v>
      </c>
      <c r="B12" s="10">
        <v>2553</v>
      </c>
      <c r="C12" s="3" t="s">
        <v>38</v>
      </c>
      <c r="D12" s="1" t="s">
        <v>39</v>
      </c>
      <c r="E12" s="4" t="s">
        <v>33</v>
      </c>
      <c r="F12" s="4">
        <v>11</v>
      </c>
      <c r="G12" s="4" t="s">
        <v>22</v>
      </c>
      <c r="H12" s="4">
        <v>2</v>
      </c>
      <c r="I12" s="5">
        <v>2</v>
      </c>
      <c r="J12" s="6">
        <v>17000</v>
      </c>
      <c r="K12" s="21">
        <f t="shared" si="0"/>
        <v>34000</v>
      </c>
      <c r="L12" s="39" t="s">
        <v>40</v>
      </c>
    </row>
    <row r="13" spans="1:12" x14ac:dyDescent="0.55000000000000004">
      <c r="A13" s="10">
        <v>7</v>
      </c>
      <c r="B13" s="10">
        <v>2553</v>
      </c>
      <c r="C13" s="24" t="s">
        <v>41</v>
      </c>
      <c r="D13" s="25" t="s">
        <v>42</v>
      </c>
      <c r="E13" s="4" t="s">
        <v>33</v>
      </c>
      <c r="F13" s="4">
        <v>11</v>
      </c>
      <c r="G13" s="4" t="s">
        <v>22</v>
      </c>
      <c r="H13" s="4">
        <v>2</v>
      </c>
      <c r="I13" s="5">
        <v>2</v>
      </c>
      <c r="J13" s="6">
        <v>1950</v>
      </c>
      <c r="K13" s="21">
        <f t="shared" si="0"/>
        <v>3900</v>
      </c>
      <c r="L13" s="39" t="s">
        <v>34</v>
      </c>
    </row>
    <row r="14" spans="1:12" x14ac:dyDescent="0.55000000000000004">
      <c r="A14" s="10">
        <v>8</v>
      </c>
      <c r="B14" s="10">
        <v>2553</v>
      </c>
      <c r="C14" s="24" t="s">
        <v>43</v>
      </c>
      <c r="D14" s="25" t="s">
        <v>44</v>
      </c>
      <c r="E14" s="4" t="s">
        <v>33</v>
      </c>
      <c r="F14" s="4">
        <v>11</v>
      </c>
      <c r="G14" s="4" t="s">
        <v>22</v>
      </c>
      <c r="H14" s="4">
        <v>1</v>
      </c>
      <c r="I14" s="5">
        <v>1</v>
      </c>
      <c r="J14" s="6">
        <v>30000</v>
      </c>
      <c r="K14" s="21">
        <f t="shared" si="0"/>
        <v>30000</v>
      </c>
      <c r="L14" s="39" t="s">
        <v>37</v>
      </c>
    </row>
    <row r="15" spans="1:12" x14ac:dyDescent="0.55000000000000004">
      <c r="A15" s="10">
        <v>9</v>
      </c>
      <c r="B15" s="30">
        <v>2553</v>
      </c>
      <c r="C15" s="26" t="s">
        <v>45</v>
      </c>
      <c r="D15" s="27" t="s">
        <v>39</v>
      </c>
      <c r="E15" s="31" t="s">
        <v>33</v>
      </c>
      <c r="F15" s="31">
        <v>11</v>
      </c>
      <c r="G15" s="31" t="s">
        <v>22</v>
      </c>
      <c r="H15" s="31">
        <v>1</v>
      </c>
      <c r="I15" s="32">
        <v>1</v>
      </c>
      <c r="J15" s="28">
        <v>20000</v>
      </c>
      <c r="K15" s="21">
        <f t="shared" si="0"/>
        <v>20000</v>
      </c>
      <c r="L15" s="40" t="s">
        <v>40</v>
      </c>
    </row>
    <row r="16" spans="1:12" ht="24.75" thickBot="1" x14ac:dyDescent="0.6">
      <c r="A16" s="33"/>
      <c r="B16" s="34"/>
      <c r="C16" s="34"/>
      <c r="D16" s="34"/>
      <c r="E16" s="34"/>
      <c r="F16" s="34"/>
      <c r="G16" s="34"/>
      <c r="H16" s="34"/>
      <c r="I16" s="34"/>
      <c r="J16" s="36" t="s">
        <v>4</v>
      </c>
      <c r="K16" s="38">
        <f>SUM(K7:K15)</f>
        <v>208790</v>
      </c>
      <c r="L16" s="35"/>
    </row>
    <row r="17" spans="1:12" ht="24.75" thickTop="1" x14ac:dyDescent="0.55000000000000004">
      <c r="A17" s="7"/>
      <c r="B17" s="15" t="s">
        <v>2</v>
      </c>
      <c r="C17" s="11" t="s">
        <v>16</v>
      </c>
      <c r="D17" s="7"/>
      <c r="E17" s="7"/>
      <c r="F17" s="7"/>
      <c r="G17" s="7"/>
      <c r="H17" s="7"/>
      <c r="I17" s="14"/>
      <c r="J17" s="7"/>
      <c r="K17" s="7"/>
      <c r="L17" s="2"/>
    </row>
    <row r="18" spans="1:12" x14ac:dyDescent="0.55000000000000004">
      <c r="A18" s="7"/>
      <c r="B18" s="29"/>
      <c r="C18" s="11" t="s">
        <v>17</v>
      </c>
      <c r="D18" s="7"/>
      <c r="E18" s="7"/>
      <c r="F18" s="7"/>
      <c r="G18" s="7"/>
      <c r="H18" s="13"/>
      <c r="I18" s="13"/>
      <c r="J18" s="13"/>
      <c r="K18" s="13"/>
      <c r="L18" s="2"/>
    </row>
    <row r="19" spans="1:12" x14ac:dyDescent="0.55000000000000004">
      <c r="A19" s="7"/>
      <c r="B19" s="29"/>
      <c r="C19" s="11"/>
      <c r="D19" s="7"/>
      <c r="E19" s="7"/>
      <c r="F19" s="7"/>
      <c r="G19" s="37" t="s">
        <v>46</v>
      </c>
      <c r="H19" s="41" t="s">
        <v>47</v>
      </c>
      <c r="I19" s="41"/>
      <c r="J19" s="41"/>
      <c r="K19" s="13" t="s">
        <v>48</v>
      </c>
      <c r="L19" s="2"/>
    </row>
    <row r="20" spans="1:12" x14ac:dyDescent="0.55000000000000004">
      <c r="A20" s="7"/>
      <c r="B20" s="29"/>
      <c r="C20" s="11"/>
      <c r="D20" s="7"/>
      <c r="E20" s="7"/>
      <c r="F20" s="7"/>
      <c r="G20" s="37"/>
      <c r="H20" s="41" t="s">
        <v>53</v>
      </c>
      <c r="I20" s="41"/>
      <c r="J20" s="41"/>
      <c r="K20" s="29"/>
      <c r="L20" s="2"/>
    </row>
    <row r="21" spans="1:12" ht="36.75" customHeight="1" x14ac:dyDescent="0.55000000000000004">
      <c r="G21" s="16" t="s">
        <v>46</v>
      </c>
      <c r="H21" s="41" t="s">
        <v>47</v>
      </c>
      <c r="I21" s="41"/>
      <c r="J21" s="41"/>
      <c r="K21" s="29" t="s">
        <v>49</v>
      </c>
      <c r="L21" s="2"/>
    </row>
    <row r="22" spans="1:12" x14ac:dyDescent="0.55000000000000004">
      <c r="B22" s="2"/>
      <c r="C22" s="2"/>
      <c r="G22" s="16"/>
      <c r="H22" s="41" t="s">
        <v>54</v>
      </c>
      <c r="I22" s="41"/>
      <c r="J22" s="41"/>
      <c r="K22" s="29"/>
      <c r="L22" s="2"/>
    </row>
    <row r="23" spans="1:12" ht="36.75" customHeight="1" x14ac:dyDescent="0.55000000000000004">
      <c r="G23" s="16" t="s">
        <v>46</v>
      </c>
      <c r="H23" s="42" t="s">
        <v>47</v>
      </c>
      <c r="I23" s="42"/>
      <c r="J23" s="42"/>
      <c r="K23" s="2" t="s">
        <v>50</v>
      </c>
      <c r="L23" s="2"/>
    </row>
    <row r="24" spans="1:12" x14ac:dyDescent="0.55000000000000004">
      <c r="H24" s="42" t="s">
        <v>55</v>
      </c>
      <c r="I24" s="42"/>
      <c r="J24" s="42"/>
      <c r="L24" s="2"/>
    </row>
    <row r="25" spans="1:12" x14ac:dyDescent="0.55000000000000004">
      <c r="L25" s="2"/>
    </row>
    <row r="26" spans="1:12" x14ac:dyDescent="0.55000000000000004">
      <c r="L26" s="2"/>
    </row>
    <row r="27" spans="1:12" x14ac:dyDescent="0.55000000000000004">
      <c r="L27" s="2"/>
    </row>
  </sheetData>
  <mergeCells count="20">
    <mergeCell ref="H24:J24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H19:J19"/>
    <mergeCell ref="H20:J20"/>
    <mergeCell ref="H21:J21"/>
    <mergeCell ref="H22:J22"/>
    <mergeCell ref="H23:J23"/>
  </mergeCells>
  <printOptions horizontalCentered="1"/>
  <pageMargins left="0.19685039370078741" right="0.19685039370078741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2021-11-19T03:48:23Z</cp:lastPrinted>
  <dcterms:created xsi:type="dcterms:W3CDTF">2017-11-14T01:32:33Z</dcterms:created>
  <dcterms:modified xsi:type="dcterms:W3CDTF">2022-03-16T04:33:33Z</dcterms:modified>
</cp:coreProperties>
</file>