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3\งาน\1. ฝ่ายบริหารทรัพยากร\"/>
    </mc:Choice>
  </mc:AlternateContent>
  <xr:revisionPtr revIDLastSave="0" documentId="13_ncr:1_{95623AC4-1A99-4CB7-949E-E8DB8BCF1CC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7" i="46"/>
  <c r="K16" i="46" s="1"/>
</calcChain>
</file>

<file path=xl/sharedStrings.xml><?xml version="1.0" encoding="utf-8"?>
<sst xmlns="http://schemas.openxmlformats.org/spreadsheetml/2006/main" count="61" uniqueCount="53">
  <si>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</si>
  <si>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</si>
  <si>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</si>
  <si>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</si>
  <si>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</si>
  <si>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</si>
  <si>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</si>
  <si>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</si>
  <si>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</si>
  <si>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</si>
  <si>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</si>
  <si>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</si>
  <si>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</si>
  <si>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</si>
  <si>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</si>
  <si>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</si>
  <si>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</si>
  <si>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</si>
  <si>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</si>
  <si>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</si>
  <si>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</si>
  <si>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2540</t>
  </si>
  <si>
    <t>7430-008-0001/401-006</t>
  </si>
  <si>
    <t>7430-008-0002/481-012</t>
  </si>
  <si>
    <t>5815-001-0001/502-003</t>
  </si>
  <si>
    <t>7440-001-0001/502-057</t>
  </si>
  <si>
    <t>7430-008-0004/513-004</t>
  </si>
  <si>
    <t>7430-008-0002/531-019</t>
  </si>
  <si>
    <t>7440-001-0001/531-141</t>
  </si>
  <si>
    <t>7430-003-0007/582-001</t>
  </si>
  <si>
    <t>เครื่องปริ้น OK1391</t>
  </si>
  <si>
    <t>เครื่องคอมพิวเตอร์ DTK</t>
  </si>
  <si>
    <t>เครื่องปริ้น เลเซอร์ HP1010</t>
  </si>
  <si>
    <t>เครื่องโทรสาร HP 3455</t>
  </si>
  <si>
    <t>เครื่องปริ้น CANON 4800*1200 DPIPIXMA</t>
  </si>
  <si>
    <t>เครื่องปริ้นเตอร์ HP Laserjet P1102</t>
  </si>
  <si>
    <t>เครื่องคอมพิวเตอร์พร้อมโต๊ะเก้าอี้</t>
  </si>
  <si>
    <t>เครื่องปริ้นเตอร์ Kyoccra FS-P2135w</t>
  </si>
  <si>
    <t>งปม.</t>
  </si>
  <si>
    <t>บริจาค</t>
  </si>
  <si>
    <t>บกศ.</t>
  </si>
  <si>
    <t>หมึกแห้งปิดกั้นหัวฉีด</t>
  </si>
  <si>
    <t>ฮาร์ดดิสก์พัง</t>
  </si>
  <si>
    <t>หัวพิมพ์อุดตัน</t>
  </si>
  <si>
    <t>เฟืองดูดกระดาษพัง</t>
  </si>
  <si>
    <t>หมึกแห้งและหัวฮีดพัง</t>
  </si>
  <si>
    <t>กระดาษติดเฟืองพัง</t>
  </si>
  <si>
    <t>เปิดเครื่องไม่ติด</t>
  </si>
  <si>
    <t>หมึกแห้ง</t>
  </si>
  <si>
    <t>ประจำปี 2565 สิ้นงวดเมื่อวันที่ 30 กันยายน 2565 ของงานการเงิน</t>
  </si>
  <si>
    <t xml:space="preserve"> .........................................................</t>
  </si>
  <si>
    <t>(นางสาวสาวิตรี  บุญงอก)</t>
  </si>
  <si>
    <t>7440-001-0001/473-003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</si>
</sst>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1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4" fillId="0" borderId="0" xfId="0" applyFont="1" applyBorder="1"/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43" fontId="3" fillId="0" borderId="1" xfId="11" applyNumberFormat="1" applyFont="1" applyBorder="1" applyAlignme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8" applyFont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3">
    <cellStyle name="เครื่องหมายจุลภาค 9" xfId="11" xr:uid="{00000000-0005-0000-0000-000001000000}"/>
    <cellStyle name="จุลภาค" xfId="1" builtinId="3"/>
    <cellStyle name="ปกติ" xfId="0" builtinId="0"/>
    <cellStyle name="ปกติ 10" xfId="4" xr:uid="{00000000-0005-0000-0000-000003000000}"/>
    <cellStyle name="ปกติ 12" xfId="7" xr:uid="{00000000-0005-0000-0000-000004000000}"/>
    <cellStyle name="ปกติ 14" xfId="3" xr:uid="{00000000-0005-0000-0000-000005000000}"/>
    <cellStyle name="ปกติ 19" xfId="12" xr:uid="{00000000-0005-0000-0000-000006000000}"/>
    <cellStyle name="ปกติ 21" xfId="2" xr:uid="{00000000-0005-0000-0000-000007000000}"/>
    <cellStyle name="ปกติ 22" xfId="5" xr:uid="{00000000-0005-0000-0000-000008000000}"/>
    <cellStyle name="ปกติ 3" xfId="8" xr:uid="{00000000-0005-0000-0000-000009000000}"/>
    <cellStyle name="ปกติ 4" xfId="9" xr:uid="{00000000-0005-0000-0000-00000A000000}"/>
    <cellStyle name="ปกติ 5" xfId="10" xr:uid="{00000000-0005-0000-0000-00000B000000}"/>
    <cellStyle name="ปกติ_รายการครุภัณฑ์ ปี 52 ที่แก้ไขเรียงลำดับใหม่ 23 ก.พ.53" xfId="6" xr:uid="{00000000-0005-0000-0000-00000C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1400175</xdr:colOff>
      <xdr:row>16</xdr:row>
      <xdr:rowOff>171452</xdr:rowOff>
    </xdr:from>
    <xdr:to>
      <xdr:col>11</xdr:col>
      <xdr:colOff>1724025</xdr:colOff>
      <xdr:row>21</xdr:row>
      <xdr:rowOff>104778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134724" y="5962653"/>
          <a:ext cx="1466851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3"/>
  <sheetViews>
    <sheetView tabSelected="1" topLeftCell="A10" zoomScaleNormal="100" workbookViewId="0">
      <selection activeCell="L24" sqref="L24"/>
    </sheetView>
  </sheetViews>
  <sheetFormatPr defaultColWidth="9" defaultRowHeight="24"/>
  <cols>
    <col min="1" max="1" width="5.28515625" style="2" customWidth="1"/>
    <col min="2" max="2" width="12" style="22" customWidth="1"/>
    <col min="3" max="3" width="28.7109375" style="14" customWidth="1"/>
    <col min="4" max="4" width="44.28515625" style="2" customWidth="1"/>
    <col min="5" max="5" width="7.5703125" style="2" customWidth="1"/>
    <col min="6" max="6" width="8.5703125" style="2" customWidth="1"/>
    <col min="7" max="7" width="6.5703125" style="2" customWidth="1"/>
    <col min="8" max="9" width="7.5703125" style="2" customWidth="1"/>
    <col min="10" max="10" width="12.5703125" style="2" customWidth="1"/>
    <col min="11" max="11" width="13.85546875" style="2" customWidth="1"/>
    <col min="12" max="12" width="27.7109375" style="22" customWidth="1"/>
    <col min="13" max="16384" width="9" style="2"/>
  </cols>
  <sheetData>
    <row r="1" spans="1:12">
      <c r="L1" s="22" t="s">
        <v>20</v>
      </c>
    </row>
    <row r="2" spans="1:12">
      <c r="A2" s="32" t="s">
        <v>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33" t="s">
        <v>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>
      <c r="A4" s="34" t="s">
        <v>49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28.5" customHeight="1">
      <c r="A5" s="26" t="s">
        <v>8</v>
      </c>
      <c r="B5" s="26" t="s">
        <v>19</v>
      </c>
      <c r="C5" s="26" t="s">
        <v>16</v>
      </c>
      <c r="D5" s="35" t="s">
        <v>0</v>
      </c>
      <c r="E5" s="26" t="s">
        <v>11</v>
      </c>
      <c r="F5" s="26" t="s">
        <v>10</v>
      </c>
      <c r="G5" s="37" t="s">
        <v>12</v>
      </c>
      <c r="H5" s="39" t="s">
        <v>1</v>
      </c>
      <c r="I5" s="40"/>
      <c r="J5" s="26" t="s">
        <v>15</v>
      </c>
      <c r="K5" s="26" t="s">
        <v>9</v>
      </c>
      <c r="L5" s="26" t="s">
        <v>14</v>
      </c>
    </row>
    <row r="6" spans="1:12" ht="45" customHeight="1">
      <c r="A6" s="27"/>
      <c r="B6" s="27"/>
      <c r="C6" s="27"/>
      <c r="D6" s="36"/>
      <c r="E6" s="27"/>
      <c r="F6" s="27"/>
      <c r="G6" s="38"/>
      <c r="H6" s="11" t="s">
        <v>13</v>
      </c>
      <c r="I6" s="10" t="s">
        <v>3</v>
      </c>
      <c r="J6" s="27"/>
      <c r="K6" s="27"/>
      <c r="L6" s="27"/>
    </row>
    <row r="7" spans="1:12">
      <c r="A7" s="12">
        <v>1</v>
      </c>
      <c r="B7" s="9" t="s">
        <v>21</v>
      </c>
      <c r="C7" s="3" t="s">
        <v>22</v>
      </c>
      <c r="D7" s="1" t="s">
        <v>30</v>
      </c>
      <c r="E7" s="4" t="s">
        <v>38</v>
      </c>
      <c r="F7" s="4">
        <v>25</v>
      </c>
      <c r="G7" s="4">
        <v>0</v>
      </c>
      <c r="H7" s="4">
        <v>1</v>
      </c>
      <c r="I7" s="5">
        <v>1</v>
      </c>
      <c r="J7" s="6">
        <v>17000</v>
      </c>
      <c r="K7" s="6">
        <f>SUM(I7*J7)</f>
        <v>17000</v>
      </c>
      <c r="L7" s="25" t="s">
        <v>41</v>
      </c>
    </row>
    <row r="8" spans="1:12">
      <c r="A8" s="12">
        <v>2</v>
      </c>
      <c r="B8" s="8">
        <v>2547</v>
      </c>
      <c r="C8" s="3" t="s">
        <v>52</v>
      </c>
      <c r="D8" s="1" t="s">
        <v>31</v>
      </c>
      <c r="E8" s="4" t="s">
        <v>39</v>
      </c>
      <c r="F8" s="4">
        <v>18</v>
      </c>
      <c r="G8" s="4">
        <v>0</v>
      </c>
      <c r="H8" s="4">
        <v>1</v>
      </c>
      <c r="I8" s="5">
        <v>1</v>
      </c>
      <c r="J8" s="6">
        <v>29000</v>
      </c>
      <c r="K8" s="6">
        <f t="shared" ref="K8:K15" si="0">SUM(I8*J8)</f>
        <v>29000</v>
      </c>
      <c r="L8" s="25" t="s">
        <v>42</v>
      </c>
    </row>
    <row r="9" spans="1:12">
      <c r="A9" s="12">
        <v>3</v>
      </c>
      <c r="B9" s="8">
        <v>2548</v>
      </c>
      <c r="C9" s="3" t="s">
        <v>23</v>
      </c>
      <c r="D9" s="1" t="s">
        <v>32</v>
      </c>
      <c r="E9" s="4" t="s">
        <v>38</v>
      </c>
      <c r="F9" s="4">
        <v>17</v>
      </c>
      <c r="G9" s="4">
        <v>0</v>
      </c>
      <c r="H9" s="4">
        <v>1</v>
      </c>
      <c r="I9" s="5">
        <v>1</v>
      </c>
      <c r="J9" s="6">
        <v>7000</v>
      </c>
      <c r="K9" s="6">
        <f t="shared" si="0"/>
        <v>7000</v>
      </c>
      <c r="L9" s="25" t="s">
        <v>43</v>
      </c>
    </row>
    <row r="10" spans="1:12">
      <c r="A10" s="12">
        <v>4</v>
      </c>
      <c r="B10" s="8">
        <v>2550</v>
      </c>
      <c r="C10" s="3" t="s">
        <v>24</v>
      </c>
      <c r="D10" s="1" t="s">
        <v>33</v>
      </c>
      <c r="E10" s="4" t="s">
        <v>40</v>
      </c>
      <c r="F10" s="4">
        <v>15</v>
      </c>
      <c r="G10" s="4">
        <v>0</v>
      </c>
      <c r="H10" s="4">
        <v>1</v>
      </c>
      <c r="I10" s="5">
        <v>1</v>
      </c>
      <c r="J10" s="6">
        <v>5500</v>
      </c>
      <c r="K10" s="6">
        <f t="shared" si="0"/>
        <v>5500</v>
      </c>
      <c r="L10" s="25" t="s">
        <v>44</v>
      </c>
    </row>
    <row r="11" spans="1:12">
      <c r="A11" s="12">
        <v>5</v>
      </c>
      <c r="B11" s="8">
        <v>2550</v>
      </c>
      <c r="C11" s="3" t="s">
        <v>25</v>
      </c>
      <c r="D11" s="1" t="s">
        <v>31</v>
      </c>
      <c r="E11" s="4" t="s">
        <v>40</v>
      </c>
      <c r="F11" s="4">
        <v>15</v>
      </c>
      <c r="G11" s="4">
        <v>0</v>
      </c>
      <c r="H11" s="4">
        <v>1</v>
      </c>
      <c r="I11" s="5">
        <v>1</v>
      </c>
      <c r="J11" s="6">
        <v>17300</v>
      </c>
      <c r="K11" s="6">
        <f t="shared" si="0"/>
        <v>17300</v>
      </c>
      <c r="L11" s="25" t="s">
        <v>42</v>
      </c>
    </row>
    <row r="12" spans="1:12">
      <c r="A12" s="12">
        <v>6</v>
      </c>
      <c r="B12" s="8">
        <v>2551</v>
      </c>
      <c r="C12" s="3" t="s">
        <v>26</v>
      </c>
      <c r="D12" s="1" t="s">
        <v>34</v>
      </c>
      <c r="E12" s="4" t="s">
        <v>39</v>
      </c>
      <c r="F12" s="4">
        <v>14</v>
      </c>
      <c r="G12" s="4">
        <v>0</v>
      </c>
      <c r="H12" s="4">
        <v>1</v>
      </c>
      <c r="I12" s="5">
        <v>1</v>
      </c>
      <c r="J12" s="6">
        <v>4800</v>
      </c>
      <c r="K12" s="6">
        <f t="shared" si="0"/>
        <v>4800</v>
      </c>
      <c r="L12" s="25" t="s">
        <v>45</v>
      </c>
    </row>
    <row r="13" spans="1:12">
      <c r="A13" s="12">
        <v>7</v>
      </c>
      <c r="B13" s="8">
        <v>2553</v>
      </c>
      <c r="C13" s="3" t="s">
        <v>27</v>
      </c>
      <c r="D13" s="1" t="s">
        <v>35</v>
      </c>
      <c r="E13" s="4" t="s">
        <v>38</v>
      </c>
      <c r="F13" s="4">
        <v>12</v>
      </c>
      <c r="G13" s="4">
        <v>0</v>
      </c>
      <c r="H13" s="4">
        <v>1</v>
      </c>
      <c r="I13" s="5">
        <v>1</v>
      </c>
      <c r="J13" s="6">
        <v>3950</v>
      </c>
      <c r="K13" s="6">
        <f t="shared" si="0"/>
        <v>3950</v>
      </c>
      <c r="L13" s="25" t="s">
        <v>46</v>
      </c>
    </row>
    <row r="14" spans="1:12">
      <c r="A14" s="12">
        <v>8</v>
      </c>
      <c r="B14" s="8">
        <v>2553</v>
      </c>
      <c r="C14" s="3" t="s">
        <v>28</v>
      </c>
      <c r="D14" s="1" t="s">
        <v>36</v>
      </c>
      <c r="E14" s="4" t="s">
        <v>38</v>
      </c>
      <c r="F14" s="4">
        <v>12</v>
      </c>
      <c r="G14" s="4">
        <v>0</v>
      </c>
      <c r="H14" s="4">
        <v>1</v>
      </c>
      <c r="I14" s="5">
        <v>1</v>
      </c>
      <c r="J14" s="6">
        <v>17000</v>
      </c>
      <c r="K14" s="6">
        <f t="shared" si="0"/>
        <v>17000</v>
      </c>
      <c r="L14" s="25" t="s">
        <v>47</v>
      </c>
    </row>
    <row r="15" spans="1:12" ht="24.75" thickBot="1">
      <c r="A15" s="12">
        <v>9</v>
      </c>
      <c r="B15" s="24">
        <v>240364</v>
      </c>
      <c r="C15" s="3" t="s">
        <v>29</v>
      </c>
      <c r="D15" s="1" t="s">
        <v>37</v>
      </c>
      <c r="E15" s="4" t="s">
        <v>40</v>
      </c>
      <c r="F15" s="4">
        <v>7</v>
      </c>
      <c r="G15" s="4">
        <v>0</v>
      </c>
      <c r="H15" s="4">
        <v>1</v>
      </c>
      <c r="I15" s="5">
        <v>1</v>
      </c>
      <c r="J15" s="6">
        <v>18900</v>
      </c>
      <c r="K15" s="6">
        <f t="shared" si="0"/>
        <v>18900</v>
      </c>
      <c r="L15" s="25" t="s">
        <v>48</v>
      </c>
    </row>
    <row r="16" spans="1:12" ht="24.75" thickBot="1">
      <c r="A16" s="28" t="s">
        <v>5</v>
      </c>
      <c r="B16" s="29"/>
      <c r="C16" s="29"/>
      <c r="D16" s="29"/>
      <c r="E16" s="29"/>
      <c r="F16" s="29"/>
      <c r="G16" s="29"/>
      <c r="H16" s="29"/>
      <c r="I16" s="29"/>
      <c r="J16" s="30"/>
      <c r="K16" s="19">
        <f>SUM(K7:K15)</f>
        <v>120450</v>
      </c>
      <c r="L16" s="20"/>
    </row>
    <row r="17" spans="1:12" ht="24.75" thickTop="1">
      <c r="A17" s="23"/>
      <c r="B17" s="23"/>
      <c r="C17" s="23"/>
      <c r="D17" s="23"/>
      <c r="E17" s="23"/>
      <c r="F17" s="23"/>
      <c r="G17" s="23"/>
      <c r="H17" s="23"/>
      <c r="I17" s="17"/>
      <c r="J17" s="16"/>
      <c r="K17" s="16"/>
      <c r="L17" s="21"/>
    </row>
    <row r="18" spans="1:12">
      <c r="A18" s="7"/>
      <c r="B18" s="18" t="s">
        <v>2</v>
      </c>
      <c r="C18" s="13" t="s">
        <v>17</v>
      </c>
      <c r="D18" s="7"/>
      <c r="E18" s="7"/>
      <c r="F18" s="7"/>
      <c r="G18" s="7"/>
      <c r="H18" s="7"/>
      <c r="I18" s="17"/>
      <c r="J18" s="7"/>
      <c r="K18" s="7"/>
      <c r="L18" s="21"/>
    </row>
    <row r="19" spans="1:12">
      <c r="A19" s="7"/>
      <c r="B19" s="21"/>
      <c r="C19" s="13" t="s">
        <v>18</v>
      </c>
      <c r="D19" s="7"/>
      <c r="E19" s="7"/>
      <c r="F19" s="7"/>
      <c r="G19" s="7"/>
      <c r="H19" s="15"/>
      <c r="I19" s="15"/>
      <c r="J19" s="15"/>
      <c r="K19" s="15"/>
      <c r="L19" s="15"/>
    </row>
    <row r="20" spans="1:12">
      <c r="A20" s="7"/>
      <c r="B20" s="21"/>
      <c r="C20" s="13"/>
      <c r="D20" s="7"/>
      <c r="E20" s="7"/>
      <c r="F20" s="7"/>
      <c r="G20" s="7"/>
      <c r="H20" s="15"/>
      <c r="I20" s="15"/>
      <c r="J20" s="15"/>
      <c r="K20" s="15"/>
      <c r="L20" s="15"/>
    </row>
    <row r="21" spans="1:12">
      <c r="A21" s="7"/>
      <c r="B21" s="21"/>
      <c r="C21" s="13"/>
      <c r="D21" s="7"/>
      <c r="E21" s="7"/>
      <c r="F21" s="7"/>
      <c r="G21" s="7"/>
      <c r="H21" s="31" t="s">
        <v>50</v>
      </c>
      <c r="I21" s="31"/>
      <c r="J21" s="31"/>
      <c r="K21" s="31"/>
      <c r="L21" s="15"/>
    </row>
    <row r="22" spans="1:12">
      <c r="H22" s="31" t="s">
        <v>51</v>
      </c>
      <c r="I22" s="31"/>
      <c r="J22" s="31"/>
      <c r="K22" s="31"/>
    </row>
    <row r="23" spans="1:12">
      <c r="H23" s="31" t="s">
        <v>4</v>
      </c>
      <c r="I23" s="31"/>
      <c r="J23" s="31"/>
      <c r="K23" s="31"/>
    </row>
  </sheetData>
  <mergeCells count="18">
    <mergeCell ref="H23:K23"/>
    <mergeCell ref="H22:K22"/>
    <mergeCell ref="H5:I5"/>
    <mergeCell ref="J5:J6"/>
    <mergeCell ref="K5:K6"/>
    <mergeCell ref="L5:L6"/>
    <mergeCell ref="A16:J16"/>
    <mergeCell ref="H21:K21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2022-10-12T03:46:42Z</cp:lastPrinted>
  <dcterms:created xsi:type="dcterms:W3CDTF">2017-11-14T01:32:33Z</dcterms:created>
  <dcterms:modified xsi:type="dcterms:W3CDTF">2022-10-12T03:47:08Z</dcterms:modified>
</cp:coreProperties>
</file>