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4. ฝ่ายพัฒนากิจการนักเรียน นักศึกษา\"/>
    </mc:Choice>
  </mc:AlternateContent>
  <xr:revisionPtr revIDLastSave="0" documentId="13_ncr:1_{8544A1BD-0808-4AD3-B7EC-E02215B754D7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0" i="46" l="1"/>
  <c r="K8" i="46"/>
  <c r="K9" i="46"/>
  <c r="K7" i="46"/>
</calcChain>
</file>

<file path=xl/sharedStrings.xml><?xml version="1.0" encoding="utf-8"?>
<sst xmlns="http://schemas.openxmlformats.org/spreadsheetml/2006/main" count="39" uniqueCount="35">
  <si>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</si>
  <si>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</si>
  <si>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</si>
  <si>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</si>
  <si>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</si>
  <si>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</si>
  <si>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</si>
  <si>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</si>
  <si>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</si>
  <si>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</si>
  <si>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</si>
  <si>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</si>
  <si>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</si>
  <si>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</si>
  <si>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</si>
  <si>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</si>
  <si>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</si>
  <si>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</si>
  <si>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</si>
  <si>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</si>
  <si>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</si>
  <si>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</si>
  <si>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7430-008-0002/531-016</t>
  </si>
  <si>
    <t>งปม.</t>
  </si>
  <si>
    <t>4110-002-0003/531-003-017</t>
  </si>
  <si>
    <t>7430-008-0006/531-028</t>
  </si>
  <si>
    <t xml:space="preserve"> -</t>
  </si>
  <si>
    <t>(นางเพ็ชรา  โหม่งมาตร์)</t>
  </si>
  <si>
    <t>มอเตอร์ไหม้</t>
  </si>
  <si>
    <t>เป็นสนิม</t>
  </si>
  <si>
    <t>ชุดกลไกชำรุด</t>
  </si>
  <si>
    <t>ประจำปี 2565 สิ้นงวดเมื่อวันที่ 30 กันยายน 2565  ของงานสวัสดิการนักเรียน นักศึกษา</t>
  </si>
  <si>
    <t xml:space="preserve">ปั้มอัตโนมัติ  WP-305Q   </t>
  </si>
  <si>
    <t xml:space="preserve">เครื่องทำน้ำเย็น  VT-699  VICTOR   </t>
  </si>
  <si>
    <t xml:space="preserve">Printer  HP  Laserjet  M1522n  MFP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</si>
</sst>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43" fontId="4" fillId="0" borderId="6" xfId="0" applyNumberFormat="1" applyFont="1" applyBorder="1" applyAlignment="1"/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11</xdr:row>
      <xdr:rowOff>0</xdr:rowOff>
    </xdr:from>
    <xdr:to>
      <xdr:col>11</xdr:col>
      <xdr:colOff>1819275</xdr:colOff>
      <xdr:row>16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68025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752475</xdr:colOff>
      <xdr:row>11</xdr:row>
      <xdr:rowOff>133350</xdr:rowOff>
    </xdr:from>
    <xdr:to>
      <xdr:col>11</xdr:col>
      <xdr:colOff>1095375</xdr:colOff>
      <xdr:row>16</xdr:row>
      <xdr:rowOff>76200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6200000" flipV="1">
          <a:off x="10896600" y="4314825"/>
          <a:ext cx="14668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7"/>
  <sheetViews>
    <sheetView tabSelected="1" zoomScaleNormal="100" workbookViewId="0">
      <selection activeCell="H15" sqref="H15:K15"/>
    </sheetView>
  </sheetViews>
  <sheetFormatPr defaultColWidth="9" defaultRowHeight="24" customHeight="1"/>
  <cols>
    <col min="1" max="1" width="5.28515625" style="2" customWidth="1"/>
    <col min="2" max="2" width="12" style="21" customWidth="1"/>
    <col min="3" max="3" width="29.28515625" style="13" customWidth="1"/>
    <col min="4" max="4" width="44.7109375" style="2" customWidth="1"/>
    <col min="5" max="5" width="8.28515625" style="2" customWidth="1"/>
    <col min="6" max="6" width="9" style="2" customWidth="1"/>
    <col min="7" max="7" width="7.28515625" style="2" customWidth="1"/>
    <col min="8" max="8" width="8.140625" style="2" customWidth="1"/>
    <col min="9" max="9" width="8" style="2" customWidth="1"/>
    <col min="10" max="10" width="13.5703125" style="2" customWidth="1"/>
    <col min="11" max="11" width="15" style="2" customWidth="1"/>
    <col min="12" max="12" width="21.42578125" style="21" customWidth="1"/>
    <col min="13" max="16384" width="9" style="2"/>
  </cols>
  <sheetData>
    <row r="1" spans="1:12" ht="24" customHeight="1">
      <c r="K1" s="39" t="s">
        <v>20</v>
      </c>
      <c r="L1" s="39"/>
    </row>
    <row r="2" spans="1:12" ht="24" customHeight="1">
      <c r="A2" s="32" t="s">
        <v>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24" customHeight="1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ht="24" customHeight="1">
      <c r="A4" s="34" t="s">
        <v>31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>
      <c r="A5" s="27" t="s">
        <v>8</v>
      </c>
      <c r="B5" s="27" t="s">
        <v>19</v>
      </c>
      <c r="C5" s="27" t="s">
        <v>16</v>
      </c>
      <c r="D5" s="35" t="s">
        <v>0</v>
      </c>
      <c r="E5" s="27" t="s">
        <v>11</v>
      </c>
      <c r="F5" s="27" t="s">
        <v>10</v>
      </c>
      <c r="G5" s="37" t="s">
        <v>12</v>
      </c>
      <c r="H5" s="25" t="s">
        <v>1</v>
      </c>
      <c r="I5" s="26"/>
      <c r="J5" s="27" t="s">
        <v>15</v>
      </c>
      <c r="K5" s="27" t="s">
        <v>9</v>
      </c>
      <c r="L5" s="27" t="s">
        <v>14</v>
      </c>
    </row>
    <row r="6" spans="1:12" ht="45" customHeight="1">
      <c r="A6" s="28"/>
      <c r="B6" s="28"/>
      <c r="C6" s="28"/>
      <c r="D6" s="36"/>
      <c r="E6" s="28"/>
      <c r="F6" s="28"/>
      <c r="G6" s="38"/>
      <c r="H6" s="10" t="s">
        <v>13</v>
      </c>
      <c r="I6" s="9" t="s">
        <v>3</v>
      </c>
      <c r="J6" s="28"/>
      <c r="K6" s="28"/>
      <c r="L6" s="28"/>
    </row>
    <row r="7" spans="1:12" ht="24" customHeight="1">
      <c r="A7" s="11">
        <v>1</v>
      </c>
      <c r="B7" s="8">
        <v>2553</v>
      </c>
      <c r="C7" s="3" t="s">
        <v>22</v>
      </c>
      <c r="D7" s="1" t="s">
        <v>32</v>
      </c>
      <c r="E7" s="4" t="s">
        <v>23</v>
      </c>
      <c r="F7" s="4">
        <v>12</v>
      </c>
      <c r="G7" s="4" t="s">
        <v>26</v>
      </c>
      <c r="H7" s="4">
        <v>1</v>
      </c>
      <c r="I7" s="5">
        <v>1</v>
      </c>
      <c r="J7" s="6">
        <v>3700</v>
      </c>
      <c r="K7" s="6">
        <f>SUM(I7*J7)</f>
        <v>3700</v>
      </c>
      <c r="L7" s="23" t="s">
        <v>28</v>
      </c>
    </row>
    <row r="8" spans="1:12" ht="24" customHeight="1">
      <c r="A8" s="11">
        <v>2</v>
      </c>
      <c r="B8" s="8">
        <v>2553</v>
      </c>
      <c r="C8" s="3" t="s">
        <v>24</v>
      </c>
      <c r="D8" s="1" t="s">
        <v>33</v>
      </c>
      <c r="E8" s="4" t="s">
        <v>23</v>
      </c>
      <c r="F8" s="4">
        <v>12</v>
      </c>
      <c r="G8" s="4" t="s">
        <v>26</v>
      </c>
      <c r="H8" s="4">
        <v>15</v>
      </c>
      <c r="I8" s="5">
        <v>15</v>
      </c>
      <c r="J8" s="6">
        <v>4238.5200000000004</v>
      </c>
      <c r="K8" s="6">
        <f t="shared" ref="K8:K9" si="0">SUM(I8*J8)</f>
        <v>63577.8</v>
      </c>
      <c r="L8" s="23" t="s">
        <v>29</v>
      </c>
    </row>
    <row r="9" spans="1:12" ht="24" customHeight="1" thickBot="1">
      <c r="A9" s="11">
        <v>3</v>
      </c>
      <c r="B9" s="8">
        <v>2553</v>
      </c>
      <c r="C9" s="3" t="s">
        <v>25</v>
      </c>
      <c r="D9" s="1" t="s">
        <v>34</v>
      </c>
      <c r="E9" s="4" t="s">
        <v>23</v>
      </c>
      <c r="F9" s="4">
        <v>12</v>
      </c>
      <c r="G9" s="4" t="s">
        <v>26</v>
      </c>
      <c r="H9" s="4">
        <v>1</v>
      </c>
      <c r="I9" s="5">
        <v>1</v>
      </c>
      <c r="J9" s="6">
        <v>10140</v>
      </c>
      <c r="K9" s="6">
        <f t="shared" si="0"/>
        <v>10140</v>
      </c>
      <c r="L9" s="23" t="s">
        <v>30</v>
      </c>
    </row>
    <row r="10" spans="1:12" ht="24" customHeight="1" thickBot="1">
      <c r="A10" s="29" t="s">
        <v>5</v>
      </c>
      <c r="B10" s="30"/>
      <c r="C10" s="30"/>
      <c r="D10" s="30"/>
      <c r="E10" s="30"/>
      <c r="F10" s="30"/>
      <c r="G10" s="30"/>
      <c r="H10" s="30"/>
      <c r="I10" s="30"/>
      <c r="J10" s="31"/>
      <c r="K10" s="18">
        <f>SUM(K7:K9)</f>
        <v>77417.8</v>
      </c>
      <c r="L10" s="19"/>
    </row>
    <row r="11" spans="1:12" ht="24" customHeight="1" thickTop="1">
      <c r="A11" s="22"/>
      <c r="B11" s="22"/>
      <c r="C11" s="22"/>
      <c r="D11" s="22"/>
      <c r="E11" s="22"/>
      <c r="F11" s="22"/>
      <c r="G11" s="22"/>
      <c r="H11" s="22"/>
      <c r="I11" s="16"/>
      <c r="J11" s="15"/>
      <c r="K11" s="15"/>
      <c r="L11" s="20"/>
    </row>
    <row r="12" spans="1:12" ht="24" customHeight="1">
      <c r="A12" s="7"/>
      <c r="B12" s="17" t="s">
        <v>2</v>
      </c>
      <c r="C12" s="12" t="s">
        <v>17</v>
      </c>
      <c r="D12" s="7"/>
      <c r="E12" s="7"/>
      <c r="F12" s="7"/>
      <c r="G12" s="7"/>
      <c r="H12" s="7"/>
      <c r="I12" s="16"/>
      <c r="J12" s="7"/>
      <c r="K12" s="7"/>
      <c r="L12" s="20"/>
    </row>
    <row r="13" spans="1:12" ht="24" customHeight="1">
      <c r="A13" s="7"/>
      <c r="B13" s="20"/>
      <c r="C13" s="12" t="s">
        <v>18</v>
      </c>
      <c r="D13" s="7"/>
      <c r="E13" s="7"/>
      <c r="F13" s="7"/>
      <c r="G13" s="7"/>
      <c r="H13" s="14"/>
      <c r="I13" s="14"/>
      <c r="J13" s="14"/>
      <c r="K13" s="14"/>
      <c r="L13" s="14"/>
    </row>
    <row r="14" spans="1:12" ht="24" customHeight="1">
      <c r="A14" s="7"/>
      <c r="B14" s="20"/>
      <c r="C14" s="12"/>
      <c r="D14" s="7"/>
      <c r="E14" s="7"/>
      <c r="F14" s="7"/>
      <c r="G14" s="7"/>
      <c r="H14" s="14"/>
      <c r="I14" s="14"/>
      <c r="J14" s="14"/>
      <c r="K14" s="14"/>
      <c r="L14" s="14"/>
    </row>
    <row r="15" spans="1:12" ht="24" customHeight="1">
      <c r="A15" s="7"/>
      <c r="B15" s="20"/>
      <c r="C15" s="12"/>
      <c r="D15" s="7"/>
      <c r="E15" s="7"/>
      <c r="F15" s="7"/>
      <c r="G15" s="7"/>
      <c r="H15" s="24" t="s">
        <v>21</v>
      </c>
      <c r="I15" s="24"/>
      <c r="J15" s="24"/>
      <c r="K15" s="24"/>
      <c r="L15" s="14"/>
    </row>
    <row r="16" spans="1:12" ht="24" customHeight="1">
      <c r="H16" s="24" t="s">
        <v>27</v>
      </c>
      <c r="I16" s="24"/>
      <c r="J16" s="24"/>
      <c r="K16" s="24"/>
    </row>
    <row r="17" spans="8:11" ht="24" customHeight="1">
      <c r="H17" s="24" t="s">
        <v>4</v>
      </c>
      <c r="I17" s="24"/>
      <c r="J17" s="24"/>
      <c r="K17" s="24"/>
    </row>
  </sheetData>
  <mergeCells count="19">
    <mergeCell ref="K1:L1"/>
    <mergeCell ref="L5:L6"/>
    <mergeCell ref="A10:J10"/>
    <mergeCell ref="H15:K1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7:K17"/>
    <mergeCell ref="H16:K16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2022-10-18T02:45:36Z</cp:lastPrinted>
  <dcterms:created xsi:type="dcterms:W3CDTF">2017-11-14T01:32:33Z</dcterms:created>
  <dcterms:modified xsi:type="dcterms:W3CDTF">2022-10-18T02:45:37Z</dcterms:modified>
</cp:coreProperties>
</file>