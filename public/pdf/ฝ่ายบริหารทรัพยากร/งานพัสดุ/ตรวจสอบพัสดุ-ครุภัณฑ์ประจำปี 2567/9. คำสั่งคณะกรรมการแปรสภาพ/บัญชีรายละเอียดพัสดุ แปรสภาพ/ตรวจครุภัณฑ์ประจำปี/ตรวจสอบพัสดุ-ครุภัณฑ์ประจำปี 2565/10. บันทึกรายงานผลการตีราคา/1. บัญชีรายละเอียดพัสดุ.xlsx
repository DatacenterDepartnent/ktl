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10. บันทึกรายงานผลการตีราคา\"/>
    </mc:Choice>
  </mc:AlternateContent>
  <xr:revisionPtr revIDLastSave="0" documentId="13_ncr:1_{DB038FE5-CD37-462C-BD8A-0651CA885733}" xr6:coauthVersionLast="47" xr6:coauthVersionMax="47" xr10:uidLastSave="{00000000-0000-0000-0000-000000000000}"/>
  <bookViews>
    <workbookView xWindow="-120" yWindow="-120" windowWidth="24240" windowHeight="13140" xr2:uid="{CBB8C005-E1D1-485A-94A3-0B5339BBF829}"/>
  </bookViews>
  <sheets>
    <sheet name="ขาย" sheetId="2" r:id="rId1"/>
    <sheet name="ขาย (เศษไม้)" sheetId="4" r:id="rId2"/>
    <sheet name="ขาย (เศษเหล็ก)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9" i="5" l="1"/>
  <c r="E140" i="5"/>
  <c r="E135" i="5"/>
  <c r="E134" i="5"/>
  <c r="E108" i="5"/>
  <c r="E106" i="5"/>
  <c r="E105" i="5"/>
  <c r="E102" i="5"/>
  <c r="E101" i="5"/>
  <c r="E100" i="5"/>
  <c r="E99" i="5"/>
  <c r="E98" i="5"/>
  <c r="E97" i="5"/>
  <c r="E96" i="5"/>
  <c r="E95" i="5"/>
  <c r="E94" i="5"/>
  <c r="E93" i="5"/>
  <c r="E90" i="5"/>
  <c r="E68" i="5"/>
  <c r="E67" i="5"/>
  <c r="E66" i="5"/>
  <c r="E53" i="5"/>
  <c r="E51" i="5"/>
  <c r="E50" i="5"/>
  <c r="E49" i="5"/>
  <c r="E47" i="5"/>
  <c r="E46" i="5"/>
  <c r="E45" i="5"/>
  <c r="E30" i="5"/>
  <c r="E28" i="5"/>
  <c r="E24" i="5"/>
  <c r="E23" i="5"/>
  <c r="E22" i="5"/>
  <c r="E32" i="5" s="1"/>
  <c r="E44" i="5" s="1"/>
  <c r="E71" i="5" s="1"/>
  <c r="E83" i="5" s="1"/>
  <c r="E111" i="5" s="1"/>
  <c r="E123" i="5" s="1"/>
  <c r="E151" i="5" s="1"/>
  <c r="E21" i="5"/>
  <c r="E149" i="4"/>
  <c r="E140" i="4"/>
  <c r="E135" i="4"/>
  <c r="E134" i="4"/>
  <c r="E108" i="4"/>
  <c r="E106" i="4"/>
  <c r="E105" i="4"/>
  <c r="E102" i="4"/>
  <c r="E101" i="4"/>
  <c r="E100" i="4"/>
  <c r="E99" i="4"/>
  <c r="E98" i="4"/>
  <c r="E97" i="4"/>
  <c r="E96" i="4"/>
  <c r="E95" i="4"/>
  <c r="E94" i="4"/>
  <c r="E93" i="4"/>
  <c r="E90" i="4"/>
  <c r="E68" i="4"/>
  <c r="E67" i="4"/>
  <c r="E66" i="4"/>
  <c r="E53" i="4"/>
  <c r="E51" i="4"/>
  <c r="E50" i="4"/>
  <c r="E49" i="4"/>
  <c r="E47" i="4"/>
  <c r="E46" i="4"/>
  <c r="E45" i="4"/>
  <c r="E32" i="4"/>
  <c r="E44" i="4" s="1"/>
  <c r="E71" i="4" s="1"/>
  <c r="E83" i="4" s="1"/>
  <c r="E111" i="4" s="1"/>
  <c r="E123" i="4" s="1"/>
  <c r="E151" i="4" s="1"/>
  <c r="E30" i="4"/>
  <c r="E28" i="4"/>
  <c r="E24" i="4"/>
  <c r="E23" i="4"/>
  <c r="E22" i="4"/>
  <c r="E21" i="4"/>
  <c r="E151" i="2"/>
  <c r="E123" i="2"/>
  <c r="E111" i="2"/>
  <c r="E83" i="2"/>
  <c r="E71" i="2"/>
  <c r="E44" i="2"/>
  <c r="E32" i="2"/>
  <c r="E149" i="2"/>
  <c r="E108" i="2" l="1"/>
  <c r="E100" i="2"/>
  <c r="E96" i="2"/>
  <c r="E95" i="2"/>
  <c r="E97" i="2"/>
  <c r="E51" i="2"/>
  <c r="E50" i="2"/>
  <c r="E49" i="2"/>
  <c r="E47" i="2"/>
  <c r="E46" i="2"/>
  <c r="E90" i="2" l="1"/>
  <c r="E140" i="2" l="1"/>
  <c r="E135" i="2" l="1"/>
  <c r="E134" i="2"/>
  <c r="E106" i="2" l="1"/>
  <c r="E105" i="2"/>
  <c r="E102" i="2"/>
  <c r="E99" i="2"/>
  <c r="E101" i="2"/>
  <c r="E98" i="2"/>
  <c r="E94" i="2"/>
  <c r="E93" i="2"/>
  <c r="E68" i="2" l="1"/>
  <c r="E67" i="2"/>
  <c r="E66" i="2"/>
  <c r="E53" i="2" l="1"/>
  <c r="E45" i="2"/>
  <c r="E30" i="2" l="1"/>
  <c r="E28" i="2"/>
  <c r="E24" i="2"/>
  <c r="E23" i="2"/>
  <c r="E22" i="2"/>
  <c r="E21" i="2"/>
</calcChain>
</file>

<file path=xl/sharedStrings.xml><?xml version="1.0" encoding="utf-8"?>
<sst xmlns="http://schemas.openxmlformats.org/spreadsheetml/2006/main" count="1563" uniqueCount="271">
  <si>
    <t>วิทยาลัยเทคนิคกันทรลักษ์</t>
  </si>
  <si>
    <t>รายการ</t>
  </si>
  <si>
    <t>พัสดุที่ขอจำหน่าย</t>
  </si>
  <si>
    <t>จำนวน</t>
  </si>
  <si>
    <t>ราคาซื้อ/ได้มา</t>
  </si>
  <si>
    <t>หมายเหตุ</t>
  </si>
  <si>
    <t>ลำดับ
ที่</t>
  </si>
  <si>
    <t>ลงชื่อ</t>
  </si>
  <si>
    <t>.............................................................................</t>
  </si>
  <si>
    <t>ประธานกรรมการ</t>
  </si>
  <si>
    <t>กรรมการ</t>
  </si>
  <si>
    <t>กรรมการและเลขานุการ</t>
  </si>
  <si>
    <t>รวมเป็นเงินทั้งสิ้น</t>
  </si>
  <si>
    <t>ราคาต่อหน่วย</t>
  </si>
  <si>
    <t>1 เครื่อง</t>
  </si>
  <si>
    <t xml:space="preserve"> </t>
  </si>
  <si>
    <t>ยอดยกมา</t>
  </si>
  <si>
    <t>ยอดยกไป</t>
  </si>
  <si>
    <t>บัญชีรายละเอียดพัสดุที่ขอจำหน่ายโดยวิธีขาย ประจำปี 2565</t>
  </si>
  <si>
    <t>(นางสาวภวิกา  โพธิ์ขาว)</t>
  </si>
  <si>
    <t>(นายสุวรรณ  บุษภาค)</t>
  </si>
  <si>
    <t>(นายสิริปัญญ์  เสริมสิริพิพัฒน์)</t>
  </si>
  <si>
    <t>2805-001-0001/482-001-005</t>
  </si>
  <si>
    <t>เครื่องยนต์ SAMTO 5.5 HP</t>
  </si>
  <si>
    <t>3 เครื่อง</t>
  </si>
  <si>
    <t>เครื่องปริ้นเตอร์</t>
  </si>
  <si>
    <t>7430-008-0002/531-029</t>
  </si>
  <si>
    <t>1 ชุด</t>
  </si>
  <si>
    <t>2 ชุด</t>
  </si>
  <si>
    <t>แม่แรงตะเฆ่  2  ตัน</t>
  </si>
  <si>
    <t>เครื่องอัดจาระบีแบบเคลื่อนที่ได้ใช้ลม</t>
  </si>
  <si>
    <t>4910-016-0001/391-001-391-002</t>
  </si>
  <si>
    <t>3442-002-0002/391-001</t>
  </si>
  <si>
    <t>2 ตัว</t>
  </si>
  <si>
    <t>ชุดปฏิบัติการช่างยนต์แก๊สโซลีนเล็ก</t>
  </si>
  <si>
    <t>2805-001-0001/401-001</t>
  </si>
  <si>
    <t>ชุดอุปกรณ์ฝึกระบบส่งกำลัง</t>
  </si>
  <si>
    <t>2520-014-0001/401-001</t>
  </si>
  <si>
    <t>เครื่องสาธิตการทำงานของคลัทซ์</t>
  </si>
  <si>
    <t>เครื่องสาธิตการทำงานของเกียร์อัตโนมัติ</t>
  </si>
  <si>
    <t>เครื่องสาธิตการทำงานของเกียร์ธรรมดา</t>
  </si>
  <si>
    <t>เครื่องสาธิตการทำงานของอัลเตอเนเตอร์</t>
  </si>
  <si>
    <t>เครื่องสาธิตการทำงานของมอเตอร์สตาร์ท</t>
  </si>
  <si>
    <t>เครื่องสาธิตการทำงานของเฟืองท้าย แบบ HYPOID</t>
  </si>
  <si>
    <t>2520-002-0001/401-001</t>
  </si>
  <si>
    <t>3010-006-0001/401-001</t>
  </si>
  <si>
    <t>3010-004-0001/401-001</t>
  </si>
  <si>
    <t>2925-011-0001/401-001</t>
  </si>
  <si>
    <t>2925-017-0001/401-001</t>
  </si>
  <si>
    <t>3020-003-0001/401-001</t>
  </si>
  <si>
    <t>เครื่องสาธิตระบบแวคกัมเบรกบอสเตอร์</t>
  </si>
  <si>
    <t>เครื่องสาธิตระบบดับเบิ้ลเซอร์คิทเบรค</t>
  </si>
  <si>
    <t>2530-006-0001/401-001</t>
  </si>
  <si>
    <t>2530-005-0001/401-001</t>
  </si>
  <si>
    <t>เครื่องสาธิตการทำงานของพวงมาลัย</t>
  </si>
  <si>
    <t>1680-009-0001/401-001</t>
  </si>
  <si>
    <t>เครื่องตรวจอาเมเจอร์</t>
  </si>
  <si>
    <t>เครื่องจักรยานยนต์  4  สูบ  4  จังหวะ</t>
  </si>
  <si>
    <t>4910-012-0002/401-001</t>
  </si>
  <si>
    <t>2340-005-0004/401-001-401-003</t>
  </si>
  <si>
    <t>เครื่องจักรยานยนต์  2  สูบ  4  จังหวะ</t>
  </si>
  <si>
    <t>เครื่องจักรยานยนต์ 1 สูบ 4 จังหวะขนาด 90-125 CC</t>
  </si>
  <si>
    <t>2340-005-0003/401-001-401-003</t>
  </si>
  <si>
    <t>2340-005-0002/401-001-401-005</t>
  </si>
  <si>
    <t>2340-005-0001/401-001-401-005</t>
  </si>
  <si>
    <t>เครื่องจักรยานยนต์ 1 สูบ 2 จังหวะขนาด 80-120 CC</t>
  </si>
  <si>
    <t>เครื่องค้นหารอยรั่วน้ำยาแอร์แบบเปลวไฟ</t>
  </si>
  <si>
    <t>4130-008-0001/411-001</t>
  </si>
  <si>
    <t>ชุดเครื่องคอมพิวเตอร์</t>
  </si>
  <si>
    <t>เครื่องยนต์ TOYOTA 2 L</t>
  </si>
  <si>
    <t>เครนยกเครื่องยนต์ ขนาด 1 ตัน</t>
  </si>
  <si>
    <t>2815-001-0004/493-001</t>
  </si>
  <si>
    <t>3940-005-0001/521-001</t>
  </si>
  <si>
    <t>ชุดทดลองปั้มดีเซล</t>
  </si>
  <si>
    <t xml:space="preserve"> -</t>
  </si>
  <si>
    <t>4910-016-0001/391-003</t>
  </si>
  <si>
    <t>7440-001-0001/531-101-102</t>
  </si>
  <si>
    <t>6730-001-0003/531-005</t>
  </si>
  <si>
    <t>เครื่องคอมพิวเตอร์พร้อมโต๊ะ</t>
  </si>
  <si>
    <t>เครื่องฉายมัลติมีเดียโปรเจกเตอร์</t>
  </si>
  <si>
    <t>ชย.</t>
  </si>
  <si>
    <t>ชย.สาขาเครื่องกลฯ</t>
  </si>
  <si>
    <t>ชย.สาขาเครื่องกลอุตฯ</t>
  </si>
  <si>
    <t xml:space="preserve"> 1 เครื่อง</t>
  </si>
  <si>
    <t>5 เครื่อง</t>
  </si>
  <si>
    <t>1 ตัว</t>
  </si>
  <si>
    <t>2 เครื่อง</t>
  </si>
  <si>
    <t>6 ตัว</t>
  </si>
  <si>
    <t>10 ตัว</t>
  </si>
  <si>
    <t>1 อัน</t>
  </si>
  <si>
    <t>10 เครื่อง</t>
  </si>
  <si>
    <t>5 ชุด</t>
  </si>
  <si>
    <t>1 ตู้</t>
  </si>
  <si>
    <t>5950-004-0001/391-001-391-010</t>
  </si>
  <si>
    <t>ทรานฟอร์เมอร์ 1 เฟส</t>
  </si>
  <si>
    <t>5905-006-0003/391-001-391-010</t>
  </si>
  <si>
    <t>เครื่องวัดกระแสไฟฟ้าตรงแบบไมโครแอมป์</t>
  </si>
  <si>
    <t>โต๊ะพับเอนกประสงค์ 6 ฟุต</t>
  </si>
  <si>
    <t>7110-007-0011/451-019-451-028</t>
  </si>
  <si>
    <t>แรงเคลื่อนคงที่</t>
  </si>
  <si>
    <t>ชุดฝึกไฟฟ้าเบื้องต้น</t>
  </si>
  <si>
    <t>6910-001-0007/391-001</t>
  </si>
  <si>
    <t>6910-001-0006/391-001-391-007</t>
  </si>
  <si>
    <t>เครื่องวัดกระแสสลับแบบพอร์ทเทเบิ้ล</t>
  </si>
  <si>
    <t>5905-006-0004/391-001-391-010</t>
  </si>
  <si>
    <t>7110-007-0017/391-001-391-006</t>
  </si>
  <si>
    <t>โต๊ะงานช่างกล</t>
  </si>
  <si>
    <t>6625-002-0004/391-001</t>
  </si>
  <si>
    <t>ชุดสาธิตทดลองระบบเครื่องมือวัด</t>
  </si>
  <si>
    <t>ชุดฝึกการควบคุมเครื่องกลไฟฟ้า</t>
  </si>
  <si>
    <t>5975-006-0002/391-001-391-002</t>
  </si>
  <si>
    <t>ชุดฝึกเครื่องกลไฟฟ้า</t>
  </si>
  <si>
    <t>ชุดสาธิตเครื่องกลไฟฟ้าเบื้องต้น</t>
  </si>
  <si>
    <t>6110-010-0002/401-001</t>
  </si>
  <si>
    <t>6110-001-0001/401-001</t>
  </si>
  <si>
    <t>ชุกฝึกประจำวิชาติดตั้งไฟฟ้า</t>
  </si>
  <si>
    <t>6105-004-0001/401-001</t>
  </si>
  <si>
    <t>ชุดฝึกนิวเนติกส์ไฟฟ้า</t>
  </si>
  <si>
    <t>4810-001-0001/411-001</t>
  </si>
  <si>
    <t>อินเวอร์เตอร์ 3 เฟส</t>
  </si>
  <si>
    <t>ชุดฝึกควบคุมความเร็วมอเตอร์กระแสสลับ</t>
  </si>
  <si>
    <t>6110-006-0001/411-001</t>
  </si>
  <si>
    <t>6110-007-0001/411-001</t>
  </si>
  <si>
    <t>ชุดฝึกเครื่องทำความเย็น</t>
  </si>
  <si>
    <t>4110-008-0002/411-001</t>
  </si>
  <si>
    <t>ชุดฝึกการพันมอเตอร์และทรานฟอเมอร์</t>
  </si>
  <si>
    <t>5120-024-0002/421-001</t>
  </si>
  <si>
    <t>ชุดควบคุมความเร็วมอเตอร์ขนาดไม่ต่ำกว่า 3 แรงม้า</t>
  </si>
  <si>
    <t>ชุดอุปกรณ์ฝึกซ่อมเครื่องใช้ไฟฟ้า</t>
  </si>
  <si>
    <t>6110-002-0001/421-001</t>
  </si>
  <si>
    <t>6910-001-0001./421-001</t>
  </si>
  <si>
    <t>เครื่องพันขดลวด</t>
  </si>
  <si>
    <t>5120-024-0003/421-001</t>
  </si>
  <si>
    <t>ชุดเครื่องมือฝึกซ่อมเครื่องใช้ไฟฟ้า</t>
  </si>
  <si>
    <t>6910-001-0001/451-001</t>
  </si>
  <si>
    <t>ชฟ.</t>
  </si>
  <si>
    <t>โต๊ะเชื่อมแก๊สพร้อมเก้าอี้</t>
  </si>
  <si>
    <t>7110-007-0013/391-001-391-010</t>
  </si>
  <si>
    <t>7110-007-0003/391-001-391-010</t>
  </si>
  <si>
    <t>โต๊ะเชื่อมไฟฟ้าพร้อมเก้าอี้</t>
  </si>
  <si>
    <t>4710-007-0002/391-001-391-005</t>
  </si>
  <si>
    <t>ชุดท่อบรรจุแก๊ส ขนาด 40 ลิตร</t>
  </si>
  <si>
    <t>7110-007-0015/391-001</t>
  </si>
  <si>
    <t>โต๊ะปฏิบัติงานบัดกรี</t>
  </si>
  <si>
    <t>5130-007-0004/391-001</t>
  </si>
  <si>
    <t>สว่านไฟฟ้าตั้งโต๊ะ  13 มม.</t>
  </si>
  <si>
    <t>3470-002-0003/531-005-008</t>
  </si>
  <si>
    <t>เครื่องเชื่อม  orbit -220</t>
  </si>
  <si>
    <t>ชช.</t>
  </si>
  <si>
    <t>ชุดเครื่องมือและอุปกรณ์งานเชื่อมแก๊ส</t>
  </si>
  <si>
    <t>3470-002-0001/391-001</t>
  </si>
  <si>
    <t>ชุดเครื่องมือและอุปกรณ์งานโลหะแผ่น</t>
  </si>
  <si>
    <t>3470-003-0002/391-001</t>
  </si>
  <si>
    <t>7440-001-0001/462-003</t>
  </si>
  <si>
    <t>เครื่องเชื่อมพลาสติก</t>
  </si>
  <si>
    <t>3470-005-0001/471-001</t>
  </si>
  <si>
    <t>เครื่องเชื่อม  Tig 200 พร้อมอุปกรณ์</t>
  </si>
  <si>
    <t>3470-002-0003/531-010</t>
  </si>
  <si>
    <t>6 เครื่อง</t>
  </si>
  <si>
    <t>7 ชุด</t>
  </si>
  <si>
    <t>พัดลมโรงงาน 18 นิ้ว</t>
  </si>
  <si>
    <t>4140-001-0002/482-004-0007</t>
  </si>
  <si>
    <t>7430-008-0001/502-015</t>
  </si>
  <si>
    <t>7440-001-0001/502-058</t>
  </si>
  <si>
    <t>เครื่องปริ้นเตอร์ 1020</t>
  </si>
  <si>
    <t>เครื่องคอมพิวเตอร์ HP</t>
  </si>
  <si>
    <t>ทค.</t>
  </si>
  <si>
    <t>4 เครื่อง</t>
  </si>
  <si>
    <t>เครื่องพิมพ์ดีดไฟฟ้าชนิดไม่มีหน่วยความจำ</t>
  </si>
  <si>
    <t>7430-001-0006/391-002-391-016</t>
  </si>
  <si>
    <t>โต๊ะพิมพ์ดีด</t>
  </si>
  <si>
    <t>7110-007-0004/391-004-006</t>
  </si>
  <si>
    <t>7110-007-0004/401-053-401-140</t>
  </si>
  <si>
    <t>เครื่องคำนวนเลข  12  หลัก</t>
  </si>
  <si>
    <t>7420-001-0002/401-023-401-068</t>
  </si>
  <si>
    <t>พัดลมโคจร  16 นิ้ว</t>
  </si>
  <si>
    <t>4140-001-0003/482-029-030</t>
  </si>
  <si>
    <t>เครื่องพิมพ์ดีดภาษาอังกฤษแคร่  15"</t>
  </si>
  <si>
    <t>เครื่องพิมพ์ดีดแบบธรรมดาภาษาไทย 15"</t>
  </si>
  <si>
    <t>7430-001-0003/391-002-391-026</t>
  </si>
  <si>
    <t>7430-001-0005/391-003-391-027</t>
  </si>
  <si>
    <t>เครื่องบันทึกเงินสด</t>
  </si>
  <si>
    <t>7420-005-0001/391-001-391-004</t>
  </si>
  <si>
    <t>เครื่องพิมพ์ดีดภาษาอังกฤษแคร่  18"</t>
  </si>
  <si>
    <t>7430-001-0001/401-027-401-051</t>
  </si>
  <si>
    <t>7430-001-0007/401-002,024</t>
  </si>
  <si>
    <t>เครื่องพิมพ์ดีดแบบธรรมดาภาษาไทย  18"</t>
  </si>
  <si>
    <t>เครื่องคอมพิวเตอร์</t>
  </si>
  <si>
    <t>7440-001-0001/462-004</t>
  </si>
  <si>
    <t>7430-008-0002/492-009</t>
  </si>
  <si>
    <t>เครื่องปริ้นเตอร์ HP 1020</t>
  </si>
  <si>
    <t>7430-001-0001/492-001-007</t>
  </si>
  <si>
    <t>7430-001-0001/492-008-013</t>
  </si>
  <si>
    <t xml:space="preserve">เครื่องคอมพิวเตอร์ ยี่ห้อ ACER </t>
  </si>
  <si>
    <t>7440-001-0001/501-056</t>
  </si>
  <si>
    <t>เครื่องคอมพิวเตอร์พร้อมโต๊ะเก้าอี้</t>
  </si>
  <si>
    <t>7440-001-0001/531-124-138</t>
  </si>
  <si>
    <t>บช.</t>
  </si>
  <si>
    <t>42 ตัว</t>
  </si>
  <si>
    <t>90 ตัว</t>
  </si>
  <si>
    <t>25 ตัว</t>
  </si>
  <si>
    <t>58 เครื่อง</t>
  </si>
  <si>
    <t>7 เครื่อง</t>
  </si>
  <si>
    <t>15 เครื่อง</t>
  </si>
  <si>
    <t>46 เครื่อง</t>
  </si>
  <si>
    <t>เครื่องปริ้นเตอร์ CANON LBp 3050</t>
  </si>
  <si>
    <t>คอมพิวเตอร์ DTK</t>
  </si>
  <si>
    <t>7440-001-0001/473-005</t>
  </si>
  <si>
    <t>7440-001-0001/531-147</t>
  </si>
  <si>
    <t>ซาวด์การ์ด</t>
  </si>
  <si>
    <t>7440-010-0001/492-001</t>
  </si>
  <si>
    <t>เครื่องไรท์ ซีดี</t>
  </si>
  <si>
    <t>7440-010-0002/492-007</t>
  </si>
  <si>
    <t>ฮาร์ดดิส 80</t>
  </si>
  <si>
    <t>7440-010-0003/492-001</t>
  </si>
  <si>
    <t>ลำโพง</t>
  </si>
  <si>
    <t>7440-010-0004/492-001</t>
  </si>
  <si>
    <t>7430-008-0002/531-020</t>
  </si>
  <si>
    <t>7440-001-0001/531-148</t>
  </si>
  <si>
    <t>เครื่องปริ้นเตอร์ HP PSC 1315</t>
  </si>
  <si>
    <t>7430-008-0002/492-006</t>
  </si>
  <si>
    <t>ปชส.</t>
  </si>
  <si>
    <t>4330-001-0002/502-003</t>
  </si>
  <si>
    <t>ปั้มหอยโข่ง</t>
  </si>
  <si>
    <t>5130-009-0001/442-001</t>
  </si>
  <si>
    <t>สว่านโรตารี่ GBH - 2 BOSCH</t>
  </si>
  <si>
    <t>4330-001-0002/452-002</t>
  </si>
  <si>
    <t>ปั้มน้ำมิตซู  ขนาด 2" 2 PH</t>
  </si>
  <si>
    <t>4110-002-0002/492-003-004</t>
  </si>
  <si>
    <t>เครื่องทำน้ำเย็น 5 หัว</t>
  </si>
  <si>
    <t>4110-003-0001/551-001-002</t>
  </si>
  <si>
    <t xml:space="preserve">ปั๊มน้ำ MITSUBISHI 380V 2 นิ้ว 3แรง </t>
  </si>
  <si>
    <t>อาคาร</t>
  </si>
  <si>
    <t>2 ตู้</t>
  </si>
  <si>
    <t>7125-002-0002/401-012-013</t>
  </si>
  <si>
    <t>ตู้เหล็ก 4 ลิ้นชัก</t>
  </si>
  <si>
    <t>7110-002-0006/401-001</t>
  </si>
  <si>
    <t>ตู้เหล็ก 2  บานเลื่อน</t>
  </si>
  <si>
    <t>7125-002-0002/462-001</t>
  </si>
  <si>
    <t>7110-002-0005/521-019-021</t>
  </si>
  <si>
    <t>ตู้เหล็ก  2 บานเปิด</t>
  </si>
  <si>
    <t>3 ตู้</t>
  </si>
  <si>
    <t>เครื่องกรองน้ำขนาด 8 นิ้ว</t>
  </si>
  <si>
    <t>4610-007-0002/551-003</t>
  </si>
  <si>
    <t>ทะเบียน</t>
  </si>
  <si>
    <t>การค้า</t>
  </si>
  <si>
    <t>Printer HP Laserjet M1522n MFP</t>
  </si>
  <si>
    <t>ตู้บานเลื่อนกระจก ขนาด 4 ฟุต</t>
  </si>
  <si>
    <t>7110-002-0006/442-001</t>
  </si>
  <si>
    <t>ตู้เหล็ก  2  บานเปิด</t>
  </si>
  <si>
    <t>7110-006-0006/531-028</t>
  </si>
  <si>
    <t>งานสื่อ</t>
  </si>
  <si>
    <t>2 อัน</t>
  </si>
  <si>
    <t>ประตูควบคุมทางเข้าออกแบบ 2 ทาง</t>
  </si>
  <si>
    <t>7490-015-0002/462-001</t>
  </si>
  <si>
    <t>วิทยาบริการ</t>
  </si>
  <si>
    <t>ชั้นเอนกประสงค์</t>
  </si>
  <si>
    <t>7125-004-0001/531-001-002</t>
  </si>
  <si>
    <t>เครื่องปรับอากาศ  PANASONIC 1800BTU</t>
  </si>
  <si>
    <t>4120-001-0002/541-007</t>
  </si>
  <si>
    <t>กิจกรรม</t>
  </si>
  <si>
    <t>7125-002-0002/492-005</t>
  </si>
  <si>
    <t>ปกครอง</t>
  </si>
  <si>
    <t>ปั้มอัตโนมัติ  WP-305Q</t>
  </si>
  <si>
    <t>7430-008-0002/531-016</t>
  </si>
  <si>
    <t>เครื่องทำน้ำเย็น  VT-699 VICTOR</t>
  </si>
  <si>
    <t>4110-002-0003/531-003-017</t>
  </si>
  <si>
    <t>7430-008-0006/531-028</t>
  </si>
  <si>
    <t>สวัสดิการ</t>
  </si>
  <si>
    <t>ตู้น้ำดื่ม 6 ก๊อก ขนาด 3/8</t>
  </si>
  <si>
    <t>งานบัญชี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</si>
</sst>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;[Red]0.00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8"/>
      <name val="Calibri"/>
      <family val="2"/>
      <charset val="222"/>
      <scheme val="minor"/>
    </font>
    <font>
      <sz val="10"/>
      <name val="Arial"/>
      <family val="2"/>
    </font>
    <font>
      <b/>
      <sz val="16"/>
      <name val="TH SarabunPSK"/>
      <family val="2"/>
    </font>
    <font>
      <sz val="14"/>
      <name val="TH SarabunPSK"/>
      <family val="2"/>
    </font>
    <font>
      <sz val="15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5" fillId="0" borderId="0"/>
    <xf numFmtId="0" fontId="2" fillId="0" borderId="0"/>
  </cellStyleXfs>
  <cellXfs count="70">
    <xf numFmtId="0" fontId="0" fillId="0" borderId="0" xfId="0"/>
    <xf numFmtId="0" fontId="3" fillId="0" borderId="3" xfId="2" applyFont="1" applyBorder="1" applyAlignment="1">
      <alignment horizontal="center"/>
    </xf>
    <xf numFmtId="43" fontId="3" fillId="0" borderId="3" xfId="1" applyFont="1" applyFill="1" applyBorder="1"/>
    <xf numFmtId="43" fontId="3" fillId="0" borderId="1" xfId="1" applyFont="1" applyFill="1" applyBorder="1"/>
    <xf numFmtId="43" fontId="3" fillId="0" borderId="4" xfId="1" applyFont="1" applyFill="1" applyBorder="1"/>
    <xf numFmtId="0" fontId="3" fillId="0" borderId="1" xfId="2" applyFont="1" applyBorder="1" applyAlignment="1">
      <alignment horizontal="center"/>
    </xf>
    <xf numFmtId="0" fontId="3" fillId="0" borderId="4" xfId="2" applyFont="1" applyBorder="1" applyAlignment="1">
      <alignment horizontal="center"/>
    </xf>
    <xf numFmtId="43" fontId="3" fillId="0" borderId="1" xfId="1" applyFont="1" applyBorder="1"/>
    <xf numFmtId="0" fontId="3" fillId="0" borderId="1" xfId="2" applyFont="1" applyBorder="1"/>
    <xf numFmtId="0" fontId="3" fillId="0" borderId="1" xfId="2" applyFont="1" applyBorder="1" applyAlignment="1">
      <alignment horizontal="left"/>
    </xf>
    <xf numFmtId="43" fontId="3" fillId="0" borderId="1" xfId="1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4" xfId="2" applyFont="1" applyBorder="1" applyAlignment="1">
      <alignment horizontal="left"/>
    </xf>
    <xf numFmtId="0" fontId="3" fillId="0" borderId="1" xfId="4" applyFont="1" applyBorder="1" applyAlignment="1">
      <alignment horizontal="left"/>
    </xf>
    <xf numFmtId="0" fontId="3" fillId="0" borderId="1" xfId="4" applyFont="1" applyBorder="1" applyAlignment="1">
      <alignment horizontal="center"/>
    </xf>
    <xf numFmtId="43" fontId="3" fillId="0" borderId="1" xfId="0" applyNumberFormat="1" applyFont="1" applyBorder="1"/>
    <xf numFmtId="43" fontId="3" fillId="0" borderId="4" xfId="1" applyFont="1" applyBorder="1"/>
    <xf numFmtId="0" fontId="3" fillId="0" borderId="3" xfId="2" applyFont="1" applyBorder="1" applyAlignment="1">
      <alignment horizontal="left"/>
    </xf>
    <xf numFmtId="43" fontId="3" fillId="0" borderId="1" xfId="1" applyFont="1" applyBorder="1" applyAlignment="1"/>
    <xf numFmtId="0" fontId="3" fillId="0" borderId="5" xfId="2" applyFont="1" applyBorder="1" applyAlignment="1">
      <alignment horizontal="left"/>
    </xf>
    <xf numFmtId="0" fontId="3" fillId="0" borderId="3" xfId="2" applyFont="1" applyBorder="1"/>
    <xf numFmtId="43" fontId="3" fillId="0" borderId="3" xfId="1" applyFont="1" applyBorder="1"/>
    <xf numFmtId="2" fontId="3" fillId="0" borderId="1" xfId="0" applyNumberFormat="1" applyFont="1" applyBorder="1"/>
    <xf numFmtId="0" fontId="3" fillId="0" borderId="6" xfId="2" applyFont="1" applyBorder="1" applyAlignment="1">
      <alignment horizontal="center"/>
    </xf>
    <xf numFmtId="0" fontId="3" fillId="0" borderId="1" xfId="4" applyFont="1" applyBorder="1"/>
    <xf numFmtId="43" fontId="3" fillId="0" borderId="6" xfId="1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9" fontId="3" fillId="0" borderId="1" xfId="2" applyNumberFormat="1" applyFont="1" applyBorder="1" applyAlignment="1">
      <alignment horizontal="left"/>
    </xf>
    <xf numFmtId="0" fontId="3" fillId="0" borderId="1" xfId="5" applyFont="1" applyBorder="1" applyAlignment="1">
      <alignment horizontal="center"/>
    </xf>
    <xf numFmtId="43" fontId="3" fillId="0" borderId="1" xfId="1" applyFont="1" applyBorder="1" applyAlignment="1">
      <alignment horizontal="right"/>
    </xf>
    <xf numFmtId="49" fontId="3" fillId="0" borderId="1" xfId="2" applyNumberFormat="1" applyFont="1" applyBorder="1"/>
    <xf numFmtId="0" fontId="3" fillId="0" borderId="1" xfId="3" applyFont="1" applyBorder="1" applyAlignment="1">
      <alignment horizontal="center"/>
    </xf>
    <xf numFmtId="43" fontId="3" fillId="0" borderId="6" xfId="1" applyFont="1" applyBorder="1"/>
    <xf numFmtId="0" fontId="7" fillId="0" borderId="1" xfId="2" applyFont="1" applyBorder="1" applyAlignment="1">
      <alignment horizontal="left"/>
    </xf>
    <xf numFmtId="0" fontId="7" fillId="0" borderId="1" xfId="2" applyFont="1" applyBorder="1"/>
    <xf numFmtId="43" fontId="6" fillId="0" borderId="1" xfId="1" applyFont="1" applyBorder="1"/>
    <xf numFmtId="43" fontId="6" fillId="0" borderId="1" xfId="0" applyNumberFormat="1" applyFont="1" applyBorder="1"/>
    <xf numFmtId="43" fontId="6" fillId="0" borderId="1" xfId="1" applyFont="1" applyFill="1" applyBorder="1"/>
    <xf numFmtId="0" fontId="6" fillId="0" borderId="1" xfId="0" applyFont="1" applyBorder="1" applyAlignment="1">
      <alignment horizontal="left"/>
    </xf>
    <xf numFmtId="0" fontId="6" fillId="0" borderId="3" xfId="2" applyFont="1" applyBorder="1"/>
    <xf numFmtId="43" fontId="3" fillId="0" borderId="6" xfId="1" applyFont="1" applyFill="1" applyBorder="1" applyAlignment="1">
      <alignment horizontal="center"/>
    </xf>
    <xf numFmtId="0" fontId="3" fillId="0" borderId="4" xfId="2" applyFont="1" applyBorder="1"/>
    <xf numFmtId="43" fontId="3" fillId="0" borderId="7" xfId="1" applyFont="1" applyFill="1" applyBorder="1" applyAlignment="1">
      <alignment horizontal="center"/>
    </xf>
    <xf numFmtId="0" fontId="8" fillId="0" borderId="1" xfId="2" applyFont="1" applyBorder="1" applyAlignment="1">
      <alignment horizontal="left"/>
    </xf>
    <xf numFmtId="0" fontId="8" fillId="0" borderId="3" xfId="2" applyFont="1" applyBorder="1" applyAlignment="1">
      <alignment horizontal="left"/>
    </xf>
    <xf numFmtId="43" fontId="3" fillId="0" borderId="1" xfId="1" applyFont="1" applyBorder="1" applyAlignment="1">
      <alignment horizontal="center" vertical="top"/>
    </xf>
    <xf numFmtId="49" fontId="3" fillId="0" borderId="1" xfId="2" applyNumberFormat="1" applyFont="1" applyBorder="1" applyAlignment="1">
      <alignment horizontal="left" vertical="center"/>
    </xf>
    <xf numFmtId="49" fontId="3" fillId="0" borderId="2" xfId="2" applyNumberFormat="1" applyFont="1" applyBorder="1" applyAlignment="1">
      <alignment horizontal="left" vertical="center"/>
    </xf>
    <xf numFmtId="43" fontId="3" fillId="0" borderId="3" xfId="1" applyFont="1" applyFill="1" applyBorder="1" applyAlignment="1">
      <alignment horizontal="center"/>
    </xf>
    <xf numFmtId="49" fontId="3" fillId="0" borderId="3" xfId="2" applyNumberFormat="1" applyFont="1" applyBorder="1" applyAlignment="1">
      <alignment horizontal="left" vertical="center"/>
    </xf>
    <xf numFmtId="43" fontId="3" fillId="0" borderId="0" xfId="1" applyFont="1"/>
    <xf numFmtId="0" fontId="3" fillId="2" borderId="1" xfId="0" applyFont="1" applyFill="1" applyBorder="1"/>
    <xf numFmtId="49" fontId="3" fillId="0" borderId="1" xfId="0" applyNumberFormat="1" applyFont="1" applyBorder="1" applyAlignment="1">
      <alignment horizontal="left" vertical="top"/>
    </xf>
    <xf numFmtId="0" fontId="3" fillId="0" borderId="1" xfId="5" applyFont="1" applyBorder="1" applyAlignment="1">
      <alignment horizontal="center" vertical="top"/>
    </xf>
    <xf numFmtId="43" fontId="3" fillId="0" borderId="1" xfId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vertical="top"/>
    </xf>
    <xf numFmtId="164" fontId="3" fillId="0" borderId="1" xfId="0" applyNumberFormat="1" applyFont="1" applyBorder="1" applyAlignment="1">
      <alignment horizontal="left" vertical="top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6">
    <cellStyle name="Normal_ครุภัณฑ์ปี  2553" xfId="4" xr:uid="{6763B0E0-A4E4-4E31-9603-8AA89FEFC7FC}"/>
    <cellStyle name="จุลภาค" xfId="1" builtinId="3"/>
    <cellStyle name="ปกติ" xfId="0" builtinId="0"/>
    <cellStyle name="ปกติ 21" xfId="3" xr:uid="{ADF3C0D2-F3B5-494A-9466-2706C3D46E51}"/>
    <cellStyle name="ปกติ 22" xfId="5" xr:uid="{A00ABCC9-5104-4313-9800-7C90B954E409}"/>
    <cellStyle name="ปกติ_รายการครุภัณฑ์ ปี 52 ที่แก้ไขเรียงลำดับใหม่ 23 ก.พ.53" xfId="2" xr:uid="{41DB2910-E630-46CA-B04D-CBB114298D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8F519-42CC-434D-9017-F6F64C45A356}">
  <sheetPr>
    <tabColor rgb="FFFFFF00"/>
  </sheetPr>
  <dimension ref="A1:G158"/>
  <sheetViews>
    <sheetView tabSelected="1" zoomScaleNormal="100" workbookViewId="0">
      <selection activeCell="M13" sqref="M13"/>
    </sheetView>
  </sheetViews>
  <sheetFormatPr defaultRowHeight="24"/>
  <cols>
    <col min="1" max="1" width="6" style="15" customWidth="1"/>
    <col min="2" max="2" width="44.28515625" style="11" customWidth="1"/>
    <col min="3" max="3" width="10.42578125" style="15" customWidth="1"/>
    <col min="4" max="4" width="12.7109375" style="11" customWidth="1"/>
    <col min="5" max="5" width="16.42578125" style="56" customWidth="1"/>
    <col min="6" max="6" width="28.85546875" style="11" customWidth="1"/>
    <col min="7" max="7" width="11.28515625" style="11" customWidth="1"/>
    <col min="8" max="16384" width="9.140625" style="11"/>
  </cols>
  <sheetData>
    <row r="1" spans="1:7">
      <c r="A1" s="64" t="s">
        <v>0</v>
      </c>
      <c r="B1" s="64"/>
      <c r="C1" s="64"/>
      <c r="D1" s="64"/>
      <c r="E1" s="64"/>
      <c r="F1" s="64"/>
    </row>
    <row r="2" spans="1:7">
      <c r="A2" s="65" t="s">
        <v>18</v>
      </c>
      <c r="B2" s="65"/>
      <c r="C2" s="65"/>
      <c r="D2" s="65"/>
      <c r="E2" s="65"/>
      <c r="F2" s="65"/>
    </row>
    <row r="3" spans="1:7">
      <c r="A3" s="66" t="s">
        <v>6</v>
      </c>
      <c r="B3" s="67" t="s">
        <v>1</v>
      </c>
      <c r="C3" s="68" t="s">
        <v>2</v>
      </c>
      <c r="D3" s="68"/>
      <c r="E3" s="68"/>
      <c r="F3" s="67" t="s">
        <v>5</v>
      </c>
    </row>
    <row r="4" spans="1:7" s="15" customFormat="1">
      <c r="A4" s="67"/>
      <c r="B4" s="67"/>
      <c r="C4" s="13" t="s">
        <v>3</v>
      </c>
      <c r="D4" s="14" t="s">
        <v>13</v>
      </c>
      <c r="E4" s="51" t="s">
        <v>4</v>
      </c>
      <c r="F4" s="67"/>
    </row>
    <row r="5" spans="1:7">
      <c r="A5" s="12">
        <v>1</v>
      </c>
      <c r="B5" s="52" t="s">
        <v>25</v>
      </c>
      <c r="C5" s="5" t="s">
        <v>14</v>
      </c>
      <c r="D5" s="7">
        <v>4000</v>
      </c>
      <c r="E5" s="7">
        <v>4000</v>
      </c>
      <c r="F5" s="19" t="s">
        <v>26</v>
      </c>
      <c r="G5" s="11" t="s">
        <v>81</v>
      </c>
    </row>
    <row r="6" spans="1:7">
      <c r="A6" s="12">
        <v>2</v>
      </c>
      <c r="B6" s="8" t="s">
        <v>23</v>
      </c>
      <c r="C6" s="5" t="s">
        <v>24</v>
      </c>
      <c r="D6" s="3">
        <v>3478</v>
      </c>
      <c r="E6" s="7">
        <v>10434</v>
      </c>
      <c r="F6" s="9" t="s">
        <v>22</v>
      </c>
      <c r="G6" s="11" t="s">
        <v>80</v>
      </c>
    </row>
    <row r="7" spans="1:7">
      <c r="A7" s="12">
        <v>3</v>
      </c>
      <c r="B7" s="8" t="s">
        <v>29</v>
      </c>
      <c r="C7" s="5" t="s">
        <v>33</v>
      </c>
      <c r="D7" s="3">
        <v>18500</v>
      </c>
      <c r="E7" s="7">
        <v>37000</v>
      </c>
      <c r="F7" s="39" t="s">
        <v>31</v>
      </c>
      <c r="G7" s="11" t="s">
        <v>80</v>
      </c>
    </row>
    <row r="8" spans="1:7">
      <c r="A8" s="12">
        <v>4</v>
      </c>
      <c r="B8" s="9" t="s">
        <v>30</v>
      </c>
      <c r="C8" s="5" t="s">
        <v>14</v>
      </c>
      <c r="D8" s="3">
        <v>24000</v>
      </c>
      <c r="E8" s="7">
        <v>24000</v>
      </c>
      <c r="F8" s="9" t="s">
        <v>32</v>
      </c>
      <c r="G8" s="11" t="s">
        <v>80</v>
      </c>
    </row>
    <row r="9" spans="1:7">
      <c r="A9" s="12">
        <v>5</v>
      </c>
      <c r="B9" s="9" t="s">
        <v>34</v>
      </c>
      <c r="C9" s="6" t="s">
        <v>27</v>
      </c>
      <c r="D9" s="3">
        <v>96000</v>
      </c>
      <c r="E9" s="3">
        <v>96000</v>
      </c>
      <c r="F9" s="9" t="s">
        <v>35</v>
      </c>
      <c r="G9" s="11" t="s">
        <v>80</v>
      </c>
    </row>
    <row r="10" spans="1:7">
      <c r="A10" s="12">
        <v>6</v>
      </c>
      <c r="B10" s="9" t="s">
        <v>36</v>
      </c>
      <c r="C10" s="5" t="s">
        <v>27</v>
      </c>
      <c r="D10" s="3">
        <v>39000</v>
      </c>
      <c r="E10" s="7">
        <v>39000</v>
      </c>
      <c r="F10" s="9" t="s">
        <v>37</v>
      </c>
      <c r="G10" s="11" t="s">
        <v>80</v>
      </c>
    </row>
    <row r="11" spans="1:7">
      <c r="A11" s="12">
        <v>7</v>
      </c>
      <c r="B11" s="8" t="s">
        <v>38</v>
      </c>
      <c r="C11" s="5" t="s">
        <v>83</v>
      </c>
      <c r="D11" s="3">
        <v>41800</v>
      </c>
      <c r="E11" s="7">
        <v>41800</v>
      </c>
      <c r="F11" s="9" t="s">
        <v>44</v>
      </c>
      <c r="G11" s="11" t="s">
        <v>80</v>
      </c>
    </row>
    <row r="12" spans="1:7">
      <c r="A12" s="12">
        <v>8</v>
      </c>
      <c r="B12" s="8" t="s">
        <v>39</v>
      </c>
      <c r="C12" s="37" t="s">
        <v>83</v>
      </c>
      <c r="D12" s="3">
        <v>95000</v>
      </c>
      <c r="E12" s="7">
        <v>95000</v>
      </c>
      <c r="F12" s="9" t="s">
        <v>45</v>
      </c>
      <c r="G12" s="11" t="s">
        <v>80</v>
      </c>
    </row>
    <row r="13" spans="1:7">
      <c r="A13" s="12">
        <v>9</v>
      </c>
      <c r="B13" s="8" t="s">
        <v>40</v>
      </c>
      <c r="C13" s="37" t="s">
        <v>83</v>
      </c>
      <c r="D13" s="3">
        <v>43800</v>
      </c>
      <c r="E13" s="7">
        <v>43800</v>
      </c>
      <c r="F13" s="9" t="s">
        <v>46</v>
      </c>
      <c r="G13" s="11" t="s">
        <v>80</v>
      </c>
    </row>
    <row r="14" spans="1:7">
      <c r="A14" s="12">
        <v>10</v>
      </c>
      <c r="B14" s="8" t="s">
        <v>41</v>
      </c>
      <c r="C14" s="37" t="s">
        <v>83</v>
      </c>
      <c r="D14" s="3">
        <v>14500</v>
      </c>
      <c r="E14" s="7">
        <v>14500</v>
      </c>
      <c r="F14" s="9" t="s">
        <v>47</v>
      </c>
      <c r="G14" s="11" t="s">
        <v>80</v>
      </c>
    </row>
    <row r="15" spans="1:7">
      <c r="A15" s="12">
        <v>11</v>
      </c>
      <c r="B15" s="8" t="s">
        <v>42</v>
      </c>
      <c r="C15" s="37" t="s">
        <v>83</v>
      </c>
      <c r="D15" s="3">
        <v>95000</v>
      </c>
      <c r="E15" s="7">
        <v>95000</v>
      </c>
      <c r="F15" s="9" t="s">
        <v>48</v>
      </c>
      <c r="G15" s="11" t="s">
        <v>80</v>
      </c>
    </row>
    <row r="16" spans="1:7">
      <c r="A16" s="12">
        <v>12</v>
      </c>
      <c r="B16" s="8" t="s">
        <v>43</v>
      </c>
      <c r="C16" s="37" t="s">
        <v>83</v>
      </c>
      <c r="D16" s="3">
        <v>43800</v>
      </c>
      <c r="E16" s="7">
        <v>43800</v>
      </c>
      <c r="F16" s="9" t="s">
        <v>49</v>
      </c>
      <c r="G16" s="11" t="s">
        <v>80</v>
      </c>
    </row>
    <row r="17" spans="1:7">
      <c r="A17" s="12">
        <v>13</v>
      </c>
      <c r="B17" s="8" t="s">
        <v>50</v>
      </c>
      <c r="C17" s="37" t="s">
        <v>83</v>
      </c>
      <c r="D17" s="3">
        <v>84000</v>
      </c>
      <c r="E17" s="7">
        <v>84000</v>
      </c>
      <c r="F17" s="9" t="s">
        <v>52</v>
      </c>
      <c r="G17" s="11" t="s">
        <v>80</v>
      </c>
    </row>
    <row r="18" spans="1:7">
      <c r="A18" s="12">
        <v>14</v>
      </c>
      <c r="B18" s="8" t="s">
        <v>51</v>
      </c>
      <c r="C18" s="37" t="s">
        <v>83</v>
      </c>
      <c r="D18" s="3">
        <v>84000</v>
      </c>
      <c r="E18" s="7">
        <v>84000</v>
      </c>
      <c r="F18" s="9" t="s">
        <v>53</v>
      </c>
      <c r="G18" s="11" t="s">
        <v>80</v>
      </c>
    </row>
    <row r="19" spans="1:7">
      <c r="A19" s="12">
        <v>15</v>
      </c>
      <c r="B19" s="8" t="s">
        <v>54</v>
      </c>
      <c r="C19" s="37" t="s">
        <v>83</v>
      </c>
      <c r="D19" s="3">
        <v>28500</v>
      </c>
      <c r="E19" s="7">
        <v>28500</v>
      </c>
      <c r="F19" s="9" t="s">
        <v>55</v>
      </c>
      <c r="G19" s="11" t="s">
        <v>80</v>
      </c>
    </row>
    <row r="20" spans="1:7">
      <c r="A20" s="12">
        <v>16</v>
      </c>
      <c r="B20" s="8" t="s">
        <v>56</v>
      </c>
      <c r="C20" s="5" t="s">
        <v>14</v>
      </c>
      <c r="D20" s="3">
        <v>12000</v>
      </c>
      <c r="E20" s="7">
        <v>12000</v>
      </c>
      <c r="F20" s="9" t="s">
        <v>58</v>
      </c>
      <c r="G20" s="11" t="s">
        <v>80</v>
      </c>
    </row>
    <row r="21" spans="1:7">
      <c r="A21" s="12">
        <v>17</v>
      </c>
      <c r="B21" s="8" t="s">
        <v>57</v>
      </c>
      <c r="C21" s="5" t="s">
        <v>24</v>
      </c>
      <c r="D21" s="3">
        <v>17800</v>
      </c>
      <c r="E21" s="7">
        <f>SUM(D21*3)</f>
        <v>53400</v>
      </c>
      <c r="F21" s="39" t="s">
        <v>59</v>
      </c>
      <c r="G21" s="11" t="s">
        <v>80</v>
      </c>
    </row>
    <row r="22" spans="1:7">
      <c r="A22" s="12">
        <v>18</v>
      </c>
      <c r="B22" s="8" t="s">
        <v>60</v>
      </c>
      <c r="C22" s="5" t="s">
        <v>24</v>
      </c>
      <c r="D22" s="3">
        <v>12800</v>
      </c>
      <c r="E22" s="7">
        <f>SUM(D22*3)</f>
        <v>38400</v>
      </c>
      <c r="F22" s="39" t="s">
        <v>62</v>
      </c>
      <c r="G22" s="11" t="s">
        <v>80</v>
      </c>
    </row>
    <row r="23" spans="1:7">
      <c r="A23" s="12">
        <v>19</v>
      </c>
      <c r="B23" s="8" t="s">
        <v>61</v>
      </c>
      <c r="C23" s="5" t="s">
        <v>84</v>
      </c>
      <c r="D23" s="3">
        <v>8400</v>
      </c>
      <c r="E23" s="7">
        <f>SUM(D23*5)</f>
        <v>42000</v>
      </c>
      <c r="F23" s="39" t="s">
        <v>63</v>
      </c>
      <c r="G23" s="11" t="s">
        <v>80</v>
      </c>
    </row>
    <row r="24" spans="1:7">
      <c r="A24" s="12">
        <v>20</v>
      </c>
      <c r="B24" s="8" t="s">
        <v>65</v>
      </c>
      <c r="C24" s="5" t="s">
        <v>84</v>
      </c>
      <c r="D24" s="3">
        <v>8400</v>
      </c>
      <c r="E24" s="7">
        <f>SUM(D24*5)</f>
        <v>42000</v>
      </c>
      <c r="F24" s="39" t="s">
        <v>64</v>
      </c>
      <c r="G24" s="11" t="s">
        <v>80</v>
      </c>
    </row>
    <row r="25" spans="1:7">
      <c r="A25" s="12">
        <v>21</v>
      </c>
      <c r="B25" s="8" t="s">
        <v>66</v>
      </c>
      <c r="C25" s="5" t="s">
        <v>14</v>
      </c>
      <c r="D25" s="3">
        <v>29700</v>
      </c>
      <c r="E25" s="7">
        <v>29700</v>
      </c>
      <c r="F25" s="9" t="s">
        <v>67</v>
      </c>
      <c r="G25" s="11" t="s">
        <v>80</v>
      </c>
    </row>
    <row r="26" spans="1:7">
      <c r="A26" s="12">
        <v>22</v>
      </c>
      <c r="B26" s="8" t="s">
        <v>69</v>
      </c>
      <c r="C26" s="5" t="s">
        <v>14</v>
      </c>
      <c r="D26" s="3">
        <v>45000</v>
      </c>
      <c r="E26" s="7">
        <v>45000</v>
      </c>
      <c r="F26" s="9" t="s">
        <v>71</v>
      </c>
      <c r="G26" s="11" t="s">
        <v>80</v>
      </c>
    </row>
    <row r="27" spans="1:7">
      <c r="A27" s="12">
        <v>23</v>
      </c>
      <c r="B27" s="8" t="s">
        <v>70</v>
      </c>
      <c r="C27" s="5" t="s">
        <v>85</v>
      </c>
      <c r="D27" s="3">
        <v>59100</v>
      </c>
      <c r="E27" s="7">
        <v>59100</v>
      </c>
      <c r="F27" s="9" t="s">
        <v>72</v>
      </c>
      <c r="G27" s="11" t="s">
        <v>80</v>
      </c>
    </row>
    <row r="28" spans="1:7">
      <c r="A28" s="12">
        <v>24</v>
      </c>
      <c r="B28" s="8" t="s">
        <v>73</v>
      </c>
      <c r="C28" s="5" t="s">
        <v>28</v>
      </c>
      <c r="D28" s="3">
        <v>16217.5</v>
      </c>
      <c r="E28" s="7">
        <f>SUM(D28*2)</f>
        <v>32435</v>
      </c>
      <c r="F28" s="16" t="s">
        <v>74</v>
      </c>
      <c r="G28" s="11" t="s">
        <v>80</v>
      </c>
    </row>
    <row r="29" spans="1:7">
      <c r="A29" s="12">
        <v>25</v>
      </c>
      <c r="B29" s="53" t="s">
        <v>29</v>
      </c>
      <c r="C29" s="5" t="s">
        <v>85</v>
      </c>
      <c r="D29" s="54">
        <v>18500</v>
      </c>
      <c r="E29" s="7">
        <v>18500</v>
      </c>
      <c r="F29" s="55" t="s">
        <v>75</v>
      </c>
      <c r="G29" s="11" t="s">
        <v>82</v>
      </c>
    </row>
    <row r="30" spans="1:7">
      <c r="A30" s="12">
        <v>26</v>
      </c>
      <c r="B30" s="52" t="s">
        <v>78</v>
      </c>
      <c r="C30" s="5" t="s">
        <v>86</v>
      </c>
      <c r="D30" s="3">
        <v>15000</v>
      </c>
      <c r="E30" s="7">
        <f>SUM(D30*2)</f>
        <v>30000</v>
      </c>
      <c r="F30" s="19" t="s">
        <v>76</v>
      </c>
      <c r="G30" s="11" t="s">
        <v>82</v>
      </c>
    </row>
    <row r="31" spans="1:7">
      <c r="A31" s="12">
        <v>27</v>
      </c>
      <c r="B31" s="52" t="s">
        <v>79</v>
      </c>
      <c r="C31" s="20" t="s">
        <v>14</v>
      </c>
      <c r="D31" s="3">
        <v>25000</v>
      </c>
      <c r="E31" s="7">
        <v>25000</v>
      </c>
      <c r="F31" s="19" t="s">
        <v>77</v>
      </c>
      <c r="G31" s="11" t="s">
        <v>82</v>
      </c>
    </row>
    <row r="32" spans="1:7">
      <c r="A32" s="12"/>
      <c r="B32" s="44" t="s">
        <v>17</v>
      </c>
      <c r="C32" s="12"/>
      <c r="D32" s="16"/>
      <c r="E32" s="41">
        <f>SUM(E5:E31)</f>
        <v>1168369</v>
      </c>
      <c r="F32" s="16"/>
    </row>
    <row r="34" spans="1:7">
      <c r="C34" s="15" t="s">
        <v>7</v>
      </c>
      <c r="D34" s="69" t="s">
        <v>8</v>
      </c>
      <c r="E34" s="69"/>
      <c r="F34" s="11" t="s">
        <v>9</v>
      </c>
    </row>
    <row r="35" spans="1:7">
      <c r="D35" s="69" t="s">
        <v>19</v>
      </c>
      <c r="E35" s="69"/>
    </row>
    <row r="36" spans="1:7" ht="33" customHeight="1">
      <c r="C36" s="15" t="s">
        <v>7</v>
      </c>
      <c r="D36" s="69" t="s">
        <v>8</v>
      </c>
      <c r="E36" s="69"/>
      <c r="F36" s="11" t="s">
        <v>10</v>
      </c>
    </row>
    <row r="37" spans="1:7">
      <c r="D37" s="69" t="s">
        <v>20</v>
      </c>
      <c r="E37" s="69"/>
    </row>
    <row r="38" spans="1:7" ht="33.75" customHeight="1">
      <c r="C38" s="15" t="s">
        <v>7</v>
      </c>
      <c r="D38" s="69" t="s">
        <v>8</v>
      </c>
      <c r="E38" s="69"/>
      <c r="F38" s="11" t="s">
        <v>11</v>
      </c>
    </row>
    <row r="39" spans="1:7">
      <c r="D39" s="69" t="s">
        <v>21</v>
      </c>
      <c r="E39" s="69"/>
    </row>
    <row r="40" spans="1:7">
      <c r="A40" s="64" t="s">
        <v>0</v>
      </c>
      <c r="B40" s="64"/>
      <c r="C40" s="64"/>
      <c r="D40" s="64"/>
      <c r="E40" s="64"/>
      <c r="F40" s="64"/>
    </row>
    <row r="41" spans="1:7">
      <c r="A41" s="65" t="s">
        <v>18</v>
      </c>
      <c r="B41" s="65"/>
      <c r="C41" s="65"/>
      <c r="D41" s="65"/>
      <c r="E41" s="65"/>
      <c r="F41" s="65"/>
    </row>
    <row r="42" spans="1:7">
      <c r="A42" s="66" t="s">
        <v>6</v>
      </c>
      <c r="B42" s="67" t="s">
        <v>1</v>
      </c>
      <c r="C42" s="68" t="s">
        <v>2</v>
      </c>
      <c r="D42" s="68"/>
      <c r="E42" s="68"/>
      <c r="F42" s="67" t="s">
        <v>5</v>
      </c>
    </row>
    <row r="43" spans="1:7">
      <c r="A43" s="67"/>
      <c r="B43" s="67"/>
      <c r="C43" s="13" t="s">
        <v>3</v>
      </c>
      <c r="D43" s="14" t="s">
        <v>13</v>
      </c>
      <c r="E43" s="51" t="s">
        <v>4</v>
      </c>
      <c r="F43" s="67"/>
    </row>
    <row r="44" spans="1:7">
      <c r="A44" s="12"/>
      <c r="B44" s="45" t="s">
        <v>16</v>
      </c>
      <c r="C44" s="1"/>
      <c r="D44" s="2"/>
      <c r="E44" s="41">
        <f>SUM(E32)</f>
        <v>1168369</v>
      </c>
      <c r="F44" s="16"/>
    </row>
    <row r="45" spans="1:7">
      <c r="A45" s="12">
        <v>28</v>
      </c>
      <c r="B45" s="8" t="s">
        <v>94</v>
      </c>
      <c r="C45" s="5" t="s">
        <v>90</v>
      </c>
      <c r="D45" s="7">
        <v>3271.03</v>
      </c>
      <c r="E45" s="7">
        <f>SUM(D45*10)</f>
        <v>32710.300000000003</v>
      </c>
      <c r="F45" s="39" t="s">
        <v>93</v>
      </c>
      <c r="G45" s="11" t="s">
        <v>135</v>
      </c>
    </row>
    <row r="46" spans="1:7">
      <c r="A46" s="12">
        <v>29</v>
      </c>
      <c r="B46" s="8" t="s">
        <v>96</v>
      </c>
      <c r="C46" s="5" t="s">
        <v>90</v>
      </c>
      <c r="D46" s="7">
        <v>4970</v>
      </c>
      <c r="E46" s="7">
        <f>SUM(D46*10)</f>
        <v>49700</v>
      </c>
      <c r="F46" s="50" t="s">
        <v>95</v>
      </c>
      <c r="G46" s="11" t="s">
        <v>135</v>
      </c>
    </row>
    <row r="47" spans="1:7">
      <c r="A47" s="12">
        <v>30</v>
      </c>
      <c r="B47" s="8" t="s">
        <v>97</v>
      </c>
      <c r="C47" s="5" t="s">
        <v>88</v>
      </c>
      <c r="D47" s="24">
        <v>1605</v>
      </c>
      <c r="E47" s="7">
        <f>SUM(D47*10)</f>
        <v>16050</v>
      </c>
      <c r="F47" s="49" t="s">
        <v>98</v>
      </c>
      <c r="G47" s="11" t="s">
        <v>135</v>
      </c>
    </row>
    <row r="48" spans="1:7">
      <c r="A48" s="12">
        <v>31</v>
      </c>
      <c r="B48" s="8" t="s">
        <v>99</v>
      </c>
      <c r="C48" s="5" t="s">
        <v>27</v>
      </c>
      <c r="D48" s="7">
        <v>499900</v>
      </c>
      <c r="E48" s="10">
        <v>499900</v>
      </c>
      <c r="F48" s="9" t="s">
        <v>101</v>
      </c>
      <c r="G48" s="11" t="s">
        <v>135</v>
      </c>
    </row>
    <row r="49" spans="1:7">
      <c r="A49" s="12">
        <v>32</v>
      </c>
      <c r="B49" s="8" t="s">
        <v>100</v>
      </c>
      <c r="C49" s="5" t="s">
        <v>159</v>
      </c>
      <c r="D49" s="7">
        <v>49972</v>
      </c>
      <c r="E49" s="10">
        <f>SUM(D49*7)</f>
        <v>349804</v>
      </c>
      <c r="F49" s="49" t="s">
        <v>102</v>
      </c>
      <c r="G49" s="11" t="s">
        <v>135</v>
      </c>
    </row>
    <row r="50" spans="1:7">
      <c r="A50" s="12">
        <v>33</v>
      </c>
      <c r="B50" s="8" t="s">
        <v>103</v>
      </c>
      <c r="C50" s="5" t="s">
        <v>90</v>
      </c>
      <c r="D50" s="7">
        <v>14970</v>
      </c>
      <c r="E50" s="10">
        <f>SUM(D50*10)</f>
        <v>149700</v>
      </c>
      <c r="F50" s="49" t="s">
        <v>104</v>
      </c>
      <c r="G50" s="11" t="s">
        <v>135</v>
      </c>
    </row>
    <row r="51" spans="1:7">
      <c r="A51" s="12">
        <v>34</v>
      </c>
      <c r="B51" s="8" t="s">
        <v>106</v>
      </c>
      <c r="C51" s="5" t="s">
        <v>87</v>
      </c>
      <c r="D51" s="7">
        <v>9950</v>
      </c>
      <c r="E51" s="10">
        <f>SUM(D51*6)</f>
        <v>59700</v>
      </c>
      <c r="F51" s="50" t="s">
        <v>105</v>
      </c>
      <c r="G51" s="11" t="s">
        <v>135</v>
      </c>
    </row>
    <row r="52" spans="1:7">
      <c r="A52" s="12">
        <v>35</v>
      </c>
      <c r="B52" s="18" t="s">
        <v>108</v>
      </c>
      <c r="C52" s="6" t="s">
        <v>27</v>
      </c>
      <c r="D52" s="22">
        <v>484700</v>
      </c>
      <c r="E52" s="3">
        <v>484700</v>
      </c>
      <c r="F52" s="25" t="s">
        <v>107</v>
      </c>
      <c r="G52" s="11" t="s">
        <v>135</v>
      </c>
    </row>
    <row r="53" spans="1:7">
      <c r="A53" s="12">
        <v>36</v>
      </c>
      <c r="B53" s="9" t="s">
        <v>109</v>
      </c>
      <c r="C53" s="5" t="s">
        <v>28</v>
      </c>
      <c r="D53" s="7">
        <v>17200</v>
      </c>
      <c r="E53" s="7">
        <f>SUM(D53*2)</f>
        <v>34400</v>
      </c>
      <c r="F53" s="49" t="s">
        <v>110</v>
      </c>
      <c r="G53" s="11" t="s">
        <v>135</v>
      </c>
    </row>
    <row r="54" spans="1:7">
      <c r="A54" s="12">
        <v>37</v>
      </c>
      <c r="B54" s="8" t="s">
        <v>111</v>
      </c>
      <c r="C54" s="5" t="s">
        <v>27</v>
      </c>
      <c r="D54" s="7">
        <v>925000</v>
      </c>
      <c r="E54" s="3">
        <v>925000</v>
      </c>
      <c r="F54" s="9" t="s">
        <v>113</v>
      </c>
      <c r="G54" s="11" t="s">
        <v>135</v>
      </c>
    </row>
    <row r="55" spans="1:7">
      <c r="A55" s="12">
        <v>38</v>
      </c>
      <c r="B55" s="8" t="s">
        <v>112</v>
      </c>
      <c r="C55" s="5" t="s">
        <v>27</v>
      </c>
      <c r="D55" s="7">
        <v>541900</v>
      </c>
      <c r="E55" s="3">
        <v>541900</v>
      </c>
      <c r="F55" s="9" t="s">
        <v>114</v>
      </c>
      <c r="G55" s="11" t="s">
        <v>135</v>
      </c>
    </row>
    <row r="56" spans="1:7">
      <c r="A56" s="12">
        <v>39</v>
      </c>
      <c r="B56" s="8" t="s">
        <v>115</v>
      </c>
      <c r="C56" s="5" t="s">
        <v>27</v>
      </c>
      <c r="D56" s="7">
        <v>179760</v>
      </c>
      <c r="E56" s="7">
        <v>179760</v>
      </c>
      <c r="F56" s="9" t="s">
        <v>116</v>
      </c>
      <c r="G56" s="11" t="s">
        <v>135</v>
      </c>
    </row>
    <row r="57" spans="1:7">
      <c r="A57" s="12">
        <v>40</v>
      </c>
      <c r="B57" s="8" t="s">
        <v>119</v>
      </c>
      <c r="C57" s="5" t="s">
        <v>27</v>
      </c>
      <c r="D57" s="7">
        <v>29700</v>
      </c>
      <c r="E57" s="7">
        <v>29700</v>
      </c>
      <c r="F57" s="23" t="s">
        <v>121</v>
      </c>
      <c r="G57" s="11" t="s">
        <v>135</v>
      </c>
    </row>
    <row r="58" spans="1:7">
      <c r="A58" s="12">
        <v>41</v>
      </c>
      <c r="B58" s="8" t="s">
        <v>120</v>
      </c>
      <c r="C58" s="5" t="s">
        <v>27</v>
      </c>
      <c r="D58" s="7">
        <v>115060</v>
      </c>
      <c r="E58" s="7">
        <v>115060</v>
      </c>
      <c r="F58" s="23" t="s">
        <v>122</v>
      </c>
      <c r="G58" s="11" t="s">
        <v>135</v>
      </c>
    </row>
    <row r="59" spans="1:7">
      <c r="A59" s="12">
        <v>42</v>
      </c>
      <c r="B59" s="26" t="s">
        <v>123</v>
      </c>
      <c r="C59" s="1" t="s">
        <v>27</v>
      </c>
      <c r="D59" s="27">
        <v>44990</v>
      </c>
      <c r="E59" s="7">
        <v>44900</v>
      </c>
      <c r="F59" s="23" t="s">
        <v>124</v>
      </c>
      <c r="G59" s="11" t="s">
        <v>135</v>
      </c>
    </row>
    <row r="60" spans="1:7">
      <c r="A60" s="12">
        <v>43</v>
      </c>
      <c r="B60" s="8" t="s">
        <v>117</v>
      </c>
      <c r="C60" s="5" t="s">
        <v>27</v>
      </c>
      <c r="D60" s="7">
        <v>200000</v>
      </c>
      <c r="E60" s="7">
        <v>200000</v>
      </c>
      <c r="F60" s="23" t="s">
        <v>118</v>
      </c>
      <c r="G60" s="11" t="s">
        <v>135</v>
      </c>
    </row>
    <row r="61" spans="1:7">
      <c r="A61" s="12">
        <v>44</v>
      </c>
      <c r="B61" s="8" t="s">
        <v>125</v>
      </c>
      <c r="C61" s="5" t="s">
        <v>27</v>
      </c>
      <c r="D61" s="7">
        <v>271500</v>
      </c>
      <c r="E61" s="7">
        <v>271500</v>
      </c>
      <c r="F61" s="9" t="s">
        <v>126</v>
      </c>
      <c r="G61" s="11" t="s">
        <v>135</v>
      </c>
    </row>
    <row r="62" spans="1:7">
      <c r="A62" s="12">
        <v>45</v>
      </c>
      <c r="B62" s="8" t="s">
        <v>131</v>
      </c>
      <c r="C62" s="5" t="s">
        <v>14</v>
      </c>
      <c r="D62" s="7">
        <v>42900</v>
      </c>
      <c r="E62" s="7">
        <v>42900</v>
      </c>
      <c r="F62" s="9" t="s">
        <v>132</v>
      </c>
      <c r="G62" s="11" t="s">
        <v>135</v>
      </c>
    </row>
    <row r="63" spans="1:7">
      <c r="A63" s="12">
        <v>46</v>
      </c>
      <c r="B63" s="8" t="s">
        <v>127</v>
      </c>
      <c r="C63" s="5" t="s">
        <v>27</v>
      </c>
      <c r="D63" s="7">
        <v>58300</v>
      </c>
      <c r="E63" s="7">
        <v>58300</v>
      </c>
      <c r="F63" s="9" t="s">
        <v>129</v>
      </c>
      <c r="G63" s="11" t="s">
        <v>135</v>
      </c>
    </row>
    <row r="64" spans="1:7">
      <c r="A64" s="12">
        <v>47</v>
      </c>
      <c r="B64" s="8" t="s">
        <v>128</v>
      </c>
      <c r="C64" s="5" t="s">
        <v>27</v>
      </c>
      <c r="D64" s="7">
        <v>46200</v>
      </c>
      <c r="E64" s="7">
        <v>46200</v>
      </c>
      <c r="F64" s="9" t="s">
        <v>130</v>
      </c>
      <c r="G64" s="11" t="s">
        <v>135</v>
      </c>
    </row>
    <row r="65" spans="1:7">
      <c r="A65" s="12">
        <v>48</v>
      </c>
      <c r="B65" s="8" t="s">
        <v>133</v>
      </c>
      <c r="C65" s="5" t="s">
        <v>27</v>
      </c>
      <c r="D65" s="7">
        <v>176550</v>
      </c>
      <c r="E65" s="7">
        <v>176550</v>
      </c>
      <c r="F65" s="9" t="s">
        <v>134</v>
      </c>
      <c r="G65" s="11" t="s">
        <v>135</v>
      </c>
    </row>
    <row r="66" spans="1:7">
      <c r="A66" s="12">
        <v>49</v>
      </c>
      <c r="B66" s="8" t="s">
        <v>136</v>
      </c>
      <c r="C66" s="29" t="s">
        <v>88</v>
      </c>
      <c r="D66" s="3">
        <v>3000</v>
      </c>
      <c r="E66" s="3">
        <f>SUM(D66*10)</f>
        <v>30000</v>
      </c>
      <c r="F66" s="50" t="s">
        <v>137</v>
      </c>
      <c r="G66" s="11" t="s">
        <v>148</v>
      </c>
    </row>
    <row r="67" spans="1:7">
      <c r="A67" s="12">
        <v>50</v>
      </c>
      <c r="B67" s="9" t="s">
        <v>139</v>
      </c>
      <c r="C67" s="29" t="s">
        <v>88</v>
      </c>
      <c r="D67" s="3">
        <v>3000</v>
      </c>
      <c r="E67" s="3">
        <f>SUM(D67*10)</f>
        <v>30000</v>
      </c>
      <c r="F67" s="50" t="s">
        <v>138</v>
      </c>
      <c r="G67" s="11" t="s">
        <v>148</v>
      </c>
    </row>
    <row r="68" spans="1:7">
      <c r="A68" s="12">
        <v>51</v>
      </c>
      <c r="B68" s="8" t="s">
        <v>141</v>
      </c>
      <c r="C68" s="29" t="s">
        <v>91</v>
      </c>
      <c r="D68" s="3">
        <v>4494</v>
      </c>
      <c r="E68" s="3">
        <f>SUM(D68*5)</f>
        <v>22470</v>
      </c>
      <c r="F68" s="50" t="s">
        <v>140</v>
      </c>
      <c r="G68" s="11" t="s">
        <v>148</v>
      </c>
    </row>
    <row r="69" spans="1:7">
      <c r="A69" s="12">
        <v>52</v>
      </c>
      <c r="B69" s="8" t="s">
        <v>143</v>
      </c>
      <c r="C69" s="29" t="s">
        <v>85</v>
      </c>
      <c r="D69" s="3">
        <v>2461</v>
      </c>
      <c r="E69" s="3">
        <v>2461</v>
      </c>
      <c r="F69" s="9" t="s">
        <v>142</v>
      </c>
      <c r="G69" s="11" t="s">
        <v>148</v>
      </c>
    </row>
    <row r="70" spans="1:7">
      <c r="A70" s="12">
        <v>53</v>
      </c>
      <c r="B70" s="8" t="s">
        <v>149</v>
      </c>
      <c r="C70" s="29" t="s">
        <v>27</v>
      </c>
      <c r="D70" s="7">
        <v>40000</v>
      </c>
      <c r="E70" s="3">
        <v>40000</v>
      </c>
      <c r="F70" s="23" t="s">
        <v>150</v>
      </c>
      <c r="G70" s="11" t="s">
        <v>148</v>
      </c>
    </row>
    <row r="71" spans="1:7">
      <c r="A71" s="12"/>
      <c r="B71" s="44" t="s">
        <v>17</v>
      </c>
      <c r="C71" s="5"/>
      <c r="D71" s="7"/>
      <c r="E71" s="43">
        <f>SUM(E44:E70)</f>
        <v>5601734.2999999998</v>
      </c>
      <c r="F71" s="9"/>
    </row>
    <row r="73" spans="1:7">
      <c r="C73" s="15" t="s">
        <v>7</v>
      </c>
      <c r="D73" s="69" t="s">
        <v>8</v>
      </c>
      <c r="E73" s="69"/>
      <c r="F73" s="11" t="s">
        <v>9</v>
      </c>
    </row>
    <row r="74" spans="1:7">
      <c r="D74" s="69" t="s">
        <v>19</v>
      </c>
      <c r="E74" s="69"/>
    </row>
    <row r="75" spans="1:7" ht="33" customHeight="1">
      <c r="C75" s="15" t="s">
        <v>7</v>
      </c>
      <c r="D75" s="69" t="s">
        <v>8</v>
      </c>
      <c r="E75" s="69"/>
      <c r="F75" s="11" t="s">
        <v>10</v>
      </c>
    </row>
    <row r="76" spans="1:7">
      <c r="D76" s="69" t="s">
        <v>20</v>
      </c>
      <c r="E76" s="69"/>
    </row>
    <row r="77" spans="1:7" ht="33.75" customHeight="1">
      <c r="C77" s="15" t="s">
        <v>7</v>
      </c>
      <c r="D77" s="69" t="s">
        <v>8</v>
      </c>
      <c r="E77" s="69"/>
      <c r="F77" s="11" t="s">
        <v>11</v>
      </c>
    </row>
    <row r="78" spans="1:7">
      <c r="D78" s="69" t="s">
        <v>21</v>
      </c>
      <c r="E78" s="69"/>
    </row>
    <row r="79" spans="1:7">
      <c r="A79" s="64" t="s">
        <v>0</v>
      </c>
      <c r="B79" s="64"/>
      <c r="C79" s="64"/>
      <c r="D79" s="64"/>
      <c r="E79" s="64"/>
      <c r="F79" s="64"/>
    </row>
    <row r="80" spans="1:7">
      <c r="A80" s="65" t="s">
        <v>18</v>
      </c>
      <c r="B80" s="65"/>
      <c r="C80" s="65"/>
      <c r="D80" s="65"/>
      <c r="E80" s="65"/>
      <c r="F80" s="65"/>
    </row>
    <row r="81" spans="1:7">
      <c r="A81" s="66" t="s">
        <v>6</v>
      </c>
      <c r="B81" s="67" t="s">
        <v>1</v>
      </c>
      <c r="C81" s="68" t="s">
        <v>2</v>
      </c>
      <c r="D81" s="68"/>
      <c r="E81" s="68"/>
      <c r="F81" s="67" t="s">
        <v>5</v>
      </c>
    </row>
    <row r="82" spans="1:7">
      <c r="A82" s="67"/>
      <c r="B82" s="67"/>
      <c r="C82" s="13" t="s">
        <v>3</v>
      </c>
      <c r="D82" s="14" t="s">
        <v>13</v>
      </c>
      <c r="E82" s="51" t="s">
        <v>4</v>
      </c>
      <c r="F82" s="67"/>
    </row>
    <row r="83" spans="1:7">
      <c r="A83" s="12"/>
      <c r="B83" s="45" t="s">
        <v>16</v>
      </c>
      <c r="C83" s="16"/>
      <c r="D83" s="16"/>
      <c r="E83" s="42">
        <f>SUM(E71)</f>
        <v>5601734.2999999998</v>
      </c>
      <c r="F83" s="16"/>
    </row>
    <row r="84" spans="1:7">
      <c r="A84" s="12">
        <v>54</v>
      </c>
      <c r="B84" s="8" t="s">
        <v>151</v>
      </c>
      <c r="C84" s="5" t="s">
        <v>27</v>
      </c>
      <c r="D84" s="7">
        <v>199700</v>
      </c>
      <c r="E84" s="3">
        <v>199700</v>
      </c>
      <c r="F84" s="9" t="s">
        <v>152</v>
      </c>
      <c r="G84" s="11" t="s">
        <v>148</v>
      </c>
    </row>
    <row r="85" spans="1:7">
      <c r="A85" s="12">
        <v>55</v>
      </c>
      <c r="B85" s="8" t="s">
        <v>145</v>
      </c>
      <c r="C85" s="29" t="s">
        <v>85</v>
      </c>
      <c r="D85" s="7">
        <v>15400</v>
      </c>
      <c r="E85" s="7">
        <v>15400</v>
      </c>
      <c r="F85" s="23" t="s">
        <v>144</v>
      </c>
      <c r="G85" s="11" t="s">
        <v>148</v>
      </c>
    </row>
    <row r="86" spans="1:7">
      <c r="A86" s="12">
        <v>56</v>
      </c>
      <c r="B86" s="8" t="s">
        <v>68</v>
      </c>
      <c r="C86" s="29" t="s">
        <v>27</v>
      </c>
      <c r="D86" s="7">
        <v>33000</v>
      </c>
      <c r="E86" s="3">
        <v>33000</v>
      </c>
      <c r="F86" s="9" t="s">
        <v>153</v>
      </c>
      <c r="G86" s="11" t="s">
        <v>148</v>
      </c>
    </row>
    <row r="87" spans="1:7">
      <c r="A87" s="12">
        <v>57</v>
      </c>
      <c r="B87" s="8" t="s">
        <v>154</v>
      </c>
      <c r="C87" s="29" t="s">
        <v>14</v>
      </c>
      <c r="D87" s="7">
        <v>28000</v>
      </c>
      <c r="E87" s="3">
        <v>28000</v>
      </c>
      <c r="F87" s="9" t="s">
        <v>155</v>
      </c>
      <c r="G87" s="11" t="s">
        <v>148</v>
      </c>
    </row>
    <row r="88" spans="1:7">
      <c r="A88" s="12">
        <v>58</v>
      </c>
      <c r="B88" s="30" t="s">
        <v>156</v>
      </c>
      <c r="C88" s="29" t="s">
        <v>14</v>
      </c>
      <c r="D88" s="7">
        <v>40000</v>
      </c>
      <c r="E88" s="10">
        <v>40000</v>
      </c>
      <c r="F88" s="19" t="s">
        <v>157</v>
      </c>
      <c r="G88" s="11" t="s">
        <v>148</v>
      </c>
    </row>
    <row r="89" spans="1:7">
      <c r="A89" s="12">
        <v>59</v>
      </c>
      <c r="B89" s="30" t="s">
        <v>147</v>
      </c>
      <c r="C89" s="20" t="s">
        <v>86</v>
      </c>
      <c r="D89" s="7">
        <v>23000</v>
      </c>
      <c r="E89" s="7">
        <v>46000</v>
      </c>
      <c r="F89" s="19" t="s">
        <v>146</v>
      </c>
      <c r="G89" s="11" t="s">
        <v>148</v>
      </c>
    </row>
    <row r="90" spans="1:7">
      <c r="A90" s="12">
        <v>60</v>
      </c>
      <c r="B90" s="8" t="s">
        <v>160</v>
      </c>
      <c r="C90" s="5" t="s">
        <v>167</v>
      </c>
      <c r="D90" s="3">
        <v>1722</v>
      </c>
      <c r="E90" s="3">
        <f>SUM(D90*4)</f>
        <v>6888</v>
      </c>
      <c r="F90" s="9" t="s">
        <v>161</v>
      </c>
      <c r="G90" s="11" t="s">
        <v>166</v>
      </c>
    </row>
    <row r="91" spans="1:7">
      <c r="A91" s="12">
        <v>61</v>
      </c>
      <c r="B91" s="47" t="s">
        <v>164</v>
      </c>
      <c r="C91" s="6" t="s">
        <v>14</v>
      </c>
      <c r="D91" s="4">
        <v>6000</v>
      </c>
      <c r="E91" s="3">
        <v>6000</v>
      </c>
      <c r="F91" s="18" t="s">
        <v>162</v>
      </c>
      <c r="G91" s="11" t="s">
        <v>166</v>
      </c>
    </row>
    <row r="92" spans="1:7">
      <c r="A92" s="12">
        <v>62</v>
      </c>
      <c r="B92" s="8" t="s">
        <v>165</v>
      </c>
      <c r="C92" s="5" t="s">
        <v>14</v>
      </c>
      <c r="D92" s="3">
        <v>20000</v>
      </c>
      <c r="E92" s="3">
        <v>20000</v>
      </c>
      <c r="F92" s="9" t="s">
        <v>163</v>
      </c>
      <c r="G92" s="11" t="s">
        <v>166</v>
      </c>
    </row>
    <row r="93" spans="1:7">
      <c r="A93" s="12">
        <v>63</v>
      </c>
      <c r="B93" s="8" t="s">
        <v>170</v>
      </c>
      <c r="C93" s="5" t="s">
        <v>198</v>
      </c>
      <c r="D93" s="31">
        <v>1600</v>
      </c>
      <c r="E93" s="3">
        <f>SUM(D93*42)</f>
        <v>67200</v>
      </c>
      <c r="F93" s="8" t="s">
        <v>171</v>
      </c>
      <c r="G93" s="11" t="s">
        <v>197</v>
      </c>
    </row>
    <row r="94" spans="1:7">
      <c r="A94" s="12">
        <v>64</v>
      </c>
      <c r="B94" s="8" t="s">
        <v>170</v>
      </c>
      <c r="C94" s="5" t="s">
        <v>199</v>
      </c>
      <c r="D94" s="31">
        <v>1600</v>
      </c>
      <c r="E94" s="7">
        <f>SUM(D94*90)</f>
        <v>144000</v>
      </c>
      <c r="F94" s="40" t="s">
        <v>172</v>
      </c>
      <c r="G94" s="11" t="s">
        <v>197</v>
      </c>
    </row>
    <row r="95" spans="1:7">
      <c r="A95" s="12">
        <v>65</v>
      </c>
      <c r="B95" s="8" t="s">
        <v>173</v>
      </c>
      <c r="C95" s="5" t="s">
        <v>204</v>
      </c>
      <c r="D95" s="31">
        <v>2500</v>
      </c>
      <c r="E95" s="21">
        <f>SUM(D95*46)</f>
        <v>115000</v>
      </c>
      <c r="F95" s="40" t="s">
        <v>174</v>
      </c>
      <c r="G95" s="11" t="s">
        <v>197</v>
      </c>
    </row>
    <row r="96" spans="1:7">
      <c r="A96" s="12">
        <v>66</v>
      </c>
      <c r="B96" s="8" t="s">
        <v>175</v>
      </c>
      <c r="C96" s="5" t="s">
        <v>33</v>
      </c>
      <c r="D96" s="31">
        <v>1175</v>
      </c>
      <c r="E96" s="3">
        <f>SUM(D96*2)</f>
        <v>2350</v>
      </c>
      <c r="F96" s="8" t="s">
        <v>176</v>
      </c>
      <c r="G96" s="11" t="s">
        <v>197</v>
      </c>
    </row>
    <row r="97" spans="1:7">
      <c r="A97" s="12">
        <v>67</v>
      </c>
      <c r="B97" s="8" t="s">
        <v>168</v>
      </c>
      <c r="C97" s="5" t="s">
        <v>203</v>
      </c>
      <c r="D97" s="31">
        <v>25000</v>
      </c>
      <c r="E97" s="3">
        <f>SUM(D97*185)</f>
        <v>4625000</v>
      </c>
      <c r="F97" s="40" t="s">
        <v>169</v>
      </c>
      <c r="G97" s="11" t="s">
        <v>197</v>
      </c>
    </row>
    <row r="98" spans="1:7">
      <c r="A98" s="12">
        <v>68</v>
      </c>
      <c r="B98" s="8" t="s">
        <v>177</v>
      </c>
      <c r="C98" s="5" t="s">
        <v>200</v>
      </c>
      <c r="D98" s="31">
        <v>8000</v>
      </c>
      <c r="E98" s="7">
        <f>SUM(D98*25)</f>
        <v>200000</v>
      </c>
      <c r="F98" s="40" t="s">
        <v>179</v>
      </c>
      <c r="G98" s="11" t="s">
        <v>197</v>
      </c>
    </row>
    <row r="99" spans="1:7">
      <c r="A99" s="12">
        <v>69</v>
      </c>
      <c r="B99" s="8" t="s">
        <v>178</v>
      </c>
      <c r="C99" s="5" t="s">
        <v>200</v>
      </c>
      <c r="D99" s="31">
        <v>8000</v>
      </c>
      <c r="E99" s="7">
        <f>SUM(D99*25)</f>
        <v>200000</v>
      </c>
      <c r="F99" s="40" t="s">
        <v>180</v>
      </c>
      <c r="G99" s="11" t="s">
        <v>197</v>
      </c>
    </row>
    <row r="100" spans="1:7">
      <c r="A100" s="12">
        <v>70</v>
      </c>
      <c r="B100" s="8" t="s">
        <v>181</v>
      </c>
      <c r="C100" s="5" t="s">
        <v>167</v>
      </c>
      <c r="D100" s="46">
        <v>20000</v>
      </c>
      <c r="E100" s="4">
        <f>SUM(D100*4)</f>
        <v>80000</v>
      </c>
      <c r="F100" s="40" t="s">
        <v>182</v>
      </c>
      <c r="G100" s="11" t="s">
        <v>197</v>
      </c>
    </row>
    <row r="101" spans="1:7">
      <c r="A101" s="12">
        <v>71</v>
      </c>
      <c r="B101" s="8" t="s">
        <v>183</v>
      </c>
      <c r="C101" s="5" t="s">
        <v>200</v>
      </c>
      <c r="D101" s="31">
        <v>8000</v>
      </c>
      <c r="E101" s="7">
        <f t="shared" ref="E101" si="0">SUM(D101*25)</f>
        <v>200000</v>
      </c>
      <c r="F101" s="40" t="s">
        <v>184</v>
      </c>
      <c r="G101" s="11" t="s">
        <v>197</v>
      </c>
    </row>
    <row r="102" spans="1:7">
      <c r="A102" s="12">
        <v>72</v>
      </c>
      <c r="B102" s="8" t="s">
        <v>186</v>
      </c>
      <c r="C102" s="5" t="s">
        <v>201</v>
      </c>
      <c r="D102" s="31">
        <v>8000</v>
      </c>
      <c r="E102" s="7">
        <f>SUM(D102*58)</f>
        <v>464000</v>
      </c>
      <c r="F102" s="8" t="s">
        <v>185</v>
      </c>
      <c r="G102" s="11" t="s">
        <v>197</v>
      </c>
    </row>
    <row r="103" spans="1:7">
      <c r="A103" s="12">
        <v>73</v>
      </c>
      <c r="B103" s="8" t="s">
        <v>187</v>
      </c>
      <c r="C103" s="5" t="s">
        <v>14</v>
      </c>
      <c r="D103" s="46">
        <v>33000</v>
      </c>
      <c r="E103" s="3">
        <v>33000</v>
      </c>
      <c r="F103" s="8" t="s">
        <v>188</v>
      </c>
      <c r="G103" s="11" t="s">
        <v>197</v>
      </c>
    </row>
    <row r="104" spans="1:7">
      <c r="A104" s="12">
        <v>74</v>
      </c>
      <c r="B104" s="47" t="s">
        <v>190</v>
      </c>
      <c r="C104" s="6" t="s">
        <v>14</v>
      </c>
      <c r="D104" s="48">
        <v>5296.5</v>
      </c>
      <c r="E104" s="3">
        <v>5296.5</v>
      </c>
      <c r="F104" s="47" t="s">
        <v>189</v>
      </c>
      <c r="G104" s="11" t="s">
        <v>197</v>
      </c>
    </row>
    <row r="105" spans="1:7">
      <c r="A105" s="12">
        <v>75</v>
      </c>
      <c r="B105" s="8" t="s">
        <v>183</v>
      </c>
      <c r="C105" s="5" t="s">
        <v>202</v>
      </c>
      <c r="D105" s="31">
        <v>12200</v>
      </c>
      <c r="E105" s="7">
        <f>SUM(D105*7)</f>
        <v>85400</v>
      </c>
      <c r="F105" s="8" t="s">
        <v>191</v>
      </c>
      <c r="G105" s="11" t="s">
        <v>197</v>
      </c>
    </row>
    <row r="106" spans="1:7">
      <c r="A106" s="12">
        <v>76</v>
      </c>
      <c r="B106" s="8" t="s">
        <v>183</v>
      </c>
      <c r="C106" s="5" t="s">
        <v>158</v>
      </c>
      <c r="D106" s="31">
        <v>12200</v>
      </c>
      <c r="E106" s="7">
        <f>SUM(D106*6)</f>
        <v>73200</v>
      </c>
      <c r="F106" s="8" t="s">
        <v>192</v>
      </c>
      <c r="G106" s="11" t="s">
        <v>197</v>
      </c>
    </row>
    <row r="107" spans="1:7">
      <c r="A107" s="12">
        <v>77</v>
      </c>
      <c r="B107" s="8" t="s">
        <v>193</v>
      </c>
      <c r="C107" s="5" t="s">
        <v>14</v>
      </c>
      <c r="D107" s="46">
        <v>24000</v>
      </c>
      <c r="E107" s="28">
        <v>24000</v>
      </c>
      <c r="F107" s="8" t="s">
        <v>194</v>
      </c>
      <c r="G107" s="11" t="s">
        <v>197</v>
      </c>
    </row>
    <row r="108" spans="1:7">
      <c r="A108" s="12">
        <v>78</v>
      </c>
      <c r="B108" s="8" t="s">
        <v>195</v>
      </c>
      <c r="C108" s="5" t="s">
        <v>14</v>
      </c>
      <c r="D108" s="10">
        <v>17000</v>
      </c>
      <c r="E108" s="21">
        <f>SUM(D108*15)</f>
        <v>255000</v>
      </c>
      <c r="F108" s="8" t="s">
        <v>196</v>
      </c>
      <c r="G108" s="11" t="s">
        <v>197</v>
      </c>
    </row>
    <row r="109" spans="1:7">
      <c r="A109" s="12">
        <v>79</v>
      </c>
      <c r="B109" s="16" t="s">
        <v>206</v>
      </c>
      <c r="C109" s="34" t="s">
        <v>14</v>
      </c>
      <c r="D109" s="7">
        <v>29000</v>
      </c>
      <c r="E109" s="3">
        <v>29000</v>
      </c>
      <c r="F109" s="17" t="s">
        <v>207</v>
      </c>
      <c r="G109" s="11" t="s">
        <v>270</v>
      </c>
    </row>
    <row r="110" spans="1:7">
      <c r="A110" s="12">
        <v>80</v>
      </c>
      <c r="B110" s="8" t="s">
        <v>195</v>
      </c>
      <c r="C110" s="34" t="s">
        <v>14</v>
      </c>
      <c r="D110" s="7">
        <v>17000</v>
      </c>
      <c r="E110" s="21">
        <v>17000</v>
      </c>
      <c r="F110" s="9" t="s">
        <v>208</v>
      </c>
      <c r="G110" s="11" t="s">
        <v>270</v>
      </c>
    </row>
    <row r="111" spans="1:7">
      <c r="A111" s="12"/>
      <c r="B111" s="44" t="s">
        <v>17</v>
      </c>
      <c r="C111" s="12"/>
      <c r="D111" s="16"/>
      <c r="E111" s="41">
        <f>SUM(E83:E110)</f>
        <v>12616168.800000001</v>
      </c>
      <c r="F111" s="16"/>
    </row>
    <row r="113" spans="1:7">
      <c r="C113" s="15" t="s">
        <v>7</v>
      </c>
      <c r="D113" s="69" t="s">
        <v>8</v>
      </c>
      <c r="E113" s="69"/>
      <c r="F113" s="11" t="s">
        <v>9</v>
      </c>
    </row>
    <row r="114" spans="1:7">
      <c r="B114" s="11" t="s">
        <v>15</v>
      </c>
      <c r="D114" s="69" t="s">
        <v>19</v>
      </c>
      <c r="E114" s="69"/>
    </row>
    <row r="115" spans="1:7">
      <c r="C115" s="15" t="s">
        <v>7</v>
      </c>
      <c r="D115" s="69" t="s">
        <v>8</v>
      </c>
      <c r="E115" s="69"/>
      <c r="F115" s="11" t="s">
        <v>10</v>
      </c>
    </row>
    <row r="116" spans="1:7">
      <c r="D116" s="69" t="s">
        <v>20</v>
      </c>
      <c r="E116" s="69"/>
    </row>
    <row r="117" spans="1:7">
      <c r="C117" s="15" t="s">
        <v>7</v>
      </c>
      <c r="D117" s="69" t="s">
        <v>8</v>
      </c>
      <c r="E117" s="69"/>
      <c r="F117" s="11" t="s">
        <v>11</v>
      </c>
    </row>
    <row r="118" spans="1:7">
      <c r="D118" s="69" t="s">
        <v>21</v>
      </c>
      <c r="E118" s="69"/>
    </row>
    <row r="119" spans="1:7">
      <c r="A119" s="64" t="s">
        <v>0</v>
      </c>
      <c r="B119" s="64"/>
      <c r="C119" s="64"/>
      <c r="D119" s="64"/>
      <c r="E119" s="64"/>
      <c r="F119" s="64"/>
    </row>
    <row r="120" spans="1:7">
      <c r="A120" s="65" t="s">
        <v>18</v>
      </c>
      <c r="B120" s="65"/>
      <c r="C120" s="65"/>
      <c r="D120" s="65"/>
      <c r="E120" s="65"/>
      <c r="F120" s="65"/>
    </row>
    <row r="121" spans="1:7">
      <c r="A121" s="66" t="s">
        <v>6</v>
      </c>
      <c r="B121" s="67" t="s">
        <v>1</v>
      </c>
      <c r="C121" s="68" t="s">
        <v>2</v>
      </c>
      <c r="D121" s="68"/>
      <c r="E121" s="68"/>
      <c r="F121" s="67" t="s">
        <v>5</v>
      </c>
    </row>
    <row r="122" spans="1:7">
      <c r="A122" s="67"/>
      <c r="B122" s="67"/>
      <c r="C122" s="13" t="s">
        <v>3</v>
      </c>
      <c r="D122" s="14" t="s">
        <v>13</v>
      </c>
      <c r="E122" s="51" t="s">
        <v>4</v>
      </c>
      <c r="F122" s="67"/>
    </row>
    <row r="123" spans="1:7">
      <c r="A123" s="12"/>
      <c r="B123" s="45" t="s">
        <v>16</v>
      </c>
      <c r="C123" s="1"/>
      <c r="D123" s="2"/>
      <c r="E123" s="41">
        <f>SUM(E111)</f>
        <v>12616168.800000001</v>
      </c>
      <c r="F123" s="16"/>
    </row>
    <row r="124" spans="1:7">
      <c r="A124" s="12">
        <v>81</v>
      </c>
      <c r="B124" s="33" t="s">
        <v>209</v>
      </c>
      <c r="C124" s="34" t="s">
        <v>89</v>
      </c>
      <c r="D124" s="35">
        <v>900</v>
      </c>
      <c r="E124" s="28">
        <v>900</v>
      </c>
      <c r="F124" s="9" t="s">
        <v>210</v>
      </c>
      <c r="G124" s="11" t="s">
        <v>221</v>
      </c>
    </row>
    <row r="125" spans="1:7">
      <c r="A125" s="12">
        <v>82</v>
      </c>
      <c r="B125" s="33" t="s">
        <v>211</v>
      </c>
      <c r="C125" s="34" t="s">
        <v>14</v>
      </c>
      <c r="D125" s="35">
        <v>1200</v>
      </c>
      <c r="E125" s="21">
        <v>1200</v>
      </c>
      <c r="F125" s="9" t="s">
        <v>212</v>
      </c>
      <c r="G125" s="11" t="s">
        <v>221</v>
      </c>
    </row>
    <row r="126" spans="1:7">
      <c r="A126" s="12">
        <v>83</v>
      </c>
      <c r="B126" s="33" t="s">
        <v>213</v>
      </c>
      <c r="C126" s="34" t="s">
        <v>89</v>
      </c>
      <c r="D126" s="35">
        <v>2900</v>
      </c>
      <c r="E126" s="7">
        <v>2900</v>
      </c>
      <c r="F126" s="9" t="s">
        <v>214</v>
      </c>
      <c r="G126" s="11" t="s">
        <v>221</v>
      </c>
    </row>
    <row r="127" spans="1:7">
      <c r="A127" s="12">
        <v>84</v>
      </c>
      <c r="B127" s="33" t="s">
        <v>215</v>
      </c>
      <c r="C127" s="34" t="s">
        <v>85</v>
      </c>
      <c r="D127" s="35">
        <v>1200</v>
      </c>
      <c r="E127" s="7">
        <v>1200</v>
      </c>
      <c r="F127" s="9" t="s">
        <v>216</v>
      </c>
      <c r="G127" s="11" t="s">
        <v>221</v>
      </c>
    </row>
    <row r="128" spans="1:7">
      <c r="A128" s="12">
        <v>85</v>
      </c>
      <c r="B128" s="8" t="s">
        <v>219</v>
      </c>
      <c r="C128" s="34" t="s">
        <v>14</v>
      </c>
      <c r="D128" s="7">
        <v>5900</v>
      </c>
      <c r="E128" s="7">
        <v>5900</v>
      </c>
      <c r="F128" s="9" t="s">
        <v>220</v>
      </c>
      <c r="G128" s="11" t="s">
        <v>221</v>
      </c>
    </row>
    <row r="129" spans="1:7">
      <c r="A129" s="12">
        <v>86</v>
      </c>
      <c r="B129" s="8" t="s">
        <v>205</v>
      </c>
      <c r="C129" s="34" t="s">
        <v>14</v>
      </c>
      <c r="D129" s="7">
        <v>5350</v>
      </c>
      <c r="E129" s="3">
        <v>5350</v>
      </c>
      <c r="F129" s="9" t="s">
        <v>217</v>
      </c>
      <c r="G129" s="11" t="s">
        <v>221</v>
      </c>
    </row>
    <row r="130" spans="1:7">
      <c r="A130" s="12">
        <v>87</v>
      </c>
      <c r="B130" s="8" t="s">
        <v>195</v>
      </c>
      <c r="C130" s="34" t="s">
        <v>14</v>
      </c>
      <c r="D130" s="7">
        <v>17000</v>
      </c>
      <c r="E130" s="3">
        <v>17000</v>
      </c>
      <c r="F130" s="9" t="s">
        <v>218</v>
      </c>
      <c r="G130" s="11" t="s">
        <v>221</v>
      </c>
    </row>
    <row r="131" spans="1:7" ht="23.25" customHeight="1">
      <c r="A131" s="12">
        <v>88</v>
      </c>
      <c r="B131" s="9" t="s">
        <v>223</v>
      </c>
      <c r="C131" s="5" t="s">
        <v>85</v>
      </c>
      <c r="D131" s="3">
        <v>1980</v>
      </c>
      <c r="E131" s="7">
        <v>1980</v>
      </c>
      <c r="F131" s="9" t="s">
        <v>222</v>
      </c>
      <c r="G131" s="11" t="s">
        <v>232</v>
      </c>
    </row>
    <row r="132" spans="1:7">
      <c r="A132" s="12">
        <v>89</v>
      </c>
      <c r="B132" s="9" t="s">
        <v>225</v>
      </c>
      <c r="C132" s="5" t="s">
        <v>14</v>
      </c>
      <c r="D132" s="3">
        <v>5880</v>
      </c>
      <c r="E132" s="7">
        <v>5880</v>
      </c>
      <c r="F132" s="9" t="s">
        <v>224</v>
      </c>
      <c r="G132" s="11" t="s">
        <v>232</v>
      </c>
    </row>
    <row r="133" spans="1:7">
      <c r="A133" s="12">
        <v>90</v>
      </c>
      <c r="B133" s="9" t="s">
        <v>227</v>
      </c>
      <c r="C133" s="5" t="s">
        <v>85</v>
      </c>
      <c r="D133" s="3">
        <v>7700</v>
      </c>
      <c r="E133" s="7">
        <v>7700</v>
      </c>
      <c r="F133" s="9" t="s">
        <v>226</v>
      </c>
      <c r="G133" s="11" t="s">
        <v>232</v>
      </c>
    </row>
    <row r="134" spans="1:7">
      <c r="A134" s="12">
        <v>91</v>
      </c>
      <c r="B134" s="9" t="s">
        <v>229</v>
      </c>
      <c r="C134" s="5" t="s">
        <v>86</v>
      </c>
      <c r="D134" s="10">
        <v>19320</v>
      </c>
      <c r="E134" s="7">
        <f>SUM(D134*2)</f>
        <v>38640</v>
      </c>
      <c r="F134" s="9" t="s">
        <v>228</v>
      </c>
      <c r="G134" s="11" t="s">
        <v>232</v>
      </c>
    </row>
    <row r="135" spans="1:7">
      <c r="A135" s="12">
        <v>92</v>
      </c>
      <c r="B135" s="36" t="s">
        <v>269</v>
      </c>
      <c r="C135" s="5" t="s">
        <v>233</v>
      </c>
      <c r="D135" s="3">
        <v>31000</v>
      </c>
      <c r="E135" s="7">
        <f>SUM(D135*2)</f>
        <v>62000</v>
      </c>
      <c r="F135" s="9" t="s">
        <v>230</v>
      </c>
      <c r="G135" s="11" t="s">
        <v>232</v>
      </c>
    </row>
    <row r="136" spans="1:7">
      <c r="A136" s="12">
        <v>93</v>
      </c>
      <c r="B136" s="57" t="s">
        <v>231</v>
      </c>
      <c r="C136" s="12" t="s">
        <v>85</v>
      </c>
      <c r="D136" s="3">
        <v>10500</v>
      </c>
      <c r="E136" s="7">
        <v>10500</v>
      </c>
      <c r="F136" s="16" t="s">
        <v>74</v>
      </c>
      <c r="G136" s="11" t="s">
        <v>232</v>
      </c>
    </row>
    <row r="137" spans="1:7">
      <c r="A137" s="12">
        <v>94</v>
      </c>
      <c r="B137" s="58" t="s">
        <v>235</v>
      </c>
      <c r="C137" s="59" t="s">
        <v>233</v>
      </c>
      <c r="D137" s="60">
        <v>2200</v>
      </c>
      <c r="E137" s="7">
        <v>4400</v>
      </c>
      <c r="F137" s="58" t="s">
        <v>234</v>
      </c>
      <c r="G137" s="11" t="s">
        <v>244</v>
      </c>
    </row>
    <row r="138" spans="1:7">
      <c r="A138" s="12">
        <v>95</v>
      </c>
      <c r="B138" s="61" t="s">
        <v>237</v>
      </c>
      <c r="C138" s="34" t="s">
        <v>92</v>
      </c>
      <c r="D138" s="35">
        <v>2250</v>
      </c>
      <c r="E138" s="7">
        <v>2250</v>
      </c>
      <c r="F138" s="61" t="s">
        <v>236</v>
      </c>
      <c r="G138" s="11" t="s">
        <v>244</v>
      </c>
    </row>
    <row r="139" spans="1:7">
      <c r="A139" s="12">
        <v>96</v>
      </c>
      <c r="B139" s="61" t="s">
        <v>235</v>
      </c>
      <c r="C139" s="34" t="s">
        <v>92</v>
      </c>
      <c r="D139" s="35">
        <v>2600</v>
      </c>
      <c r="E139" s="7">
        <v>2600</v>
      </c>
      <c r="F139" s="61" t="s">
        <v>238</v>
      </c>
      <c r="G139" s="11" t="s">
        <v>244</v>
      </c>
    </row>
    <row r="140" spans="1:7">
      <c r="A140" s="12">
        <v>97</v>
      </c>
      <c r="B140" s="62" t="s">
        <v>240</v>
      </c>
      <c r="C140" s="59" t="s">
        <v>241</v>
      </c>
      <c r="D140" s="60">
        <v>3200</v>
      </c>
      <c r="E140" s="7">
        <f>SUM(D140*3)</f>
        <v>9600</v>
      </c>
      <c r="F140" s="63" t="s">
        <v>239</v>
      </c>
      <c r="G140" s="11" t="s">
        <v>244</v>
      </c>
    </row>
    <row r="141" spans="1:7">
      <c r="A141" s="12">
        <v>98</v>
      </c>
      <c r="B141" s="36" t="s">
        <v>242</v>
      </c>
      <c r="C141" s="34" t="s">
        <v>14</v>
      </c>
      <c r="D141" s="7">
        <v>45000</v>
      </c>
      <c r="E141" s="7">
        <v>45000</v>
      </c>
      <c r="F141" s="9" t="s">
        <v>243</v>
      </c>
      <c r="G141" s="11" t="s">
        <v>245</v>
      </c>
    </row>
    <row r="142" spans="1:7">
      <c r="A142" s="12">
        <v>99</v>
      </c>
      <c r="B142" s="8" t="s">
        <v>247</v>
      </c>
      <c r="C142" s="37" t="s">
        <v>92</v>
      </c>
      <c r="D142" s="7">
        <v>3000</v>
      </c>
      <c r="E142" s="7">
        <v>3000</v>
      </c>
      <c r="F142" s="9" t="s">
        <v>248</v>
      </c>
      <c r="G142" s="11" t="s">
        <v>251</v>
      </c>
    </row>
    <row r="143" spans="1:7">
      <c r="A143" s="12">
        <v>100</v>
      </c>
      <c r="B143" s="8" t="s">
        <v>249</v>
      </c>
      <c r="C143" s="34" t="s">
        <v>92</v>
      </c>
      <c r="D143" s="7">
        <v>3500</v>
      </c>
      <c r="E143" s="3">
        <v>3500</v>
      </c>
      <c r="F143" s="9" t="s">
        <v>250</v>
      </c>
      <c r="G143" s="11" t="s">
        <v>251</v>
      </c>
    </row>
    <row r="144" spans="1:7">
      <c r="A144" s="12">
        <v>101</v>
      </c>
      <c r="B144" s="8" t="s">
        <v>253</v>
      </c>
      <c r="C144" s="37" t="s">
        <v>89</v>
      </c>
      <c r="D144" s="38">
        <v>31559.65</v>
      </c>
      <c r="E144" s="4">
        <v>31559.65</v>
      </c>
      <c r="F144" s="9" t="s">
        <v>254</v>
      </c>
      <c r="G144" s="11" t="s">
        <v>255</v>
      </c>
    </row>
    <row r="145" spans="1:7">
      <c r="A145" s="12">
        <v>102</v>
      </c>
      <c r="B145" s="8" t="s">
        <v>256</v>
      </c>
      <c r="C145" s="34" t="s">
        <v>252</v>
      </c>
      <c r="D145" s="7">
        <v>3500</v>
      </c>
      <c r="E145" s="7">
        <v>7000</v>
      </c>
      <c r="F145" s="9" t="s">
        <v>257</v>
      </c>
      <c r="G145" s="11" t="s">
        <v>260</v>
      </c>
    </row>
    <row r="146" spans="1:7">
      <c r="A146" s="12">
        <v>103</v>
      </c>
      <c r="B146" s="8" t="s">
        <v>258</v>
      </c>
      <c r="C146" s="34" t="s">
        <v>14</v>
      </c>
      <c r="D146" s="32">
        <v>28900</v>
      </c>
      <c r="E146" s="7">
        <v>28900</v>
      </c>
      <c r="F146" s="9" t="s">
        <v>259</v>
      </c>
      <c r="G146" s="11" t="s">
        <v>260</v>
      </c>
    </row>
    <row r="147" spans="1:7">
      <c r="A147" s="12">
        <v>104</v>
      </c>
      <c r="B147" s="8" t="s">
        <v>235</v>
      </c>
      <c r="C147" s="34" t="s">
        <v>92</v>
      </c>
      <c r="D147" s="38">
        <v>3100</v>
      </c>
      <c r="E147" s="3">
        <v>3100</v>
      </c>
      <c r="F147" s="9" t="s">
        <v>261</v>
      </c>
      <c r="G147" s="11" t="s">
        <v>262</v>
      </c>
    </row>
    <row r="148" spans="1:7">
      <c r="A148" s="12">
        <v>105</v>
      </c>
      <c r="B148" s="36" t="s">
        <v>263</v>
      </c>
      <c r="C148" s="34" t="s">
        <v>14</v>
      </c>
      <c r="D148" s="7">
        <v>3700</v>
      </c>
      <c r="E148" s="7">
        <v>3700</v>
      </c>
      <c r="F148" s="33" t="s">
        <v>264</v>
      </c>
      <c r="G148" s="11" t="s">
        <v>268</v>
      </c>
    </row>
    <row r="149" spans="1:7">
      <c r="A149" s="12">
        <v>106</v>
      </c>
      <c r="B149" s="36" t="s">
        <v>265</v>
      </c>
      <c r="C149" s="34" t="s">
        <v>203</v>
      </c>
      <c r="D149" s="7">
        <v>4238.5200000000004</v>
      </c>
      <c r="E149" s="3">
        <f>SUM(D149*15)</f>
        <v>63577.8</v>
      </c>
      <c r="F149" s="33" t="s">
        <v>266</v>
      </c>
      <c r="G149" s="11" t="s">
        <v>268</v>
      </c>
    </row>
    <row r="150" spans="1:7">
      <c r="A150" s="12">
        <v>107</v>
      </c>
      <c r="B150" s="36" t="s">
        <v>246</v>
      </c>
      <c r="C150" s="34" t="s">
        <v>14</v>
      </c>
      <c r="D150" s="7">
        <v>10140</v>
      </c>
      <c r="E150" s="3">
        <v>10140</v>
      </c>
      <c r="F150" s="33" t="s">
        <v>267</v>
      </c>
      <c r="G150" s="11" t="s">
        <v>268</v>
      </c>
    </row>
    <row r="151" spans="1:7">
      <c r="A151" s="12"/>
      <c r="B151" s="44" t="s">
        <v>12</v>
      </c>
      <c r="C151" s="12"/>
      <c r="D151" s="16"/>
      <c r="E151" s="41">
        <f>SUM(E123:E150)</f>
        <v>12995646.250000002</v>
      </c>
      <c r="F151" s="16"/>
    </row>
    <row r="153" spans="1:7">
      <c r="C153" s="15" t="s">
        <v>7</v>
      </c>
      <c r="D153" s="69" t="s">
        <v>8</v>
      </c>
      <c r="E153" s="69"/>
      <c r="F153" s="11" t="s">
        <v>9</v>
      </c>
    </row>
    <row r="154" spans="1:7">
      <c r="B154" s="11" t="s">
        <v>15</v>
      </c>
      <c r="D154" s="69" t="s">
        <v>19</v>
      </c>
      <c r="E154" s="69"/>
    </row>
    <row r="155" spans="1:7">
      <c r="C155" s="15" t="s">
        <v>7</v>
      </c>
      <c r="D155" s="69" t="s">
        <v>8</v>
      </c>
      <c r="E155" s="69"/>
      <c r="F155" s="11" t="s">
        <v>10</v>
      </c>
    </row>
    <row r="156" spans="1:7">
      <c r="D156" s="69" t="s">
        <v>20</v>
      </c>
      <c r="E156" s="69"/>
    </row>
    <row r="157" spans="1:7">
      <c r="C157" s="15" t="s">
        <v>7</v>
      </c>
      <c r="D157" s="69" t="s">
        <v>8</v>
      </c>
      <c r="E157" s="69"/>
      <c r="F157" s="11" t="s">
        <v>11</v>
      </c>
    </row>
    <row r="158" spans="1:7">
      <c r="D158" s="69" t="s">
        <v>21</v>
      </c>
      <c r="E158" s="69"/>
    </row>
  </sheetData>
  <mergeCells count="48">
    <mergeCell ref="D78:E78"/>
    <mergeCell ref="A79:F79"/>
    <mergeCell ref="A80:F80"/>
    <mergeCell ref="A81:A82"/>
    <mergeCell ref="B81:B82"/>
    <mergeCell ref="C81:E81"/>
    <mergeCell ref="F81:F82"/>
    <mergeCell ref="D73:E73"/>
    <mergeCell ref="D74:E74"/>
    <mergeCell ref="D75:E75"/>
    <mergeCell ref="D76:E76"/>
    <mergeCell ref="D77:E77"/>
    <mergeCell ref="D158:E158"/>
    <mergeCell ref="D153:E153"/>
    <mergeCell ref="D154:E154"/>
    <mergeCell ref="D155:E155"/>
    <mergeCell ref="D156:E156"/>
    <mergeCell ref="D157:E157"/>
    <mergeCell ref="D118:E118"/>
    <mergeCell ref="D113:E113"/>
    <mergeCell ref="D114:E114"/>
    <mergeCell ref="D115:E115"/>
    <mergeCell ref="D116:E116"/>
    <mergeCell ref="D117:E117"/>
    <mergeCell ref="A40:F40"/>
    <mergeCell ref="A41:F41"/>
    <mergeCell ref="A42:A43"/>
    <mergeCell ref="B42:B43"/>
    <mergeCell ref="C42:E42"/>
    <mergeCell ref="F42:F43"/>
    <mergeCell ref="D39:E39"/>
    <mergeCell ref="A1:F1"/>
    <mergeCell ref="A2:F2"/>
    <mergeCell ref="A3:A4"/>
    <mergeCell ref="B3:B4"/>
    <mergeCell ref="C3:E3"/>
    <mergeCell ref="F3:F4"/>
    <mergeCell ref="D34:E34"/>
    <mergeCell ref="D35:E35"/>
    <mergeCell ref="D36:E36"/>
    <mergeCell ref="D37:E37"/>
    <mergeCell ref="D38:E38"/>
    <mergeCell ref="A119:F119"/>
    <mergeCell ref="A120:F120"/>
    <mergeCell ref="A121:A122"/>
    <mergeCell ref="B121:B122"/>
    <mergeCell ref="C121:E121"/>
    <mergeCell ref="F121:F122"/>
  </mergeCells>
  <phoneticPr fontId="4" type="noConversion"/>
  <printOptions horizontalCentered="1"/>
  <pageMargins left="0.19685039370078741" right="0.19685039370078741" top="0.59055118110236227" bottom="0.19685039370078741" header="0" footer="0"/>
  <pageSetup paperSize="9" scale="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11873-1C7E-4D72-8F4C-230D32918030}">
  <sheetPr>
    <tabColor rgb="FFFFFF00"/>
  </sheetPr>
  <dimension ref="A1:G158"/>
  <sheetViews>
    <sheetView topLeftCell="A126" zoomScaleNormal="100" workbookViewId="0">
      <selection activeCell="J118" sqref="J118"/>
    </sheetView>
  </sheetViews>
  <sheetFormatPr defaultRowHeight="24"/>
  <cols>
    <col min="1" max="1" width="6" style="15" customWidth="1"/>
    <col min="2" max="2" width="44.28515625" style="11" customWidth="1"/>
    <col min="3" max="3" width="10.42578125" style="15" customWidth="1"/>
    <col min="4" max="4" width="12.7109375" style="11" customWidth="1"/>
    <col min="5" max="5" width="16.42578125" style="56" customWidth="1"/>
    <col min="6" max="6" width="28.85546875" style="11" customWidth="1"/>
    <col min="7" max="7" width="11.28515625" style="11" customWidth="1"/>
    <col min="8" max="16384" width="9.140625" style="11"/>
  </cols>
  <sheetData>
    <row r="1" spans="1:7">
      <c r="A1" s="64" t="s">
        <v>0</v>
      </c>
      <c r="B1" s="64"/>
      <c r="C1" s="64"/>
      <c r="D1" s="64"/>
      <c r="E1" s="64"/>
      <c r="F1" s="64"/>
    </row>
    <row r="2" spans="1:7">
      <c r="A2" s="65" t="s">
        <v>18</v>
      </c>
      <c r="B2" s="65"/>
      <c r="C2" s="65"/>
      <c r="D2" s="65"/>
      <c r="E2" s="65"/>
      <c r="F2" s="65"/>
    </row>
    <row r="3" spans="1:7">
      <c r="A3" s="66" t="s">
        <v>6</v>
      </c>
      <c r="B3" s="67" t="s">
        <v>1</v>
      </c>
      <c r="C3" s="68" t="s">
        <v>2</v>
      </c>
      <c r="D3" s="68"/>
      <c r="E3" s="68"/>
      <c r="F3" s="67" t="s">
        <v>5</v>
      </c>
    </row>
    <row r="4" spans="1:7" s="15" customFormat="1">
      <c r="A4" s="67"/>
      <c r="B4" s="67"/>
      <c r="C4" s="13" t="s">
        <v>3</v>
      </c>
      <c r="D4" s="14" t="s">
        <v>13</v>
      </c>
      <c r="E4" s="51" t="s">
        <v>4</v>
      </c>
      <c r="F4" s="67"/>
    </row>
    <row r="5" spans="1:7">
      <c r="A5" s="12">
        <v>1</v>
      </c>
      <c r="B5" s="52" t="s">
        <v>25</v>
      </c>
      <c r="C5" s="5" t="s">
        <v>14</v>
      </c>
      <c r="D5" s="7">
        <v>4000</v>
      </c>
      <c r="E5" s="7">
        <v>4000</v>
      </c>
      <c r="F5" s="19" t="s">
        <v>26</v>
      </c>
      <c r="G5" s="11" t="s">
        <v>81</v>
      </c>
    </row>
    <row r="6" spans="1:7">
      <c r="A6" s="12">
        <v>2</v>
      </c>
      <c r="B6" s="8" t="s">
        <v>23</v>
      </c>
      <c r="C6" s="5" t="s">
        <v>24</v>
      </c>
      <c r="D6" s="3">
        <v>3478</v>
      </c>
      <c r="E6" s="7">
        <v>10434</v>
      </c>
      <c r="F6" s="9" t="s">
        <v>22</v>
      </c>
      <c r="G6" s="11" t="s">
        <v>80</v>
      </c>
    </row>
    <row r="7" spans="1:7">
      <c r="A7" s="12">
        <v>3</v>
      </c>
      <c r="B7" s="8" t="s">
        <v>29</v>
      </c>
      <c r="C7" s="5" t="s">
        <v>33</v>
      </c>
      <c r="D7" s="3">
        <v>18500</v>
      </c>
      <c r="E7" s="7">
        <v>37000</v>
      </c>
      <c r="F7" s="39" t="s">
        <v>31</v>
      </c>
      <c r="G7" s="11" t="s">
        <v>80</v>
      </c>
    </row>
    <row r="8" spans="1:7">
      <c r="A8" s="12">
        <v>4</v>
      </c>
      <c r="B8" s="9" t="s">
        <v>30</v>
      </c>
      <c r="C8" s="5" t="s">
        <v>14</v>
      </c>
      <c r="D8" s="3">
        <v>24000</v>
      </c>
      <c r="E8" s="7">
        <v>24000</v>
      </c>
      <c r="F8" s="9" t="s">
        <v>32</v>
      </c>
      <c r="G8" s="11" t="s">
        <v>80</v>
      </c>
    </row>
    <row r="9" spans="1:7">
      <c r="A9" s="12">
        <v>5</v>
      </c>
      <c r="B9" s="9" t="s">
        <v>34</v>
      </c>
      <c r="C9" s="6" t="s">
        <v>27</v>
      </c>
      <c r="D9" s="3">
        <v>96000</v>
      </c>
      <c r="E9" s="3">
        <v>96000</v>
      </c>
      <c r="F9" s="9" t="s">
        <v>35</v>
      </c>
      <c r="G9" s="11" t="s">
        <v>80</v>
      </c>
    </row>
    <row r="10" spans="1:7">
      <c r="A10" s="12">
        <v>6</v>
      </c>
      <c r="B10" s="9" t="s">
        <v>36</v>
      </c>
      <c r="C10" s="5" t="s">
        <v>27</v>
      </c>
      <c r="D10" s="3">
        <v>39000</v>
      </c>
      <c r="E10" s="7">
        <v>39000</v>
      </c>
      <c r="F10" s="9" t="s">
        <v>37</v>
      </c>
      <c r="G10" s="11" t="s">
        <v>80</v>
      </c>
    </row>
    <row r="11" spans="1:7">
      <c r="A11" s="12">
        <v>7</v>
      </c>
      <c r="B11" s="8" t="s">
        <v>38</v>
      </c>
      <c r="C11" s="5" t="s">
        <v>83</v>
      </c>
      <c r="D11" s="3">
        <v>41800</v>
      </c>
      <c r="E11" s="7">
        <v>41800</v>
      </c>
      <c r="F11" s="9" t="s">
        <v>44</v>
      </c>
      <c r="G11" s="11" t="s">
        <v>80</v>
      </c>
    </row>
    <row r="12" spans="1:7">
      <c r="A12" s="12">
        <v>8</v>
      </c>
      <c r="B12" s="8" t="s">
        <v>39</v>
      </c>
      <c r="C12" s="37" t="s">
        <v>83</v>
      </c>
      <c r="D12" s="3">
        <v>95000</v>
      </c>
      <c r="E12" s="7">
        <v>95000</v>
      </c>
      <c r="F12" s="9" t="s">
        <v>45</v>
      </c>
      <c r="G12" s="11" t="s">
        <v>80</v>
      </c>
    </row>
    <row r="13" spans="1:7">
      <c r="A13" s="12">
        <v>9</v>
      </c>
      <c r="B13" s="8" t="s">
        <v>40</v>
      </c>
      <c r="C13" s="37" t="s">
        <v>83</v>
      </c>
      <c r="D13" s="3">
        <v>43800</v>
      </c>
      <c r="E13" s="7">
        <v>43800</v>
      </c>
      <c r="F13" s="9" t="s">
        <v>46</v>
      </c>
      <c r="G13" s="11" t="s">
        <v>80</v>
      </c>
    </row>
    <row r="14" spans="1:7">
      <c r="A14" s="12">
        <v>10</v>
      </c>
      <c r="B14" s="8" t="s">
        <v>41</v>
      </c>
      <c r="C14" s="37" t="s">
        <v>83</v>
      </c>
      <c r="D14" s="3">
        <v>14500</v>
      </c>
      <c r="E14" s="7">
        <v>14500</v>
      </c>
      <c r="F14" s="9" t="s">
        <v>47</v>
      </c>
      <c r="G14" s="11" t="s">
        <v>80</v>
      </c>
    </row>
    <row r="15" spans="1:7">
      <c r="A15" s="12">
        <v>11</v>
      </c>
      <c r="B15" s="8" t="s">
        <v>42</v>
      </c>
      <c r="C15" s="37" t="s">
        <v>83</v>
      </c>
      <c r="D15" s="3">
        <v>95000</v>
      </c>
      <c r="E15" s="7">
        <v>95000</v>
      </c>
      <c r="F15" s="9" t="s">
        <v>48</v>
      </c>
      <c r="G15" s="11" t="s">
        <v>80</v>
      </c>
    </row>
    <row r="16" spans="1:7">
      <c r="A16" s="12">
        <v>12</v>
      </c>
      <c r="B16" s="8" t="s">
        <v>43</v>
      </c>
      <c r="C16" s="37" t="s">
        <v>83</v>
      </c>
      <c r="D16" s="3">
        <v>43800</v>
      </c>
      <c r="E16" s="7">
        <v>43800</v>
      </c>
      <c r="F16" s="9" t="s">
        <v>49</v>
      </c>
      <c r="G16" s="11" t="s">
        <v>80</v>
      </c>
    </row>
    <row r="17" spans="1:7">
      <c r="A17" s="12">
        <v>13</v>
      </c>
      <c r="B17" s="8" t="s">
        <v>50</v>
      </c>
      <c r="C17" s="37" t="s">
        <v>83</v>
      </c>
      <c r="D17" s="3">
        <v>84000</v>
      </c>
      <c r="E17" s="7">
        <v>84000</v>
      </c>
      <c r="F17" s="9" t="s">
        <v>52</v>
      </c>
      <c r="G17" s="11" t="s">
        <v>80</v>
      </c>
    </row>
    <row r="18" spans="1:7">
      <c r="A18" s="12">
        <v>14</v>
      </c>
      <c r="B18" s="8" t="s">
        <v>51</v>
      </c>
      <c r="C18" s="37" t="s">
        <v>83</v>
      </c>
      <c r="D18" s="3">
        <v>84000</v>
      </c>
      <c r="E18" s="7">
        <v>84000</v>
      </c>
      <c r="F18" s="9" t="s">
        <v>53</v>
      </c>
      <c r="G18" s="11" t="s">
        <v>80</v>
      </c>
    </row>
    <row r="19" spans="1:7">
      <c r="A19" s="12">
        <v>15</v>
      </c>
      <c r="B19" s="8" t="s">
        <v>54</v>
      </c>
      <c r="C19" s="37" t="s">
        <v>83</v>
      </c>
      <c r="D19" s="3">
        <v>28500</v>
      </c>
      <c r="E19" s="7">
        <v>28500</v>
      </c>
      <c r="F19" s="9" t="s">
        <v>55</v>
      </c>
      <c r="G19" s="11" t="s">
        <v>80</v>
      </c>
    </row>
    <row r="20" spans="1:7">
      <c r="A20" s="12">
        <v>16</v>
      </c>
      <c r="B20" s="8" t="s">
        <v>56</v>
      </c>
      <c r="C20" s="5" t="s">
        <v>14</v>
      </c>
      <c r="D20" s="3">
        <v>12000</v>
      </c>
      <c r="E20" s="7">
        <v>12000</v>
      </c>
      <c r="F20" s="9" t="s">
        <v>58</v>
      </c>
      <c r="G20" s="11" t="s">
        <v>80</v>
      </c>
    </row>
    <row r="21" spans="1:7">
      <c r="A21" s="12">
        <v>17</v>
      </c>
      <c r="B21" s="8" t="s">
        <v>57</v>
      </c>
      <c r="C21" s="5" t="s">
        <v>24</v>
      </c>
      <c r="D21" s="3">
        <v>17800</v>
      </c>
      <c r="E21" s="7">
        <f>SUM(D21*3)</f>
        <v>53400</v>
      </c>
      <c r="F21" s="39" t="s">
        <v>59</v>
      </c>
      <c r="G21" s="11" t="s">
        <v>80</v>
      </c>
    </row>
    <row r="22" spans="1:7">
      <c r="A22" s="12">
        <v>18</v>
      </c>
      <c r="B22" s="8" t="s">
        <v>60</v>
      </c>
      <c r="C22" s="5" t="s">
        <v>24</v>
      </c>
      <c r="D22" s="3">
        <v>12800</v>
      </c>
      <c r="E22" s="7">
        <f>SUM(D22*3)</f>
        <v>38400</v>
      </c>
      <c r="F22" s="39" t="s">
        <v>62</v>
      </c>
      <c r="G22" s="11" t="s">
        <v>80</v>
      </c>
    </row>
    <row r="23" spans="1:7">
      <c r="A23" s="12">
        <v>19</v>
      </c>
      <c r="B23" s="8" t="s">
        <v>61</v>
      </c>
      <c r="C23" s="5" t="s">
        <v>84</v>
      </c>
      <c r="D23" s="3">
        <v>8400</v>
      </c>
      <c r="E23" s="7">
        <f>SUM(D23*5)</f>
        <v>42000</v>
      </c>
      <c r="F23" s="39" t="s">
        <v>63</v>
      </c>
      <c r="G23" s="11" t="s">
        <v>80</v>
      </c>
    </row>
    <row r="24" spans="1:7">
      <c r="A24" s="12">
        <v>20</v>
      </c>
      <c r="B24" s="8" t="s">
        <v>65</v>
      </c>
      <c r="C24" s="5" t="s">
        <v>84</v>
      </c>
      <c r="D24" s="3">
        <v>8400</v>
      </c>
      <c r="E24" s="7">
        <f>SUM(D24*5)</f>
        <v>42000</v>
      </c>
      <c r="F24" s="39" t="s">
        <v>64</v>
      </c>
      <c r="G24" s="11" t="s">
        <v>80</v>
      </c>
    </row>
    <row r="25" spans="1:7">
      <c r="A25" s="12">
        <v>21</v>
      </c>
      <c r="B25" s="8" t="s">
        <v>66</v>
      </c>
      <c r="C25" s="5" t="s">
        <v>14</v>
      </c>
      <c r="D25" s="3">
        <v>29700</v>
      </c>
      <c r="E25" s="7">
        <v>29700</v>
      </c>
      <c r="F25" s="9" t="s">
        <v>67</v>
      </c>
      <c r="G25" s="11" t="s">
        <v>80</v>
      </c>
    </row>
    <row r="26" spans="1:7">
      <c r="A26" s="12">
        <v>22</v>
      </c>
      <c r="B26" s="8" t="s">
        <v>69</v>
      </c>
      <c r="C26" s="5" t="s">
        <v>14</v>
      </c>
      <c r="D26" s="3">
        <v>45000</v>
      </c>
      <c r="E26" s="7">
        <v>45000</v>
      </c>
      <c r="F26" s="9" t="s">
        <v>71</v>
      </c>
      <c r="G26" s="11" t="s">
        <v>80</v>
      </c>
    </row>
    <row r="27" spans="1:7">
      <c r="A27" s="12">
        <v>23</v>
      </c>
      <c r="B27" s="8" t="s">
        <v>70</v>
      </c>
      <c r="C27" s="5" t="s">
        <v>85</v>
      </c>
      <c r="D27" s="3">
        <v>59100</v>
      </c>
      <c r="E27" s="7">
        <v>59100</v>
      </c>
      <c r="F27" s="9" t="s">
        <v>72</v>
      </c>
      <c r="G27" s="11" t="s">
        <v>80</v>
      </c>
    </row>
    <row r="28" spans="1:7">
      <c r="A28" s="12">
        <v>24</v>
      </c>
      <c r="B28" s="8" t="s">
        <v>73</v>
      </c>
      <c r="C28" s="5" t="s">
        <v>28</v>
      </c>
      <c r="D28" s="3">
        <v>16217.5</v>
      </c>
      <c r="E28" s="7">
        <f>SUM(D28*2)</f>
        <v>32435</v>
      </c>
      <c r="F28" s="16" t="s">
        <v>74</v>
      </c>
      <c r="G28" s="11" t="s">
        <v>80</v>
      </c>
    </row>
    <row r="29" spans="1:7">
      <c r="A29" s="12">
        <v>25</v>
      </c>
      <c r="B29" s="53" t="s">
        <v>29</v>
      </c>
      <c r="C29" s="5" t="s">
        <v>85</v>
      </c>
      <c r="D29" s="54">
        <v>18500</v>
      </c>
      <c r="E29" s="7">
        <v>18500</v>
      </c>
      <c r="F29" s="55" t="s">
        <v>75</v>
      </c>
      <c r="G29" s="11" t="s">
        <v>82</v>
      </c>
    </row>
    <row r="30" spans="1:7">
      <c r="A30" s="12">
        <v>26</v>
      </c>
      <c r="B30" s="52" t="s">
        <v>78</v>
      </c>
      <c r="C30" s="5" t="s">
        <v>86</v>
      </c>
      <c r="D30" s="3">
        <v>15000</v>
      </c>
      <c r="E30" s="7">
        <f>SUM(D30*2)</f>
        <v>30000</v>
      </c>
      <c r="F30" s="19" t="s">
        <v>76</v>
      </c>
      <c r="G30" s="11" t="s">
        <v>82</v>
      </c>
    </row>
    <row r="31" spans="1:7">
      <c r="A31" s="12">
        <v>27</v>
      </c>
      <c r="B31" s="52" t="s">
        <v>79</v>
      </c>
      <c r="C31" s="20" t="s">
        <v>14</v>
      </c>
      <c r="D31" s="3">
        <v>25000</v>
      </c>
      <c r="E31" s="7">
        <v>25000</v>
      </c>
      <c r="F31" s="19" t="s">
        <v>77</v>
      </c>
      <c r="G31" s="11" t="s">
        <v>82</v>
      </c>
    </row>
    <row r="32" spans="1:7">
      <c r="A32" s="12"/>
      <c r="B32" s="44" t="s">
        <v>17</v>
      </c>
      <c r="C32" s="12"/>
      <c r="D32" s="16"/>
      <c r="E32" s="41">
        <f>SUM(E5:E31)</f>
        <v>1168369</v>
      </c>
      <c r="F32" s="16"/>
    </row>
    <row r="34" spans="1:7">
      <c r="C34" s="15" t="s">
        <v>7</v>
      </c>
      <c r="D34" s="69" t="s">
        <v>8</v>
      </c>
      <c r="E34" s="69"/>
      <c r="F34" s="11" t="s">
        <v>9</v>
      </c>
    </row>
    <row r="35" spans="1:7">
      <c r="D35" s="69" t="s">
        <v>19</v>
      </c>
      <c r="E35" s="69"/>
    </row>
    <row r="36" spans="1:7" ht="33" customHeight="1">
      <c r="C36" s="15" t="s">
        <v>7</v>
      </c>
      <c r="D36" s="69" t="s">
        <v>8</v>
      </c>
      <c r="E36" s="69"/>
      <c r="F36" s="11" t="s">
        <v>10</v>
      </c>
    </row>
    <row r="37" spans="1:7">
      <c r="D37" s="69" t="s">
        <v>20</v>
      </c>
      <c r="E37" s="69"/>
    </row>
    <row r="38" spans="1:7" ht="33.75" customHeight="1">
      <c r="C38" s="15" t="s">
        <v>7</v>
      </c>
      <c r="D38" s="69" t="s">
        <v>8</v>
      </c>
      <c r="E38" s="69"/>
      <c r="F38" s="11" t="s">
        <v>11</v>
      </c>
    </row>
    <row r="39" spans="1:7">
      <c r="D39" s="69" t="s">
        <v>21</v>
      </c>
      <c r="E39" s="69"/>
    </row>
    <row r="40" spans="1:7">
      <c r="A40" s="64" t="s">
        <v>0</v>
      </c>
      <c r="B40" s="64"/>
      <c r="C40" s="64"/>
      <c r="D40" s="64"/>
      <c r="E40" s="64"/>
      <c r="F40" s="64"/>
    </row>
    <row r="41" spans="1:7">
      <c r="A41" s="65" t="s">
        <v>18</v>
      </c>
      <c r="B41" s="65"/>
      <c r="C41" s="65"/>
      <c r="D41" s="65"/>
      <c r="E41" s="65"/>
      <c r="F41" s="65"/>
    </row>
    <row r="42" spans="1:7">
      <c r="A42" s="66" t="s">
        <v>6</v>
      </c>
      <c r="B42" s="67" t="s">
        <v>1</v>
      </c>
      <c r="C42" s="68" t="s">
        <v>2</v>
      </c>
      <c r="D42" s="68"/>
      <c r="E42" s="68"/>
      <c r="F42" s="67" t="s">
        <v>5</v>
      </c>
    </row>
    <row r="43" spans="1:7">
      <c r="A43" s="67"/>
      <c r="B43" s="67"/>
      <c r="C43" s="13" t="s">
        <v>3</v>
      </c>
      <c r="D43" s="14" t="s">
        <v>13</v>
      </c>
      <c r="E43" s="51" t="s">
        <v>4</v>
      </c>
      <c r="F43" s="67"/>
    </row>
    <row r="44" spans="1:7">
      <c r="A44" s="12"/>
      <c r="B44" s="45" t="s">
        <v>16</v>
      </c>
      <c r="C44" s="1"/>
      <c r="D44" s="2"/>
      <c r="E44" s="41">
        <f>SUM(E32)</f>
        <v>1168369</v>
      </c>
      <c r="F44" s="16"/>
    </row>
    <row r="45" spans="1:7">
      <c r="A45" s="12">
        <v>28</v>
      </c>
      <c r="B45" s="8" t="s">
        <v>94</v>
      </c>
      <c r="C45" s="5" t="s">
        <v>90</v>
      </c>
      <c r="D45" s="7">
        <v>3271.03</v>
      </c>
      <c r="E45" s="7">
        <f>SUM(D45*10)</f>
        <v>32710.300000000003</v>
      </c>
      <c r="F45" s="39" t="s">
        <v>93</v>
      </c>
      <c r="G45" s="11" t="s">
        <v>135</v>
      </c>
    </row>
    <row r="46" spans="1:7">
      <c r="A46" s="12">
        <v>29</v>
      </c>
      <c r="B46" s="8" t="s">
        <v>96</v>
      </c>
      <c r="C46" s="5" t="s">
        <v>90</v>
      </c>
      <c r="D46" s="7">
        <v>4970</v>
      </c>
      <c r="E46" s="7">
        <f>SUM(D46*10)</f>
        <v>49700</v>
      </c>
      <c r="F46" s="50" t="s">
        <v>95</v>
      </c>
      <c r="G46" s="11" t="s">
        <v>135</v>
      </c>
    </row>
    <row r="47" spans="1:7">
      <c r="A47" s="12">
        <v>30</v>
      </c>
      <c r="B47" s="8" t="s">
        <v>97</v>
      </c>
      <c r="C47" s="5" t="s">
        <v>88</v>
      </c>
      <c r="D47" s="24">
        <v>1605</v>
      </c>
      <c r="E47" s="7">
        <f>SUM(D47*10)</f>
        <v>16050</v>
      </c>
      <c r="F47" s="49" t="s">
        <v>98</v>
      </c>
      <c r="G47" s="11" t="s">
        <v>135</v>
      </c>
    </row>
    <row r="48" spans="1:7">
      <c r="A48" s="12">
        <v>31</v>
      </c>
      <c r="B48" s="8" t="s">
        <v>99</v>
      </c>
      <c r="C48" s="5" t="s">
        <v>27</v>
      </c>
      <c r="D48" s="7">
        <v>499900</v>
      </c>
      <c r="E48" s="10">
        <v>499900</v>
      </c>
      <c r="F48" s="9" t="s">
        <v>101</v>
      </c>
      <c r="G48" s="11" t="s">
        <v>135</v>
      </c>
    </row>
    <row r="49" spans="1:7">
      <c r="A49" s="12">
        <v>32</v>
      </c>
      <c r="B49" s="8" t="s">
        <v>100</v>
      </c>
      <c r="C49" s="5" t="s">
        <v>159</v>
      </c>
      <c r="D49" s="7">
        <v>49972</v>
      </c>
      <c r="E49" s="10">
        <f>SUM(D49*7)</f>
        <v>349804</v>
      </c>
      <c r="F49" s="49" t="s">
        <v>102</v>
      </c>
      <c r="G49" s="11" t="s">
        <v>135</v>
      </c>
    </row>
    <row r="50" spans="1:7">
      <c r="A50" s="12">
        <v>33</v>
      </c>
      <c r="B50" s="8" t="s">
        <v>103</v>
      </c>
      <c r="C50" s="5" t="s">
        <v>90</v>
      </c>
      <c r="D50" s="7">
        <v>14970</v>
      </c>
      <c r="E50" s="10">
        <f>SUM(D50*10)</f>
        <v>149700</v>
      </c>
      <c r="F50" s="49" t="s">
        <v>104</v>
      </c>
      <c r="G50" s="11" t="s">
        <v>135</v>
      </c>
    </row>
    <row r="51" spans="1:7">
      <c r="A51" s="12">
        <v>34</v>
      </c>
      <c r="B51" s="8" t="s">
        <v>106</v>
      </c>
      <c r="C51" s="5" t="s">
        <v>87</v>
      </c>
      <c r="D51" s="7">
        <v>9950</v>
      </c>
      <c r="E51" s="10">
        <f>SUM(D51*6)</f>
        <v>59700</v>
      </c>
      <c r="F51" s="50" t="s">
        <v>105</v>
      </c>
      <c r="G51" s="11" t="s">
        <v>135</v>
      </c>
    </row>
    <row r="52" spans="1:7">
      <c r="A52" s="12">
        <v>35</v>
      </c>
      <c r="B52" s="18" t="s">
        <v>108</v>
      </c>
      <c r="C52" s="6" t="s">
        <v>27</v>
      </c>
      <c r="D52" s="22">
        <v>484700</v>
      </c>
      <c r="E52" s="3">
        <v>484700</v>
      </c>
      <c r="F52" s="25" t="s">
        <v>107</v>
      </c>
      <c r="G52" s="11" t="s">
        <v>135</v>
      </c>
    </row>
    <row r="53" spans="1:7">
      <c r="A53" s="12">
        <v>36</v>
      </c>
      <c r="B53" s="9" t="s">
        <v>109</v>
      </c>
      <c r="C53" s="5" t="s">
        <v>28</v>
      </c>
      <c r="D53" s="7">
        <v>17200</v>
      </c>
      <c r="E53" s="7">
        <f>SUM(D53*2)</f>
        <v>34400</v>
      </c>
      <c r="F53" s="49" t="s">
        <v>110</v>
      </c>
      <c r="G53" s="11" t="s">
        <v>135</v>
      </c>
    </row>
    <row r="54" spans="1:7">
      <c r="A54" s="12">
        <v>37</v>
      </c>
      <c r="B54" s="8" t="s">
        <v>111</v>
      </c>
      <c r="C54" s="5" t="s">
        <v>27</v>
      </c>
      <c r="D54" s="7">
        <v>925000</v>
      </c>
      <c r="E54" s="3">
        <v>925000</v>
      </c>
      <c r="F54" s="9" t="s">
        <v>113</v>
      </c>
      <c r="G54" s="11" t="s">
        <v>135</v>
      </c>
    </row>
    <row r="55" spans="1:7">
      <c r="A55" s="12">
        <v>38</v>
      </c>
      <c r="B55" s="8" t="s">
        <v>112</v>
      </c>
      <c r="C55" s="5" t="s">
        <v>27</v>
      </c>
      <c r="D55" s="7">
        <v>541900</v>
      </c>
      <c r="E55" s="3">
        <v>541900</v>
      </c>
      <c r="F55" s="9" t="s">
        <v>114</v>
      </c>
      <c r="G55" s="11" t="s">
        <v>135</v>
      </c>
    </row>
    <row r="56" spans="1:7">
      <c r="A56" s="12">
        <v>39</v>
      </c>
      <c r="B56" s="8" t="s">
        <v>115</v>
      </c>
      <c r="C56" s="5" t="s">
        <v>27</v>
      </c>
      <c r="D56" s="7">
        <v>179760</v>
      </c>
      <c r="E56" s="7">
        <v>179760</v>
      </c>
      <c r="F56" s="9" t="s">
        <v>116</v>
      </c>
      <c r="G56" s="11" t="s">
        <v>135</v>
      </c>
    </row>
    <row r="57" spans="1:7">
      <c r="A57" s="12">
        <v>40</v>
      </c>
      <c r="B57" s="8" t="s">
        <v>119</v>
      </c>
      <c r="C57" s="5" t="s">
        <v>27</v>
      </c>
      <c r="D57" s="7">
        <v>29700</v>
      </c>
      <c r="E57" s="7">
        <v>29700</v>
      </c>
      <c r="F57" s="23" t="s">
        <v>121</v>
      </c>
      <c r="G57" s="11" t="s">
        <v>135</v>
      </c>
    </row>
    <row r="58" spans="1:7">
      <c r="A58" s="12">
        <v>41</v>
      </c>
      <c r="B58" s="8" t="s">
        <v>120</v>
      </c>
      <c r="C58" s="5" t="s">
        <v>27</v>
      </c>
      <c r="D58" s="7">
        <v>115060</v>
      </c>
      <c r="E58" s="7">
        <v>115060</v>
      </c>
      <c r="F58" s="23" t="s">
        <v>122</v>
      </c>
      <c r="G58" s="11" t="s">
        <v>135</v>
      </c>
    </row>
    <row r="59" spans="1:7">
      <c r="A59" s="12">
        <v>42</v>
      </c>
      <c r="B59" s="26" t="s">
        <v>123</v>
      </c>
      <c r="C59" s="1" t="s">
        <v>27</v>
      </c>
      <c r="D59" s="27">
        <v>44990</v>
      </c>
      <c r="E59" s="7">
        <v>44900</v>
      </c>
      <c r="F59" s="23" t="s">
        <v>124</v>
      </c>
      <c r="G59" s="11" t="s">
        <v>135</v>
      </c>
    </row>
    <row r="60" spans="1:7">
      <c r="A60" s="12">
        <v>43</v>
      </c>
      <c r="B60" s="8" t="s">
        <v>117</v>
      </c>
      <c r="C60" s="5" t="s">
        <v>27</v>
      </c>
      <c r="D60" s="7">
        <v>200000</v>
      </c>
      <c r="E60" s="7">
        <v>200000</v>
      </c>
      <c r="F60" s="23" t="s">
        <v>118</v>
      </c>
      <c r="G60" s="11" t="s">
        <v>135</v>
      </c>
    </row>
    <row r="61" spans="1:7">
      <c r="A61" s="12">
        <v>44</v>
      </c>
      <c r="B61" s="8" t="s">
        <v>125</v>
      </c>
      <c r="C61" s="5" t="s">
        <v>27</v>
      </c>
      <c r="D61" s="7">
        <v>271500</v>
      </c>
      <c r="E61" s="7">
        <v>271500</v>
      </c>
      <c r="F61" s="9" t="s">
        <v>126</v>
      </c>
      <c r="G61" s="11" t="s">
        <v>135</v>
      </c>
    </row>
    <row r="62" spans="1:7">
      <c r="A62" s="12">
        <v>45</v>
      </c>
      <c r="B62" s="8" t="s">
        <v>131</v>
      </c>
      <c r="C62" s="5" t="s">
        <v>14</v>
      </c>
      <c r="D62" s="7">
        <v>42900</v>
      </c>
      <c r="E62" s="7">
        <v>42900</v>
      </c>
      <c r="F62" s="9" t="s">
        <v>132</v>
      </c>
      <c r="G62" s="11" t="s">
        <v>135</v>
      </c>
    </row>
    <row r="63" spans="1:7">
      <c r="A63" s="12">
        <v>46</v>
      </c>
      <c r="B63" s="8" t="s">
        <v>127</v>
      </c>
      <c r="C63" s="5" t="s">
        <v>27</v>
      </c>
      <c r="D63" s="7">
        <v>58300</v>
      </c>
      <c r="E63" s="7">
        <v>58300</v>
      </c>
      <c r="F63" s="9" t="s">
        <v>129</v>
      </c>
      <c r="G63" s="11" t="s">
        <v>135</v>
      </c>
    </row>
    <row r="64" spans="1:7">
      <c r="A64" s="12">
        <v>47</v>
      </c>
      <c r="B64" s="8" t="s">
        <v>128</v>
      </c>
      <c r="C64" s="5" t="s">
        <v>27</v>
      </c>
      <c r="D64" s="7">
        <v>46200</v>
      </c>
      <c r="E64" s="7">
        <v>46200</v>
      </c>
      <c r="F64" s="9" t="s">
        <v>130</v>
      </c>
      <c r="G64" s="11" t="s">
        <v>135</v>
      </c>
    </row>
    <row r="65" spans="1:7">
      <c r="A65" s="12">
        <v>48</v>
      </c>
      <c r="B65" s="8" t="s">
        <v>133</v>
      </c>
      <c r="C65" s="5" t="s">
        <v>27</v>
      </c>
      <c r="D65" s="7">
        <v>176550</v>
      </c>
      <c r="E65" s="7">
        <v>176550</v>
      </c>
      <c r="F65" s="9" t="s">
        <v>134</v>
      </c>
      <c r="G65" s="11" t="s">
        <v>135</v>
      </c>
    </row>
    <row r="66" spans="1:7">
      <c r="A66" s="12">
        <v>49</v>
      </c>
      <c r="B66" s="8" t="s">
        <v>136</v>
      </c>
      <c r="C66" s="29" t="s">
        <v>88</v>
      </c>
      <c r="D66" s="3">
        <v>3000</v>
      </c>
      <c r="E66" s="3">
        <f>SUM(D66*10)</f>
        <v>30000</v>
      </c>
      <c r="F66" s="50" t="s">
        <v>137</v>
      </c>
      <c r="G66" s="11" t="s">
        <v>148</v>
      </c>
    </row>
    <row r="67" spans="1:7">
      <c r="A67" s="12">
        <v>50</v>
      </c>
      <c r="B67" s="9" t="s">
        <v>139</v>
      </c>
      <c r="C67" s="29" t="s">
        <v>88</v>
      </c>
      <c r="D67" s="3">
        <v>3000</v>
      </c>
      <c r="E67" s="3">
        <f>SUM(D67*10)</f>
        <v>30000</v>
      </c>
      <c r="F67" s="50" t="s">
        <v>138</v>
      </c>
      <c r="G67" s="11" t="s">
        <v>148</v>
      </c>
    </row>
    <row r="68" spans="1:7">
      <c r="A68" s="12">
        <v>51</v>
      </c>
      <c r="B68" s="8" t="s">
        <v>141</v>
      </c>
      <c r="C68" s="29" t="s">
        <v>91</v>
      </c>
      <c r="D68" s="3">
        <v>4494</v>
      </c>
      <c r="E68" s="3">
        <f>SUM(D68*5)</f>
        <v>22470</v>
      </c>
      <c r="F68" s="50" t="s">
        <v>140</v>
      </c>
      <c r="G68" s="11" t="s">
        <v>148</v>
      </c>
    </row>
    <row r="69" spans="1:7">
      <c r="A69" s="12">
        <v>52</v>
      </c>
      <c r="B69" s="8" t="s">
        <v>143</v>
      </c>
      <c r="C69" s="29" t="s">
        <v>85</v>
      </c>
      <c r="D69" s="3">
        <v>2461</v>
      </c>
      <c r="E69" s="3">
        <v>2461</v>
      </c>
      <c r="F69" s="9" t="s">
        <v>142</v>
      </c>
      <c r="G69" s="11" t="s">
        <v>148</v>
      </c>
    </row>
    <row r="70" spans="1:7">
      <c r="A70" s="12">
        <v>53</v>
      </c>
      <c r="B70" s="8" t="s">
        <v>149</v>
      </c>
      <c r="C70" s="29" t="s">
        <v>27</v>
      </c>
      <c r="D70" s="7">
        <v>40000</v>
      </c>
      <c r="E70" s="3">
        <v>40000</v>
      </c>
      <c r="F70" s="23" t="s">
        <v>150</v>
      </c>
      <c r="G70" s="11" t="s">
        <v>148</v>
      </c>
    </row>
    <row r="71" spans="1:7">
      <c r="A71" s="12"/>
      <c r="B71" s="44" t="s">
        <v>17</v>
      </c>
      <c r="C71" s="5"/>
      <c r="D71" s="7"/>
      <c r="E71" s="43">
        <f>SUM(E44:E70)</f>
        <v>5601734.2999999998</v>
      </c>
      <c r="F71" s="9"/>
    </row>
    <row r="73" spans="1:7">
      <c r="C73" s="15" t="s">
        <v>7</v>
      </c>
      <c r="D73" s="69" t="s">
        <v>8</v>
      </c>
      <c r="E73" s="69"/>
      <c r="F73" s="11" t="s">
        <v>9</v>
      </c>
    </row>
    <row r="74" spans="1:7">
      <c r="D74" s="69" t="s">
        <v>19</v>
      </c>
      <c r="E74" s="69"/>
    </row>
    <row r="75" spans="1:7" ht="33" customHeight="1">
      <c r="C75" s="15" t="s">
        <v>7</v>
      </c>
      <c r="D75" s="69" t="s">
        <v>8</v>
      </c>
      <c r="E75" s="69"/>
      <c r="F75" s="11" t="s">
        <v>10</v>
      </c>
    </row>
    <row r="76" spans="1:7">
      <c r="D76" s="69" t="s">
        <v>20</v>
      </c>
      <c r="E76" s="69"/>
    </row>
    <row r="77" spans="1:7" ht="33.75" customHeight="1">
      <c r="C77" s="15" t="s">
        <v>7</v>
      </c>
      <c r="D77" s="69" t="s">
        <v>8</v>
      </c>
      <c r="E77" s="69"/>
      <c r="F77" s="11" t="s">
        <v>11</v>
      </c>
    </row>
    <row r="78" spans="1:7">
      <c r="D78" s="69" t="s">
        <v>21</v>
      </c>
      <c r="E78" s="69"/>
    </row>
    <row r="79" spans="1:7">
      <c r="A79" s="64" t="s">
        <v>0</v>
      </c>
      <c r="B79" s="64"/>
      <c r="C79" s="64"/>
      <c r="D79" s="64"/>
      <c r="E79" s="64"/>
      <c r="F79" s="64"/>
    </row>
    <row r="80" spans="1:7">
      <c r="A80" s="65" t="s">
        <v>18</v>
      </c>
      <c r="B80" s="65"/>
      <c r="C80" s="65"/>
      <c r="D80" s="65"/>
      <c r="E80" s="65"/>
      <c r="F80" s="65"/>
    </row>
    <row r="81" spans="1:7">
      <c r="A81" s="66" t="s">
        <v>6</v>
      </c>
      <c r="B81" s="67" t="s">
        <v>1</v>
      </c>
      <c r="C81" s="68" t="s">
        <v>2</v>
      </c>
      <c r="D81" s="68"/>
      <c r="E81" s="68"/>
      <c r="F81" s="67" t="s">
        <v>5</v>
      </c>
    </row>
    <row r="82" spans="1:7">
      <c r="A82" s="67"/>
      <c r="B82" s="67"/>
      <c r="C82" s="13" t="s">
        <v>3</v>
      </c>
      <c r="D82" s="14" t="s">
        <v>13</v>
      </c>
      <c r="E82" s="51" t="s">
        <v>4</v>
      </c>
      <c r="F82" s="67"/>
    </row>
    <row r="83" spans="1:7">
      <c r="A83" s="12"/>
      <c r="B83" s="45" t="s">
        <v>16</v>
      </c>
      <c r="C83" s="16"/>
      <c r="D83" s="16"/>
      <c r="E83" s="42">
        <f>SUM(E71)</f>
        <v>5601734.2999999998</v>
      </c>
      <c r="F83" s="16"/>
    </row>
    <row r="84" spans="1:7">
      <c r="A84" s="12">
        <v>54</v>
      </c>
      <c r="B84" s="8" t="s">
        <v>151</v>
      </c>
      <c r="C84" s="5" t="s">
        <v>27</v>
      </c>
      <c r="D84" s="7">
        <v>199700</v>
      </c>
      <c r="E84" s="3">
        <v>199700</v>
      </c>
      <c r="F84" s="9" t="s">
        <v>152</v>
      </c>
      <c r="G84" s="11" t="s">
        <v>148</v>
      </c>
    </row>
    <row r="85" spans="1:7">
      <c r="A85" s="12">
        <v>55</v>
      </c>
      <c r="B85" s="8" t="s">
        <v>145</v>
      </c>
      <c r="C85" s="29" t="s">
        <v>85</v>
      </c>
      <c r="D85" s="7">
        <v>15400</v>
      </c>
      <c r="E85" s="7">
        <v>15400</v>
      </c>
      <c r="F85" s="23" t="s">
        <v>144</v>
      </c>
      <c r="G85" s="11" t="s">
        <v>148</v>
      </c>
    </row>
    <row r="86" spans="1:7">
      <c r="A86" s="12">
        <v>56</v>
      </c>
      <c r="B86" s="8" t="s">
        <v>68</v>
      </c>
      <c r="C86" s="29" t="s">
        <v>27</v>
      </c>
      <c r="D86" s="7">
        <v>33000</v>
      </c>
      <c r="E86" s="3">
        <v>33000</v>
      </c>
      <c r="F86" s="9" t="s">
        <v>153</v>
      </c>
      <c r="G86" s="11" t="s">
        <v>148</v>
      </c>
    </row>
    <row r="87" spans="1:7">
      <c r="A87" s="12">
        <v>57</v>
      </c>
      <c r="B87" s="8" t="s">
        <v>154</v>
      </c>
      <c r="C87" s="29" t="s">
        <v>14</v>
      </c>
      <c r="D87" s="7">
        <v>28000</v>
      </c>
      <c r="E87" s="3">
        <v>28000</v>
      </c>
      <c r="F87" s="9" t="s">
        <v>155</v>
      </c>
      <c r="G87" s="11" t="s">
        <v>148</v>
      </c>
    </row>
    <row r="88" spans="1:7">
      <c r="A88" s="12">
        <v>58</v>
      </c>
      <c r="B88" s="30" t="s">
        <v>156</v>
      </c>
      <c r="C88" s="29" t="s">
        <v>14</v>
      </c>
      <c r="D88" s="7">
        <v>40000</v>
      </c>
      <c r="E88" s="10">
        <v>40000</v>
      </c>
      <c r="F88" s="19" t="s">
        <v>157</v>
      </c>
      <c r="G88" s="11" t="s">
        <v>148</v>
      </c>
    </row>
    <row r="89" spans="1:7">
      <c r="A89" s="12">
        <v>59</v>
      </c>
      <c r="B89" s="30" t="s">
        <v>147</v>
      </c>
      <c r="C89" s="20" t="s">
        <v>86</v>
      </c>
      <c r="D89" s="7">
        <v>23000</v>
      </c>
      <c r="E89" s="7">
        <v>46000</v>
      </c>
      <c r="F89" s="19" t="s">
        <v>146</v>
      </c>
      <c r="G89" s="11" t="s">
        <v>148</v>
      </c>
    </row>
    <row r="90" spans="1:7">
      <c r="A90" s="12">
        <v>60</v>
      </c>
      <c r="B90" s="8" t="s">
        <v>160</v>
      </c>
      <c r="C90" s="5" t="s">
        <v>167</v>
      </c>
      <c r="D90" s="3">
        <v>1722</v>
      </c>
      <c r="E90" s="3">
        <f>SUM(D90*4)</f>
        <v>6888</v>
      </c>
      <c r="F90" s="9" t="s">
        <v>161</v>
      </c>
      <c r="G90" s="11" t="s">
        <v>166</v>
      </c>
    </row>
    <row r="91" spans="1:7">
      <c r="A91" s="12">
        <v>61</v>
      </c>
      <c r="B91" s="47" t="s">
        <v>164</v>
      </c>
      <c r="C91" s="6" t="s">
        <v>14</v>
      </c>
      <c r="D91" s="4">
        <v>6000</v>
      </c>
      <c r="E91" s="3">
        <v>6000</v>
      </c>
      <c r="F91" s="18" t="s">
        <v>162</v>
      </c>
      <c r="G91" s="11" t="s">
        <v>166</v>
      </c>
    </row>
    <row r="92" spans="1:7">
      <c r="A92" s="12">
        <v>62</v>
      </c>
      <c r="B92" s="8" t="s">
        <v>165</v>
      </c>
      <c r="C92" s="5" t="s">
        <v>14</v>
      </c>
      <c r="D92" s="3">
        <v>20000</v>
      </c>
      <c r="E92" s="3">
        <v>20000</v>
      </c>
      <c r="F92" s="9" t="s">
        <v>163</v>
      </c>
      <c r="G92" s="11" t="s">
        <v>166</v>
      </c>
    </row>
    <row r="93" spans="1:7">
      <c r="A93" s="12">
        <v>63</v>
      </c>
      <c r="B93" s="8" t="s">
        <v>170</v>
      </c>
      <c r="C93" s="5" t="s">
        <v>198</v>
      </c>
      <c r="D93" s="31">
        <v>1600</v>
      </c>
      <c r="E93" s="3">
        <f>SUM(D93*42)</f>
        <v>67200</v>
      </c>
      <c r="F93" s="8" t="s">
        <v>171</v>
      </c>
      <c r="G93" s="11" t="s">
        <v>197</v>
      </c>
    </row>
    <row r="94" spans="1:7">
      <c r="A94" s="12">
        <v>64</v>
      </c>
      <c r="B94" s="8" t="s">
        <v>170</v>
      </c>
      <c r="C94" s="5" t="s">
        <v>199</v>
      </c>
      <c r="D94" s="31">
        <v>1600</v>
      </c>
      <c r="E94" s="7">
        <f>SUM(D94*90)</f>
        <v>144000</v>
      </c>
      <c r="F94" s="40" t="s">
        <v>172</v>
      </c>
      <c r="G94" s="11" t="s">
        <v>197</v>
      </c>
    </row>
    <row r="95" spans="1:7">
      <c r="A95" s="12">
        <v>65</v>
      </c>
      <c r="B95" s="8" t="s">
        <v>173</v>
      </c>
      <c r="C95" s="5" t="s">
        <v>204</v>
      </c>
      <c r="D95" s="31">
        <v>2500</v>
      </c>
      <c r="E95" s="21">
        <f>SUM(D95*46)</f>
        <v>115000</v>
      </c>
      <c r="F95" s="40" t="s">
        <v>174</v>
      </c>
      <c r="G95" s="11" t="s">
        <v>197</v>
      </c>
    </row>
    <row r="96" spans="1:7">
      <c r="A96" s="12">
        <v>66</v>
      </c>
      <c r="B96" s="8" t="s">
        <v>175</v>
      </c>
      <c r="C96" s="5" t="s">
        <v>33</v>
      </c>
      <c r="D96" s="31">
        <v>1175</v>
      </c>
      <c r="E96" s="3">
        <f>SUM(D96*2)</f>
        <v>2350</v>
      </c>
      <c r="F96" s="8" t="s">
        <v>176</v>
      </c>
      <c r="G96" s="11" t="s">
        <v>197</v>
      </c>
    </row>
    <row r="97" spans="1:7">
      <c r="A97" s="12">
        <v>67</v>
      </c>
      <c r="B97" s="8" t="s">
        <v>168</v>
      </c>
      <c r="C97" s="5" t="s">
        <v>203</v>
      </c>
      <c r="D97" s="31">
        <v>25000</v>
      </c>
      <c r="E97" s="3">
        <f>SUM(D97*185)</f>
        <v>4625000</v>
      </c>
      <c r="F97" s="40" t="s">
        <v>169</v>
      </c>
      <c r="G97" s="11" t="s">
        <v>197</v>
      </c>
    </row>
    <row r="98" spans="1:7">
      <c r="A98" s="12">
        <v>68</v>
      </c>
      <c r="B98" s="8" t="s">
        <v>177</v>
      </c>
      <c r="C98" s="5" t="s">
        <v>200</v>
      </c>
      <c r="D98" s="31">
        <v>8000</v>
      </c>
      <c r="E98" s="7">
        <f>SUM(D98*25)</f>
        <v>200000</v>
      </c>
      <c r="F98" s="40" t="s">
        <v>179</v>
      </c>
      <c r="G98" s="11" t="s">
        <v>197</v>
      </c>
    </row>
    <row r="99" spans="1:7">
      <c r="A99" s="12">
        <v>69</v>
      </c>
      <c r="B99" s="8" t="s">
        <v>178</v>
      </c>
      <c r="C99" s="5" t="s">
        <v>200</v>
      </c>
      <c r="D99" s="31">
        <v>8000</v>
      </c>
      <c r="E99" s="7">
        <f>SUM(D99*25)</f>
        <v>200000</v>
      </c>
      <c r="F99" s="40" t="s">
        <v>180</v>
      </c>
      <c r="G99" s="11" t="s">
        <v>197</v>
      </c>
    </row>
    <row r="100" spans="1:7">
      <c r="A100" s="12">
        <v>70</v>
      </c>
      <c r="B100" s="8" t="s">
        <v>181</v>
      </c>
      <c r="C100" s="5" t="s">
        <v>167</v>
      </c>
      <c r="D100" s="46">
        <v>20000</v>
      </c>
      <c r="E100" s="4">
        <f>SUM(D100*4)</f>
        <v>80000</v>
      </c>
      <c r="F100" s="40" t="s">
        <v>182</v>
      </c>
      <c r="G100" s="11" t="s">
        <v>197</v>
      </c>
    </row>
    <row r="101" spans="1:7">
      <c r="A101" s="12">
        <v>71</v>
      </c>
      <c r="B101" s="8" t="s">
        <v>183</v>
      </c>
      <c r="C101" s="5" t="s">
        <v>200</v>
      </c>
      <c r="D101" s="31">
        <v>8000</v>
      </c>
      <c r="E101" s="7">
        <f t="shared" ref="E101" si="0">SUM(D101*25)</f>
        <v>200000</v>
      </c>
      <c r="F101" s="40" t="s">
        <v>184</v>
      </c>
      <c r="G101" s="11" t="s">
        <v>197</v>
      </c>
    </row>
    <row r="102" spans="1:7">
      <c r="A102" s="12">
        <v>72</v>
      </c>
      <c r="B102" s="8" t="s">
        <v>186</v>
      </c>
      <c r="C102" s="5" t="s">
        <v>201</v>
      </c>
      <c r="D102" s="31">
        <v>8000</v>
      </c>
      <c r="E102" s="7">
        <f>SUM(D102*58)</f>
        <v>464000</v>
      </c>
      <c r="F102" s="8" t="s">
        <v>185</v>
      </c>
      <c r="G102" s="11" t="s">
        <v>197</v>
      </c>
    </row>
    <row r="103" spans="1:7">
      <c r="A103" s="12">
        <v>73</v>
      </c>
      <c r="B103" s="8" t="s">
        <v>187</v>
      </c>
      <c r="C103" s="5" t="s">
        <v>14</v>
      </c>
      <c r="D103" s="46">
        <v>33000</v>
      </c>
      <c r="E103" s="3">
        <v>33000</v>
      </c>
      <c r="F103" s="8" t="s">
        <v>188</v>
      </c>
      <c r="G103" s="11" t="s">
        <v>197</v>
      </c>
    </row>
    <row r="104" spans="1:7">
      <c r="A104" s="12">
        <v>74</v>
      </c>
      <c r="B104" s="47" t="s">
        <v>190</v>
      </c>
      <c r="C104" s="6" t="s">
        <v>14</v>
      </c>
      <c r="D104" s="48">
        <v>5296.5</v>
      </c>
      <c r="E104" s="3">
        <v>5296.5</v>
      </c>
      <c r="F104" s="47" t="s">
        <v>189</v>
      </c>
      <c r="G104" s="11" t="s">
        <v>197</v>
      </c>
    </row>
    <row r="105" spans="1:7">
      <c r="A105" s="12">
        <v>75</v>
      </c>
      <c r="B105" s="8" t="s">
        <v>183</v>
      </c>
      <c r="C105" s="5" t="s">
        <v>202</v>
      </c>
      <c r="D105" s="31">
        <v>12200</v>
      </c>
      <c r="E105" s="7">
        <f>SUM(D105*7)</f>
        <v>85400</v>
      </c>
      <c r="F105" s="8" t="s">
        <v>191</v>
      </c>
      <c r="G105" s="11" t="s">
        <v>197</v>
      </c>
    </row>
    <row r="106" spans="1:7">
      <c r="A106" s="12">
        <v>76</v>
      </c>
      <c r="B106" s="8" t="s">
        <v>183</v>
      </c>
      <c r="C106" s="5" t="s">
        <v>158</v>
      </c>
      <c r="D106" s="31">
        <v>12200</v>
      </c>
      <c r="E106" s="7">
        <f>SUM(D106*6)</f>
        <v>73200</v>
      </c>
      <c r="F106" s="8" t="s">
        <v>192</v>
      </c>
      <c r="G106" s="11" t="s">
        <v>197</v>
      </c>
    </row>
    <row r="107" spans="1:7">
      <c r="A107" s="12">
        <v>77</v>
      </c>
      <c r="B107" s="8" t="s">
        <v>193</v>
      </c>
      <c r="C107" s="5" t="s">
        <v>14</v>
      </c>
      <c r="D107" s="46">
        <v>24000</v>
      </c>
      <c r="E107" s="28">
        <v>24000</v>
      </c>
      <c r="F107" s="8" t="s">
        <v>194</v>
      </c>
      <c r="G107" s="11" t="s">
        <v>197</v>
      </c>
    </row>
    <row r="108" spans="1:7">
      <c r="A108" s="12">
        <v>78</v>
      </c>
      <c r="B108" s="8" t="s">
        <v>195</v>
      </c>
      <c r="C108" s="5" t="s">
        <v>14</v>
      </c>
      <c r="D108" s="10">
        <v>17000</v>
      </c>
      <c r="E108" s="21">
        <f>SUM(D108*15)</f>
        <v>255000</v>
      </c>
      <c r="F108" s="8" t="s">
        <v>196</v>
      </c>
      <c r="G108" s="11" t="s">
        <v>197</v>
      </c>
    </row>
    <row r="109" spans="1:7">
      <c r="A109" s="12">
        <v>79</v>
      </c>
      <c r="B109" s="16" t="s">
        <v>206</v>
      </c>
      <c r="C109" s="34" t="s">
        <v>14</v>
      </c>
      <c r="D109" s="7">
        <v>29000</v>
      </c>
      <c r="E109" s="3">
        <v>29000</v>
      </c>
      <c r="F109" s="17" t="s">
        <v>207</v>
      </c>
      <c r="G109" s="11" t="s">
        <v>270</v>
      </c>
    </row>
    <row r="110" spans="1:7">
      <c r="A110" s="12">
        <v>80</v>
      </c>
      <c r="B110" s="8" t="s">
        <v>195</v>
      </c>
      <c r="C110" s="34" t="s">
        <v>14</v>
      </c>
      <c r="D110" s="7">
        <v>17000</v>
      </c>
      <c r="E110" s="21">
        <v>17000</v>
      </c>
      <c r="F110" s="9" t="s">
        <v>208</v>
      </c>
      <c r="G110" s="11" t="s">
        <v>270</v>
      </c>
    </row>
    <row r="111" spans="1:7">
      <c r="A111" s="12"/>
      <c r="B111" s="44" t="s">
        <v>17</v>
      </c>
      <c r="C111" s="12"/>
      <c r="D111" s="16"/>
      <c r="E111" s="41">
        <f>SUM(E83:E110)</f>
        <v>12616168.800000001</v>
      </c>
      <c r="F111" s="16"/>
    </row>
    <row r="113" spans="1:7">
      <c r="C113" s="15" t="s">
        <v>7</v>
      </c>
      <c r="D113" s="69" t="s">
        <v>8</v>
      </c>
      <c r="E113" s="69"/>
      <c r="F113" s="11" t="s">
        <v>9</v>
      </c>
    </row>
    <row r="114" spans="1:7">
      <c r="B114" s="11" t="s">
        <v>15</v>
      </c>
      <c r="D114" s="69" t="s">
        <v>19</v>
      </c>
      <c r="E114" s="69"/>
    </row>
    <row r="115" spans="1:7">
      <c r="C115" s="15" t="s">
        <v>7</v>
      </c>
      <c r="D115" s="69" t="s">
        <v>8</v>
      </c>
      <c r="E115" s="69"/>
      <c r="F115" s="11" t="s">
        <v>10</v>
      </c>
    </row>
    <row r="116" spans="1:7">
      <c r="D116" s="69" t="s">
        <v>20</v>
      </c>
      <c r="E116" s="69"/>
    </row>
    <row r="117" spans="1:7">
      <c r="C117" s="15" t="s">
        <v>7</v>
      </c>
      <c r="D117" s="69" t="s">
        <v>8</v>
      </c>
      <c r="E117" s="69"/>
      <c r="F117" s="11" t="s">
        <v>11</v>
      </c>
    </row>
    <row r="118" spans="1:7">
      <c r="D118" s="69" t="s">
        <v>21</v>
      </c>
      <c r="E118" s="69"/>
    </row>
    <row r="119" spans="1:7">
      <c r="A119" s="64" t="s">
        <v>0</v>
      </c>
      <c r="B119" s="64"/>
      <c r="C119" s="64"/>
      <c r="D119" s="64"/>
      <c r="E119" s="64"/>
      <c r="F119" s="64"/>
    </row>
    <row r="120" spans="1:7">
      <c r="A120" s="65" t="s">
        <v>18</v>
      </c>
      <c r="B120" s="65"/>
      <c r="C120" s="65"/>
      <c r="D120" s="65"/>
      <c r="E120" s="65"/>
      <c r="F120" s="65"/>
    </row>
    <row r="121" spans="1:7">
      <c r="A121" s="66" t="s">
        <v>6</v>
      </c>
      <c r="B121" s="67" t="s">
        <v>1</v>
      </c>
      <c r="C121" s="68" t="s">
        <v>2</v>
      </c>
      <c r="D121" s="68"/>
      <c r="E121" s="68"/>
      <c r="F121" s="67" t="s">
        <v>5</v>
      </c>
    </row>
    <row r="122" spans="1:7">
      <c r="A122" s="67"/>
      <c r="B122" s="67"/>
      <c r="C122" s="13" t="s">
        <v>3</v>
      </c>
      <c r="D122" s="14" t="s">
        <v>13</v>
      </c>
      <c r="E122" s="51" t="s">
        <v>4</v>
      </c>
      <c r="F122" s="67"/>
    </row>
    <row r="123" spans="1:7">
      <c r="A123" s="12"/>
      <c r="B123" s="45" t="s">
        <v>16</v>
      </c>
      <c r="C123" s="1"/>
      <c r="D123" s="2"/>
      <c r="E123" s="41">
        <f>SUM(E111)</f>
        <v>12616168.800000001</v>
      </c>
      <c r="F123" s="16"/>
    </row>
    <row r="124" spans="1:7">
      <c r="A124" s="12">
        <v>81</v>
      </c>
      <c r="B124" s="33" t="s">
        <v>209</v>
      </c>
      <c r="C124" s="34" t="s">
        <v>89</v>
      </c>
      <c r="D124" s="35">
        <v>900</v>
      </c>
      <c r="E124" s="28">
        <v>900</v>
      </c>
      <c r="F124" s="9" t="s">
        <v>210</v>
      </c>
      <c r="G124" s="11" t="s">
        <v>221</v>
      </c>
    </row>
    <row r="125" spans="1:7">
      <c r="A125" s="12">
        <v>82</v>
      </c>
      <c r="B125" s="33" t="s">
        <v>211</v>
      </c>
      <c r="C125" s="34" t="s">
        <v>14</v>
      </c>
      <c r="D125" s="35">
        <v>1200</v>
      </c>
      <c r="E125" s="21">
        <v>1200</v>
      </c>
      <c r="F125" s="9" t="s">
        <v>212</v>
      </c>
      <c r="G125" s="11" t="s">
        <v>221</v>
      </c>
    </row>
    <row r="126" spans="1:7">
      <c r="A126" s="12">
        <v>83</v>
      </c>
      <c r="B126" s="33" t="s">
        <v>213</v>
      </c>
      <c r="C126" s="34" t="s">
        <v>89</v>
      </c>
      <c r="D126" s="35">
        <v>2900</v>
      </c>
      <c r="E126" s="7">
        <v>2900</v>
      </c>
      <c r="F126" s="9" t="s">
        <v>214</v>
      </c>
      <c r="G126" s="11" t="s">
        <v>221</v>
      </c>
    </row>
    <row r="127" spans="1:7">
      <c r="A127" s="12">
        <v>84</v>
      </c>
      <c r="B127" s="33" t="s">
        <v>215</v>
      </c>
      <c r="C127" s="34" t="s">
        <v>85</v>
      </c>
      <c r="D127" s="35">
        <v>1200</v>
      </c>
      <c r="E127" s="7">
        <v>1200</v>
      </c>
      <c r="F127" s="9" t="s">
        <v>216</v>
      </c>
      <c r="G127" s="11" t="s">
        <v>221</v>
      </c>
    </row>
    <row r="128" spans="1:7">
      <c r="A128" s="12">
        <v>85</v>
      </c>
      <c r="B128" s="8" t="s">
        <v>219</v>
      </c>
      <c r="C128" s="34" t="s">
        <v>14</v>
      </c>
      <c r="D128" s="7">
        <v>5900</v>
      </c>
      <c r="E128" s="7">
        <v>5900</v>
      </c>
      <c r="F128" s="9" t="s">
        <v>220</v>
      </c>
      <c r="G128" s="11" t="s">
        <v>221</v>
      </c>
    </row>
    <row r="129" spans="1:7">
      <c r="A129" s="12">
        <v>86</v>
      </c>
      <c r="B129" s="8" t="s">
        <v>205</v>
      </c>
      <c r="C129" s="34" t="s">
        <v>14</v>
      </c>
      <c r="D129" s="7">
        <v>5350</v>
      </c>
      <c r="E129" s="3">
        <v>5350</v>
      </c>
      <c r="F129" s="9" t="s">
        <v>217</v>
      </c>
      <c r="G129" s="11" t="s">
        <v>221</v>
      </c>
    </row>
    <row r="130" spans="1:7">
      <c r="A130" s="12">
        <v>87</v>
      </c>
      <c r="B130" s="8" t="s">
        <v>195</v>
      </c>
      <c r="C130" s="34" t="s">
        <v>14</v>
      </c>
      <c r="D130" s="7">
        <v>17000</v>
      </c>
      <c r="E130" s="3">
        <v>17000</v>
      </c>
      <c r="F130" s="9" t="s">
        <v>218</v>
      </c>
      <c r="G130" s="11" t="s">
        <v>221</v>
      </c>
    </row>
    <row r="131" spans="1:7" ht="23.25" customHeight="1">
      <c r="A131" s="12">
        <v>88</v>
      </c>
      <c r="B131" s="9" t="s">
        <v>223</v>
      </c>
      <c r="C131" s="5" t="s">
        <v>85</v>
      </c>
      <c r="D131" s="3">
        <v>1980</v>
      </c>
      <c r="E131" s="7">
        <v>1980</v>
      </c>
      <c r="F131" s="9" t="s">
        <v>222</v>
      </c>
      <c r="G131" s="11" t="s">
        <v>232</v>
      </c>
    </row>
    <row r="132" spans="1:7">
      <c r="A132" s="12">
        <v>89</v>
      </c>
      <c r="B132" s="9" t="s">
        <v>225</v>
      </c>
      <c r="C132" s="5" t="s">
        <v>14</v>
      </c>
      <c r="D132" s="3">
        <v>5880</v>
      </c>
      <c r="E132" s="7">
        <v>5880</v>
      </c>
      <c r="F132" s="9" t="s">
        <v>224</v>
      </c>
      <c r="G132" s="11" t="s">
        <v>232</v>
      </c>
    </row>
    <row r="133" spans="1:7">
      <c r="A133" s="12">
        <v>90</v>
      </c>
      <c r="B133" s="9" t="s">
        <v>227</v>
      </c>
      <c r="C133" s="5" t="s">
        <v>85</v>
      </c>
      <c r="D133" s="3">
        <v>7700</v>
      </c>
      <c r="E133" s="7">
        <v>7700</v>
      </c>
      <c r="F133" s="9" t="s">
        <v>226</v>
      </c>
      <c r="G133" s="11" t="s">
        <v>232</v>
      </c>
    </row>
    <row r="134" spans="1:7">
      <c r="A134" s="12">
        <v>91</v>
      </c>
      <c r="B134" s="9" t="s">
        <v>229</v>
      </c>
      <c r="C134" s="5" t="s">
        <v>86</v>
      </c>
      <c r="D134" s="10">
        <v>19320</v>
      </c>
      <c r="E134" s="7">
        <f>SUM(D134*2)</f>
        <v>38640</v>
      </c>
      <c r="F134" s="9" t="s">
        <v>228</v>
      </c>
      <c r="G134" s="11" t="s">
        <v>232</v>
      </c>
    </row>
    <row r="135" spans="1:7">
      <c r="A135" s="12">
        <v>92</v>
      </c>
      <c r="B135" s="36" t="s">
        <v>269</v>
      </c>
      <c r="C135" s="5" t="s">
        <v>233</v>
      </c>
      <c r="D135" s="3">
        <v>31000</v>
      </c>
      <c r="E135" s="7">
        <f>SUM(D135*2)</f>
        <v>62000</v>
      </c>
      <c r="F135" s="9" t="s">
        <v>230</v>
      </c>
      <c r="G135" s="11" t="s">
        <v>232</v>
      </c>
    </row>
    <row r="136" spans="1:7">
      <c r="A136" s="12">
        <v>93</v>
      </c>
      <c r="B136" s="57" t="s">
        <v>231</v>
      </c>
      <c r="C136" s="12" t="s">
        <v>85</v>
      </c>
      <c r="D136" s="3">
        <v>10500</v>
      </c>
      <c r="E136" s="7">
        <v>10500</v>
      </c>
      <c r="F136" s="16" t="s">
        <v>74</v>
      </c>
      <c r="G136" s="11" t="s">
        <v>232</v>
      </c>
    </row>
    <row r="137" spans="1:7">
      <c r="A137" s="12">
        <v>94</v>
      </c>
      <c r="B137" s="58" t="s">
        <v>235</v>
      </c>
      <c r="C137" s="59" t="s">
        <v>233</v>
      </c>
      <c r="D137" s="60">
        <v>2200</v>
      </c>
      <c r="E137" s="7">
        <v>4400</v>
      </c>
      <c r="F137" s="58" t="s">
        <v>234</v>
      </c>
      <c r="G137" s="11" t="s">
        <v>244</v>
      </c>
    </row>
    <row r="138" spans="1:7">
      <c r="A138" s="12">
        <v>95</v>
      </c>
      <c r="B138" s="61" t="s">
        <v>237</v>
      </c>
      <c r="C138" s="34" t="s">
        <v>92</v>
      </c>
      <c r="D138" s="35">
        <v>2250</v>
      </c>
      <c r="E138" s="7">
        <v>2250</v>
      </c>
      <c r="F138" s="61" t="s">
        <v>236</v>
      </c>
      <c r="G138" s="11" t="s">
        <v>244</v>
      </c>
    </row>
    <row r="139" spans="1:7">
      <c r="A139" s="12">
        <v>96</v>
      </c>
      <c r="B139" s="61" t="s">
        <v>235</v>
      </c>
      <c r="C139" s="34" t="s">
        <v>92</v>
      </c>
      <c r="D139" s="35">
        <v>2600</v>
      </c>
      <c r="E139" s="7">
        <v>2600</v>
      </c>
      <c r="F139" s="61" t="s">
        <v>238</v>
      </c>
      <c r="G139" s="11" t="s">
        <v>244</v>
      </c>
    </row>
    <row r="140" spans="1:7">
      <c r="A140" s="12">
        <v>97</v>
      </c>
      <c r="B140" s="62" t="s">
        <v>240</v>
      </c>
      <c r="C140" s="59" t="s">
        <v>241</v>
      </c>
      <c r="D140" s="60">
        <v>3200</v>
      </c>
      <c r="E140" s="7">
        <f>SUM(D140*3)</f>
        <v>9600</v>
      </c>
      <c r="F140" s="63" t="s">
        <v>239</v>
      </c>
      <c r="G140" s="11" t="s">
        <v>244</v>
      </c>
    </row>
    <row r="141" spans="1:7">
      <c r="A141" s="12">
        <v>98</v>
      </c>
      <c r="B141" s="36" t="s">
        <v>242</v>
      </c>
      <c r="C141" s="34" t="s">
        <v>14</v>
      </c>
      <c r="D141" s="7">
        <v>45000</v>
      </c>
      <c r="E141" s="7">
        <v>45000</v>
      </c>
      <c r="F141" s="9" t="s">
        <v>243</v>
      </c>
      <c r="G141" s="11" t="s">
        <v>245</v>
      </c>
    </row>
    <row r="142" spans="1:7">
      <c r="A142" s="12">
        <v>99</v>
      </c>
      <c r="B142" s="8" t="s">
        <v>247</v>
      </c>
      <c r="C142" s="37" t="s">
        <v>92</v>
      </c>
      <c r="D142" s="7">
        <v>3000</v>
      </c>
      <c r="E142" s="7">
        <v>3000</v>
      </c>
      <c r="F142" s="9" t="s">
        <v>248</v>
      </c>
      <c r="G142" s="11" t="s">
        <v>251</v>
      </c>
    </row>
    <row r="143" spans="1:7">
      <c r="A143" s="12">
        <v>100</v>
      </c>
      <c r="B143" s="8" t="s">
        <v>249</v>
      </c>
      <c r="C143" s="34" t="s">
        <v>92</v>
      </c>
      <c r="D143" s="7">
        <v>3500</v>
      </c>
      <c r="E143" s="3">
        <v>3500</v>
      </c>
      <c r="F143" s="9" t="s">
        <v>250</v>
      </c>
      <c r="G143" s="11" t="s">
        <v>251</v>
      </c>
    </row>
    <row r="144" spans="1:7">
      <c r="A144" s="12">
        <v>101</v>
      </c>
      <c r="B144" s="8" t="s">
        <v>253</v>
      </c>
      <c r="C144" s="37" t="s">
        <v>89</v>
      </c>
      <c r="D144" s="38">
        <v>31559.65</v>
      </c>
      <c r="E144" s="4">
        <v>31559.65</v>
      </c>
      <c r="F144" s="9" t="s">
        <v>254</v>
      </c>
      <c r="G144" s="11" t="s">
        <v>255</v>
      </c>
    </row>
    <row r="145" spans="1:7">
      <c r="A145" s="12">
        <v>102</v>
      </c>
      <c r="B145" s="8" t="s">
        <v>256</v>
      </c>
      <c r="C145" s="34" t="s">
        <v>252</v>
      </c>
      <c r="D145" s="7">
        <v>3500</v>
      </c>
      <c r="E145" s="7">
        <v>7000</v>
      </c>
      <c r="F145" s="9" t="s">
        <v>257</v>
      </c>
      <c r="G145" s="11" t="s">
        <v>260</v>
      </c>
    </row>
    <row r="146" spans="1:7">
      <c r="A146" s="12">
        <v>103</v>
      </c>
      <c r="B146" s="8" t="s">
        <v>258</v>
      </c>
      <c r="C146" s="34" t="s">
        <v>14</v>
      </c>
      <c r="D146" s="32">
        <v>28900</v>
      </c>
      <c r="E146" s="7">
        <v>28900</v>
      </c>
      <c r="F146" s="9" t="s">
        <v>259</v>
      </c>
      <c r="G146" s="11" t="s">
        <v>260</v>
      </c>
    </row>
    <row r="147" spans="1:7">
      <c r="A147" s="12">
        <v>104</v>
      </c>
      <c r="B147" s="8" t="s">
        <v>235</v>
      </c>
      <c r="C147" s="34" t="s">
        <v>92</v>
      </c>
      <c r="D147" s="38">
        <v>3100</v>
      </c>
      <c r="E147" s="3">
        <v>3100</v>
      </c>
      <c r="F147" s="9" t="s">
        <v>261</v>
      </c>
      <c r="G147" s="11" t="s">
        <v>262</v>
      </c>
    </row>
    <row r="148" spans="1:7">
      <c r="A148" s="12">
        <v>105</v>
      </c>
      <c r="B148" s="36" t="s">
        <v>263</v>
      </c>
      <c r="C148" s="34" t="s">
        <v>14</v>
      </c>
      <c r="D148" s="7">
        <v>3700</v>
      </c>
      <c r="E148" s="7">
        <v>3700</v>
      </c>
      <c r="F148" s="33" t="s">
        <v>264</v>
      </c>
      <c r="G148" s="11" t="s">
        <v>268</v>
      </c>
    </row>
    <row r="149" spans="1:7">
      <c r="A149" s="12">
        <v>106</v>
      </c>
      <c r="B149" s="36" t="s">
        <v>265</v>
      </c>
      <c r="C149" s="34" t="s">
        <v>203</v>
      </c>
      <c r="D149" s="7">
        <v>4238.5200000000004</v>
      </c>
      <c r="E149" s="3">
        <f>SUM(D149*15)</f>
        <v>63577.8</v>
      </c>
      <c r="F149" s="33" t="s">
        <v>266</v>
      </c>
      <c r="G149" s="11" t="s">
        <v>268</v>
      </c>
    </row>
    <row r="150" spans="1:7">
      <c r="A150" s="12">
        <v>107</v>
      </c>
      <c r="B150" s="36" t="s">
        <v>246</v>
      </c>
      <c r="C150" s="34" t="s">
        <v>14</v>
      </c>
      <c r="D150" s="7">
        <v>10140</v>
      </c>
      <c r="E150" s="3">
        <v>10140</v>
      </c>
      <c r="F150" s="33" t="s">
        <v>267</v>
      </c>
      <c r="G150" s="11" t="s">
        <v>268</v>
      </c>
    </row>
    <row r="151" spans="1:7">
      <c r="A151" s="12"/>
      <c r="B151" s="44" t="s">
        <v>12</v>
      </c>
      <c r="C151" s="12"/>
      <c r="D151" s="16"/>
      <c r="E151" s="41">
        <f>SUM(E123:E150)</f>
        <v>12995646.250000002</v>
      </c>
      <c r="F151" s="16"/>
    </row>
    <row r="153" spans="1:7">
      <c r="C153" s="15" t="s">
        <v>7</v>
      </c>
      <c r="D153" s="69" t="s">
        <v>8</v>
      </c>
      <c r="E153" s="69"/>
      <c r="F153" s="11" t="s">
        <v>9</v>
      </c>
    </row>
    <row r="154" spans="1:7">
      <c r="B154" s="11" t="s">
        <v>15</v>
      </c>
      <c r="D154" s="69" t="s">
        <v>19</v>
      </c>
      <c r="E154" s="69"/>
    </row>
    <row r="155" spans="1:7">
      <c r="C155" s="15" t="s">
        <v>7</v>
      </c>
      <c r="D155" s="69" t="s">
        <v>8</v>
      </c>
      <c r="E155" s="69"/>
      <c r="F155" s="11" t="s">
        <v>10</v>
      </c>
    </row>
    <row r="156" spans="1:7">
      <c r="D156" s="69" t="s">
        <v>20</v>
      </c>
      <c r="E156" s="69"/>
    </row>
    <row r="157" spans="1:7">
      <c r="C157" s="15" t="s">
        <v>7</v>
      </c>
      <c r="D157" s="69" t="s">
        <v>8</v>
      </c>
      <c r="E157" s="69"/>
      <c r="F157" s="11" t="s">
        <v>11</v>
      </c>
    </row>
    <row r="158" spans="1:7">
      <c r="D158" s="69" t="s">
        <v>21</v>
      </c>
      <c r="E158" s="69"/>
    </row>
  </sheetData>
  <mergeCells count="48">
    <mergeCell ref="D153:E153"/>
    <mergeCell ref="D154:E154"/>
    <mergeCell ref="D155:E155"/>
    <mergeCell ref="D156:E156"/>
    <mergeCell ref="D157:E157"/>
    <mergeCell ref="D158:E158"/>
    <mergeCell ref="A119:F119"/>
    <mergeCell ref="A120:F120"/>
    <mergeCell ref="A121:A122"/>
    <mergeCell ref="B121:B122"/>
    <mergeCell ref="C121:E121"/>
    <mergeCell ref="F121:F122"/>
    <mergeCell ref="D113:E113"/>
    <mergeCell ref="D114:E114"/>
    <mergeCell ref="D115:E115"/>
    <mergeCell ref="D116:E116"/>
    <mergeCell ref="D117:E117"/>
    <mergeCell ref="D118:E118"/>
    <mergeCell ref="A79:F79"/>
    <mergeCell ref="A80:F80"/>
    <mergeCell ref="A81:A82"/>
    <mergeCell ref="B81:B82"/>
    <mergeCell ref="C81:E81"/>
    <mergeCell ref="F81:F82"/>
    <mergeCell ref="D73:E73"/>
    <mergeCell ref="D74:E74"/>
    <mergeCell ref="D75:E75"/>
    <mergeCell ref="D76:E76"/>
    <mergeCell ref="D77:E77"/>
    <mergeCell ref="D78:E78"/>
    <mergeCell ref="A40:F40"/>
    <mergeCell ref="A41:F41"/>
    <mergeCell ref="A42:A43"/>
    <mergeCell ref="B42:B43"/>
    <mergeCell ref="C42:E42"/>
    <mergeCell ref="F42:F43"/>
    <mergeCell ref="D34:E34"/>
    <mergeCell ref="D35:E35"/>
    <mergeCell ref="D36:E36"/>
    <mergeCell ref="D37:E37"/>
    <mergeCell ref="D38:E38"/>
    <mergeCell ref="D39:E39"/>
    <mergeCell ref="A1:F1"/>
    <mergeCell ref="A2:F2"/>
    <mergeCell ref="A3:A4"/>
    <mergeCell ref="B3:B4"/>
    <mergeCell ref="C3:E3"/>
    <mergeCell ref="F3:F4"/>
  </mergeCells>
  <printOptions horizontalCentered="1"/>
  <pageMargins left="0.19685039370078741" right="0.19685039370078741" top="0.59055118110236227" bottom="0.19685039370078741" header="0" footer="0"/>
  <pageSetup paperSize="9" scale="8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0439-34FB-4C1B-89B9-00BE35D1FFF4}">
  <sheetPr>
    <tabColor rgb="FFFFFF00"/>
  </sheetPr>
  <dimension ref="A1:G158"/>
  <sheetViews>
    <sheetView zoomScaleNormal="100" workbookViewId="0">
      <selection activeCell="K7" sqref="K7"/>
    </sheetView>
  </sheetViews>
  <sheetFormatPr defaultRowHeight="24"/>
  <cols>
    <col min="1" max="1" width="6" style="15" customWidth="1"/>
    <col min="2" max="2" width="44.28515625" style="11" customWidth="1"/>
    <col min="3" max="3" width="10.42578125" style="15" customWidth="1"/>
    <col min="4" max="4" width="12.7109375" style="11" customWidth="1"/>
    <col min="5" max="5" width="16.42578125" style="56" customWidth="1"/>
    <col min="6" max="6" width="28.85546875" style="11" customWidth="1"/>
    <col min="7" max="7" width="11.28515625" style="11" customWidth="1"/>
    <col min="8" max="16384" width="9.140625" style="11"/>
  </cols>
  <sheetData>
    <row r="1" spans="1:7">
      <c r="A1" s="64" t="s">
        <v>0</v>
      </c>
      <c r="B1" s="64"/>
      <c r="C1" s="64"/>
      <c r="D1" s="64"/>
      <c r="E1" s="64"/>
      <c r="F1" s="64"/>
    </row>
    <row r="2" spans="1:7">
      <c r="A2" s="65" t="s">
        <v>18</v>
      </c>
      <c r="B2" s="65"/>
      <c r="C2" s="65"/>
      <c r="D2" s="65"/>
      <c r="E2" s="65"/>
      <c r="F2" s="65"/>
    </row>
    <row r="3" spans="1:7">
      <c r="A3" s="66" t="s">
        <v>6</v>
      </c>
      <c r="B3" s="67" t="s">
        <v>1</v>
      </c>
      <c r="C3" s="68" t="s">
        <v>2</v>
      </c>
      <c r="D3" s="68"/>
      <c r="E3" s="68"/>
      <c r="F3" s="67" t="s">
        <v>5</v>
      </c>
    </row>
    <row r="4" spans="1:7" s="15" customFormat="1">
      <c r="A4" s="67"/>
      <c r="B4" s="67"/>
      <c r="C4" s="13" t="s">
        <v>3</v>
      </c>
      <c r="D4" s="14" t="s">
        <v>13</v>
      </c>
      <c r="E4" s="51" t="s">
        <v>4</v>
      </c>
      <c r="F4" s="67"/>
    </row>
    <row r="5" spans="1:7">
      <c r="A5" s="12">
        <v>1</v>
      </c>
      <c r="B5" s="52" t="s">
        <v>25</v>
      </c>
      <c r="C5" s="5" t="s">
        <v>14</v>
      </c>
      <c r="D5" s="7">
        <v>4000</v>
      </c>
      <c r="E5" s="7">
        <v>4000</v>
      </c>
      <c r="F5" s="19" t="s">
        <v>26</v>
      </c>
      <c r="G5" s="11" t="s">
        <v>81</v>
      </c>
    </row>
    <row r="6" spans="1:7">
      <c r="A6" s="12">
        <v>2</v>
      </c>
      <c r="B6" s="8" t="s">
        <v>23</v>
      </c>
      <c r="C6" s="5" t="s">
        <v>24</v>
      </c>
      <c r="D6" s="3">
        <v>3478</v>
      </c>
      <c r="E6" s="7">
        <v>10434</v>
      </c>
      <c r="F6" s="9" t="s">
        <v>22</v>
      </c>
      <c r="G6" s="11" t="s">
        <v>80</v>
      </c>
    </row>
    <row r="7" spans="1:7">
      <c r="A7" s="12">
        <v>3</v>
      </c>
      <c r="B7" s="8" t="s">
        <v>29</v>
      </c>
      <c r="C7" s="5" t="s">
        <v>33</v>
      </c>
      <c r="D7" s="3">
        <v>18500</v>
      </c>
      <c r="E7" s="7">
        <v>37000</v>
      </c>
      <c r="F7" s="39" t="s">
        <v>31</v>
      </c>
      <c r="G7" s="11" t="s">
        <v>80</v>
      </c>
    </row>
    <row r="8" spans="1:7">
      <c r="A8" s="12">
        <v>4</v>
      </c>
      <c r="B8" s="9" t="s">
        <v>30</v>
      </c>
      <c r="C8" s="5" t="s">
        <v>14</v>
      </c>
      <c r="D8" s="3">
        <v>24000</v>
      </c>
      <c r="E8" s="7">
        <v>24000</v>
      </c>
      <c r="F8" s="9" t="s">
        <v>32</v>
      </c>
      <c r="G8" s="11" t="s">
        <v>80</v>
      </c>
    </row>
    <row r="9" spans="1:7">
      <c r="A9" s="12">
        <v>5</v>
      </c>
      <c r="B9" s="9" t="s">
        <v>34</v>
      </c>
      <c r="C9" s="6" t="s">
        <v>27</v>
      </c>
      <c r="D9" s="3">
        <v>96000</v>
      </c>
      <c r="E9" s="3">
        <v>96000</v>
      </c>
      <c r="F9" s="9" t="s">
        <v>35</v>
      </c>
      <c r="G9" s="11" t="s">
        <v>80</v>
      </c>
    </row>
    <row r="10" spans="1:7">
      <c r="A10" s="12">
        <v>6</v>
      </c>
      <c r="B10" s="9" t="s">
        <v>36</v>
      </c>
      <c r="C10" s="5" t="s">
        <v>27</v>
      </c>
      <c r="D10" s="3">
        <v>39000</v>
      </c>
      <c r="E10" s="7">
        <v>39000</v>
      </c>
      <c r="F10" s="9" t="s">
        <v>37</v>
      </c>
      <c r="G10" s="11" t="s">
        <v>80</v>
      </c>
    </row>
    <row r="11" spans="1:7">
      <c r="A11" s="12">
        <v>7</v>
      </c>
      <c r="B11" s="8" t="s">
        <v>38</v>
      </c>
      <c r="C11" s="5" t="s">
        <v>83</v>
      </c>
      <c r="D11" s="3">
        <v>41800</v>
      </c>
      <c r="E11" s="7">
        <v>41800</v>
      </c>
      <c r="F11" s="9" t="s">
        <v>44</v>
      </c>
      <c r="G11" s="11" t="s">
        <v>80</v>
      </c>
    </row>
    <row r="12" spans="1:7">
      <c r="A12" s="12">
        <v>8</v>
      </c>
      <c r="B12" s="8" t="s">
        <v>39</v>
      </c>
      <c r="C12" s="37" t="s">
        <v>83</v>
      </c>
      <c r="D12" s="3">
        <v>95000</v>
      </c>
      <c r="E12" s="7">
        <v>95000</v>
      </c>
      <c r="F12" s="9" t="s">
        <v>45</v>
      </c>
      <c r="G12" s="11" t="s">
        <v>80</v>
      </c>
    </row>
    <row r="13" spans="1:7">
      <c r="A13" s="12">
        <v>9</v>
      </c>
      <c r="B13" s="8" t="s">
        <v>40</v>
      </c>
      <c r="C13" s="37" t="s">
        <v>83</v>
      </c>
      <c r="D13" s="3">
        <v>43800</v>
      </c>
      <c r="E13" s="7">
        <v>43800</v>
      </c>
      <c r="F13" s="9" t="s">
        <v>46</v>
      </c>
      <c r="G13" s="11" t="s">
        <v>80</v>
      </c>
    </row>
    <row r="14" spans="1:7">
      <c r="A14" s="12">
        <v>10</v>
      </c>
      <c r="B14" s="8" t="s">
        <v>41</v>
      </c>
      <c r="C14" s="37" t="s">
        <v>83</v>
      </c>
      <c r="D14" s="3">
        <v>14500</v>
      </c>
      <c r="E14" s="7">
        <v>14500</v>
      </c>
      <c r="F14" s="9" t="s">
        <v>47</v>
      </c>
      <c r="G14" s="11" t="s">
        <v>80</v>
      </c>
    </row>
    <row r="15" spans="1:7">
      <c r="A15" s="12">
        <v>11</v>
      </c>
      <c r="B15" s="8" t="s">
        <v>42</v>
      </c>
      <c r="C15" s="37" t="s">
        <v>83</v>
      </c>
      <c r="D15" s="3">
        <v>95000</v>
      </c>
      <c r="E15" s="7">
        <v>95000</v>
      </c>
      <c r="F15" s="9" t="s">
        <v>48</v>
      </c>
      <c r="G15" s="11" t="s">
        <v>80</v>
      </c>
    </row>
    <row r="16" spans="1:7">
      <c r="A16" s="12">
        <v>12</v>
      </c>
      <c r="B16" s="8" t="s">
        <v>43</v>
      </c>
      <c r="C16" s="37" t="s">
        <v>83</v>
      </c>
      <c r="D16" s="3">
        <v>43800</v>
      </c>
      <c r="E16" s="7">
        <v>43800</v>
      </c>
      <c r="F16" s="9" t="s">
        <v>49</v>
      </c>
      <c r="G16" s="11" t="s">
        <v>80</v>
      </c>
    </row>
    <row r="17" spans="1:7">
      <c r="A17" s="12">
        <v>13</v>
      </c>
      <c r="B17" s="8" t="s">
        <v>50</v>
      </c>
      <c r="C17" s="37" t="s">
        <v>83</v>
      </c>
      <c r="D17" s="3">
        <v>84000</v>
      </c>
      <c r="E17" s="7">
        <v>84000</v>
      </c>
      <c r="F17" s="9" t="s">
        <v>52</v>
      </c>
      <c r="G17" s="11" t="s">
        <v>80</v>
      </c>
    </row>
    <row r="18" spans="1:7">
      <c r="A18" s="12">
        <v>14</v>
      </c>
      <c r="B18" s="8" t="s">
        <v>51</v>
      </c>
      <c r="C18" s="37" t="s">
        <v>83</v>
      </c>
      <c r="D18" s="3">
        <v>84000</v>
      </c>
      <c r="E18" s="7">
        <v>84000</v>
      </c>
      <c r="F18" s="9" t="s">
        <v>53</v>
      </c>
      <c r="G18" s="11" t="s">
        <v>80</v>
      </c>
    </row>
    <row r="19" spans="1:7">
      <c r="A19" s="12">
        <v>15</v>
      </c>
      <c r="B19" s="8" t="s">
        <v>54</v>
      </c>
      <c r="C19" s="37" t="s">
        <v>83</v>
      </c>
      <c r="D19" s="3">
        <v>28500</v>
      </c>
      <c r="E19" s="7">
        <v>28500</v>
      </c>
      <c r="F19" s="9" t="s">
        <v>55</v>
      </c>
      <c r="G19" s="11" t="s">
        <v>80</v>
      </c>
    </row>
    <row r="20" spans="1:7">
      <c r="A20" s="12">
        <v>16</v>
      </c>
      <c r="B20" s="8" t="s">
        <v>56</v>
      </c>
      <c r="C20" s="5" t="s">
        <v>14</v>
      </c>
      <c r="D20" s="3">
        <v>12000</v>
      </c>
      <c r="E20" s="7">
        <v>12000</v>
      </c>
      <c r="F20" s="9" t="s">
        <v>58</v>
      </c>
      <c r="G20" s="11" t="s">
        <v>80</v>
      </c>
    </row>
    <row r="21" spans="1:7">
      <c r="A21" s="12">
        <v>17</v>
      </c>
      <c r="B21" s="8" t="s">
        <v>57</v>
      </c>
      <c r="C21" s="5" t="s">
        <v>24</v>
      </c>
      <c r="D21" s="3">
        <v>17800</v>
      </c>
      <c r="E21" s="7">
        <f>SUM(D21*3)</f>
        <v>53400</v>
      </c>
      <c r="F21" s="39" t="s">
        <v>59</v>
      </c>
      <c r="G21" s="11" t="s">
        <v>80</v>
      </c>
    </row>
    <row r="22" spans="1:7">
      <c r="A22" s="12">
        <v>18</v>
      </c>
      <c r="B22" s="8" t="s">
        <v>60</v>
      </c>
      <c r="C22" s="5" t="s">
        <v>24</v>
      </c>
      <c r="D22" s="3">
        <v>12800</v>
      </c>
      <c r="E22" s="7">
        <f>SUM(D22*3)</f>
        <v>38400</v>
      </c>
      <c r="F22" s="39" t="s">
        <v>62</v>
      </c>
      <c r="G22" s="11" t="s">
        <v>80</v>
      </c>
    </row>
    <row r="23" spans="1:7">
      <c r="A23" s="12">
        <v>19</v>
      </c>
      <c r="B23" s="8" t="s">
        <v>61</v>
      </c>
      <c r="C23" s="5" t="s">
        <v>84</v>
      </c>
      <c r="D23" s="3">
        <v>8400</v>
      </c>
      <c r="E23" s="7">
        <f>SUM(D23*5)</f>
        <v>42000</v>
      </c>
      <c r="F23" s="39" t="s">
        <v>63</v>
      </c>
      <c r="G23" s="11" t="s">
        <v>80</v>
      </c>
    </row>
    <row r="24" spans="1:7">
      <c r="A24" s="12">
        <v>20</v>
      </c>
      <c r="B24" s="8" t="s">
        <v>65</v>
      </c>
      <c r="C24" s="5" t="s">
        <v>84</v>
      </c>
      <c r="D24" s="3">
        <v>8400</v>
      </c>
      <c r="E24" s="7">
        <f>SUM(D24*5)</f>
        <v>42000</v>
      </c>
      <c r="F24" s="39" t="s">
        <v>64</v>
      </c>
      <c r="G24" s="11" t="s">
        <v>80</v>
      </c>
    </row>
    <row r="25" spans="1:7">
      <c r="A25" s="12">
        <v>21</v>
      </c>
      <c r="B25" s="8" t="s">
        <v>66</v>
      </c>
      <c r="C25" s="5" t="s">
        <v>14</v>
      </c>
      <c r="D25" s="3">
        <v>29700</v>
      </c>
      <c r="E25" s="7">
        <v>29700</v>
      </c>
      <c r="F25" s="9" t="s">
        <v>67</v>
      </c>
      <c r="G25" s="11" t="s">
        <v>80</v>
      </c>
    </row>
    <row r="26" spans="1:7">
      <c r="A26" s="12">
        <v>22</v>
      </c>
      <c r="B26" s="8" t="s">
        <v>69</v>
      </c>
      <c r="C26" s="5" t="s">
        <v>14</v>
      </c>
      <c r="D26" s="3">
        <v>45000</v>
      </c>
      <c r="E26" s="7">
        <v>45000</v>
      </c>
      <c r="F26" s="9" t="s">
        <v>71</v>
      </c>
      <c r="G26" s="11" t="s">
        <v>80</v>
      </c>
    </row>
    <row r="27" spans="1:7">
      <c r="A27" s="12">
        <v>23</v>
      </c>
      <c r="B27" s="8" t="s">
        <v>70</v>
      </c>
      <c r="C27" s="5" t="s">
        <v>85</v>
      </c>
      <c r="D27" s="3">
        <v>59100</v>
      </c>
      <c r="E27" s="7">
        <v>59100</v>
      </c>
      <c r="F27" s="9" t="s">
        <v>72</v>
      </c>
      <c r="G27" s="11" t="s">
        <v>80</v>
      </c>
    </row>
    <row r="28" spans="1:7">
      <c r="A28" s="12">
        <v>24</v>
      </c>
      <c r="B28" s="8" t="s">
        <v>73</v>
      </c>
      <c r="C28" s="5" t="s">
        <v>28</v>
      </c>
      <c r="D28" s="3">
        <v>16217.5</v>
      </c>
      <c r="E28" s="7">
        <f>SUM(D28*2)</f>
        <v>32435</v>
      </c>
      <c r="F28" s="16" t="s">
        <v>74</v>
      </c>
      <c r="G28" s="11" t="s">
        <v>80</v>
      </c>
    </row>
    <row r="29" spans="1:7">
      <c r="A29" s="12">
        <v>25</v>
      </c>
      <c r="B29" s="53" t="s">
        <v>29</v>
      </c>
      <c r="C29" s="5" t="s">
        <v>85</v>
      </c>
      <c r="D29" s="54">
        <v>18500</v>
      </c>
      <c r="E29" s="7">
        <v>18500</v>
      </c>
      <c r="F29" s="55" t="s">
        <v>75</v>
      </c>
      <c r="G29" s="11" t="s">
        <v>82</v>
      </c>
    </row>
    <row r="30" spans="1:7">
      <c r="A30" s="12">
        <v>26</v>
      </c>
      <c r="B30" s="52" t="s">
        <v>78</v>
      </c>
      <c r="C30" s="5" t="s">
        <v>86</v>
      </c>
      <c r="D30" s="3">
        <v>15000</v>
      </c>
      <c r="E30" s="7">
        <f>SUM(D30*2)</f>
        <v>30000</v>
      </c>
      <c r="F30" s="19" t="s">
        <v>76</v>
      </c>
      <c r="G30" s="11" t="s">
        <v>82</v>
      </c>
    </row>
    <row r="31" spans="1:7">
      <c r="A31" s="12">
        <v>27</v>
      </c>
      <c r="B31" s="52" t="s">
        <v>79</v>
      </c>
      <c r="C31" s="20" t="s">
        <v>14</v>
      </c>
      <c r="D31" s="3">
        <v>25000</v>
      </c>
      <c r="E31" s="7">
        <v>25000</v>
      </c>
      <c r="F31" s="19" t="s">
        <v>77</v>
      </c>
      <c r="G31" s="11" t="s">
        <v>82</v>
      </c>
    </row>
    <row r="32" spans="1:7">
      <c r="A32" s="12"/>
      <c r="B32" s="44" t="s">
        <v>17</v>
      </c>
      <c r="C32" s="12"/>
      <c r="D32" s="16"/>
      <c r="E32" s="41">
        <f>SUM(E5:E31)</f>
        <v>1168369</v>
      </c>
      <c r="F32" s="16"/>
    </row>
    <row r="34" spans="1:7">
      <c r="C34" s="15" t="s">
        <v>7</v>
      </c>
      <c r="D34" s="69" t="s">
        <v>8</v>
      </c>
      <c r="E34" s="69"/>
      <c r="F34" s="11" t="s">
        <v>9</v>
      </c>
    </row>
    <row r="35" spans="1:7">
      <c r="D35" s="69" t="s">
        <v>19</v>
      </c>
      <c r="E35" s="69"/>
    </row>
    <row r="36" spans="1:7" ht="33" customHeight="1">
      <c r="C36" s="15" t="s">
        <v>7</v>
      </c>
      <c r="D36" s="69" t="s">
        <v>8</v>
      </c>
      <c r="E36" s="69"/>
      <c r="F36" s="11" t="s">
        <v>10</v>
      </c>
    </row>
    <row r="37" spans="1:7">
      <c r="D37" s="69" t="s">
        <v>20</v>
      </c>
      <c r="E37" s="69"/>
    </row>
    <row r="38" spans="1:7" ht="33.75" customHeight="1">
      <c r="C38" s="15" t="s">
        <v>7</v>
      </c>
      <c r="D38" s="69" t="s">
        <v>8</v>
      </c>
      <c r="E38" s="69"/>
      <c r="F38" s="11" t="s">
        <v>11</v>
      </c>
    </row>
    <row r="39" spans="1:7">
      <c r="D39" s="69" t="s">
        <v>21</v>
      </c>
      <c r="E39" s="69"/>
    </row>
    <row r="40" spans="1:7">
      <c r="A40" s="64" t="s">
        <v>0</v>
      </c>
      <c r="B40" s="64"/>
      <c r="C40" s="64"/>
      <c r="D40" s="64"/>
      <c r="E40" s="64"/>
      <c r="F40" s="64"/>
    </row>
    <row r="41" spans="1:7">
      <c r="A41" s="65" t="s">
        <v>18</v>
      </c>
      <c r="B41" s="65"/>
      <c r="C41" s="65"/>
      <c r="D41" s="65"/>
      <c r="E41" s="65"/>
      <c r="F41" s="65"/>
    </row>
    <row r="42" spans="1:7">
      <c r="A42" s="66" t="s">
        <v>6</v>
      </c>
      <c r="B42" s="67" t="s">
        <v>1</v>
      </c>
      <c r="C42" s="68" t="s">
        <v>2</v>
      </c>
      <c r="D42" s="68"/>
      <c r="E42" s="68"/>
      <c r="F42" s="67" t="s">
        <v>5</v>
      </c>
    </row>
    <row r="43" spans="1:7">
      <c r="A43" s="67"/>
      <c r="B43" s="67"/>
      <c r="C43" s="13" t="s">
        <v>3</v>
      </c>
      <c r="D43" s="14" t="s">
        <v>13</v>
      </c>
      <c r="E43" s="51" t="s">
        <v>4</v>
      </c>
      <c r="F43" s="67"/>
    </row>
    <row r="44" spans="1:7">
      <c r="A44" s="12"/>
      <c r="B44" s="45" t="s">
        <v>16</v>
      </c>
      <c r="C44" s="1"/>
      <c r="D44" s="2"/>
      <c r="E44" s="41">
        <f>SUM(E32)</f>
        <v>1168369</v>
      </c>
      <c r="F44" s="16"/>
    </row>
    <row r="45" spans="1:7">
      <c r="A45" s="12">
        <v>28</v>
      </c>
      <c r="B45" s="8" t="s">
        <v>94</v>
      </c>
      <c r="C45" s="5" t="s">
        <v>90</v>
      </c>
      <c r="D45" s="7">
        <v>3271.03</v>
      </c>
      <c r="E45" s="7">
        <f>SUM(D45*10)</f>
        <v>32710.300000000003</v>
      </c>
      <c r="F45" s="39" t="s">
        <v>93</v>
      </c>
      <c r="G45" s="11" t="s">
        <v>135</v>
      </c>
    </row>
    <row r="46" spans="1:7">
      <c r="A46" s="12">
        <v>29</v>
      </c>
      <c r="B46" s="8" t="s">
        <v>96</v>
      </c>
      <c r="C46" s="5" t="s">
        <v>90</v>
      </c>
      <c r="D46" s="7">
        <v>4970</v>
      </c>
      <c r="E46" s="7">
        <f>SUM(D46*10)</f>
        <v>49700</v>
      </c>
      <c r="F46" s="50" t="s">
        <v>95</v>
      </c>
      <c r="G46" s="11" t="s">
        <v>135</v>
      </c>
    </row>
    <row r="47" spans="1:7">
      <c r="A47" s="12">
        <v>30</v>
      </c>
      <c r="B47" s="8" t="s">
        <v>97</v>
      </c>
      <c r="C47" s="5" t="s">
        <v>88</v>
      </c>
      <c r="D47" s="24">
        <v>1605</v>
      </c>
      <c r="E47" s="7">
        <f>SUM(D47*10)</f>
        <v>16050</v>
      </c>
      <c r="F47" s="49" t="s">
        <v>98</v>
      </c>
      <c r="G47" s="11" t="s">
        <v>135</v>
      </c>
    </row>
    <row r="48" spans="1:7">
      <c r="A48" s="12">
        <v>31</v>
      </c>
      <c r="B48" s="8" t="s">
        <v>99</v>
      </c>
      <c r="C48" s="5" t="s">
        <v>27</v>
      </c>
      <c r="D48" s="7">
        <v>499900</v>
      </c>
      <c r="E48" s="10">
        <v>499900</v>
      </c>
      <c r="F48" s="9" t="s">
        <v>101</v>
      </c>
      <c r="G48" s="11" t="s">
        <v>135</v>
      </c>
    </row>
    <row r="49" spans="1:7">
      <c r="A49" s="12">
        <v>32</v>
      </c>
      <c r="B49" s="8" t="s">
        <v>100</v>
      </c>
      <c r="C49" s="5" t="s">
        <v>159</v>
      </c>
      <c r="D49" s="7">
        <v>49972</v>
      </c>
      <c r="E49" s="10">
        <f>SUM(D49*7)</f>
        <v>349804</v>
      </c>
      <c r="F49" s="49" t="s">
        <v>102</v>
      </c>
      <c r="G49" s="11" t="s">
        <v>135</v>
      </c>
    </row>
    <row r="50" spans="1:7">
      <c r="A50" s="12">
        <v>33</v>
      </c>
      <c r="B50" s="8" t="s">
        <v>103</v>
      </c>
      <c r="C50" s="5" t="s">
        <v>90</v>
      </c>
      <c r="D50" s="7">
        <v>14970</v>
      </c>
      <c r="E50" s="10">
        <f>SUM(D50*10)</f>
        <v>149700</v>
      </c>
      <c r="F50" s="49" t="s">
        <v>104</v>
      </c>
      <c r="G50" s="11" t="s">
        <v>135</v>
      </c>
    </row>
    <row r="51" spans="1:7">
      <c r="A51" s="12">
        <v>34</v>
      </c>
      <c r="B51" s="8" t="s">
        <v>106</v>
      </c>
      <c r="C51" s="5" t="s">
        <v>87</v>
      </c>
      <c r="D51" s="7">
        <v>9950</v>
      </c>
      <c r="E51" s="10">
        <f>SUM(D51*6)</f>
        <v>59700</v>
      </c>
      <c r="F51" s="50" t="s">
        <v>105</v>
      </c>
      <c r="G51" s="11" t="s">
        <v>135</v>
      </c>
    </row>
    <row r="52" spans="1:7">
      <c r="A52" s="12">
        <v>35</v>
      </c>
      <c r="B52" s="18" t="s">
        <v>108</v>
      </c>
      <c r="C52" s="6" t="s">
        <v>27</v>
      </c>
      <c r="D52" s="22">
        <v>484700</v>
      </c>
      <c r="E52" s="3">
        <v>484700</v>
      </c>
      <c r="F52" s="25" t="s">
        <v>107</v>
      </c>
      <c r="G52" s="11" t="s">
        <v>135</v>
      </c>
    </row>
    <row r="53" spans="1:7">
      <c r="A53" s="12">
        <v>36</v>
      </c>
      <c r="B53" s="9" t="s">
        <v>109</v>
      </c>
      <c r="C53" s="5" t="s">
        <v>28</v>
      </c>
      <c r="D53" s="7">
        <v>17200</v>
      </c>
      <c r="E53" s="7">
        <f>SUM(D53*2)</f>
        <v>34400</v>
      </c>
      <c r="F53" s="49" t="s">
        <v>110</v>
      </c>
      <c r="G53" s="11" t="s">
        <v>135</v>
      </c>
    </row>
    <row r="54" spans="1:7">
      <c r="A54" s="12">
        <v>37</v>
      </c>
      <c r="B54" s="8" t="s">
        <v>111</v>
      </c>
      <c r="C54" s="5" t="s">
        <v>27</v>
      </c>
      <c r="D54" s="7">
        <v>925000</v>
      </c>
      <c r="E54" s="3">
        <v>925000</v>
      </c>
      <c r="F54" s="9" t="s">
        <v>113</v>
      </c>
      <c r="G54" s="11" t="s">
        <v>135</v>
      </c>
    </row>
    <row r="55" spans="1:7">
      <c r="A55" s="12">
        <v>38</v>
      </c>
      <c r="B55" s="8" t="s">
        <v>112</v>
      </c>
      <c r="C55" s="5" t="s">
        <v>27</v>
      </c>
      <c r="D55" s="7">
        <v>541900</v>
      </c>
      <c r="E55" s="3">
        <v>541900</v>
      </c>
      <c r="F55" s="9" t="s">
        <v>114</v>
      </c>
      <c r="G55" s="11" t="s">
        <v>135</v>
      </c>
    </row>
    <row r="56" spans="1:7">
      <c r="A56" s="12">
        <v>39</v>
      </c>
      <c r="B56" s="8" t="s">
        <v>115</v>
      </c>
      <c r="C56" s="5" t="s">
        <v>27</v>
      </c>
      <c r="D56" s="7">
        <v>179760</v>
      </c>
      <c r="E56" s="7">
        <v>179760</v>
      </c>
      <c r="F56" s="9" t="s">
        <v>116</v>
      </c>
      <c r="G56" s="11" t="s">
        <v>135</v>
      </c>
    </row>
    <row r="57" spans="1:7">
      <c r="A57" s="12">
        <v>40</v>
      </c>
      <c r="B57" s="8" t="s">
        <v>119</v>
      </c>
      <c r="C57" s="5" t="s">
        <v>27</v>
      </c>
      <c r="D57" s="7">
        <v>29700</v>
      </c>
      <c r="E57" s="7">
        <v>29700</v>
      </c>
      <c r="F57" s="23" t="s">
        <v>121</v>
      </c>
      <c r="G57" s="11" t="s">
        <v>135</v>
      </c>
    </row>
    <row r="58" spans="1:7">
      <c r="A58" s="12">
        <v>41</v>
      </c>
      <c r="B58" s="8" t="s">
        <v>120</v>
      </c>
      <c r="C58" s="5" t="s">
        <v>27</v>
      </c>
      <c r="D58" s="7">
        <v>115060</v>
      </c>
      <c r="E58" s="7">
        <v>115060</v>
      </c>
      <c r="F58" s="23" t="s">
        <v>122</v>
      </c>
      <c r="G58" s="11" t="s">
        <v>135</v>
      </c>
    </row>
    <row r="59" spans="1:7">
      <c r="A59" s="12">
        <v>42</v>
      </c>
      <c r="B59" s="26" t="s">
        <v>123</v>
      </c>
      <c r="C59" s="1" t="s">
        <v>27</v>
      </c>
      <c r="D59" s="27">
        <v>44990</v>
      </c>
      <c r="E59" s="7">
        <v>44900</v>
      </c>
      <c r="F59" s="23" t="s">
        <v>124</v>
      </c>
      <c r="G59" s="11" t="s">
        <v>135</v>
      </c>
    </row>
    <row r="60" spans="1:7">
      <c r="A60" s="12">
        <v>43</v>
      </c>
      <c r="B60" s="8" t="s">
        <v>117</v>
      </c>
      <c r="C60" s="5" t="s">
        <v>27</v>
      </c>
      <c r="D60" s="7">
        <v>200000</v>
      </c>
      <c r="E60" s="7">
        <v>200000</v>
      </c>
      <c r="F60" s="23" t="s">
        <v>118</v>
      </c>
      <c r="G60" s="11" t="s">
        <v>135</v>
      </c>
    </row>
    <row r="61" spans="1:7">
      <c r="A61" s="12">
        <v>44</v>
      </c>
      <c r="B61" s="8" t="s">
        <v>125</v>
      </c>
      <c r="C61" s="5" t="s">
        <v>27</v>
      </c>
      <c r="D61" s="7">
        <v>271500</v>
      </c>
      <c r="E61" s="7">
        <v>271500</v>
      </c>
      <c r="F61" s="9" t="s">
        <v>126</v>
      </c>
      <c r="G61" s="11" t="s">
        <v>135</v>
      </c>
    </row>
    <row r="62" spans="1:7">
      <c r="A62" s="12">
        <v>45</v>
      </c>
      <c r="B62" s="8" t="s">
        <v>131</v>
      </c>
      <c r="C62" s="5" t="s">
        <v>14</v>
      </c>
      <c r="D62" s="7">
        <v>42900</v>
      </c>
      <c r="E62" s="7">
        <v>42900</v>
      </c>
      <c r="F62" s="9" t="s">
        <v>132</v>
      </c>
      <c r="G62" s="11" t="s">
        <v>135</v>
      </c>
    </row>
    <row r="63" spans="1:7">
      <c r="A63" s="12">
        <v>46</v>
      </c>
      <c r="B63" s="8" t="s">
        <v>127</v>
      </c>
      <c r="C63" s="5" t="s">
        <v>27</v>
      </c>
      <c r="D63" s="7">
        <v>58300</v>
      </c>
      <c r="E63" s="7">
        <v>58300</v>
      </c>
      <c r="F63" s="9" t="s">
        <v>129</v>
      </c>
      <c r="G63" s="11" t="s">
        <v>135</v>
      </c>
    </row>
    <row r="64" spans="1:7">
      <c r="A64" s="12">
        <v>47</v>
      </c>
      <c r="B64" s="8" t="s">
        <v>128</v>
      </c>
      <c r="C64" s="5" t="s">
        <v>27</v>
      </c>
      <c r="D64" s="7">
        <v>46200</v>
      </c>
      <c r="E64" s="7">
        <v>46200</v>
      </c>
      <c r="F64" s="9" t="s">
        <v>130</v>
      </c>
      <c r="G64" s="11" t="s">
        <v>135</v>
      </c>
    </row>
    <row r="65" spans="1:7">
      <c r="A65" s="12">
        <v>48</v>
      </c>
      <c r="B65" s="8" t="s">
        <v>133</v>
      </c>
      <c r="C65" s="5" t="s">
        <v>27</v>
      </c>
      <c r="D65" s="7">
        <v>176550</v>
      </c>
      <c r="E65" s="7">
        <v>176550</v>
      </c>
      <c r="F65" s="9" t="s">
        <v>134</v>
      </c>
      <c r="G65" s="11" t="s">
        <v>135</v>
      </c>
    </row>
    <row r="66" spans="1:7">
      <c r="A66" s="12">
        <v>49</v>
      </c>
      <c r="B66" s="8" t="s">
        <v>136</v>
      </c>
      <c r="C66" s="29" t="s">
        <v>88</v>
      </c>
      <c r="D66" s="3">
        <v>3000</v>
      </c>
      <c r="E66" s="3">
        <f>SUM(D66*10)</f>
        <v>30000</v>
      </c>
      <c r="F66" s="50" t="s">
        <v>137</v>
      </c>
      <c r="G66" s="11" t="s">
        <v>148</v>
      </c>
    </row>
    <row r="67" spans="1:7">
      <c r="A67" s="12">
        <v>50</v>
      </c>
      <c r="B67" s="9" t="s">
        <v>139</v>
      </c>
      <c r="C67" s="29" t="s">
        <v>88</v>
      </c>
      <c r="D67" s="3">
        <v>3000</v>
      </c>
      <c r="E67" s="3">
        <f>SUM(D67*10)</f>
        <v>30000</v>
      </c>
      <c r="F67" s="50" t="s">
        <v>138</v>
      </c>
      <c r="G67" s="11" t="s">
        <v>148</v>
      </c>
    </row>
    <row r="68" spans="1:7">
      <c r="A68" s="12">
        <v>51</v>
      </c>
      <c r="B68" s="8" t="s">
        <v>141</v>
      </c>
      <c r="C68" s="29" t="s">
        <v>91</v>
      </c>
      <c r="D68" s="3">
        <v>4494</v>
      </c>
      <c r="E68" s="3">
        <f>SUM(D68*5)</f>
        <v>22470</v>
      </c>
      <c r="F68" s="50" t="s">
        <v>140</v>
      </c>
      <c r="G68" s="11" t="s">
        <v>148</v>
      </c>
    </row>
    <row r="69" spans="1:7">
      <c r="A69" s="12">
        <v>52</v>
      </c>
      <c r="B69" s="8" t="s">
        <v>143</v>
      </c>
      <c r="C69" s="29" t="s">
        <v>85</v>
      </c>
      <c r="D69" s="3">
        <v>2461</v>
      </c>
      <c r="E69" s="3">
        <v>2461</v>
      </c>
      <c r="F69" s="9" t="s">
        <v>142</v>
      </c>
      <c r="G69" s="11" t="s">
        <v>148</v>
      </c>
    </row>
    <row r="70" spans="1:7">
      <c r="A70" s="12">
        <v>53</v>
      </c>
      <c r="B70" s="8" t="s">
        <v>149</v>
      </c>
      <c r="C70" s="29" t="s">
        <v>27</v>
      </c>
      <c r="D70" s="7">
        <v>40000</v>
      </c>
      <c r="E70" s="3">
        <v>40000</v>
      </c>
      <c r="F70" s="23" t="s">
        <v>150</v>
      </c>
      <c r="G70" s="11" t="s">
        <v>148</v>
      </c>
    </row>
    <row r="71" spans="1:7">
      <c r="A71" s="12"/>
      <c r="B71" s="44" t="s">
        <v>17</v>
      </c>
      <c r="C71" s="5"/>
      <c r="D71" s="7"/>
      <c r="E71" s="43">
        <f>SUM(E44:E70)</f>
        <v>5601734.2999999998</v>
      </c>
      <c r="F71" s="9"/>
    </row>
    <row r="73" spans="1:7">
      <c r="C73" s="15" t="s">
        <v>7</v>
      </c>
      <c r="D73" s="69" t="s">
        <v>8</v>
      </c>
      <c r="E73" s="69"/>
      <c r="F73" s="11" t="s">
        <v>9</v>
      </c>
    </row>
    <row r="74" spans="1:7">
      <c r="D74" s="69" t="s">
        <v>19</v>
      </c>
      <c r="E74" s="69"/>
    </row>
    <row r="75" spans="1:7" ht="33" customHeight="1">
      <c r="C75" s="15" t="s">
        <v>7</v>
      </c>
      <c r="D75" s="69" t="s">
        <v>8</v>
      </c>
      <c r="E75" s="69"/>
      <c r="F75" s="11" t="s">
        <v>10</v>
      </c>
    </row>
    <row r="76" spans="1:7">
      <c r="D76" s="69" t="s">
        <v>20</v>
      </c>
      <c r="E76" s="69"/>
    </row>
    <row r="77" spans="1:7" ht="33.75" customHeight="1">
      <c r="C77" s="15" t="s">
        <v>7</v>
      </c>
      <c r="D77" s="69" t="s">
        <v>8</v>
      </c>
      <c r="E77" s="69"/>
      <c r="F77" s="11" t="s">
        <v>11</v>
      </c>
    </row>
    <row r="78" spans="1:7">
      <c r="D78" s="69" t="s">
        <v>21</v>
      </c>
      <c r="E78" s="69"/>
    </row>
    <row r="79" spans="1:7">
      <c r="A79" s="64" t="s">
        <v>0</v>
      </c>
      <c r="B79" s="64"/>
      <c r="C79" s="64"/>
      <c r="D79" s="64"/>
      <c r="E79" s="64"/>
      <c r="F79" s="64"/>
    </row>
    <row r="80" spans="1:7">
      <c r="A80" s="65" t="s">
        <v>18</v>
      </c>
      <c r="B80" s="65"/>
      <c r="C80" s="65"/>
      <c r="D80" s="65"/>
      <c r="E80" s="65"/>
      <c r="F80" s="65"/>
    </row>
    <row r="81" spans="1:7">
      <c r="A81" s="66" t="s">
        <v>6</v>
      </c>
      <c r="B81" s="67" t="s">
        <v>1</v>
      </c>
      <c r="C81" s="68" t="s">
        <v>2</v>
      </c>
      <c r="D81" s="68"/>
      <c r="E81" s="68"/>
      <c r="F81" s="67" t="s">
        <v>5</v>
      </c>
    </row>
    <row r="82" spans="1:7">
      <c r="A82" s="67"/>
      <c r="B82" s="67"/>
      <c r="C82" s="13" t="s">
        <v>3</v>
      </c>
      <c r="D82" s="14" t="s">
        <v>13</v>
      </c>
      <c r="E82" s="51" t="s">
        <v>4</v>
      </c>
      <c r="F82" s="67"/>
    </row>
    <row r="83" spans="1:7">
      <c r="A83" s="12"/>
      <c r="B83" s="45" t="s">
        <v>16</v>
      </c>
      <c r="C83" s="16"/>
      <c r="D83" s="16"/>
      <c r="E83" s="42">
        <f>SUM(E71)</f>
        <v>5601734.2999999998</v>
      </c>
      <c r="F83" s="16"/>
    </row>
    <row r="84" spans="1:7">
      <c r="A84" s="12">
        <v>54</v>
      </c>
      <c r="B84" s="8" t="s">
        <v>151</v>
      </c>
      <c r="C84" s="5" t="s">
        <v>27</v>
      </c>
      <c r="D84" s="7">
        <v>199700</v>
      </c>
      <c r="E84" s="3">
        <v>199700</v>
      </c>
      <c r="F84" s="9" t="s">
        <v>152</v>
      </c>
      <c r="G84" s="11" t="s">
        <v>148</v>
      </c>
    </row>
    <row r="85" spans="1:7">
      <c r="A85" s="12">
        <v>55</v>
      </c>
      <c r="B85" s="8" t="s">
        <v>145</v>
      </c>
      <c r="C85" s="29" t="s">
        <v>85</v>
      </c>
      <c r="D85" s="7">
        <v>15400</v>
      </c>
      <c r="E85" s="7">
        <v>15400</v>
      </c>
      <c r="F85" s="23" t="s">
        <v>144</v>
      </c>
      <c r="G85" s="11" t="s">
        <v>148</v>
      </c>
    </row>
    <row r="86" spans="1:7">
      <c r="A86" s="12">
        <v>56</v>
      </c>
      <c r="B86" s="8" t="s">
        <v>68</v>
      </c>
      <c r="C86" s="29" t="s">
        <v>27</v>
      </c>
      <c r="D86" s="7">
        <v>33000</v>
      </c>
      <c r="E86" s="3">
        <v>33000</v>
      </c>
      <c r="F86" s="9" t="s">
        <v>153</v>
      </c>
      <c r="G86" s="11" t="s">
        <v>148</v>
      </c>
    </row>
    <row r="87" spans="1:7">
      <c r="A87" s="12">
        <v>57</v>
      </c>
      <c r="B87" s="8" t="s">
        <v>154</v>
      </c>
      <c r="C87" s="29" t="s">
        <v>14</v>
      </c>
      <c r="D87" s="7">
        <v>28000</v>
      </c>
      <c r="E87" s="3">
        <v>28000</v>
      </c>
      <c r="F87" s="9" t="s">
        <v>155</v>
      </c>
      <c r="G87" s="11" t="s">
        <v>148</v>
      </c>
    </row>
    <row r="88" spans="1:7">
      <c r="A88" s="12">
        <v>58</v>
      </c>
      <c r="B88" s="30" t="s">
        <v>156</v>
      </c>
      <c r="C88" s="29" t="s">
        <v>14</v>
      </c>
      <c r="D88" s="7">
        <v>40000</v>
      </c>
      <c r="E88" s="10">
        <v>40000</v>
      </c>
      <c r="F88" s="19" t="s">
        <v>157</v>
      </c>
      <c r="G88" s="11" t="s">
        <v>148</v>
      </c>
    </row>
    <row r="89" spans="1:7">
      <c r="A89" s="12">
        <v>59</v>
      </c>
      <c r="B89" s="30" t="s">
        <v>147</v>
      </c>
      <c r="C89" s="20" t="s">
        <v>86</v>
      </c>
      <c r="D89" s="7">
        <v>23000</v>
      </c>
      <c r="E89" s="7">
        <v>46000</v>
      </c>
      <c r="F89" s="19" t="s">
        <v>146</v>
      </c>
      <c r="G89" s="11" t="s">
        <v>148</v>
      </c>
    </row>
    <row r="90" spans="1:7">
      <c r="A90" s="12">
        <v>60</v>
      </c>
      <c r="B90" s="8" t="s">
        <v>160</v>
      </c>
      <c r="C90" s="5" t="s">
        <v>167</v>
      </c>
      <c r="D90" s="3">
        <v>1722</v>
      </c>
      <c r="E90" s="3">
        <f>SUM(D90*4)</f>
        <v>6888</v>
      </c>
      <c r="F90" s="9" t="s">
        <v>161</v>
      </c>
      <c r="G90" s="11" t="s">
        <v>166</v>
      </c>
    </row>
    <row r="91" spans="1:7">
      <c r="A91" s="12">
        <v>61</v>
      </c>
      <c r="B91" s="47" t="s">
        <v>164</v>
      </c>
      <c r="C91" s="6" t="s">
        <v>14</v>
      </c>
      <c r="D91" s="4">
        <v>6000</v>
      </c>
      <c r="E91" s="3">
        <v>6000</v>
      </c>
      <c r="F91" s="18" t="s">
        <v>162</v>
      </c>
      <c r="G91" s="11" t="s">
        <v>166</v>
      </c>
    </row>
    <row r="92" spans="1:7">
      <c r="A92" s="12">
        <v>62</v>
      </c>
      <c r="B92" s="8" t="s">
        <v>165</v>
      </c>
      <c r="C92" s="5" t="s">
        <v>14</v>
      </c>
      <c r="D92" s="3">
        <v>20000</v>
      </c>
      <c r="E92" s="3">
        <v>20000</v>
      </c>
      <c r="F92" s="9" t="s">
        <v>163</v>
      </c>
      <c r="G92" s="11" t="s">
        <v>166</v>
      </c>
    </row>
    <row r="93" spans="1:7">
      <c r="A93" s="12">
        <v>63</v>
      </c>
      <c r="B93" s="8" t="s">
        <v>170</v>
      </c>
      <c r="C93" s="5" t="s">
        <v>198</v>
      </c>
      <c r="D93" s="31">
        <v>1600</v>
      </c>
      <c r="E93" s="3">
        <f>SUM(D93*42)</f>
        <v>67200</v>
      </c>
      <c r="F93" s="8" t="s">
        <v>171</v>
      </c>
      <c r="G93" s="11" t="s">
        <v>197</v>
      </c>
    </row>
    <row r="94" spans="1:7">
      <c r="A94" s="12">
        <v>64</v>
      </c>
      <c r="B94" s="8" t="s">
        <v>170</v>
      </c>
      <c r="C94" s="5" t="s">
        <v>199</v>
      </c>
      <c r="D94" s="31">
        <v>1600</v>
      </c>
      <c r="E94" s="7">
        <f>SUM(D94*90)</f>
        <v>144000</v>
      </c>
      <c r="F94" s="40" t="s">
        <v>172</v>
      </c>
      <c r="G94" s="11" t="s">
        <v>197</v>
      </c>
    </row>
    <row r="95" spans="1:7">
      <c r="A95" s="12">
        <v>65</v>
      </c>
      <c r="B95" s="8" t="s">
        <v>173</v>
      </c>
      <c r="C95" s="5" t="s">
        <v>204</v>
      </c>
      <c r="D95" s="31">
        <v>2500</v>
      </c>
      <c r="E95" s="21">
        <f>SUM(D95*46)</f>
        <v>115000</v>
      </c>
      <c r="F95" s="40" t="s">
        <v>174</v>
      </c>
      <c r="G95" s="11" t="s">
        <v>197</v>
      </c>
    </row>
    <row r="96" spans="1:7">
      <c r="A96" s="12">
        <v>66</v>
      </c>
      <c r="B96" s="8" t="s">
        <v>175</v>
      </c>
      <c r="C96" s="5" t="s">
        <v>33</v>
      </c>
      <c r="D96" s="31">
        <v>1175</v>
      </c>
      <c r="E96" s="3">
        <f>SUM(D96*2)</f>
        <v>2350</v>
      </c>
      <c r="F96" s="8" t="s">
        <v>176</v>
      </c>
      <c r="G96" s="11" t="s">
        <v>197</v>
      </c>
    </row>
    <row r="97" spans="1:7">
      <c r="A97" s="12">
        <v>67</v>
      </c>
      <c r="B97" s="8" t="s">
        <v>168</v>
      </c>
      <c r="C97" s="5" t="s">
        <v>203</v>
      </c>
      <c r="D97" s="31">
        <v>25000</v>
      </c>
      <c r="E97" s="3">
        <f>SUM(D97*185)</f>
        <v>4625000</v>
      </c>
      <c r="F97" s="40" t="s">
        <v>169</v>
      </c>
      <c r="G97" s="11" t="s">
        <v>197</v>
      </c>
    </row>
    <row r="98" spans="1:7">
      <c r="A98" s="12">
        <v>68</v>
      </c>
      <c r="B98" s="8" t="s">
        <v>177</v>
      </c>
      <c r="C98" s="5" t="s">
        <v>200</v>
      </c>
      <c r="D98" s="31">
        <v>8000</v>
      </c>
      <c r="E98" s="7">
        <f>SUM(D98*25)</f>
        <v>200000</v>
      </c>
      <c r="F98" s="40" t="s">
        <v>179</v>
      </c>
      <c r="G98" s="11" t="s">
        <v>197</v>
      </c>
    </row>
    <row r="99" spans="1:7">
      <c r="A99" s="12">
        <v>69</v>
      </c>
      <c r="B99" s="8" t="s">
        <v>178</v>
      </c>
      <c r="C99" s="5" t="s">
        <v>200</v>
      </c>
      <c r="D99" s="31">
        <v>8000</v>
      </c>
      <c r="E99" s="7">
        <f>SUM(D99*25)</f>
        <v>200000</v>
      </c>
      <c r="F99" s="40" t="s">
        <v>180</v>
      </c>
      <c r="G99" s="11" t="s">
        <v>197</v>
      </c>
    </row>
    <row r="100" spans="1:7">
      <c r="A100" s="12">
        <v>70</v>
      </c>
      <c r="B100" s="8" t="s">
        <v>181</v>
      </c>
      <c r="C100" s="5" t="s">
        <v>167</v>
      </c>
      <c r="D100" s="46">
        <v>20000</v>
      </c>
      <c r="E100" s="4">
        <f>SUM(D100*4)</f>
        <v>80000</v>
      </c>
      <c r="F100" s="40" t="s">
        <v>182</v>
      </c>
      <c r="G100" s="11" t="s">
        <v>197</v>
      </c>
    </row>
    <row r="101" spans="1:7">
      <c r="A101" s="12">
        <v>71</v>
      </c>
      <c r="B101" s="8" t="s">
        <v>183</v>
      </c>
      <c r="C101" s="5" t="s">
        <v>200</v>
      </c>
      <c r="D101" s="31">
        <v>8000</v>
      </c>
      <c r="E101" s="7">
        <f t="shared" ref="E101" si="0">SUM(D101*25)</f>
        <v>200000</v>
      </c>
      <c r="F101" s="40" t="s">
        <v>184</v>
      </c>
      <c r="G101" s="11" t="s">
        <v>197</v>
      </c>
    </row>
    <row r="102" spans="1:7">
      <c r="A102" s="12">
        <v>72</v>
      </c>
      <c r="B102" s="8" t="s">
        <v>186</v>
      </c>
      <c r="C102" s="5" t="s">
        <v>201</v>
      </c>
      <c r="D102" s="31">
        <v>8000</v>
      </c>
      <c r="E102" s="7">
        <f>SUM(D102*58)</f>
        <v>464000</v>
      </c>
      <c r="F102" s="8" t="s">
        <v>185</v>
      </c>
      <c r="G102" s="11" t="s">
        <v>197</v>
      </c>
    </row>
    <row r="103" spans="1:7">
      <c r="A103" s="12">
        <v>73</v>
      </c>
      <c r="B103" s="8" t="s">
        <v>187</v>
      </c>
      <c r="C103" s="5" t="s">
        <v>14</v>
      </c>
      <c r="D103" s="46">
        <v>33000</v>
      </c>
      <c r="E103" s="3">
        <v>33000</v>
      </c>
      <c r="F103" s="8" t="s">
        <v>188</v>
      </c>
      <c r="G103" s="11" t="s">
        <v>197</v>
      </c>
    </row>
    <row r="104" spans="1:7">
      <c r="A104" s="12">
        <v>74</v>
      </c>
      <c r="B104" s="47" t="s">
        <v>190</v>
      </c>
      <c r="C104" s="6" t="s">
        <v>14</v>
      </c>
      <c r="D104" s="48">
        <v>5296.5</v>
      </c>
      <c r="E104" s="3">
        <v>5296.5</v>
      </c>
      <c r="F104" s="47" t="s">
        <v>189</v>
      </c>
      <c r="G104" s="11" t="s">
        <v>197</v>
      </c>
    </row>
    <row r="105" spans="1:7">
      <c r="A105" s="12">
        <v>75</v>
      </c>
      <c r="B105" s="8" t="s">
        <v>183</v>
      </c>
      <c r="C105" s="5" t="s">
        <v>202</v>
      </c>
      <c r="D105" s="31">
        <v>12200</v>
      </c>
      <c r="E105" s="7">
        <f>SUM(D105*7)</f>
        <v>85400</v>
      </c>
      <c r="F105" s="8" t="s">
        <v>191</v>
      </c>
      <c r="G105" s="11" t="s">
        <v>197</v>
      </c>
    </row>
    <row r="106" spans="1:7">
      <c r="A106" s="12">
        <v>76</v>
      </c>
      <c r="B106" s="8" t="s">
        <v>183</v>
      </c>
      <c r="C106" s="5" t="s">
        <v>158</v>
      </c>
      <c r="D106" s="31">
        <v>12200</v>
      </c>
      <c r="E106" s="7">
        <f>SUM(D106*6)</f>
        <v>73200</v>
      </c>
      <c r="F106" s="8" t="s">
        <v>192</v>
      </c>
      <c r="G106" s="11" t="s">
        <v>197</v>
      </c>
    </row>
    <row r="107" spans="1:7">
      <c r="A107" s="12">
        <v>77</v>
      </c>
      <c r="B107" s="8" t="s">
        <v>193</v>
      </c>
      <c r="C107" s="5" t="s">
        <v>14</v>
      </c>
      <c r="D107" s="46">
        <v>24000</v>
      </c>
      <c r="E107" s="28">
        <v>24000</v>
      </c>
      <c r="F107" s="8" t="s">
        <v>194</v>
      </c>
      <c r="G107" s="11" t="s">
        <v>197</v>
      </c>
    </row>
    <row r="108" spans="1:7">
      <c r="A108" s="12">
        <v>78</v>
      </c>
      <c r="B108" s="8" t="s">
        <v>195</v>
      </c>
      <c r="C108" s="5" t="s">
        <v>14</v>
      </c>
      <c r="D108" s="10">
        <v>17000</v>
      </c>
      <c r="E108" s="21">
        <f>SUM(D108*15)</f>
        <v>255000</v>
      </c>
      <c r="F108" s="8" t="s">
        <v>196</v>
      </c>
      <c r="G108" s="11" t="s">
        <v>197</v>
      </c>
    </row>
    <row r="109" spans="1:7">
      <c r="A109" s="12">
        <v>79</v>
      </c>
      <c r="B109" s="16" t="s">
        <v>206</v>
      </c>
      <c r="C109" s="34" t="s">
        <v>14</v>
      </c>
      <c r="D109" s="7">
        <v>29000</v>
      </c>
      <c r="E109" s="3">
        <v>29000</v>
      </c>
      <c r="F109" s="17" t="s">
        <v>207</v>
      </c>
      <c r="G109" s="11" t="s">
        <v>270</v>
      </c>
    </row>
    <row r="110" spans="1:7">
      <c r="A110" s="12">
        <v>80</v>
      </c>
      <c r="B110" s="8" t="s">
        <v>195</v>
      </c>
      <c r="C110" s="34" t="s">
        <v>14</v>
      </c>
      <c r="D110" s="7">
        <v>17000</v>
      </c>
      <c r="E110" s="21">
        <v>17000</v>
      </c>
      <c r="F110" s="9" t="s">
        <v>208</v>
      </c>
      <c r="G110" s="11" t="s">
        <v>270</v>
      </c>
    </row>
    <row r="111" spans="1:7">
      <c r="A111" s="12"/>
      <c r="B111" s="44" t="s">
        <v>17</v>
      </c>
      <c r="C111" s="12"/>
      <c r="D111" s="16"/>
      <c r="E111" s="41">
        <f>SUM(E83:E110)</f>
        <v>12616168.800000001</v>
      </c>
      <c r="F111" s="16"/>
    </row>
    <row r="113" spans="1:7">
      <c r="C113" s="15" t="s">
        <v>7</v>
      </c>
      <c r="D113" s="69" t="s">
        <v>8</v>
      </c>
      <c r="E113" s="69"/>
      <c r="F113" s="11" t="s">
        <v>9</v>
      </c>
    </row>
    <row r="114" spans="1:7">
      <c r="B114" s="11" t="s">
        <v>15</v>
      </c>
      <c r="D114" s="69" t="s">
        <v>19</v>
      </c>
      <c r="E114" s="69"/>
    </row>
    <row r="115" spans="1:7">
      <c r="C115" s="15" t="s">
        <v>7</v>
      </c>
      <c r="D115" s="69" t="s">
        <v>8</v>
      </c>
      <c r="E115" s="69"/>
      <c r="F115" s="11" t="s">
        <v>10</v>
      </c>
    </row>
    <row r="116" spans="1:7">
      <c r="D116" s="69" t="s">
        <v>20</v>
      </c>
      <c r="E116" s="69"/>
    </row>
    <row r="117" spans="1:7">
      <c r="C117" s="15" t="s">
        <v>7</v>
      </c>
      <c r="D117" s="69" t="s">
        <v>8</v>
      </c>
      <c r="E117" s="69"/>
      <c r="F117" s="11" t="s">
        <v>11</v>
      </c>
    </row>
    <row r="118" spans="1:7">
      <c r="D118" s="69" t="s">
        <v>21</v>
      </c>
      <c r="E118" s="69"/>
    </row>
    <row r="119" spans="1:7">
      <c r="A119" s="64" t="s">
        <v>0</v>
      </c>
      <c r="B119" s="64"/>
      <c r="C119" s="64"/>
      <c r="D119" s="64"/>
      <c r="E119" s="64"/>
      <c r="F119" s="64"/>
    </row>
    <row r="120" spans="1:7">
      <c r="A120" s="65" t="s">
        <v>18</v>
      </c>
      <c r="B120" s="65"/>
      <c r="C120" s="65"/>
      <c r="D120" s="65"/>
      <c r="E120" s="65"/>
      <c r="F120" s="65"/>
    </row>
    <row r="121" spans="1:7">
      <c r="A121" s="66" t="s">
        <v>6</v>
      </c>
      <c r="B121" s="67" t="s">
        <v>1</v>
      </c>
      <c r="C121" s="68" t="s">
        <v>2</v>
      </c>
      <c r="D121" s="68"/>
      <c r="E121" s="68"/>
      <c r="F121" s="67" t="s">
        <v>5</v>
      </c>
    </row>
    <row r="122" spans="1:7">
      <c r="A122" s="67"/>
      <c r="B122" s="67"/>
      <c r="C122" s="13" t="s">
        <v>3</v>
      </c>
      <c r="D122" s="14" t="s">
        <v>13</v>
      </c>
      <c r="E122" s="51" t="s">
        <v>4</v>
      </c>
      <c r="F122" s="67"/>
    </row>
    <row r="123" spans="1:7">
      <c r="A123" s="12"/>
      <c r="B123" s="45" t="s">
        <v>16</v>
      </c>
      <c r="C123" s="1"/>
      <c r="D123" s="2"/>
      <c r="E123" s="41">
        <f>SUM(E111)</f>
        <v>12616168.800000001</v>
      </c>
      <c r="F123" s="16"/>
    </row>
    <row r="124" spans="1:7">
      <c r="A124" s="12">
        <v>81</v>
      </c>
      <c r="B124" s="33" t="s">
        <v>209</v>
      </c>
      <c r="C124" s="34" t="s">
        <v>89</v>
      </c>
      <c r="D124" s="35">
        <v>900</v>
      </c>
      <c r="E124" s="28">
        <v>900</v>
      </c>
      <c r="F124" s="9" t="s">
        <v>210</v>
      </c>
      <c r="G124" s="11" t="s">
        <v>221</v>
      </c>
    </row>
    <row r="125" spans="1:7">
      <c r="A125" s="12">
        <v>82</v>
      </c>
      <c r="B125" s="33" t="s">
        <v>211</v>
      </c>
      <c r="C125" s="34" t="s">
        <v>14</v>
      </c>
      <c r="D125" s="35">
        <v>1200</v>
      </c>
      <c r="E125" s="21">
        <v>1200</v>
      </c>
      <c r="F125" s="9" t="s">
        <v>212</v>
      </c>
      <c r="G125" s="11" t="s">
        <v>221</v>
      </c>
    </row>
    <row r="126" spans="1:7">
      <c r="A126" s="12">
        <v>83</v>
      </c>
      <c r="B126" s="33" t="s">
        <v>213</v>
      </c>
      <c r="C126" s="34" t="s">
        <v>89</v>
      </c>
      <c r="D126" s="35">
        <v>2900</v>
      </c>
      <c r="E126" s="7">
        <v>2900</v>
      </c>
      <c r="F126" s="9" t="s">
        <v>214</v>
      </c>
      <c r="G126" s="11" t="s">
        <v>221</v>
      </c>
    </row>
    <row r="127" spans="1:7">
      <c r="A127" s="12">
        <v>84</v>
      </c>
      <c r="B127" s="33" t="s">
        <v>215</v>
      </c>
      <c r="C127" s="34" t="s">
        <v>85</v>
      </c>
      <c r="D127" s="35">
        <v>1200</v>
      </c>
      <c r="E127" s="7">
        <v>1200</v>
      </c>
      <c r="F127" s="9" t="s">
        <v>216</v>
      </c>
      <c r="G127" s="11" t="s">
        <v>221</v>
      </c>
    </row>
    <row r="128" spans="1:7">
      <c r="A128" s="12">
        <v>85</v>
      </c>
      <c r="B128" s="8" t="s">
        <v>219</v>
      </c>
      <c r="C128" s="34" t="s">
        <v>14</v>
      </c>
      <c r="D128" s="7">
        <v>5900</v>
      </c>
      <c r="E128" s="7">
        <v>5900</v>
      </c>
      <c r="F128" s="9" t="s">
        <v>220</v>
      </c>
      <c r="G128" s="11" t="s">
        <v>221</v>
      </c>
    </row>
    <row r="129" spans="1:7">
      <c r="A129" s="12">
        <v>86</v>
      </c>
      <c r="B129" s="8" t="s">
        <v>205</v>
      </c>
      <c r="C129" s="34" t="s">
        <v>14</v>
      </c>
      <c r="D129" s="7">
        <v>5350</v>
      </c>
      <c r="E129" s="3">
        <v>5350</v>
      </c>
      <c r="F129" s="9" t="s">
        <v>217</v>
      </c>
      <c r="G129" s="11" t="s">
        <v>221</v>
      </c>
    </row>
    <row r="130" spans="1:7">
      <c r="A130" s="12">
        <v>87</v>
      </c>
      <c r="B130" s="8" t="s">
        <v>195</v>
      </c>
      <c r="C130" s="34" t="s">
        <v>14</v>
      </c>
      <c r="D130" s="7">
        <v>17000</v>
      </c>
      <c r="E130" s="3">
        <v>17000</v>
      </c>
      <c r="F130" s="9" t="s">
        <v>218</v>
      </c>
      <c r="G130" s="11" t="s">
        <v>221</v>
      </c>
    </row>
    <row r="131" spans="1:7" ht="23.25" customHeight="1">
      <c r="A131" s="12">
        <v>88</v>
      </c>
      <c r="B131" s="9" t="s">
        <v>223</v>
      </c>
      <c r="C131" s="5" t="s">
        <v>85</v>
      </c>
      <c r="D131" s="3">
        <v>1980</v>
      </c>
      <c r="E131" s="7">
        <v>1980</v>
      </c>
      <c r="F131" s="9" t="s">
        <v>222</v>
      </c>
      <c r="G131" s="11" t="s">
        <v>232</v>
      </c>
    </row>
    <row r="132" spans="1:7">
      <c r="A132" s="12">
        <v>89</v>
      </c>
      <c r="B132" s="9" t="s">
        <v>225</v>
      </c>
      <c r="C132" s="5" t="s">
        <v>14</v>
      </c>
      <c r="D132" s="3">
        <v>5880</v>
      </c>
      <c r="E132" s="7">
        <v>5880</v>
      </c>
      <c r="F132" s="9" t="s">
        <v>224</v>
      </c>
      <c r="G132" s="11" t="s">
        <v>232</v>
      </c>
    </row>
    <row r="133" spans="1:7">
      <c r="A133" s="12">
        <v>90</v>
      </c>
      <c r="B133" s="9" t="s">
        <v>227</v>
      </c>
      <c r="C133" s="5" t="s">
        <v>85</v>
      </c>
      <c r="D133" s="3">
        <v>7700</v>
      </c>
      <c r="E133" s="7">
        <v>7700</v>
      </c>
      <c r="F133" s="9" t="s">
        <v>226</v>
      </c>
      <c r="G133" s="11" t="s">
        <v>232</v>
      </c>
    </row>
    <row r="134" spans="1:7">
      <c r="A134" s="12">
        <v>91</v>
      </c>
      <c r="B134" s="9" t="s">
        <v>229</v>
      </c>
      <c r="C134" s="5" t="s">
        <v>86</v>
      </c>
      <c r="D134" s="10">
        <v>19320</v>
      </c>
      <c r="E134" s="7">
        <f>SUM(D134*2)</f>
        <v>38640</v>
      </c>
      <c r="F134" s="9" t="s">
        <v>228</v>
      </c>
      <c r="G134" s="11" t="s">
        <v>232</v>
      </c>
    </row>
    <row r="135" spans="1:7">
      <c r="A135" s="12">
        <v>92</v>
      </c>
      <c r="B135" s="36" t="s">
        <v>269</v>
      </c>
      <c r="C135" s="5" t="s">
        <v>233</v>
      </c>
      <c r="D135" s="3">
        <v>31000</v>
      </c>
      <c r="E135" s="7">
        <f>SUM(D135*2)</f>
        <v>62000</v>
      </c>
      <c r="F135" s="9" t="s">
        <v>230</v>
      </c>
      <c r="G135" s="11" t="s">
        <v>232</v>
      </c>
    </row>
    <row r="136" spans="1:7">
      <c r="A136" s="12">
        <v>93</v>
      </c>
      <c r="B136" s="57" t="s">
        <v>231</v>
      </c>
      <c r="C136" s="12" t="s">
        <v>85</v>
      </c>
      <c r="D136" s="3">
        <v>10500</v>
      </c>
      <c r="E136" s="7">
        <v>10500</v>
      </c>
      <c r="F136" s="16" t="s">
        <v>74</v>
      </c>
      <c r="G136" s="11" t="s">
        <v>232</v>
      </c>
    </row>
    <row r="137" spans="1:7">
      <c r="A137" s="12">
        <v>94</v>
      </c>
      <c r="B137" s="58" t="s">
        <v>235</v>
      </c>
      <c r="C137" s="59" t="s">
        <v>233</v>
      </c>
      <c r="D137" s="60">
        <v>2200</v>
      </c>
      <c r="E137" s="7">
        <v>4400</v>
      </c>
      <c r="F137" s="58" t="s">
        <v>234</v>
      </c>
      <c r="G137" s="11" t="s">
        <v>244</v>
      </c>
    </row>
    <row r="138" spans="1:7">
      <c r="A138" s="12">
        <v>95</v>
      </c>
      <c r="B138" s="61" t="s">
        <v>237</v>
      </c>
      <c r="C138" s="34" t="s">
        <v>92</v>
      </c>
      <c r="D138" s="35">
        <v>2250</v>
      </c>
      <c r="E138" s="7">
        <v>2250</v>
      </c>
      <c r="F138" s="61" t="s">
        <v>236</v>
      </c>
      <c r="G138" s="11" t="s">
        <v>244</v>
      </c>
    </row>
    <row r="139" spans="1:7">
      <c r="A139" s="12">
        <v>96</v>
      </c>
      <c r="B139" s="61" t="s">
        <v>235</v>
      </c>
      <c r="C139" s="34" t="s">
        <v>92</v>
      </c>
      <c r="D139" s="35">
        <v>2600</v>
      </c>
      <c r="E139" s="7">
        <v>2600</v>
      </c>
      <c r="F139" s="61" t="s">
        <v>238</v>
      </c>
      <c r="G139" s="11" t="s">
        <v>244</v>
      </c>
    </row>
    <row r="140" spans="1:7">
      <c r="A140" s="12">
        <v>97</v>
      </c>
      <c r="B140" s="62" t="s">
        <v>240</v>
      </c>
      <c r="C140" s="59" t="s">
        <v>241</v>
      </c>
      <c r="D140" s="60">
        <v>3200</v>
      </c>
      <c r="E140" s="7">
        <f>SUM(D140*3)</f>
        <v>9600</v>
      </c>
      <c r="F140" s="63" t="s">
        <v>239</v>
      </c>
      <c r="G140" s="11" t="s">
        <v>244</v>
      </c>
    </row>
    <row r="141" spans="1:7">
      <c r="A141" s="12">
        <v>98</v>
      </c>
      <c r="B141" s="36" t="s">
        <v>242</v>
      </c>
      <c r="C141" s="34" t="s">
        <v>14</v>
      </c>
      <c r="D141" s="7">
        <v>45000</v>
      </c>
      <c r="E141" s="7">
        <v>45000</v>
      </c>
      <c r="F141" s="9" t="s">
        <v>243</v>
      </c>
      <c r="G141" s="11" t="s">
        <v>245</v>
      </c>
    </row>
    <row r="142" spans="1:7">
      <c r="A142" s="12">
        <v>99</v>
      </c>
      <c r="B142" s="8" t="s">
        <v>247</v>
      </c>
      <c r="C142" s="37" t="s">
        <v>92</v>
      </c>
      <c r="D142" s="7">
        <v>3000</v>
      </c>
      <c r="E142" s="7">
        <v>3000</v>
      </c>
      <c r="F142" s="9" t="s">
        <v>248</v>
      </c>
      <c r="G142" s="11" t="s">
        <v>251</v>
      </c>
    </row>
    <row r="143" spans="1:7">
      <c r="A143" s="12">
        <v>100</v>
      </c>
      <c r="B143" s="8" t="s">
        <v>249</v>
      </c>
      <c r="C143" s="34" t="s">
        <v>92</v>
      </c>
      <c r="D143" s="7">
        <v>3500</v>
      </c>
      <c r="E143" s="3">
        <v>3500</v>
      </c>
      <c r="F143" s="9" t="s">
        <v>250</v>
      </c>
      <c r="G143" s="11" t="s">
        <v>251</v>
      </c>
    </row>
    <row r="144" spans="1:7">
      <c r="A144" s="12">
        <v>101</v>
      </c>
      <c r="B144" s="8" t="s">
        <v>253</v>
      </c>
      <c r="C144" s="37" t="s">
        <v>89</v>
      </c>
      <c r="D144" s="38">
        <v>31559.65</v>
      </c>
      <c r="E144" s="4">
        <v>31559.65</v>
      </c>
      <c r="F144" s="9" t="s">
        <v>254</v>
      </c>
      <c r="G144" s="11" t="s">
        <v>255</v>
      </c>
    </row>
    <row r="145" spans="1:7">
      <c r="A145" s="12">
        <v>102</v>
      </c>
      <c r="B145" s="8" t="s">
        <v>256</v>
      </c>
      <c r="C145" s="34" t="s">
        <v>252</v>
      </c>
      <c r="D145" s="7">
        <v>3500</v>
      </c>
      <c r="E145" s="7">
        <v>7000</v>
      </c>
      <c r="F145" s="9" t="s">
        <v>257</v>
      </c>
      <c r="G145" s="11" t="s">
        <v>260</v>
      </c>
    </row>
    <row r="146" spans="1:7">
      <c r="A146" s="12">
        <v>103</v>
      </c>
      <c r="B146" s="8" t="s">
        <v>258</v>
      </c>
      <c r="C146" s="34" t="s">
        <v>14</v>
      </c>
      <c r="D146" s="32">
        <v>28900</v>
      </c>
      <c r="E146" s="7">
        <v>28900</v>
      </c>
      <c r="F146" s="9" t="s">
        <v>259</v>
      </c>
      <c r="G146" s="11" t="s">
        <v>260</v>
      </c>
    </row>
    <row r="147" spans="1:7">
      <c r="A147" s="12">
        <v>104</v>
      </c>
      <c r="B147" s="8" t="s">
        <v>235</v>
      </c>
      <c r="C147" s="34" t="s">
        <v>92</v>
      </c>
      <c r="D147" s="38">
        <v>3100</v>
      </c>
      <c r="E147" s="3">
        <v>3100</v>
      </c>
      <c r="F147" s="9" t="s">
        <v>261</v>
      </c>
      <c r="G147" s="11" t="s">
        <v>262</v>
      </c>
    </row>
    <row r="148" spans="1:7">
      <c r="A148" s="12">
        <v>105</v>
      </c>
      <c r="B148" s="36" t="s">
        <v>263</v>
      </c>
      <c r="C148" s="34" t="s">
        <v>14</v>
      </c>
      <c r="D148" s="7">
        <v>3700</v>
      </c>
      <c r="E148" s="7">
        <v>3700</v>
      </c>
      <c r="F148" s="33" t="s">
        <v>264</v>
      </c>
      <c r="G148" s="11" t="s">
        <v>268</v>
      </c>
    </row>
    <row r="149" spans="1:7">
      <c r="A149" s="12">
        <v>106</v>
      </c>
      <c r="B149" s="36" t="s">
        <v>265</v>
      </c>
      <c r="C149" s="34" t="s">
        <v>203</v>
      </c>
      <c r="D149" s="7">
        <v>4238.5200000000004</v>
      </c>
      <c r="E149" s="3">
        <f>SUM(D149*15)</f>
        <v>63577.8</v>
      </c>
      <c r="F149" s="33" t="s">
        <v>266</v>
      </c>
      <c r="G149" s="11" t="s">
        <v>268</v>
      </c>
    </row>
    <row r="150" spans="1:7">
      <c r="A150" s="12">
        <v>107</v>
      </c>
      <c r="B150" s="36" t="s">
        <v>246</v>
      </c>
      <c r="C150" s="34" t="s">
        <v>14</v>
      </c>
      <c r="D150" s="7">
        <v>10140</v>
      </c>
      <c r="E150" s="3">
        <v>10140</v>
      </c>
      <c r="F150" s="33" t="s">
        <v>267</v>
      </c>
      <c r="G150" s="11" t="s">
        <v>268</v>
      </c>
    </row>
    <row r="151" spans="1:7">
      <c r="A151" s="12"/>
      <c r="B151" s="44" t="s">
        <v>12</v>
      </c>
      <c r="C151" s="12"/>
      <c r="D151" s="16"/>
      <c r="E151" s="41">
        <f>SUM(E123:E150)</f>
        <v>12995646.250000002</v>
      </c>
      <c r="F151" s="16"/>
    </row>
    <row r="153" spans="1:7">
      <c r="C153" s="15" t="s">
        <v>7</v>
      </c>
      <c r="D153" s="69" t="s">
        <v>8</v>
      </c>
      <c r="E153" s="69"/>
      <c r="F153" s="11" t="s">
        <v>9</v>
      </c>
    </row>
    <row r="154" spans="1:7">
      <c r="B154" s="11" t="s">
        <v>15</v>
      </c>
      <c r="D154" s="69" t="s">
        <v>19</v>
      </c>
      <c r="E154" s="69"/>
    </row>
    <row r="155" spans="1:7">
      <c r="C155" s="15" t="s">
        <v>7</v>
      </c>
      <c r="D155" s="69" t="s">
        <v>8</v>
      </c>
      <c r="E155" s="69"/>
      <c r="F155" s="11" t="s">
        <v>10</v>
      </c>
    </row>
    <row r="156" spans="1:7">
      <c r="D156" s="69" t="s">
        <v>20</v>
      </c>
      <c r="E156" s="69"/>
    </row>
    <row r="157" spans="1:7">
      <c r="C157" s="15" t="s">
        <v>7</v>
      </c>
      <c r="D157" s="69" t="s">
        <v>8</v>
      </c>
      <c r="E157" s="69"/>
      <c r="F157" s="11" t="s">
        <v>11</v>
      </c>
    </row>
    <row r="158" spans="1:7">
      <c r="D158" s="69" t="s">
        <v>21</v>
      </c>
      <c r="E158" s="69"/>
    </row>
  </sheetData>
  <mergeCells count="48">
    <mergeCell ref="D153:E153"/>
    <mergeCell ref="D154:E154"/>
    <mergeCell ref="D155:E155"/>
    <mergeCell ref="D156:E156"/>
    <mergeCell ref="D157:E157"/>
    <mergeCell ref="D158:E158"/>
    <mergeCell ref="A119:F119"/>
    <mergeCell ref="A120:F120"/>
    <mergeCell ref="A121:A122"/>
    <mergeCell ref="B121:B122"/>
    <mergeCell ref="C121:E121"/>
    <mergeCell ref="F121:F122"/>
    <mergeCell ref="D113:E113"/>
    <mergeCell ref="D114:E114"/>
    <mergeCell ref="D115:E115"/>
    <mergeCell ref="D116:E116"/>
    <mergeCell ref="D117:E117"/>
    <mergeCell ref="D118:E118"/>
    <mergeCell ref="A79:F79"/>
    <mergeCell ref="A80:F80"/>
    <mergeCell ref="A81:A82"/>
    <mergeCell ref="B81:B82"/>
    <mergeCell ref="C81:E81"/>
    <mergeCell ref="F81:F82"/>
    <mergeCell ref="D73:E73"/>
    <mergeCell ref="D74:E74"/>
    <mergeCell ref="D75:E75"/>
    <mergeCell ref="D76:E76"/>
    <mergeCell ref="D77:E77"/>
    <mergeCell ref="D78:E78"/>
    <mergeCell ref="A40:F40"/>
    <mergeCell ref="A41:F41"/>
    <mergeCell ref="A42:A43"/>
    <mergeCell ref="B42:B43"/>
    <mergeCell ref="C42:E42"/>
    <mergeCell ref="F42:F43"/>
    <mergeCell ref="D34:E34"/>
    <mergeCell ref="D35:E35"/>
    <mergeCell ref="D36:E36"/>
    <mergeCell ref="D37:E37"/>
    <mergeCell ref="D38:E38"/>
    <mergeCell ref="D39:E39"/>
    <mergeCell ref="A1:F1"/>
    <mergeCell ref="A2:F2"/>
    <mergeCell ref="A3:A4"/>
    <mergeCell ref="B3:B4"/>
    <mergeCell ref="C3:E3"/>
    <mergeCell ref="F3:F4"/>
  </mergeCells>
  <printOptions horizontalCentered="1"/>
  <pageMargins left="0.19685039370078741" right="0.19685039370078741" top="0.59055118110236227" bottom="0.19685039370078741" header="0" footer="0"/>
  <pageSetup paperSize="9" scale="8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ขาย</vt:lpstr>
      <vt:lpstr>ขาย (เศษไม้)</vt:lpstr>
      <vt:lpstr>ขาย (เศษเหล็ก)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Pasdoo</dc:creator>
  <cp:lastModifiedBy>Pasdoo</cp:lastModifiedBy>
  <cp:lastPrinted>2023-03-10T06:21:38Z</cp:lastPrinted>
  <dcterms:created xsi:type="dcterms:W3CDTF">2022-06-16T06:46:33Z</dcterms:created>
  <dcterms:modified xsi:type="dcterms:W3CDTF">2023-03-10T06:34:25Z</dcterms:modified>
</cp:coreProperties>
</file>