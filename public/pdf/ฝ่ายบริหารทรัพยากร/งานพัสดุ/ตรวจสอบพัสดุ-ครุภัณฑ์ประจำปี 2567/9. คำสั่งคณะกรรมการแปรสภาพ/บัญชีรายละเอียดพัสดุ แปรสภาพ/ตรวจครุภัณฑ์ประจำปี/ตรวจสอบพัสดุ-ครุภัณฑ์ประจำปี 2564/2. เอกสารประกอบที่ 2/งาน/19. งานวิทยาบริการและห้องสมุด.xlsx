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B66C5AA0-A86C-4BCF-A2AD-941C079A401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ิทยบริการและห้องสมุด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8" i="20" l="1"/>
  <c r="H6" i="20" l="1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9" i="20"/>
  <c r="H5" i="20"/>
  <c r="H40" i="20" l="1"/>
</calcChain>
</file>

<file path=xl/sharedStrings.xml><?xml version="1.0" encoding="utf-8"?>
<sst xmlns="http://schemas.openxmlformats.org/spreadsheetml/2006/main" count="121" uniqueCount="86">
  <si>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</si>
  <si>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</si>
  <si>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</si>
  <si>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</si>
  <si>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</si>
  <si>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</si>
  <si>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</si>
  <si>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7125-002-0002/391-001</t>
  </si>
  <si>
    <t>....................................................</t>
  </si>
  <si>
    <t>หัวหน้าหน่วยจ่าย/หน่วยเบิก</t>
  </si>
  <si>
    <t>รวมเป็นเงิน</t>
  </si>
  <si>
    <t>7110-002-0005/521-024</t>
  </si>
  <si>
    <t>7440-001-0004/521-059-070</t>
  </si>
  <si>
    <t>7430-008-0002/531-025</t>
  </si>
  <si>
    <t>7440-001-0001/531-152</t>
  </si>
  <si>
    <t>ตู้ 2 บานเปิด</t>
  </si>
  <si>
    <t>ชุดเครื่องคอมพิวเตอร์ตั้งโต๊ะ (โต๊ะ+ เก้าอี้)</t>
  </si>
  <si>
    <t>เครื่องปริ้นเตอร์  CANON LBP 3050</t>
  </si>
  <si>
    <t>7110-007-0006/391-001-391-008</t>
  </si>
  <si>
    <t>7125-004-0001/391-001-391-004</t>
  </si>
  <si>
    <t>7125-004-0002/391-001-391-004</t>
  </si>
  <si>
    <t>7110-002-0001/391-001</t>
  </si>
  <si>
    <t>7110-002-0002/391-001-391-002</t>
  </si>
  <si>
    <t>7125-004-0003/391-001-391-002</t>
  </si>
  <si>
    <t>7195-006-0001/391-001-391-002</t>
  </si>
  <si>
    <t>7915-004-0001/391-001</t>
  </si>
  <si>
    <t>7110-002-0003/391-001</t>
  </si>
  <si>
    <t>7490-002-0001/391-001</t>
  </si>
  <si>
    <t>7125-004-0005/391-001-391-004</t>
  </si>
  <si>
    <t>7125-004-0006/391-001-391-003</t>
  </si>
  <si>
    <t>7125-004-0005/451-005-451-009</t>
  </si>
  <si>
    <t>7195-006-0002/462-001</t>
  </si>
  <si>
    <t>3440-001-0001/462-001</t>
  </si>
  <si>
    <t>7490-015-0002/462-001</t>
  </si>
  <si>
    <t>7440-001-0001/462-008</t>
  </si>
  <si>
    <t>7430-008-0001/472-003</t>
  </si>
  <si>
    <t>7119-002-0006/472-061-472-063</t>
  </si>
  <si>
    <t>7125-006-0001/482-001</t>
  </si>
  <si>
    <t>7125-006-0002/482-001-004</t>
  </si>
  <si>
    <t>7105-006-0001/482-001-003</t>
  </si>
  <si>
    <t>7105-006-0001/493-001</t>
  </si>
  <si>
    <t>7125-006-0001/492-001-003</t>
  </si>
  <si>
    <t>7125-001-0004/493-001</t>
  </si>
  <si>
    <t>7051-006-0002/502-004-007</t>
  </si>
  <si>
    <t>7110-001-0002/502-001-002</t>
  </si>
  <si>
    <t>7125-004-0009/502-001</t>
  </si>
  <si>
    <t>7125-001-0005/502-001-005</t>
  </si>
  <si>
    <t>โต๊ะอ่านหนังสือ ขนาด 4 ที่นั่งพร้อมเก้าอี้ไม้</t>
  </si>
  <si>
    <t>ชั้นวางวารสาร 1 ด้าน 2 ช่วง</t>
  </si>
  <si>
    <t>ชั้นวางวารสาร 2 ด้าน 2 ช่วง</t>
  </si>
  <si>
    <t>ตู้ดรรชนี 12 ลิ้นชัก</t>
  </si>
  <si>
    <t>ตู้เก็บแบบฟอร์ม 15 ลิ้นชัก</t>
  </si>
  <si>
    <t>ชั้นวางหนังสือ 2 ตอน</t>
  </si>
  <si>
    <t>แท่นอ่านหนังสือพิมพ์</t>
  </si>
  <si>
    <t>ตู้เก็บจุลสาร 4 ชั้น</t>
  </si>
  <si>
    <t>เคาน์เตอร์บริการรับส่งหนังสือ</t>
  </si>
  <si>
    <t>ตู้เก็บบัตรรายการ  15  ลิ้นชัก</t>
  </si>
  <si>
    <t>เครื่องตัดกระดาษหรือขอบหนังสือ</t>
  </si>
  <si>
    <t>ชั้นวางหนังสือ 2 ด้าน 2 ช่วง</t>
  </si>
  <si>
    <t>ชั้นวางหนังสือ 1 ด้าน 2 ช่วง</t>
  </si>
  <si>
    <t>ชั้นวางหนังสือ 2 ด้าน 2 ช่วง 8 ระดับชั้น</t>
  </si>
  <si>
    <t>ชั้นวางหนังสือพิมพ์</t>
  </si>
  <si>
    <t>เครื่องอัดหนังสือขนาดใหญ่</t>
  </si>
  <si>
    <t>ประตูควบคุมทางเข้าออกแบบ 2 ทาง</t>
  </si>
  <si>
    <t>ชุดเครื่องคอมพิวเตอร์</t>
  </si>
  <si>
    <t>เครื่องปริ้นเลเซอร์แคนนอน 1210</t>
  </si>
  <si>
    <t>ตู้กระจก2 บานเลื่อน</t>
  </si>
  <si>
    <t>ชั้นวางหนังสือขนาดใหญ่</t>
  </si>
  <si>
    <t>ชั้นวางหนังสือขนาดกลาง</t>
  </si>
  <si>
    <t>โต๊ะญี่ปุ่น</t>
  </si>
  <si>
    <t>ชั้นวางหนังสือ 1 ด้าน 3 ช่วง</t>
  </si>
  <si>
    <t>ตู้เก็บหนังสือ ขนาด 35*70 ซม.</t>
  </si>
  <si>
    <t>ตู้เก็บวรสาร 4 ชั้นแบบไม้</t>
  </si>
  <si>
    <t>ชั้นวางหนังสือ 4 ชั้น แบบไม้</t>
  </si>
  <si>
    <t>ตู้เก็บแผ่น VCD แบบไม้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</si>
  <si>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</si>
  <si>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</si>
  <si>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</si>
  <si>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</si>
  <si>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</si>
  <si>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</si>
  <si>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(นายชาตรี  ศรีสะอาด)</t>
  </si>
  <si>
    <t>ประจำปี 2564  ณ วันที่ 30 กันยายน 2564</t>
  </si>
  <si>
    <t>บัญชีรายการ งานวิทยบริการและห้องสมุด คงเหลือ</t>
  </si>
  <si>
    <t>7440-010-0003/642-001</t>
  </si>
  <si>
    <t>เครื่องพิมพ์แบบหมึกพ่น (Inkjet)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</si>
</sst>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/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4" fillId="0" borderId="1" xfId="0" applyNumberFormat="1" applyFont="1" applyBorder="1" applyAlignment="1"/>
    <xf numFmtId="43" fontId="4" fillId="0" borderId="4" xfId="0" applyNumberFormat="1" applyFont="1" applyBorder="1" applyAlignment="1"/>
    <xf numFmtId="43" fontId="3" fillId="0" borderId="9" xfId="1" applyFont="1" applyBorder="1"/>
    <xf numFmtId="43" fontId="4" fillId="0" borderId="0" xfId="0" applyNumberFormat="1" applyFont="1" applyBorder="1" applyAlignment="1"/>
    <xf numFmtId="43" fontId="3" fillId="0" borderId="8" xfId="1" applyFont="1" applyBorder="1"/>
    <xf numFmtId="0" fontId="3" fillId="0" borderId="6" xfId="2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0</xdr:row>
      <xdr:rowOff>104775</xdr:rowOff>
    </xdr:from>
    <xdr:to>
      <xdr:col>8</xdr:col>
      <xdr:colOff>666750</xdr:colOff>
      <xdr:row>1</xdr:row>
      <xdr:rowOff>104775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/>
      </xdr:nvSpPr>
      <xdr:spPr>
        <a:xfrm>
          <a:off x="8667750" y="104775"/>
          <a:ext cx="14859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66"/>
  </sheetPr>
  <dimension ref="A1:I44"/>
  <sheetViews>
    <sheetView tabSelected="1" zoomScaleNormal="100" workbookViewId="0">
      <selection activeCell="D48" sqref="D48"/>
    </sheetView>
  </sheetViews>
  <sheetFormatPr defaultColWidth="9" defaultRowHeight="24"/>
  <cols>
    <col min="1" max="1" width="5.28515625" style="2" customWidth="1"/>
    <col min="2" max="2" width="13" style="25" customWidth="1"/>
    <col min="3" max="3" width="32.5703125" style="2" customWidth="1"/>
    <col min="4" max="4" width="34.85546875" style="2" customWidth="1"/>
    <col min="5" max="5" width="6.5703125" style="2" customWidth="1"/>
    <col min="6" max="6" width="6.7109375" style="2" customWidth="1"/>
    <col min="7" max="7" width="11.7109375" style="2" customWidth="1"/>
    <col min="8" max="8" width="13.42578125" style="2" customWidth="1"/>
    <col min="9" max="9" width="10.28515625" style="2" customWidth="1"/>
    <col min="10" max="16384" width="9" style="2"/>
  </cols>
  <sheetData>
    <row r="1" spans="1:9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9">
      <c r="A2" s="27" t="s">
        <v>83</v>
      </c>
      <c r="B2" s="27"/>
      <c r="C2" s="27"/>
      <c r="D2" s="27"/>
      <c r="E2" s="27"/>
      <c r="F2" s="27"/>
      <c r="G2" s="27"/>
      <c r="H2" s="27"/>
      <c r="I2" s="27"/>
    </row>
    <row r="3" spans="1:9">
      <c r="A3" s="28" t="s">
        <v>82</v>
      </c>
      <c r="B3" s="28"/>
      <c r="C3" s="28"/>
      <c r="D3" s="28"/>
      <c r="E3" s="28"/>
      <c r="F3" s="28"/>
      <c r="G3" s="28"/>
      <c r="H3" s="28"/>
      <c r="I3" s="28"/>
    </row>
    <row r="4" spans="1:9" ht="44.25" customHeight="1">
      <c r="A4" s="13" t="s">
        <v>75</v>
      </c>
      <c r="B4" s="13" t="s">
        <v>78</v>
      </c>
      <c r="C4" s="13" t="s">
        <v>79</v>
      </c>
      <c r="D4" s="10" t="s">
        <v>0</v>
      </c>
      <c r="E4" s="13" t="s">
        <v>76</v>
      </c>
      <c r="F4" s="10" t="s">
        <v>1</v>
      </c>
      <c r="G4" s="13" t="s">
        <v>77</v>
      </c>
      <c r="H4" s="13" t="s">
        <v>80</v>
      </c>
      <c r="I4" s="13" t="s">
        <v>2</v>
      </c>
    </row>
    <row r="5" spans="1:9">
      <c r="A5" s="15">
        <v>1</v>
      </c>
      <c r="B5" s="15">
        <v>2539</v>
      </c>
      <c r="C5" s="4" t="s">
        <v>18</v>
      </c>
      <c r="D5" s="1" t="s">
        <v>47</v>
      </c>
      <c r="E5" s="5" t="s">
        <v>4</v>
      </c>
      <c r="F5" s="5">
        <v>8</v>
      </c>
      <c r="G5" s="7">
        <v>6500</v>
      </c>
      <c r="H5" s="7">
        <f>SUM(F5*G5)</f>
        <v>52000</v>
      </c>
      <c r="I5" s="15"/>
    </row>
    <row r="6" spans="1:9">
      <c r="A6" s="15">
        <v>2</v>
      </c>
      <c r="B6" s="15">
        <v>2539</v>
      </c>
      <c r="C6" s="4" t="s">
        <v>19</v>
      </c>
      <c r="D6" s="1" t="s">
        <v>48</v>
      </c>
      <c r="E6" s="5" t="s">
        <v>4</v>
      </c>
      <c r="F6" s="5">
        <v>4</v>
      </c>
      <c r="G6" s="7">
        <v>8000</v>
      </c>
      <c r="H6" s="7">
        <f t="shared" ref="H6:H39" si="0">SUM(F6*G6)</f>
        <v>32000</v>
      </c>
      <c r="I6" s="15"/>
    </row>
    <row r="7" spans="1:9">
      <c r="A7" s="15">
        <v>3</v>
      </c>
      <c r="B7" s="15">
        <v>2539</v>
      </c>
      <c r="C7" s="4" t="s">
        <v>20</v>
      </c>
      <c r="D7" s="1" t="s">
        <v>49</v>
      </c>
      <c r="E7" s="5" t="s">
        <v>4</v>
      </c>
      <c r="F7" s="5">
        <v>4</v>
      </c>
      <c r="G7" s="7">
        <v>14800</v>
      </c>
      <c r="H7" s="7">
        <f t="shared" si="0"/>
        <v>59200</v>
      </c>
      <c r="I7" s="15"/>
    </row>
    <row r="8" spans="1:9">
      <c r="A8" s="15">
        <v>4</v>
      </c>
      <c r="B8" s="15">
        <v>2539</v>
      </c>
      <c r="C8" s="4" t="s">
        <v>21</v>
      </c>
      <c r="D8" s="1" t="s">
        <v>50</v>
      </c>
      <c r="E8" s="5" t="s">
        <v>4</v>
      </c>
      <c r="F8" s="5">
        <v>1</v>
      </c>
      <c r="G8" s="7">
        <v>5300</v>
      </c>
      <c r="H8" s="7">
        <f t="shared" si="0"/>
        <v>5300</v>
      </c>
      <c r="I8" s="15"/>
    </row>
    <row r="9" spans="1:9">
      <c r="A9" s="15">
        <v>5</v>
      </c>
      <c r="B9" s="15">
        <v>2539</v>
      </c>
      <c r="C9" s="4" t="s">
        <v>22</v>
      </c>
      <c r="D9" s="1" t="s">
        <v>51</v>
      </c>
      <c r="E9" s="5" t="s">
        <v>4</v>
      </c>
      <c r="F9" s="5">
        <v>2</v>
      </c>
      <c r="G9" s="7">
        <v>2300</v>
      </c>
      <c r="H9" s="7">
        <f t="shared" si="0"/>
        <v>4600</v>
      </c>
      <c r="I9" s="15"/>
    </row>
    <row r="10" spans="1:9">
      <c r="A10" s="15">
        <v>6</v>
      </c>
      <c r="B10" s="15">
        <v>2539</v>
      </c>
      <c r="C10" s="4" t="s">
        <v>23</v>
      </c>
      <c r="D10" s="1" t="s">
        <v>52</v>
      </c>
      <c r="E10" s="5" t="s">
        <v>4</v>
      </c>
      <c r="F10" s="5">
        <v>2</v>
      </c>
      <c r="G10" s="7">
        <v>15000</v>
      </c>
      <c r="H10" s="7">
        <f t="shared" si="0"/>
        <v>30000</v>
      </c>
      <c r="I10" s="15"/>
    </row>
    <row r="11" spans="1:9">
      <c r="A11" s="15">
        <v>7</v>
      </c>
      <c r="B11" s="15">
        <v>2539</v>
      </c>
      <c r="C11" s="4" t="s">
        <v>24</v>
      </c>
      <c r="D11" s="1" t="s">
        <v>53</v>
      </c>
      <c r="E11" s="5" t="s">
        <v>4</v>
      </c>
      <c r="F11" s="5">
        <v>2</v>
      </c>
      <c r="G11" s="7">
        <v>3000</v>
      </c>
      <c r="H11" s="7">
        <f t="shared" si="0"/>
        <v>6000</v>
      </c>
      <c r="I11" s="15"/>
    </row>
    <row r="12" spans="1:9">
      <c r="A12" s="15">
        <v>8</v>
      </c>
      <c r="B12" s="15">
        <v>2539</v>
      </c>
      <c r="C12" s="4" t="s">
        <v>7</v>
      </c>
      <c r="D12" s="1" t="s">
        <v>54</v>
      </c>
      <c r="E12" s="5" t="s">
        <v>5</v>
      </c>
      <c r="F12" s="5">
        <v>1</v>
      </c>
      <c r="G12" s="7">
        <v>7500</v>
      </c>
      <c r="H12" s="7">
        <f t="shared" si="0"/>
        <v>7500</v>
      </c>
      <c r="I12" s="15"/>
    </row>
    <row r="13" spans="1:9">
      <c r="A13" s="15">
        <v>9</v>
      </c>
      <c r="B13" s="15">
        <v>2539</v>
      </c>
      <c r="C13" s="4" t="s">
        <v>25</v>
      </c>
      <c r="D13" s="1" t="s">
        <v>55</v>
      </c>
      <c r="E13" s="5" t="s">
        <v>4</v>
      </c>
      <c r="F13" s="5">
        <v>1</v>
      </c>
      <c r="G13" s="7">
        <v>50000</v>
      </c>
      <c r="H13" s="7">
        <f t="shared" si="0"/>
        <v>50000</v>
      </c>
      <c r="I13" s="15"/>
    </row>
    <row r="14" spans="1:9">
      <c r="A14" s="15">
        <v>10</v>
      </c>
      <c r="B14" s="15">
        <v>2539</v>
      </c>
      <c r="C14" s="4" t="s">
        <v>26</v>
      </c>
      <c r="D14" s="1" t="s">
        <v>56</v>
      </c>
      <c r="E14" s="5" t="s">
        <v>4</v>
      </c>
      <c r="F14" s="5">
        <v>1</v>
      </c>
      <c r="G14" s="7">
        <v>5000</v>
      </c>
      <c r="H14" s="7">
        <f t="shared" si="0"/>
        <v>5000</v>
      </c>
      <c r="I14" s="15"/>
    </row>
    <row r="15" spans="1:9">
      <c r="A15" s="15">
        <v>11</v>
      </c>
      <c r="B15" s="15">
        <v>2539</v>
      </c>
      <c r="C15" s="4" t="s">
        <v>27</v>
      </c>
      <c r="D15" s="1" t="s">
        <v>57</v>
      </c>
      <c r="E15" s="5" t="s">
        <v>4</v>
      </c>
      <c r="F15" s="5">
        <v>1</v>
      </c>
      <c r="G15" s="7">
        <v>35000</v>
      </c>
      <c r="H15" s="7">
        <f t="shared" si="0"/>
        <v>35000</v>
      </c>
      <c r="I15" s="15"/>
    </row>
    <row r="16" spans="1:9">
      <c r="A16" s="15">
        <v>12</v>
      </c>
      <c r="B16" s="15">
        <v>2539</v>
      </c>
      <c r="C16" s="4" t="s">
        <v>28</v>
      </c>
      <c r="D16" s="4" t="s">
        <v>58</v>
      </c>
      <c r="E16" s="5" t="s">
        <v>4</v>
      </c>
      <c r="F16" s="5">
        <v>4</v>
      </c>
      <c r="G16" s="7">
        <v>8000</v>
      </c>
      <c r="H16" s="7">
        <f t="shared" si="0"/>
        <v>32000</v>
      </c>
      <c r="I16" s="15"/>
    </row>
    <row r="17" spans="1:9">
      <c r="A17" s="15">
        <v>13</v>
      </c>
      <c r="B17" s="15">
        <v>2539</v>
      </c>
      <c r="C17" s="4" t="s">
        <v>29</v>
      </c>
      <c r="D17" s="4" t="s">
        <v>59</v>
      </c>
      <c r="E17" s="5" t="s">
        <v>4</v>
      </c>
      <c r="F17" s="5">
        <v>3</v>
      </c>
      <c r="G17" s="7">
        <v>5000</v>
      </c>
      <c r="H17" s="7">
        <f t="shared" si="0"/>
        <v>15000</v>
      </c>
      <c r="I17" s="15"/>
    </row>
    <row r="18" spans="1:9">
      <c r="A18" s="15">
        <v>14</v>
      </c>
      <c r="B18" s="15">
        <v>2545</v>
      </c>
      <c r="C18" s="4" t="s">
        <v>30</v>
      </c>
      <c r="D18" s="4" t="s">
        <v>60</v>
      </c>
      <c r="E18" s="5" t="s">
        <v>4</v>
      </c>
      <c r="F18" s="5">
        <v>5</v>
      </c>
      <c r="G18" s="7">
        <v>9581.85</v>
      </c>
      <c r="H18" s="7">
        <f t="shared" si="0"/>
        <v>47909.25</v>
      </c>
      <c r="I18" s="15"/>
    </row>
    <row r="19" spans="1:9">
      <c r="A19" s="15">
        <v>15</v>
      </c>
      <c r="B19" s="15">
        <v>2546</v>
      </c>
      <c r="C19" s="4" t="s">
        <v>31</v>
      </c>
      <c r="D19" s="1" t="s">
        <v>61</v>
      </c>
      <c r="E19" s="5" t="s">
        <v>5</v>
      </c>
      <c r="F19" s="5">
        <v>1</v>
      </c>
      <c r="G19" s="8">
        <v>2410.1799999999998</v>
      </c>
      <c r="H19" s="7">
        <f t="shared" si="0"/>
        <v>2410.1799999999998</v>
      </c>
      <c r="I19" s="15"/>
    </row>
    <row r="20" spans="1:9">
      <c r="A20" s="15">
        <v>16</v>
      </c>
      <c r="B20" s="15">
        <v>2546</v>
      </c>
      <c r="C20" s="4" t="s">
        <v>32</v>
      </c>
      <c r="D20" s="12" t="s">
        <v>62</v>
      </c>
      <c r="E20" s="5" t="s">
        <v>4</v>
      </c>
      <c r="F20" s="5">
        <v>1</v>
      </c>
      <c r="G20" s="14">
        <v>7886.97</v>
      </c>
      <c r="H20" s="7">
        <f t="shared" si="0"/>
        <v>7886.97</v>
      </c>
      <c r="I20" s="15"/>
    </row>
    <row r="21" spans="1:9">
      <c r="A21" s="15">
        <v>17</v>
      </c>
      <c r="B21" s="15">
        <v>2546</v>
      </c>
      <c r="C21" s="4" t="s">
        <v>33</v>
      </c>
      <c r="D21" s="1" t="s">
        <v>63</v>
      </c>
      <c r="E21" s="5" t="s">
        <v>5</v>
      </c>
      <c r="F21" s="5">
        <v>1</v>
      </c>
      <c r="G21" s="7">
        <v>31559.65</v>
      </c>
      <c r="H21" s="7">
        <f t="shared" si="0"/>
        <v>31559.65</v>
      </c>
      <c r="I21" s="15"/>
    </row>
    <row r="22" spans="1:9">
      <c r="A22" s="15">
        <v>18</v>
      </c>
      <c r="B22" s="15">
        <v>2546</v>
      </c>
      <c r="C22" s="4" t="s">
        <v>34</v>
      </c>
      <c r="D22" s="4" t="s">
        <v>64</v>
      </c>
      <c r="E22" s="5" t="s">
        <v>5</v>
      </c>
      <c r="F22" s="5">
        <v>1</v>
      </c>
      <c r="G22" s="7">
        <v>33000</v>
      </c>
      <c r="H22" s="7">
        <f t="shared" si="0"/>
        <v>33000</v>
      </c>
      <c r="I22" s="15"/>
    </row>
    <row r="23" spans="1:9">
      <c r="A23" s="15">
        <v>19</v>
      </c>
      <c r="B23" s="15">
        <v>2547</v>
      </c>
      <c r="C23" s="4" t="s">
        <v>35</v>
      </c>
      <c r="D23" s="4" t="s">
        <v>65</v>
      </c>
      <c r="E23" s="5" t="s">
        <v>5</v>
      </c>
      <c r="F23" s="5">
        <v>1</v>
      </c>
      <c r="G23" s="7">
        <v>8290</v>
      </c>
      <c r="H23" s="7">
        <f t="shared" si="0"/>
        <v>8290</v>
      </c>
      <c r="I23" s="15"/>
    </row>
    <row r="24" spans="1:9">
      <c r="A24" s="15">
        <v>20</v>
      </c>
      <c r="B24" s="15">
        <v>2547</v>
      </c>
      <c r="C24" s="4" t="s">
        <v>36</v>
      </c>
      <c r="D24" s="4" t="s">
        <v>66</v>
      </c>
      <c r="E24" s="15" t="s">
        <v>5</v>
      </c>
      <c r="F24" s="6">
        <v>3</v>
      </c>
      <c r="G24" s="7">
        <v>2700</v>
      </c>
      <c r="H24" s="7">
        <f t="shared" si="0"/>
        <v>8100</v>
      </c>
      <c r="I24" s="15"/>
    </row>
    <row r="25" spans="1:9">
      <c r="A25" s="15">
        <v>21</v>
      </c>
      <c r="B25" s="15">
        <v>2548</v>
      </c>
      <c r="C25" s="4" t="s">
        <v>37</v>
      </c>
      <c r="D25" s="4" t="s">
        <v>67</v>
      </c>
      <c r="E25" s="15" t="s">
        <v>5</v>
      </c>
      <c r="F25" s="6">
        <v>1</v>
      </c>
      <c r="G25" s="7">
        <v>1450</v>
      </c>
      <c r="H25" s="7">
        <f t="shared" si="0"/>
        <v>1450</v>
      </c>
      <c r="I25" s="15"/>
    </row>
    <row r="26" spans="1:9">
      <c r="A26" s="15">
        <v>22</v>
      </c>
      <c r="B26" s="15">
        <v>2548</v>
      </c>
      <c r="C26" s="4" t="s">
        <v>38</v>
      </c>
      <c r="D26" s="4" t="s">
        <v>68</v>
      </c>
      <c r="E26" s="15" t="s">
        <v>5</v>
      </c>
      <c r="F26" s="6">
        <v>4</v>
      </c>
      <c r="G26" s="7">
        <v>650</v>
      </c>
      <c r="H26" s="7">
        <f t="shared" si="0"/>
        <v>2600</v>
      </c>
      <c r="I26" s="15"/>
    </row>
    <row r="27" spans="1:9">
      <c r="A27" s="15">
        <v>23</v>
      </c>
      <c r="B27" s="15">
        <v>2548</v>
      </c>
      <c r="C27" s="4" t="s">
        <v>39</v>
      </c>
      <c r="D27" s="4" t="s">
        <v>69</v>
      </c>
      <c r="E27" s="15" t="s">
        <v>5</v>
      </c>
      <c r="F27" s="6">
        <v>3</v>
      </c>
      <c r="G27" s="7">
        <v>300</v>
      </c>
      <c r="H27" s="7">
        <f t="shared" si="0"/>
        <v>900</v>
      </c>
      <c r="I27" s="15"/>
    </row>
    <row r="28" spans="1:9">
      <c r="A28" s="15">
        <v>24</v>
      </c>
      <c r="B28" s="15">
        <v>2549</v>
      </c>
      <c r="C28" s="4" t="s">
        <v>40</v>
      </c>
      <c r="D28" s="4" t="s">
        <v>69</v>
      </c>
      <c r="E28" s="15" t="s">
        <v>5</v>
      </c>
      <c r="F28" s="6">
        <v>1</v>
      </c>
      <c r="G28" s="7">
        <v>300</v>
      </c>
      <c r="H28" s="7">
        <f t="shared" si="0"/>
        <v>300</v>
      </c>
      <c r="I28" s="15"/>
    </row>
    <row r="29" spans="1:9">
      <c r="A29" s="15">
        <v>25</v>
      </c>
      <c r="B29" s="15">
        <v>2549</v>
      </c>
      <c r="C29" s="17" t="s">
        <v>41</v>
      </c>
      <c r="D29" s="4" t="s">
        <v>70</v>
      </c>
      <c r="E29" s="15" t="s">
        <v>5</v>
      </c>
      <c r="F29" s="6">
        <v>3</v>
      </c>
      <c r="G29" s="20">
        <v>1800</v>
      </c>
      <c r="H29" s="7">
        <f t="shared" si="0"/>
        <v>5400</v>
      </c>
      <c r="I29" s="15"/>
    </row>
    <row r="30" spans="1:9">
      <c r="A30" s="15">
        <v>26</v>
      </c>
      <c r="B30" s="15">
        <v>2549</v>
      </c>
      <c r="C30" s="4" t="s">
        <v>42</v>
      </c>
      <c r="D30" s="4" t="s">
        <v>71</v>
      </c>
      <c r="E30" s="15" t="s">
        <v>5</v>
      </c>
      <c r="F30" s="6">
        <v>1</v>
      </c>
      <c r="G30" s="7">
        <v>340</v>
      </c>
      <c r="H30" s="7">
        <f t="shared" si="0"/>
        <v>340</v>
      </c>
      <c r="I30" s="15"/>
    </row>
    <row r="31" spans="1:9">
      <c r="A31" s="15">
        <v>27</v>
      </c>
      <c r="B31" s="15">
        <v>2550</v>
      </c>
      <c r="C31" s="4" t="s">
        <v>43</v>
      </c>
      <c r="D31" s="4" t="s">
        <v>69</v>
      </c>
      <c r="E31" s="15" t="s">
        <v>5</v>
      </c>
      <c r="F31" s="6">
        <v>4</v>
      </c>
      <c r="G31" s="22">
        <v>750</v>
      </c>
      <c r="H31" s="7">
        <f t="shared" si="0"/>
        <v>3000</v>
      </c>
      <c r="I31" s="15"/>
    </row>
    <row r="32" spans="1:9">
      <c r="A32" s="15">
        <v>28</v>
      </c>
      <c r="B32" s="15">
        <v>2550</v>
      </c>
      <c r="C32" s="4" t="s">
        <v>44</v>
      </c>
      <c r="D32" s="4" t="s">
        <v>72</v>
      </c>
      <c r="E32" s="15" t="s">
        <v>5</v>
      </c>
      <c r="F32" s="6">
        <v>2</v>
      </c>
      <c r="G32" s="7">
        <v>1900</v>
      </c>
      <c r="H32" s="7">
        <f t="shared" si="0"/>
        <v>3800</v>
      </c>
      <c r="I32" s="15"/>
    </row>
    <row r="33" spans="1:9">
      <c r="A33" s="15">
        <v>29</v>
      </c>
      <c r="B33" s="15">
        <v>2550</v>
      </c>
      <c r="C33" s="4" t="s">
        <v>45</v>
      </c>
      <c r="D33" s="4" t="s">
        <v>73</v>
      </c>
      <c r="E33" s="15" t="s">
        <v>5</v>
      </c>
      <c r="F33" s="6">
        <v>1</v>
      </c>
      <c r="G33" s="20">
        <v>1190</v>
      </c>
      <c r="H33" s="7">
        <f t="shared" si="0"/>
        <v>1190</v>
      </c>
      <c r="I33" s="15"/>
    </row>
    <row r="34" spans="1:9">
      <c r="A34" s="15">
        <v>30</v>
      </c>
      <c r="B34" s="15">
        <v>2550</v>
      </c>
      <c r="C34" s="4" t="s">
        <v>46</v>
      </c>
      <c r="D34" s="4" t="s">
        <v>74</v>
      </c>
      <c r="E34" s="15" t="s">
        <v>5</v>
      </c>
      <c r="F34" s="6">
        <v>5</v>
      </c>
      <c r="G34" s="7">
        <v>350</v>
      </c>
      <c r="H34" s="7">
        <f t="shared" si="0"/>
        <v>1750</v>
      </c>
      <c r="I34" s="15"/>
    </row>
    <row r="35" spans="1:9">
      <c r="A35" s="15">
        <v>31</v>
      </c>
      <c r="B35" s="11">
        <v>2552</v>
      </c>
      <c r="C35" s="4" t="s">
        <v>11</v>
      </c>
      <c r="D35" s="4" t="s">
        <v>15</v>
      </c>
      <c r="E35" s="23" t="s">
        <v>4</v>
      </c>
      <c r="F35" s="5">
        <v>1</v>
      </c>
      <c r="G35" s="22">
        <v>3200</v>
      </c>
      <c r="H35" s="7">
        <f t="shared" si="0"/>
        <v>3200</v>
      </c>
      <c r="I35" s="15"/>
    </row>
    <row r="36" spans="1:9">
      <c r="A36" s="15">
        <v>32</v>
      </c>
      <c r="B36" s="15">
        <v>2552</v>
      </c>
      <c r="C36" s="4" t="s">
        <v>12</v>
      </c>
      <c r="D36" s="4" t="s">
        <v>16</v>
      </c>
      <c r="E36" s="23" t="s">
        <v>4</v>
      </c>
      <c r="F36" s="5">
        <v>12</v>
      </c>
      <c r="G36" s="8">
        <v>15750</v>
      </c>
      <c r="H36" s="7">
        <f t="shared" si="0"/>
        <v>189000</v>
      </c>
      <c r="I36" s="15"/>
    </row>
    <row r="37" spans="1:9">
      <c r="A37" s="15">
        <v>33</v>
      </c>
      <c r="B37" s="15">
        <v>2553</v>
      </c>
      <c r="C37" s="4" t="s">
        <v>13</v>
      </c>
      <c r="D37" s="4" t="s">
        <v>17</v>
      </c>
      <c r="E37" s="23" t="s">
        <v>4</v>
      </c>
      <c r="F37" s="5">
        <v>1</v>
      </c>
      <c r="G37" s="8">
        <v>5350</v>
      </c>
      <c r="H37" s="7">
        <f t="shared" si="0"/>
        <v>5350</v>
      </c>
      <c r="I37" s="15"/>
    </row>
    <row r="38" spans="1:9">
      <c r="A38" s="15">
        <v>34</v>
      </c>
      <c r="B38" s="15">
        <v>2553</v>
      </c>
      <c r="C38" s="4" t="s">
        <v>14</v>
      </c>
      <c r="D38" s="1" t="s">
        <v>6</v>
      </c>
      <c r="E38" s="23" t="s">
        <v>4</v>
      </c>
      <c r="F38" s="5">
        <v>1</v>
      </c>
      <c r="G38" s="8">
        <v>17000</v>
      </c>
      <c r="H38" s="7">
        <f t="shared" ref="H38" si="1">SUM(F38*G38)</f>
        <v>17000</v>
      </c>
      <c r="I38" s="15"/>
    </row>
    <row r="39" spans="1:9">
      <c r="A39" s="15">
        <v>35</v>
      </c>
      <c r="B39" s="15">
        <v>2564</v>
      </c>
      <c r="C39" s="4" t="s">
        <v>84</v>
      </c>
      <c r="D39" s="1" t="s">
        <v>85</v>
      </c>
      <c r="E39" s="23" t="s">
        <v>5</v>
      </c>
      <c r="F39" s="5">
        <v>1</v>
      </c>
      <c r="G39" s="8">
        <v>4990</v>
      </c>
      <c r="H39" s="7">
        <f t="shared" si="0"/>
        <v>4990</v>
      </c>
      <c r="I39" s="15"/>
    </row>
    <row r="40" spans="1:9">
      <c r="A40" s="29" t="s">
        <v>10</v>
      </c>
      <c r="B40" s="30"/>
      <c r="C40" s="30"/>
      <c r="D40" s="30"/>
      <c r="E40" s="31"/>
      <c r="F40" s="3"/>
      <c r="G40" s="18"/>
      <c r="H40" s="19">
        <f>SUM(H5:H39)</f>
        <v>713026.05</v>
      </c>
      <c r="I40" s="19"/>
    </row>
    <row r="41" spans="1:9">
      <c r="A41" s="16"/>
      <c r="B41" s="24"/>
      <c r="C41" s="16"/>
      <c r="D41" s="16"/>
      <c r="E41" s="16"/>
      <c r="F41" s="9"/>
      <c r="G41" s="21"/>
      <c r="H41" s="21"/>
      <c r="I41" s="21"/>
    </row>
    <row r="42" spans="1:9">
      <c r="F42" s="32" t="s">
        <v>8</v>
      </c>
      <c r="G42" s="32"/>
      <c r="H42" s="32"/>
      <c r="I42" s="32"/>
    </row>
    <row r="43" spans="1:9">
      <c r="F43" s="26" t="s">
        <v>81</v>
      </c>
      <c r="G43" s="26"/>
      <c r="H43" s="26"/>
      <c r="I43" s="26"/>
    </row>
    <row r="44" spans="1:9">
      <c r="F44" s="26" t="s">
        <v>9</v>
      </c>
      <c r="G44" s="26"/>
      <c r="H44" s="26"/>
      <c r="I44" s="26"/>
    </row>
  </sheetData>
  <mergeCells count="7">
    <mergeCell ref="F43:I43"/>
    <mergeCell ref="F44:I44"/>
    <mergeCell ref="A1:I1"/>
    <mergeCell ref="A2:I2"/>
    <mergeCell ref="A3:I3"/>
    <mergeCell ref="A40:E40"/>
    <mergeCell ref="F42:I42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งานวิทยบริการและห้องสมุด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2022-04-28T08:57:52Z</cp:lastPrinted>
  <dcterms:created xsi:type="dcterms:W3CDTF">2017-11-14T01:32:33Z</dcterms:created>
  <dcterms:modified xsi:type="dcterms:W3CDTF">2022-04-28T08:58:18Z</dcterms:modified>
</cp:coreProperties>
</file>