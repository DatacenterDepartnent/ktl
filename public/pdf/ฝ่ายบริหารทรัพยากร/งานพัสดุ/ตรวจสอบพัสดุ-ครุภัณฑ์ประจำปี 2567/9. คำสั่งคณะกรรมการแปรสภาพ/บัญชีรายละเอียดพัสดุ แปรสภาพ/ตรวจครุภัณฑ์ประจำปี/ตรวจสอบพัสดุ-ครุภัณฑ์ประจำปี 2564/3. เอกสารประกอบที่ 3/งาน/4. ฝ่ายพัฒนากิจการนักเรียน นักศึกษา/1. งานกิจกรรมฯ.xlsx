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3\งาน\4. ฝ่ายพัฒนากิจการนักเรียน นักศึกษา\"/>
    </mc:Choice>
  </mc:AlternateContent>
  <xr:revisionPtr revIDLastSave="0" documentId="13_ncr:1_{4E1EE1F3-86EF-4A6D-B5B9-2F0BE81004BD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1" i="46" l="1"/>
  <c r="K8" i="46"/>
  <c r="K9" i="46"/>
  <c r="K10" i="46"/>
  <c r="K11" i="46"/>
  <c r="K12" i="46"/>
  <c r="K13" i="46"/>
  <c r="K14" i="46"/>
  <c r="K15" i="46"/>
  <c r="K16" i="46"/>
  <c r="K17" i="46"/>
  <c r="K18" i="46"/>
  <c r="K19" i="46"/>
  <c r="K20" i="46"/>
  <c r="K7" i="46"/>
</calcChain>
</file>

<file path=xl/sharedStrings.xml><?xml version="1.0" encoding="utf-8"?>
<sst xmlns="http://schemas.openxmlformats.org/spreadsheetml/2006/main" count="85" uniqueCount="70">
  <si>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</si>
  <si>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</si>
  <si>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</si>
  <si>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</si>
  <si>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</si>
  <si>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</si>
  <si>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</si>
  <si>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</si>
  <si>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</si>
  <si>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</si>
  <si>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</si>
  <si>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</si>
  <si>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</si>
  <si>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</si>
  <si>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</si>
  <si>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</si>
  <si>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</si>
  <si>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</si>
  <si>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</si>
  <si>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</si>
  <si>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</si>
  <si>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</si>
  <si>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ประจำปี 2564 สิ้นงวดเมื่อวันที่ 30 กันยายน 2564 ของงานกิจกรรมนักเรียน นักศึกษา</t>
  </si>
  <si>
    <t>(นายบุญแต่ง  ป้อมหิน)</t>
  </si>
  <si>
    <t>7810-012-0001/442-001</t>
  </si>
  <si>
    <t>โต๊ะปิงปอง 20 มม.</t>
  </si>
  <si>
    <t>บกศ.</t>
  </si>
  <si>
    <t>4140-001-0001/442-009</t>
  </si>
  <si>
    <t>พัดลมตั้งพื้น 16"สีเทา โตซิบา</t>
  </si>
  <si>
    <t>7440-001-0001/463-001</t>
  </si>
  <si>
    <t>คอมพิวเตอร์</t>
  </si>
  <si>
    <t>บริจาค</t>
  </si>
  <si>
    <t>4140-001-0001/493-036</t>
  </si>
  <si>
    <t xml:space="preserve">พัดลมตั้งพื้น 16" TORY </t>
  </si>
  <si>
    <t>6720-005-0002/531-003</t>
  </si>
  <si>
    <t xml:space="preserve">กล้องถ่ายภาพนิ่ง  </t>
  </si>
  <si>
    <t>งปม.</t>
  </si>
  <si>
    <t>6730-001-0003/531-013,014</t>
  </si>
  <si>
    <t>เครื่องโปรเจคเตอร์พร้อมจอรับภาพ</t>
  </si>
  <si>
    <t>7125-004-0001/531-001-002</t>
  </si>
  <si>
    <t>ชั้นเอนกประสงค์</t>
  </si>
  <si>
    <t>7110-015-0001/531-001-002</t>
  </si>
  <si>
    <t>ราวตากผ้าแสตนเลส  ขนาด 150*60*180</t>
  </si>
  <si>
    <t>7105-006-0001/531-001-002</t>
  </si>
  <si>
    <t xml:space="preserve">โต๊ะรีดผ้า  </t>
  </si>
  <si>
    <t>7210-015-0002/531-001-002</t>
  </si>
  <si>
    <t>เตารีด  พานาโซนิค</t>
  </si>
  <si>
    <t>7110-007-0008/541-031</t>
  </si>
  <si>
    <t>โต๊ะคอมพิวเตอร์</t>
  </si>
  <si>
    <t>7730-005-0002/541-002</t>
  </si>
  <si>
    <t>ทีวี 21" LG</t>
  </si>
  <si>
    <t>7110-007-0011/541-001-020</t>
  </si>
  <si>
    <t>โต๊ะประชุม 20 ที่นั่ง พร้อมเก้าอี้ 20 ตัว</t>
  </si>
  <si>
    <t>4120-001-0002/541-007</t>
  </si>
  <si>
    <t>เครื่องปรับอากาศ  PANASONIC 1800BTU</t>
  </si>
  <si>
    <t>ขาหัก/พื้นไม้ผุบวม</t>
  </si>
  <si>
    <t>ขดลวดไหม้</t>
  </si>
  <si>
    <t>จอดับ/บอร์ดเสีย</t>
  </si>
  <si>
    <t>ใบแตก/คอหัก</t>
  </si>
  <si>
    <t>เปิด-ปิดไม่ได้</t>
  </si>
  <si>
    <t>จอขาด/ขั้วหลอดไฟเสีย</t>
  </si>
  <si>
    <t>ไม้บวม/ฉีกหัก</t>
  </si>
  <si>
    <t>โค้งงอเสียรูปทรง</t>
  </si>
  <si>
    <t>ผุบวม/พื้นไหม้</t>
  </si>
  <si>
    <t>ไหม้</t>
  </si>
  <si>
    <t>ไม้บวมผุ</t>
  </si>
  <si>
    <t>หลอดภาพเสีย</t>
  </si>
  <si>
    <t>หัก/ไม่ครบ</t>
  </si>
  <si>
    <t>บอร์ดเสีย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</si>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</sst>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98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6" xfId="6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3" fontId="4" fillId="0" borderId="0" xfId="0" applyNumberFormat="1" applyFont="1"/>
    <xf numFmtId="3" fontId="4" fillId="0" borderId="0" xfId="0" applyNumberFormat="1" applyFont="1" applyBorder="1" applyAlignment="1"/>
    <xf numFmtId="3" fontId="4" fillId="0" borderId="0" xfId="0" applyNumberFormat="1" applyFont="1" applyBorder="1"/>
    <xf numFmtId="43" fontId="3" fillId="0" borderId="1" xfId="12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3" fontId="3" fillId="0" borderId="1" xfId="12" applyFont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4" fontId="3" fillId="0" borderId="1" xfId="1" applyNumberFormat="1" applyFont="1" applyBorder="1"/>
    <xf numFmtId="4" fontId="3" fillId="0" borderId="6" xfId="1" applyNumberFormat="1" applyFont="1" applyBorder="1"/>
    <xf numFmtId="4" fontId="6" fillId="0" borderId="7" xfId="0" applyNumberFormat="1" applyFont="1" applyBorder="1" applyAlignment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</cellXfs>
  <cellStyles count="16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เครื่องหมายจุลภาค 9 2" xfId="15" xr:uid="{00000000-0005-0000-0000-000003000000}"/>
    <cellStyle name="จุลภาค" xfId="1" builtinId="3"/>
    <cellStyle name="จุลภาค 2" xfId="14" xr:uid="{00000000-0005-0000-0000-000004000000}"/>
    <cellStyle name="ปกติ" xfId="0" builtinId="0"/>
    <cellStyle name="ปกติ 10" xfId="4" xr:uid="{00000000-0005-0000-0000-000006000000}"/>
    <cellStyle name="ปกติ 12" xfId="7" xr:uid="{00000000-0005-0000-0000-000007000000}"/>
    <cellStyle name="ปกติ 14" xfId="3" xr:uid="{00000000-0005-0000-0000-000008000000}"/>
    <cellStyle name="ปกติ 19" xfId="13" xr:uid="{00000000-0005-0000-0000-000009000000}"/>
    <cellStyle name="ปกติ 21" xfId="2" xr:uid="{00000000-0005-0000-0000-00000A000000}"/>
    <cellStyle name="ปกติ 22" xfId="5" xr:uid="{00000000-0005-0000-0000-00000B000000}"/>
    <cellStyle name="ปกติ 3" xfId="9" xr:uid="{00000000-0005-0000-0000-00000C000000}"/>
    <cellStyle name="ปกติ 4" xfId="10" xr:uid="{00000000-0005-0000-0000-00000D000000}"/>
    <cellStyle name="ปกติ 5" xfId="11" xr:uid="{00000000-0005-0000-0000-00000E000000}"/>
    <cellStyle name="ปกติ_รายการครุภัณฑ์ ปี 52 ที่แก้ไขเรียงลำดับใหม่ 23 ก.พ.53" xfId="6" xr:uid="{00000000-0005-0000-0000-00000F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1171575</xdr:colOff>
      <xdr:row>21</xdr:row>
      <xdr:rowOff>190500</xdr:rowOff>
    </xdr:from>
    <xdr:to>
      <xdr:col>11</xdr:col>
      <xdr:colOff>1514475</xdr:colOff>
      <xdr:row>26</xdr:row>
      <xdr:rowOff>114300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091737" y="7491413"/>
          <a:ext cx="145732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8"/>
  <sheetViews>
    <sheetView tabSelected="1" zoomScaleNormal="100" workbookViewId="0">
      <selection activeCell="M16" sqref="M16"/>
    </sheetView>
  </sheetViews>
  <sheetFormatPr defaultColWidth="9" defaultRowHeight="24"/>
  <cols>
    <col min="1" max="1" width="5.42578125" style="1" customWidth="1"/>
    <col min="2" max="2" width="10.5703125" style="16" customWidth="1"/>
    <col min="3" max="3" width="29.5703125" style="9" customWidth="1"/>
    <col min="4" max="4" width="36.140625" style="1" customWidth="1"/>
    <col min="5" max="5" width="7.5703125" style="1" customWidth="1"/>
    <col min="6" max="6" width="8.5703125" style="1" customWidth="1"/>
    <col min="7" max="7" width="6.5703125" style="1" customWidth="1"/>
    <col min="8" max="9" width="7.5703125" style="1" customWidth="1"/>
    <col min="10" max="10" width="10.7109375" style="70" customWidth="1"/>
    <col min="11" max="11" width="11.85546875" style="70" customWidth="1"/>
    <col min="12" max="12" width="26.7109375" style="9" customWidth="1"/>
    <col min="13" max="16384" width="9" style="1"/>
  </cols>
  <sheetData>
    <row r="1" spans="1:12">
      <c r="L1" s="9" t="s">
        <v>20</v>
      </c>
    </row>
    <row r="2" spans="1:12">
      <c r="A2" s="87" t="s">
        <v>6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2">
      <c r="A3" s="88" t="s">
        <v>7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2">
      <c r="A4" s="89" t="s">
        <v>22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2" ht="28.5" customHeight="1">
      <c r="A5" s="81" t="s">
        <v>8</v>
      </c>
      <c r="B5" s="81" t="s">
        <v>19</v>
      </c>
      <c r="C5" s="81" t="s">
        <v>16</v>
      </c>
      <c r="D5" s="90" t="s">
        <v>0</v>
      </c>
      <c r="E5" s="81" t="s">
        <v>11</v>
      </c>
      <c r="F5" s="81" t="s">
        <v>10</v>
      </c>
      <c r="G5" s="92" t="s">
        <v>12</v>
      </c>
      <c r="H5" s="94" t="s">
        <v>1</v>
      </c>
      <c r="I5" s="95"/>
      <c r="J5" s="96" t="s">
        <v>15</v>
      </c>
      <c r="K5" s="96" t="s">
        <v>9</v>
      </c>
      <c r="L5" s="81" t="s">
        <v>14</v>
      </c>
    </row>
    <row r="6" spans="1:12" ht="45" customHeight="1">
      <c r="A6" s="82"/>
      <c r="B6" s="82"/>
      <c r="C6" s="82"/>
      <c r="D6" s="91"/>
      <c r="E6" s="82"/>
      <c r="F6" s="82"/>
      <c r="G6" s="93"/>
      <c r="H6" s="6" t="s">
        <v>13</v>
      </c>
      <c r="I6" s="5" t="s">
        <v>3</v>
      </c>
      <c r="J6" s="97"/>
      <c r="K6" s="97"/>
      <c r="L6" s="82"/>
    </row>
    <row r="7" spans="1:12">
      <c r="A7" s="7">
        <v>1</v>
      </c>
      <c r="B7" s="21">
        <v>2544</v>
      </c>
      <c r="C7" s="19" t="s">
        <v>24</v>
      </c>
      <c r="D7" s="18" t="s">
        <v>25</v>
      </c>
      <c r="E7" s="20" t="s">
        <v>26</v>
      </c>
      <c r="F7" s="2">
        <v>18</v>
      </c>
      <c r="G7" s="2">
        <v>1</v>
      </c>
      <c r="H7" s="2">
        <v>1</v>
      </c>
      <c r="I7" s="3">
        <v>1</v>
      </c>
      <c r="J7" s="78">
        <v>4200</v>
      </c>
      <c r="K7" s="78">
        <f>SUM(I7*J7)</f>
        <v>4200</v>
      </c>
      <c r="L7" s="73" t="s">
        <v>55</v>
      </c>
    </row>
    <row r="8" spans="1:12">
      <c r="A8" s="7">
        <v>2</v>
      </c>
      <c r="B8" s="25">
        <v>2544</v>
      </c>
      <c r="C8" s="23" t="s">
        <v>27</v>
      </c>
      <c r="D8" s="22" t="s">
        <v>28</v>
      </c>
      <c r="E8" s="24" t="s">
        <v>26</v>
      </c>
      <c r="F8" s="2">
        <v>18</v>
      </c>
      <c r="G8" s="2">
        <v>2</v>
      </c>
      <c r="H8" s="2">
        <v>1</v>
      </c>
      <c r="I8" s="3">
        <v>1</v>
      </c>
      <c r="J8" s="78">
        <v>1650</v>
      </c>
      <c r="K8" s="78">
        <f t="shared" ref="K8:K20" si="0">SUM(I8*J8)</f>
        <v>1650</v>
      </c>
      <c r="L8" s="73" t="s">
        <v>56</v>
      </c>
    </row>
    <row r="9" spans="1:12">
      <c r="A9" s="7">
        <v>3</v>
      </c>
      <c r="B9" s="29">
        <v>2546</v>
      </c>
      <c r="C9" s="27" t="s">
        <v>29</v>
      </c>
      <c r="D9" s="26" t="s">
        <v>30</v>
      </c>
      <c r="E9" s="28" t="s">
        <v>31</v>
      </c>
      <c r="F9" s="2">
        <v>11</v>
      </c>
      <c r="G9" s="2">
        <v>1</v>
      </c>
      <c r="H9" s="2">
        <v>1</v>
      </c>
      <c r="I9" s="3">
        <v>1</v>
      </c>
      <c r="J9" s="78">
        <v>12500</v>
      </c>
      <c r="K9" s="78">
        <f t="shared" si="0"/>
        <v>12500</v>
      </c>
      <c r="L9" s="73" t="s">
        <v>57</v>
      </c>
    </row>
    <row r="10" spans="1:12">
      <c r="A10" s="7">
        <v>4</v>
      </c>
      <c r="B10" s="33">
        <v>2549</v>
      </c>
      <c r="C10" s="31" t="s">
        <v>32</v>
      </c>
      <c r="D10" s="30" t="s">
        <v>33</v>
      </c>
      <c r="E10" s="32" t="s">
        <v>31</v>
      </c>
      <c r="F10" s="2">
        <v>9</v>
      </c>
      <c r="G10" s="2" t="s">
        <v>69</v>
      </c>
      <c r="H10" s="2">
        <v>1</v>
      </c>
      <c r="I10" s="3">
        <v>1</v>
      </c>
      <c r="J10" s="78">
        <v>1370</v>
      </c>
      <c r="K10" s="78">
        <f t="shared" si="0"/>
        <v>1370</v>
      </c>
      <c r="L10" s="73" t="s">
        <v>58</v>
      </c>
    </row>
    <row r="11" spans="1:12">
      <c r="A11" s="7">
        <v>5</v>
      </c>
      <c r="B11" s="37">
        <v>2553</v>
      </c>
      <c r="C11" s="35" t="s">
        <v>34</v>
      </c>
      <c r="D11" s="34" t="s">
        <v>35</v>
      </c>
      <c r="E11" s="36" t="s">
        <v>36</v>
      </c>
      <c r="F11" s="2">
        <v>7</v>
      </c>
      <c r="G11" s="2" t="s">
        <v>69</v>
      </c>
      <c r="H11" s="2">
        <v>1</v>
      </c>
      <c r="I11" s="3">
        <v>1</v>
      </c>
      <c r="J11" s="78">
        <v>7900</v>
      </c>
      <c r="K11" s="78">
        <f t="shared" si="0"/>
        <v>7900</v>
      </c>
      <c r="L11" s="73" t="s">
        <v>59</v>
      </c>
    </row>
    <row r="12" spans="1:12">
      <c r="A12" s="7">
        <v>6</v>
      </c>
      <c r="B12" s="41">
        <v>2553</v>
      </c>
      <c r="C12" s="39" t="s">
        <v>37</v>
      </c>
      <c r="D12" s="38" t="s">
        <v>38</v>
      </c>
      <c r="E12" s="40" t="s">
        <v>36</v>
      </c>
      <c r="F12" s="2">
        <v>6</v>
      </c>
      <c r="G12" s="2" t="s">
        <v>69</v>
      </c>
      <c r="H12" s="2">
        <v>2</v>
      </c>
      <c r="I12" s="3">
        <v>2</v>
      </c>
      <c r="J12" s="78">
        <v>32000</v>
      </c>
      <c r="K12" s="78">
        <f t="shared" si="0"/>
        <v>64000</v>
      </c>
      <c r="L12" s="73" t="s">
        <v>60</v>
      </c>
    </row>
    <row r="13" spans="1:12">
      <c r="A13" s="7">
        <v>7</v>
      </c>
      <c r="B13" s="45">
        <v>2553</v>
      </c>
      <c r="C13" s="43" t="s">
        <v>39</v>
      </c>
      <c r="D13" s="42" t="s">
        <v>40</v>
      </c>
      <c r="E13" s="44" t="s">
        <v>36</v>
      </c>
      <c r="F13" s="2">
        <v>9</v>
      </c>
      <c r="G13" s="2">
        <v>3</v>
      </c>
      <c r="H13" s="2">
        <v>2</v>
      </c>
      <c r="I13" s="3">
        <v>2</v>
      </c>
      <c r="J13" s="78">
        <v>3500</v>
      </c>
      <c r="K13" s="78">
        <f t="shared" si="0"/>
        <v>7000</v>
      </c>
      <c r="L13" s="73" t="s">
        <v>61</v>
      </c>
    </row>
    <row r="14" spans="1:12">
      <c r="A14" s="7">
        <v>8</v>
      </c>
      <c r="B14" s="49">
        <v>2553</v>
      </c>
      <c r="C14" s="47" t="s">
        <v>41</v>
      </c>
      <c r="D14" s="46" t="s">
        <v>42</v>
      </c>
      <c r="E14" s="48" t="s">
        <v>36</v>
      </c>
      <c r="F14" s="2">
        <v>7</v>
      </c>
      <c r="G14" s="2">
        <v>3</v>
      </c>
      <c r="H14" s="2">
        <v>2</v>
      </c>
      <c r="I14" s="3">
        <v>2</v>
      </c>
      <c r="J14" s="78">
        <v>1500</v>
      </c>
      <c r="K14" s="78">
        <f t="shared" si="0"/>
        <v>3000</v>
      </c>
      <c r="L14" s="73" t="s">
        <v>62</v>
      </c>
    </row>
    <row r="15" spans="1:12">
      <c r="A15" s="7">
        <v>9</v>
      </c>
      <c r="B15" s="53">
        <v>2553</v>
      </c>
      <c r="C15" s="51" t="s">
        <v>43</v>
      </c>
      <c r="D15" s="50" t="s">
        <v>44</v>
      </c>
      <c r="E15" s="52" t="s">
        <v>36</v>
      </c>
      <c r="F15" s="2">
        <v>4</v>
      </c>
      <c r="G15" s="2" t="s">
        <v>69</v>
      </c>
      <c r="H15" s="2">
        <v>2</v>
      </c>
      <c r="I15" s="3">
        <v>2</v>
      </c>
      <c r="J15" s="78">
        <v>450</v>
      </c>
      <c r="K15" s="78">
        <f t="shared" si="0"/>
        <v>900</v>
      </c>
      <c r="L15" s="73" t="s">
        <v>63</v>
      </c>
    </row>
    <row r="16" spans="1:12">
      <c r="A16" s="7">
        <v>10</v>
      </c>
      <c r="B16" s="57">
        <v>2553</v>
      </c>
      <c r="C16" s="55" t="s">
        <v>45</v>
      </c>
      <c r="D16" s="54" t="s">
        <v>46</v>
      </c>
      <c r="E16" s="56" t="s">
        <v>36</v>
      </c>
      <c r="F16" s="2">
        <v>5</v>
      </c>
      <c r="G16" s="2">
        <v>1</v>
      </c>
      <c r="H16" s="2">
        <v>2</v>
      </c>
      <c r="I16" s="3">
        <v>2</v>
      </c>
      <c r="J16" s="78">
        <v>680</v>
      </c>
      <c r="K16" s="78">
        <f t="shared" si="0"/>
        <v>1360</v>
      </c>
      <c r="L16" s="73" t="s">
        <v>64</v>
      </c>
    </row>
    <row r="17" spans="1:12">
      <c r="A17" s="7">
        <v>11</v>
      </c>
      <c r="B17" s="60">
        <v>2554</v>
      </c>
      <c r="C17" s="59" t="s">
        <v>47</v>
      </c>
      <c r="D17" s="58" t="s">
        <v>48</v>
      </c>
      <c r="E17" s="60" t="s">
        <v>36</v>
      </c>
      <c r="F17" s="2">
        <v>6</v>
      </c>
      <c r="G17" s="2" t="s">
        <v>69</v>
      </c>
      <c r="H17" s="2">
        <v>1</v>
      </c>
      <c r="I17" s="3">
        <v>1</v>
      </c>
      <c r="J17" s="78">
        <v>900</v>
      </c>
      <c r="K17" s="78">
        <f t="shared" si="0"/>
        <v>900</v>
      </c>
      <c r="L17" s="74" t="s">
        <v>65</v>
      </c>
    </row>
    <row r="18" spans="1:12">
      <c r="A18" s="7">
        <v>12</v>
      </c>
      <c r="B18" s="63">
        <v>2554</v>
      </c>
      <c r="C18" s="62" t="s">
        <v>49</v>
      </c>
      <c r="D18" s="61" t="s">
        <v>50</v>
      </c>
      <c r="E18" s="63" t="s">
        <v>36</v>
      </c>
      <c r="F18" s="2">
        <v>8</v>
      </c>
      <c r="G18" s="2">
        <v>1</v>
      </c>
      <c r="H18" s="2">
        <v>1</v>
      </c>
      <c r="I18" s="3">
        <v>1</v>
      </c>
      <c r="J18" s="78">
        <v>3500</v>
      </c>
      <c r="K18" s="78">
        <f t="shared" si="0"/>
        <v>3500</v>
      </c>
      <c r="L18" s="73" t="s">
        <v>66</v>
      </c>
    </row>
    <row r="19" spans="1:12">
      <c r="A19" s="7">
        <v>13</v>
      </c>
      <c r="B19" s="66">
        <v>2554</v>
      </c>
      <c r="C19" s="65" t="s">
        <v>51</v>
      </c>
      <c r="D19" s="64" t="s">
        <v>52</v>
      </c>
      <c r="E19" s="2" t="s">
        <v>36</v>
      </c>
      <c r="F19" s="2">
        <v>9</v>
      </c>
      <c r="G19" s="2">
        <v>4</v>
      </c>
      <c r="H19" s="2">
        <v>1</v>
      </c>
      <c r="I19" s="3">
        <v>1</v>
      </c>
      <c r="J19" s="78">
        <v>26500</v>
      </c>
      <c r="K19" s="78">
        <f t="shared" si="0"/>
        <v>26500</v>
      </c>
      <c r="L19" s="75" t="s">
        <v>67</v>
      </c>
    </row>
    <row r="20" spans="1:12" ht="24.75" thickBot="1">
      <c r="A20" s="7">
        <v>14</v>
      </c>
      <c r="B20" s="69">
        <v>2554</v>
      </c>
      <c r="C20" s="68" t="s">
        <v>53</v>
      </c>
      <c r="D20" s="67" t="s">
        <v>54</v>
      </c>
      <c r="E20" s="13" t="s">
        <v>36</v>
      </c>
      <c r="F20" s="13">
        <v>8</v>
      </c>
      <c r="G20" s="2">
        <v>1</v>
      </c>
      <c r="H20" s="13">
        <v>1</v>
      </c>
      <c r="I20" s="14">
        <v>1</v>
      </c>
      <c r="J20" s="79">
        <v>28900</v>
      </c>
      <c r="K20" s="78">
        <f t="shared" si="0"/>
        <v>28900</v>
      </c>
      <c r="L20" s="76" t="s">
        <v>68</v>
      </c>
    </row>
    <row r="21" spans="1:12" ht="24.75" thickBot="1">
      <c r="A21" s="83" t="s">
        <v>5</v>
      </c>
      <c r="B21" s="84"/>
      <c r="C21" s="84"/>
      <c r="D21" s="84"/>
      <c r="E21" s="84"/>
      <c r="F21" s="84"/>
      <c r="G21" s="84"/>
      <c r="H21" s="84"/>
      <c r="I21" s="84"/>
      <c r="J21" s="85"/>
      <c r="K21" s="80">
        <f>SUM(K7:K20)</f>
        <v>163680</v>
      </c>
      <c r="L21" s="77"/>
    </row>
    <row r="22" spans="1:12" ht="24.75" thickTop="1">
      <c r="A22" s="17"/>
      <c r="B22" s="17"/>
      <c r="C22" s="17"/>
      <c r="D22" s="17"/>
      <c r="E22" s="17"/>
      <c r="F22" s="17"/>
      <c r="G22" s="17"/>
      <c r="H22" s="17"/>
      <c r="I22" s="11"/>
      <c r="J22" s="71"/>
      <c r="K22" s="71"/>
      <c r="L22" s="8"/>
    </row>
    <row r="23" spans="1:12">
      <c r="A23" s="4"/>
      <c r="B23" s="12" t="s">
        <v>2</v>
      </c>
      <c r="C23" s="8" t="s">
        <v>17</v>
      </c>
      <c r="D23" s="4"/>
      <c r="E23" s="4"/>
      <c r="F23" s="4"/>
      <c r="G23" s="4"/>
      <c r="H23" s="4"/>
      <c r="I23" s="11"/>
      <c r="J23" s="72"/>
      <c r="K23" s="72"/>
      <c r="L23" s="8"/>
    </row>
    <row r="24" spans="1:12">
      <c r="A24" s="4"/>
      <c r="B24" s="15"/>
      <c r="C24" s="8" t="s">
        <v>18</v>
      </c>
      <c r="D24" s="4"/>
      <c r="E24" s="4"/>
      <c r="F24" s="4"/>
      <c r="G24" s="4"/>
      <c r="H24" s="10"/>
      <c r="I24" s="10"/>
      <c r="J24" s="71"/>
      <c r="K24" s="71"/>
      <c r="L24" s="8"/>
    </row>
    <row r="25" spans="1:12">
      <c r="A25" s="4"/>
      <c r="B25" s="15"/>
      <c r="C25" s="8"/>
      <c r="D25" s="4"/>
      <c r="E25" s="4"/>
      <c r="F25" s="4"/>
      <c r="G25" s="4"/>
      <c r="H25" s="10"/>
      <c r="I25" s="10"/>
      <c r="J25" s="71"/>
      <c r="K25" s="71"/>
      <c r="L25" s="8"/>
    </row>
    <row r="26" spans="1:12">
      <c r="A26" s="4"/>
      <c r="B26" s="15"/>
      <c r="C26" s="8"/>
      <c r="D26" s="4"/>
      <c r="E26" s="4"/>
      <c r="F26" s="4"/>
      <c r="G26" s="4"/>
      <c r="H26" s="86" t="s">
        <v>21</v>
      </c>
      <c r="I26" s="86"/>
      <c r="J26" s="86"/>
      <c r="K26" s="86"/>
      <c r="L26" s="8"/>
    </row>
    <row r="27" spans="1:12">
      <c r="H27" s="86" t="s">
        <v>23</v>
      </c>
      <c r="I27" s="86"/>
      <c r="J27" s="86"/>
      <c r="K27" s="86"/>
    </row>
    <row r="28" spans="1:12">
      <c r="H28" s="86" t="s">
        <v>4</v>
      </c>
      <c r="I28" s="86"/>
      <c r="J28" s="86"/>
      <c r="K28" s="86"/>
    </row>
  </sheetData>
  <mergeCells count="18">
    <mergeCell ref="H28:K28"/>
    <mergeCell ref="H27:K27"/>
    <mergeCell ref="H5:I5"/>
    <mergeCell ref="J5:J6"/>
    <mergeCell ref="K5:K6"/>
    <mergeCell ref="L5:L6"/>
    <mergeCell ref="A21:J21"/>
    <mergeCell ref="H26:K2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2021-10-08T03:36:36Z</cp:lastPrinted>
  <dcterms:created xsi:type="dcterms:W3CDTF">2017-11-14T01:32:33Z</dcterms:created>
  <dcterms:modified xsi:type="dcterms:W3CDTF">2022-05-30T07:17:39Z</dcterms:modified>
</cp:coreProperties>
</file>