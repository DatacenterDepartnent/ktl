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ใหม่\ตรวจครุภัณฑ์ประจำปี\ตรวจสอบพัสดุ-ครุภัณฑ์ประจำปี 2566\2. เอกสารประกอบที่ 2\แผนก\"/>
    </mc:Choice>
  </mc:AlternateContent>
  <xr:revisionPtr revIDLastSave="0" documentId="13_ncr:1_{8535CE7D-343F-4EAA-A5EF-1970593424D3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เทคนิคพื้นฐาน" sheetId="28" r:id="rId1"/>
  </sheets>
  <calcPr calcId="191029"/>
</workbook>
</file>

<file path=xl/calcChain.xml><?xml version="1.0" encoding="utf-8"?>
<calcChain xmlns="http://schemas.openxmlformats.org/spreadsheetml/2006/main">
  <c r="H28" i="28" l="1"/>
  <c r="H29" i="28" s="1"/>
  <c r="H27" i="28"/>
  <c r="H6" i="28" l="1"/>
  <c r="H7" i="28"/>
  <c r="H8" i="28"/>
  <c r="H9" i="28"/>
  <c r="H10" i="28"/>
  <c r="H11" i="28"/>
  <c r="H12" i="28"/>
  <c r="H13" i="28"/>
  <c r="H14" i="28"/>
  <c r="H15" i="28"/>
  <c r="H16" i="28"/>
  <c r="H17" i="28"/>
  <c r="H18" i="28"/>
  <c r="H19" i="28"/>
  <c r="H20" i="28"/>
  <c r="H22" i="28"/>
  <c r="H23" i="28"/>
  <c r="H24" i="28"/>
  <c r="H25" i="28"/>
  <c r="H21" i="28"/>
  <c r="H26" i="28"/>
  <c r="H5" i="28"/>
</calcChain>
</file>

<file path=xl/sharedStrings.xml><?xml version="1.0" encoding="utf-8"?>
<sst xmlns="http://schemas.openxmlformats.org/spreadsheetml/2006/main" count="105" uniqueCount="75">
  <si>
    <t>รายการ ขนาด ลักษณะ</t>
  </si>
  <si>
    <t>จำนวน</t>
  </si>
  <si>
    <t>หมายเหตุ</t>
  </si>
  <si>
    <t>งปม.</t>
  </si>
  <si>
    <t>บกศ.</t>
  </si>
  <si>
    <t>รวมเป็นเงิน</t>
  </si>
  <si>
    <t xml:space="preserve"> สถานศึกษา วิทยาลัยเทคนิคกันทรลักษ์</t>
  </si>
  <si>
    <t>โต๊ะปฏิบัติงาน</t>
  </si>
  <si>
    <t>บัญชีรายการครุภัณฑ์ แผนกวิชาเทคนิคพื้นฐาน คงเหลือ</t>
  </si>
  <si>
    <t>7110-007-0002/391-011-015</t>
  </si>
  <si>
    <t>3446-005-0001/391-001-004</t>
  </si>
  <si>
    <t>ทั่งตีเหล็กขนาด 50 กก.</t>
  </si>
  <si>
    <t>5110-013-0001/391-001</t>
  </si>
  <si>
    <t>เครื่องตัดเจาะระบบไฮดรอลิก</t>
  </si>
  <si>
    <t>6910-001-0002/391-001</t>
  </si>
  <si>
    <t>เครื่องมือและอุปกรณ์ทั่วไปประจำวิชางานฝึกฝีมือ</t>
  </si>
  <si>
    <t>7110-001-0001/391-010</t>
  </si>
  <si>
    <t>ตู้เหล็ก 2 บาน (PRERIDENT)</t>
  </si>
  <si>
    <t>3455-007-0002/412-001</t>
  </si>
  <si>
    <t>เลื่อยกลไฟฟ้าแบบแท่นพร้อมมอเตอร์</t>
  </si>
  <si>
    <t>7195-008-0001/452-001</t>
  </si>
  <si>
    <t>ตู้โชว์กระจก ขนาด 4 ฟุต</t>
  </si>
  <si>
    <t>3416-001-0001/463-001</t>
  </si>
  <si>
    <t>เครื่องกลึงขนาดยันศูนย์เหนือแท่น 125 มม.</t>
  </si>
  <si>
    <t>3416-001-0001/463-002</t>
  </si>
  <si>
    <t>5210-016-0001/482-001-006</t>
  </si>
  <si>
    <t>บรรทัดเส้นผม</t>
  </si>
  <si>
    <t>5210-016-0002/482-001-006</t>
  </si>
  <si>
    <t>ฉากเส้นผม</t>
  </si>
  <si>
    <t>4140-001-0002/482-004-0007</t>
  </si>
  <si>
    <t>พัดลมโรงงาน 18 นิ้ว</t>
  </si>
  <si>
    <t>7430-008-0001/502-015</t>
  </si>
  <si>
    <t>เครื่องปริ้นเตอร์ 1020</t>
  </si>
  <si>
    <t>7440-001-0001/502-058</t>
  </si>
  <si>
    <t>เครื่องคอมพิวเตอร์ HP</t>
  </si>
  <si>
    <t>7125-001-0002/521-001-003</t>
  </si>
  <si>
    <t>ตู้ล๊อกเกอร์ 18 ช่อง TAIYO</t>
  </si>
  <si>
    <t>6910-001-0021/531-001-002</t>
  </si>
  <si>
    <t>เครื่องเทอเรทมิลลิ่งจีน  รุ่น  x6340W</t>
  </si>
  <si>
    <t>ครุภัณฑ์ปฏิบัติการสาขางานเครื่องมือทั่วไป</t>
  </si>
  <si>
    <t>7125-002-0010/551-001</t>
  </si>
  <si>
    <t>5130-007-0004/551-003</t>
  </si>
  <si>
    <t>สว่านไฟฟ้า ขนาด 13 มม.</t>
  </si>
  <si>
    <t>3431-003-0004/551-002</t>
  </si>
  <si>
    <t>เครื่องพลาสม่าเอนกประสงค์</t>
  </si>
  <si>
    <t>ชุดตู้เครื่องมือ 7 ลิ้นชัก พร้อมเครื่องมือ ไม่น้อยกว่า 200 ชิ้น</t>
  </si>
  <si>
    <t>7430-003-001/632-003</t>
  </si>
  <si>
    <t>เครื่องปริ้นเตอร์ บราเทอร์ DCP-T510W</t>
  </si>
  <si>
    <t>ว่าที่ร้อยเอก .............................................</t>
  </si>
  <si>
    <t>บริจาค</t>
  </si>
  <si>
    <t>3433-002-0003/531-001</t>
  </si>
  <si>
    <t>เครื่องเชื่อมไฟฟ้า Inverter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</si>
  <si>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</si>
  <si>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</si>
  <si>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</si>
  <si>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</si>
  <si>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</si>
  <si>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</si>
  <si>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7440-010-0002/642-007(13)</t>
  </si>
  <si>
    <t>เครื่องพิมพ์เลเซอร์</t>
  </si>
  <si>
    <t>2539</t>
  </si>
  <si>
    <t>2541</t>
  </si>
  <si>
    <t>2545</t>
  </si>
  <si>
    <t>2546</t>
  </si>
  <si>
    <t>2548</t>
  </si>
  <si>
    <t>2550</t>
  </si>
  <si>
    <t>2552</t>
  </si>
  <si>
    <t>2553</t>
  </si>
  <si>
    <t xml:space="preserve"> 8 มิ.ย.64</t>
  </si>
  <si>
    <t>3419-007-0001/551-001</t>
  </si>
  <si>
    <t xml:space="preserve">             (สายชล  ทองแป)</t>
  </si>
  <si>
    <t xml:space="preserve">            หัวหน้าหน่วยจ่าย/หน่วยเบิก</t>
  </si>
  <si>
    <t>ประจำปี 2566  ณ วันที่ 30 กันยายน 2566</t>
  </si>
  <si>
    <t>4140-001-0002/662-001(28)</t>
  </si>
  <si>
    <t>พัดลมติดผนัง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</si>
</sst>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8"/>
      <name val="Calibri"/>
      <family val="2"/>
      <charset val="222"/>
      <scheme val="minor"/>
    </font>
    <font>
      <sz val="16"/>
      <color rgb="FF2F75B5"/>
      <name val="TH SarabunPSK"/>
      <family val="2"/>
    </font>
    <font>
      <b/>
      <sz val="12"/>
      <name val="TH SarabunPSK"/>
      <family val="2"/>
    </font>
    <font>
      <b/>
      <sz val="16"/>
      <color rgb="FF2F75B5"/>
      <name val="TH SarabunPSK"/>
      <family val="2"/>
    </font>
    <font>
      <b/>
      <sz val="15"/>
      <name val="TH SarabunPSK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61">
    <xf numFmtId="0" fontId="0" fillId="0" borderId="0" xfId="0"/>
    <xf numFmtId="0" fontId="4" fillId="0" borderId="0" xfId="0" applyFont="1"/>
    <xf numFmtId="43" fontId="3" fillId="0" borderId="0" xfId="12" applyFont="1" applyBorder="1" applyAlignment="1"/>
    <xf numFmtId="43" fontId="4" fillId="0" borderId="0" xfId="0" applyNumberFormat="1" applyFont="1"/>
    <xf numFmtId="43" fontId="3" fillId="0" borderId="0" xfId="12" applyFont="1" applyBorder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0" borderId="0" xfId="2" applyFont="1" applyAlignment="1">
      <alignment horizontal="center"/>
    </xf>
    <xf numFmtId="0" fontId="9" fillId="0" borderId="0" xfId="0" applyFont="1"/>
    <xf numFmtId="0" fontId="6" fillId="0" borderId="4" xfId="0" applyFont="1" applyBorder="1" applyAlignment="1">
      <alignment horizontal="center"/>
    </xf>
    <xf numFmtId="0" fontId="3" fillId="0" borderId="0" xfId="0" applyFont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49" fontId="7" fillId="0" borderId="6" xfId="0" applyNumberFormat="1" applyFont="1" applyBorder="1" applyAlignment="1">
      <alignment horizontal="center"/>
    </xf>
    <xf numFmtId="0" fontId="7" fillId="0" borderId="6" xfId="6" applyFont="1" applyBorder="1" applyAlignment="1">
      <alignment horizontal="left"/>
    </xf>
    <xf numFmtId="0" fontId="7" fillId="0" borderId="6" xfId="6" applyFont="1" applyBorder="1"/>
    <xf numFmtId="0" fontId="7" fillId="0" borderId="6" xfId="2" applyFont="1" applyBorder="1" applyAlignment="1">
      <alignment horizontal="center"/>
    </xf>
    <xf numFmtId="0" fontId="7" fillId="0" borderId="6" xfId="6" applyFont="1" applyBorder="1" applyAlignment="1">
      <alignment horizontal="center"/>
    </xf>
    <xf numFmtId="43" fontId="7" fillId="0" borderId="6" xfId="1" applyFont="1" applyBorder="1"/>
    <xf numFmtId="43" fontId="7" fillId="0" borderId="6" xfId="12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6" applyFont="1" applyBorder="1" applyAlignment="1">
      <alignment horizontal="left"/>
    </xf>
    <xf numFmtId="0" fontId="7" fillId="0" borderId="1" xfId="2" applyFont="1" applyBorder="1" applyAlignment="1">
      <alignment horizontal="center"/>
    </xf>
    <xf numFmtId="0" fontId="7" fillId="0" borderId="1" xfId="6" applyFont="1" applyBorder="1" applyAlignment="1">
      <alignment horizontal="center"/>
    </xf>
    <xf numFmtId="43" fontId="7" fillId="0" borderId="1" xfId="1" applyFont="1" applyBorder="1"/>
    <xf numFmtId="43" fontId="7" fillId="0" borderId="1" xfId="12" applyFont="1" applyBorder="1" applyAlignment="1">
      <alignment horizontal="center"/>
    </xf>
    <xf numFmtId="0" fontId="7" fillId="0" borderId="1" xfId="6" applyFont="1" applyBorder="1"/>
    <xf numFmtId="43" fontId="10" fillId="0" borderId="1" xfId="12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49" fontId="7" fillId="0" borderId="1" xfId="13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49" fontId="11" fillId="0" borderId="1" xfId="7" applyNumberFormat="1" applyFont="1" applyBorder="1" applyAlignment="1">
      <alignment horizontal="center"/>
    </xf>
    <xf numFmtId="0" fontId="11" fillId="0" borderId="1" xfId="6" applyFont="1" applyBorder="1" applyAlignment="1">
      <alignment horizontal="left"/>
    </xf>
    <xf numFmtId="0" fontId="11" fillId="0" borderId="1" xfId="6" applyFont="1" applyBorder="1"/>
    <xf numFmtId="0" fontId="11" fillId="0" borderId="1" xfId="2" applyFont="1" applyBorder="1" applyAlignment="1">
      <alignment horizontal="center"/>
    </xf>
    <xf numFmtId="0" fontId="11" fillId="0" borderId="1" xfId="6" applyFont="1" applyBorder="1" applyAlignment="1">
      <alignment horizontal="center"/>
    </xf>
    <xf numFmtId="43" fontId="11" fillId="0" borderId="1" xfId="1" applyFont="1" applyBorder="1"/>
    <xf numFmtId="43" fontId="11" fillId="0" borderId="6" xfId="1" applyFont="1" applyBorder="1"/>
    <xf numFmtId="0" fontId="11" fillId="0" borderId="6" xfId="0" applyFont="1" applyBorder="1" applyAlignment="1">
      <alignment horizontal="center"/>
    </xf>
    <xf numFmtId="0" fontId="11" fillId="0" borderId="5" xfId="6" applyFont="1" applyBorder="1" applyAlignment="1">
      <alignment horizontal="left"/>
    </xf>
    <xf numFmtId="0" fontId="11" fillId="0" borderId="5" xfId="6" applyFont="1" applyBorder="1"/>
    <xf numFmtId="0" fontId="11" fillId="0" borderId="5" xfId="6" applyFont="1" applyBorder="1" applyAlignment="1">
      <alignment horizontal="center"/>
    </xf>
    <xf numFmtId="43" fontId="11" fillId="0" borderId="5" xfId="1" applyFont="1" applyBorder="1"/>
    <xf numFmtId="49" fontId="7" fillId="0" borderId="1" xfId="7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3" fontId="7" fillId="0" borderId="1" xfId="6" applyNumberFormat="1" applyFont="1" applyBorder="1" applyAlignment="1">
      <alignment horizontal="center"/>
    </xf>
    <xf numFmtId="0" fontId="12" fillId="0" borderId="1" xfId="6" applyFont="1" applyBorder="1"/>
    <xf numFmtId="15" fontId="6" fillId="0" borderId="1" xfId="0" applyNumberFormat="1" applyFont="1" applyBorder="1" applyAlignment="1">
      <alignment horizontal="center"/>
    </xf>
    <xf numFmtId="43" fontId="7" fillId="0" borderId="2" xfId="1" applyFont="1" applyBorder="1"/>
    <xf numFmtId="43" fontId="6" fillId="0" borderId="2" xfId="0" applyNumberFormat="1" applyFont="1" applyBorder="1"/>
    <xf numFmtId="43" fontId="6" fillId="0" borderId="1" xfId="0" applyNumberFormat="1" applyFont="1" applyBorder="1"/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</xdr:colOff>
      <xdr:row>0</xdr:row>
      <xdr:rowOff>171450</xdr:rowOff>
    </xdr:from>
    <xdr:to>
      <xdr:col>8</xdr:col>
      <xdr:colOff>590550</xdr:colOff>
      <xdr:row>1</xdr:row>
      <xdr:rowOff>190500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7953375" y="171450"/>
          <a:ext cx="14859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K34"/>
  <sheetViews>
    <sheetView tabSelected="1" topLeftCell="A16" workbookViewId="0">
      <selection activeCell="F34" sqref="F34:I34"/>
    </sheetView>
  </sheetViews>
  <sheetFormatPr defaultColWidth="9" defaultRowHeight="24"/>
  <cols>
    <col min="1" max="1" width="5.42578125" style="1" customWidth="1"/>
    <col min="2" max="2" width="10.85546875" style="1" customWidth="1"/>
    <col min="3" max="3" width="30.28515625" style="1" customWidth="1"/>
    <col min="4" max="4" width="45.7109375" style="1" customWidth="1"/>
    <col min="5" max="5" width="7.140625" style="1" customWidth="1"/>
    <col min="6" max="6" width="6.28515625" style="1" customWidth="1"/>
    <col min="7" max="7" width="13.140625" style="1" customWidth="1"/>
    <col min="8" max="8" width="14.140625" style="1" customWidth="1"/>
    <col min="9" max="9" width="12.28515625" style="5" customWidth="1"/>
    <col min="10" max="10" width="13" style="1" customWidth="1"/>
    <col min="11" max="11" width="9.140625" style="1" customWidth="1"/>
    <col min="12" max="16384" width="9" style="1"/>
  </cols>
  <sheetData>
    <row r="1" spans="1:11">
      <c r="A1" s="16" t="s">
        <v>6</v>
      </c>
      <c r="B1" s="16"/>
      <c r="C1" s="16"/>
      <c r="D1" s="16"/>
      <c r="E1" s="16"/>
      <c r="F1" s="16"/>
      <c r="G1" s="16"/>
      <c r="H1" s="16"/>
      <c r="I1" s="16"/>
      <c r="J1" s="5"/>
      <c r="K1" s="5"/>
    </row>
    <row r="2" spans="1:11">
      <c r="A2" s="17" t="s">
        <v>8</v>
      </c>
      <c r="B2" s="17"/>
      <c r="C2" s="17"/>
      <c r="D2" s="17"/>
      <c r="E2" s="17"/>
      <c r="F2" s="17"/>
      <c r="G2" s="17"/>
      <c r="H2" s="17"/>
      <c r="I2" s="17"/>
      <c r="J2" s="8"/>
      <c r="K2" s="8"/>
    </row>
    <row r="3" spans="1:11">
      <c r="A3" s="18" t="s">
        <v>72</v>
      </c>
      <c r="B3" s="18"/>
      <c r="C3" s="18"/>
      <c r="D3" s="18"/>
      <c r="E3" s="18"/>
      <c r="F3" s="18"/>
      <c r="G3" s="18"/>
      <c r="H3" s="18"/>
      <c r="I3" s="18"/>
      <c r="J3" s="5"/>
      <c r="K3" s="5"/>
    </row>
    <row r="4" spans="1:11" ht="43.5" customHeight="1">
      <c r="A4" s="19" t="s">
        <v>52</v>
      </c>
      <c r="B4" s="19" t="s">
        <v>55</v>
      </c>
      <c r="C4" s="19" t="s">
        <v>56</v>
      </c>
      <c r="D4" s="20" t="s">
        <v>0</v>
      </c>
      <c r="E4" s="19" t="s">
        <v>53</v>
      </c>
      <c r="F4" s="20" t="s">
        <v>1</v>
      </c>
      <c r="G4" s="19" t="s">
        <v>54</v>
      </c>
      <c r="H4" s="19" t="s">
        <v>57</v>
      </c>
      <c r="I4" s="19" t="s">
        <v>2</v>
      </c>
      <c r="J4" s="7"/>
      <c r="K4" s="7"/>
    </row>
    <row r="5" spans="1:11">
      <c r="A5" s="21">
        <v>1</v>
      </c>
      <c r="B5" s="22" t="s">
        <v>60</v>
      </c>
      <c r="C5" s="23" t="s">
        <v>9</v>
      </c>
      <c r="D5" s="24" t="s">
        <v>7</v>
      </c>
      <c r="E5" s="25" t="s">
        <v>3</v>
      </c>
      <c r="F5" s="26">
        <v>5</v>
      </c>
      <c r="G5" s="27">
        <v>5000</v>
      </c>
      <c r="H5" s="27">
        <f>SUM(F5*G5)</f>
        <v>25000</v>
      </c>
      <c r="I5" s="28"/>
      <c r="J5" s="2"/>
      <c r="K5" s="2"/>
    </row>
    <row r="6" spans="1:11" s="12" customFormat="1">
      <c r="A6" s="29">
        <v>2</v>
      </c>
      <c r="B6" s="22" t="s">
        <v>60</v>
      </c>
      <c r="C6" s="23" t="s">
        <v>10</v>
      </c>
      <c r="D6" s="30" t="s">
        <v>11</v>
      </c>
      <c r="E6" s="31" t="s">
        <v>3</v>
      </c>
      <c r="F6" s="32">
        <v>4</v>
      </c>
      <c r="G6" s="33">
        <v>3000</v>
      </c>
      <c r="H6" s="27">
        <f t="shared" ref="H6:H28" si="0">SUM(F6*G6)</f>
        <v>12000</v>
      </c>
      <c r="I6" s="34"/>
      <c r="J6" s="2"/>
      <c r="K6" s="2"/>
    </row>
    <row r="7" spans="1:11" s="12" customFormat="1">
      <c r="A7" s="21">
        <v>3</v>
      </c>
      <c r="B7" s="22" t="s">
        <v>60</v>
      </c>
      <c r="C7" s="23" t="s">
        <v>12</v>
      </c>
      <c r="D7" s="35" t="s">
        <v>13</v>
      </c>
      <c r="E7" s="31" t="s">
        <v>3</v>
      </c>
      <c r="F7" s="32">
        <v>1</v>
      </c>
      <c r="G7" s="33">
        <v>99900</v>
      </c>
      <c r="H7" s="27">
        <f t="shared" si="0"/>
        <v>99900</v>
      </c>
      <c r="I7" s="36"/>
      <c r="J7" s="2"/>
      <c r="K7" s="2"/>
    </row>
    <row r="8" spans="1:11" s="12" customFormat="1">
      <c r="A8" s="29">
        <v>4</v>
      </c>
      <c r="B8" s="22" t="s">
        <v>60</v>
      </c>
      <c r="C8" s="23" t="s">
        <v>14</v>
      </c>
      <c r="D8" s="35" t="s">
        <v>15</v>
      </c>
      <c r="E8" s="31" t="s">
        <v>3</v>
      </c>
      <c r="F8" s="32">
        <v>1</v>
      </c>
      <c r="G8" s="33">
        <v>69800</v>
      </c>
      <c r="H8" s="27">
        <f t="shared" si="0"/>
        <v>69800</v>
      </c>
      <c r="I8" s="36"/>
      <c r="J8" s="2"/>
      <c r="K8" s="2"/>
    </row>
    <row r="9" spans="1:11" s="12" customFormat="1">
      <c r="A9" s="21">
        <v>5</v>
      </c>
      <c r="B9" s="22" t="s">
        <v>60</v>
      </c>
      <c r="C9" s="30" t="s">
        <v>16</v>
      </c>
      <c r="D9" s="35" t="s">
        <v>17</v>
      </c>
      <c r="E9" s="31" t="s">
        <v>3</v>
      </c>
      <c r="F9" s="32">
        <v>1</v>
      </c>
      <c r="G9" s="33">
        <v>2300</v>
      </c>
      <c r="H9" s="27">
        <f t="shared" si="0"/>
        <v>2300</v>
      </c>
      <c r="I9" s="34"/>
      <c r="J9" s="2"/>
      <c r="K9" s="2"/>
    </row>
    <row r="10" spans="1:11">
      <c r="A10" s="29">
        <v>6</v>
      </c>
      <c r="B10" s="37" t="s">
        <v>61</v>
      </c>
      <c r="C10" s="30" t="s">
        <v>18</v>
      </c>
      <c r="D10" s="35" t="s">
        <v>19</v>
      </c>
      <c r="E10" s="31" t="s">
        <v>4</v>
      </c>
      <c r="F10" s="32">
        <v>1</v>
      </c>
      <c r="G10" s="33">
        <v>9500</v>
      </c>
      <c r="H10" s="27">
        <f t="shared" si="0"/>
        <v>9500</v>
      </c>
      <c r="I10" s="34"/>
      <c r="J10" s="2"/>
      <c r="K10" s="2"/>
    </row>
    <row r="11" spans="1:11">
      <c r="A11" s="21">
        <v>7</v>
      </c>
      <c r="B11" s="37" t="s">
        <v>62</v>
      </c>
      <c r="C11" s="30" t="s">
        <v>20</v>
      </c>
      <c r="D11" s="35" t="s">
        <v>21</v>
      </c>
      <c r="E11" s="31" t="s">
        <v>4</v>
      </c>
      <c r="F11" s="32">
        <v>1</v>
      </c>
      <c r="G11" s="33">
        <v>1850</v>
      </c>
      <c r="H11" s="27">
        <f t="shared" si="0"/>
        <v>1850</v>
      </c>
      <c r="I11" s="34"/>
      <c r="J11" s="4"/>
      <c r="K11" s="4"/>
    </row>
    <row r="12" spans="1:11" s="12" customFormat="1">
      <c r="A12" s="29">
        <v>8</v>
      </c>
      <c r="B12" s="37" t="s">
        <v>63</v>
      </c>
      <c r="C12" s="30" t="s">
        <v>22</v>
      </c>
      <c r="D12" s="35" t="s">
        <v>23</v>
      </c>
      <c r="E12" s="31" t="s">
        <v>49</v>
      </c>
      <c r="F12" s="32">
        <v>1</v>
      </c>
      <c r="G12" s="33">
        <v>69950</v>
      </c>
      <c r="H12" s="27">
        <f t="shared" si="0"/>
        <v>69950</v>
      </c>
      <c r="I12" s="38"/>
      <c r="J12" s="4"/>
      <c r="K12" s="4"/>
    </row>
    <row r="13" spans="1:11" s="12" customFormat="1">
      <c r="A13" s="21">
        <v>9</v>
      </c>
      <c r="B13" s="37" t="s">
        <v>63</v>
      </c>
      <c r="C13" s="30" t="s">
        <v>24</v>
      </c>
      <c r="D13" s="35" t="s">
        <v>23</v>
      </c>
      <c r="E13" s="31" t="s">
        <v>49</v>
      </c>
      <c r="F13" s="32">
        <v>1</v>
      </c>
      <c r="G13" s="33">
        <v>86000</v>
      </c>
      <c r="H13" s="27">
        <f t="shared" si="0"/>
        <v>86000</v>
      </c>
      <c r="I13" s="38"/>
    </row>
    <row r="14" spans="1:11" s="12" customFormat="1">
      <c r="A14" s="29">
        <v>10</v>
      </c>
      <c r="B14" s="39" t="s">
        <v>64</v>
      </c>
      <c r="C14" s="30" t="s">
        <v>25</v>
      </c>
      <c r="D14" s="35" t="s">
        <v>26</v>
      </c>
      <c r="E14" s="31" t="s">
        <v>4</v>
      </c>
      <c r="F14" s="32">
        <v>6</v>
      </c>
      <c r="G14" s="33">
        <v>1448.6</v>
      </c>
      <c r="H14" s="27">
        <f t="shared" si="0"/>
        <v>8691.5999999999985</v>
      </c>
      <c r="I14" s="29"/>
    </row>
    <row r="15" spans="1:11" s="12" customFormat="1">
      <c r="A15" s="21">
        <v>11</v>
      </c>
      <c r="B15" s="39" t="s">
        <v>64</v>
      </c>
      <c r="C15" s="30" t="s">
        <v>27</v>
      </c>
      <c r="D15" s="35" t="s">
        <v>28</v>
      </c>
      <c r="E15" s="31" t="s">
        <v>4</v>
      </c>
      <c r="F15" s="32">
        <v>6</v>
      </c>
      <c r="G15" s="33">
        <v>1635.51</v>
      </c>
      <c r="H15" s="27">
        <f t="shared" si="0"/>
        <v>9813.06</v>
      </c>
      <c r="I15" s="29"/>
    </row>
    <row r="16" spans="1:11" s="10" customFormat="1">
      <c r="A16" s="40">
        <v>12</v>
      </c>
      <c r="B16" s="41" t="s">
        <v>64</v>
      </c>
      <c r="C16" s="42" t="s">
        <v>29</v>
      </c>
      <c r="D16" s="43" t="s">
        <v>30</v>
      </c>
      <c r="E16" s="44" t="s">
        <v>4</v>
      </c>
      <c r="F16" s="45">
        <v>4</v>
      </c>
      <c r="G16" s="46">
        <v>1722</v>
      </c>
      <c r="H16" s="47">
        <f t="shared" si="0"/>
        <v>6888</v>
      </c>
      <c r="I16" s="40"/>
    </row>
    <row r="17" spans="1:11" s="10" customFormat="1">
      <c r="A17" s="48">
        <v>13</v>
      </c>
      <c r="B17" s="41" t="s">
        <v>65</v>
      </c>
      <c r="C17" s="49" t="s">
        <v>31</v>
      </c>
      <c r="D17" s="50" t="s">
        <v>32</v>
      </c>
      <c r="E17" s="44" t="s">
        <v>4</v>
      </c>
      <c r="F17" s="51">
        <v>1</v>
      </c>
      <c r="G17" s="52">
        <v>6000</v>
      </c>
      <c r="H17" s="47">
        <f t="shared" si="0"/>
        <v>6000</v>
      </c>
      <c r="I17" s="40"/>
    </row>
    <row r="18" spans="1:11" s="10" customFormat="1">
      <c r="A18" s="40">
        <v>14</v>
      </c>
      <c r="B18" s="41" t="s">
        <v>65</v>
      </c>
      <c r="C18" s="42" t="s">
        <v>33</v>
      </c>
      <c r="D18" s="43" t="s">
        <v>34</v>
      </c>
      <c r="E18" s="44" t="s">
        <v>4</v>
      </c>
      <c r="F18" s="45">
        <v>1</v>
      </c>
      <c r="G18" s="46">
        <v>20000</v>
      </c>
      <c r="H18" s="47">
        <f t="shared" si="0"/>
        <v>20000</v>
      </c>
      <c r="I18" s="40"/>
    </row>
    <row r="19" spans="1:11">
      <c r="A19" s="21">
        <v>15</v>
      </c>
      <c r="B19" s="53" t="s">
        <v>66</v>
      </c>
      <c r="C19" s="30" t="s">
        <v>35</v>
      </c>
      <c r="D19" s="35" t="s">
        <v>36</v>
      </c>
      <c r="E19" s="31" t="s">
        <v>3</v>
      </c>
      <c r="F19" s="32">
        <v>3</v>
      </c>
      <c r="G19" s="33">
        <v>8200</v>
      </c>
      <c r="H19" s="27">
        <f t="shared" si="0"/>
        <v>24600</v>
      </c>
      <c r="I19" s="54"/>
    </row>
    <row r="20" spans="1:11">
      <c r="A20" s="29">
        <v>16</v>
      </c>
      <c r="B20" s="53" t="s">
        <v>67</v>
      </c>
      <c r="C20" s="30" t="s">
        <v>37</v>
      </c>
      <c r="D20" s="35" t="s">
        <v>38</v>
      </c>
      <c r="E20" s="31" t="s">
        <v>3</v>
      </c>
      <c r="F20" s="32">
        <v>2</v>
      </c>
      <c r="G20" s="33">
        <v>257850.47</v>
      </c>
      <c r="H20" s="27">
        <f t="shared" si="0"/>
        <v>515700.94</v>
      </c>
      <c r="I20" s="54"/>
    </row>
    <row r="21" spans="1:11">
      <c r="A21" s="21">
        <v>17</v>
      </c>
      <c r="B21" s="54">
        <v>2553</v>
      </c>
      <c r="C21" s="30" t="s">
        <v>50</v>
      </c>
      <c r="D21" s="35" t="s">
        <v>44</v>
      </c>
      <c r="E21" s="54" t="s">
        <v>3</v>
      </c>
      <c r="F21" s="55">
        <v>1</v>
      </c>
      <c r="G21" s="33">
        <v>37500</v>
      </c>
      <c r="H21" s="27">
        <f>SUM(F21*G21)</f>
        <v>37500</v>
      </c>
      <c r="I21" s="54"/>
    </row>
    <row r="22" spans="1:11" s="12" customFormat="1">
      <c r="A22" s="29">
        <v>18</v>
      </c>
      <c r="B22" s="29">
        <v>2555</v>
      </c>
      <c r="C22" s="30" t="s">
        <v>69</v>
      </c>
      <c r="D22" s="35" t="s">
        <v>39</v>
      </c>
      <c r="E22" s="29" t="s">
        <v>3</v>
      </c>
      <c r="F22" s="55">
        <v>1</v>
      </c>
      <c r="G22" s="33">
        <v>222453</v>
      </c>
      <c r="H22" s="27">
        <f t="shared" si="0"/>
        <v>222453</v>
      </c>
      <c r="I22" s="29"/>
    </row>
    <row r="23" spans="1:11">
      <c r="A23" s="21">
        <v>19</v>
      </c>
      <c r="B23" s="54">
        <v>2555</v>
      </c>
      <c r="C23" s="30" t="s">
        <v>40</v>
      </c>
      <c r="D23" s="56" t="s">
        <v>45</v>
      </c>
      <c r="E23" s="54" t="s">
        <v>3</v>
      </c>
      <c r="F23" s="32">
        <v>1</v>
      </c>
      <c r="G23" s="33">
        <v>0</v>
      </c>
      <c r="H23" s="27">
        <f t="shared" si="0"/>
        <v>0</v>
      </c>
      <c r="I23" s="54"/>
    </row>
    <row r="24" spans="1:11">
      <c r="A24" s="29">
        <v>20</v>
      </c>
      <c r="B24" s="54">
        <v>2555</v>
      </c>
      <c r="C24" s="30" t="s">
        <v>41</v>
      </c>
      <c r="D24" s="35" t="s">
        <v>42</v>
      </c>
      <c r="E24" s="54" t="s">
        <v>3</v>
      </c>
      <c r="F24" s="55">
        <v>1</v>
      </c>
      <c r="G24" s="33">
        <v>15400</v>
      </c>
      <c r="H24" s="27">
        <f t="shared" si="0"/>
        <v>15400</v>
      </c>
      <c r="I24" s="54"/>
    </row>
    <row r="25" spans="1:11">
      <c r="A25" s="21">
        <v>21</v>
      </c>
      <c r="B25" s="54">
        <v>2555</v>
      </c>
      <c r="C25" s="30" t="s">
        <v>43</v>
      </c>
      <c r="D25" s="35" t="s">
        <v>51</v>
      </c>
      <c r="E25" s="54" t="s">
        <v>3</v>
      </c>
      <c r="F25" s="55">
        <v>1</v>
      </c>
      <c r="G25" s="33">
        <v>0</v>
      </c>
      <c r="H25" s="27">
        <f t="shared" si="0"/>
        <v>0</v>
      </c>
      <c r="I25" s="54"/>
    </row>
    <row r="26" spans="1:11">
      <c r="A26" s="29">
        <v>22</v>
      </c>
      <c r="B26" s="54">
        <v>2563</v>
      </c>
      <c r="C26" s="30" t="s">
        <v>46</v>
      </c>
      <c r="D26" s="30" t="s">
        <v>47</v>
      </c>
      <c r="E26" s="54" t="s">
        <v>4</v>
      </c>
      <c r="F26" s="32">
        <v>1</v>
      </c>
      <c r="G26" s="33">
        <v>4990</v>
      </c>
      <c r="H26" s="27">
        <f t="shared" si="0"/>
        <v>4990</v>
      </c>
      <c r="I26" s="54"/>
    </row>
    <row r="27" spans="1:11">
      <c r="A27" s="21">
        <v>23</v>
      </c>
      <c r="B27" s="57" t="s">
        <v>68</v>
      </c>
      <c r="C27" s="30" t="s">
        <v>58</v>
      </c>
      <c r="D27" s="30" t="s">
        <v>59</v>
      </c>
      <c r="E27" s="54" t="s">
        <v>4</v>
      </c>
      <c r="F27" s="32">
        <v>1</v>
      </c>
      <c r="G27" s="58">
        <v>2690</v>
      </c>
      <c r="H27" s="27">
        <f t="shared" si="0"/>
        <v>2690</v>
      </c>
      <c r="I27" s="11"/>
    </row>
    <row r="28" spans="1:11">
      <c r="A28" s="29">
        <v>24</v>
      </c>
      <c r="B28" s="57">
        <v>243419</v>
      </c>
      <c r="C28" s="30" t="s">
        <v>73</v>
      </c>
      <c r="D28" s="30" t="s">
        <v>74</v>
      </c>
      <c r="E28" s="54" t="s">
        <v>4</v>
      </c>
      <c r="F28" s="32">
        <v>28</v>
      </c>
      <c r="G28" s="33">
        <v>1760</v>
      </c>
      <c r="H28" s="27">
        <f t="shared" si="0"/>
        <v>49280</v>
      </c>
      <c r="I28" s="11"/>
    </row>
    <row r="29" spans="1:11">
      <c r="A29" s="13" t="s">
        <v>5</v>
      </c>
      <c r="B29" s="14"/>
      <c r="C29" s="14"/>
      <c r="D29" s="14"/>
      <c r="E29" s="15"/>
      <c r="F29" s="31"/>
      <c r="G29" s="59"/>
      <c r="H29" s="60">
        <f>SUM(H5:H28)</f>
        <v>1300306.6000000001</v>
      </c>
      <c r="I29" s="11"/>
      <c r="J29" s="5"/>
      <c r="K29" s="5"/>
    </row>
    <row r="30" spans="1:11">
      <c r="A30" s="6"/>
      <c r="B30" s="6"/>
      <c r="C30" s="6"/>
      <c r="D30" s="6"/>
      <c r="E30" s="6"/>
      <c r="F30" s="9"/>
      <c r="G30" s="3"/>
      <c r="H30" s="3"/>
      <c r="J30" s="5"/>
      <c r="K30" s="5"/>
    </row>
    <row r="31" spans="1:11">
      <c r="F31" s="9"/>
    </row>
    <row r="32" spans="1:11">
      <c r="F32" s="16" t="s">
        <v>48</v>
      </c>
      <c r="G32" s="16"/>
      <c r="H32" s="16"/>
      <c r="I32" s="16"/>
      <c r="J32" s="5"/>
      <c r="K32" s="5"/>
    </row>
    <row r="33" spans="6:11">
      <c r="F33" s="16" t="s">
        <v>70</v>
      </c>
      <c r="G33" s="16"/>
      <c r="H33" s="16"/>
      <c r="I33" s="16"/>
      <c r="J33" s="5"/>
      <c r="K33" s="5"/>
    </row>
    <row r="34" spans="6:11">
      <c r="F34" s="16" t="s">
        <v>71</v>
      </c>
      <c r="G34" s="16"/>
      <c r="H34" s="16"/>
      <c r="I34" s="16"/>
      <c r="J34" s="5"/>
      <c r="K34" s="5"/>
    </row>
  </sheetData>
  <mergeCells count="7">
    <mergeCell ref="F34:I34"/>
    <mergeCell ref="A29:E29"/>
    <mergeCell ref="F32:I32"/>
    <mergeCell ref="F33:I33"/>
    <mergeCell ref="A1:I1"/>
    <mergeCell ref="A2:I2"/>
    <mergeCell ref="A3:I3"/>
  </mergeCells>
  <phoneticPr fontId="8" type="noConversion"/>
  <printOptions horizontalCentered="1"/>
  <pageMargins left="0.19685039370078741" right="0" top="0.59055118110236227" bottom="0.19685039370078741" header="0" footer="0"/>
  <pageSetup paperSize="9" scale="7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แผนกเทคนิคพื้นฐาน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2022-10-10T04:10:04Z</cp:lastPrinted>
  <dcterms:created xsi:type="dcterms:W3CDTF">2017-11-14T01:32:33Z</dcterms:created>
  <dcterms:modified xsi:type="dcterms:W3CDTF">2023-10-18T07:48:39Z</dcterms:modified>
</cp:coreProperties>
</file>