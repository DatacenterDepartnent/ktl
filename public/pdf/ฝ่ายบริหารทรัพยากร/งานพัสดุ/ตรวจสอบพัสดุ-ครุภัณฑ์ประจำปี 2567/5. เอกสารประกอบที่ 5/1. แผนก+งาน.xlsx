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D:\งานแก้ว\Paweena\ตรวจครุภัณฑ์ประจำปี\ตรวจสอบพัสดุ-ครุภัณฑ์ประจำปี 2567\5. เอกสารประกอบที่ 5\"/>
    </mc:Choice>
  </mc:AlternateContent>
  <xr:revisionPtr revIDLastSave="0" documentId="13_ncr:1_{3FB53C32-D2D5-44D4-844C-8E4AF7AC66CC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ครุภัณฑ์มูลค่าต่ำกว่าเกณฑ์ 1-23" sheetId="45" r:id="rId1"/>
    <sheet name="ครุภัณฑ์ 24-60" sheetId="46" r:id="rId2"/>
  </sheets>
  <calcPr calcId="191029"/>
</workbook>
</file>

<file path=xl/calcChain.xml><?xml version="1.0" encoding="utf-8"?>
<calcChain xmlns="http://schemas.openxmlformats.org/spreadsheetml/2006/main">
  <c r="K413" i="46" l="1"/>
  <c r="K414" i="46"/>
  <c r="K415" i="46"/>
  <c r="K416" i="46"/>
  <c r="K417" i="46"/>
  <c r="K418" i="46"/>
  <c r="K419" i="46"/>
  <c r="K420" i="46"/>
  <c r="K421" i="46"/>
  <c r="K412" i="46"/>
  <c r="K382" i="46"/>
  <c r="K383" i="46"/>
  <c r="K384" i="46"/>
  <c r="K385" i="46"/>
  <c r="K386" i="46"/>
  <c r="K387" i="46"/>
  <c r="K388" i="46"/>
  <c r="K389" i="46"/>
  <c r="K390" i="46"/>
  <c r="K381" i="46"/>
  <c r="K351" i="46"/>
  <c r="K352" i="46"/>
  <c r="K353" i="46"/>
  <c r="K354" i="46"/>
  <c r="K355" i="46"/>
  <c r="K356" i="46"/>
  <c r="K357" i="46"/>
  <c r="K358" i="46"/>
  <c r="K359" i="46"/>
  <c r="K350" i="46"/>
  <c r="K320" i="46"/>
  <c r="K321" i="46"/>
  <c r="K322" i="46"/>
  <c r="K323" i="46"/>
  <c r="K324" i="46"/>
  <c r="K325" i="46"/>
  <c r="K326" i="46"/>
  <c r="K327" i="46"/>
  <c r="K328" i="46"/>
  <c r="K319" i="46"/>
  <c r="K289" i="46"/>
  <c r="K290" i="46"/>
  <c r="K291" i="46"/>
  <c r="K292" i="46"/>
  <c r="K293" i="46"/>
  <c r="K294" i="46"/>
  <c r="K295" i="46"/>
  <c r="K296" i="46"/>
  <c r="K297" i="46"/>
  <c r="K288" i="46"/>
  <c r="K258" i="46"/>
  <c r="K259" i="46"/>
  <c r="K260" i="46"/>
  <c r="K261" i="46"/>
  <c r="K262" i="46"/>
  <c r="K263" i="46"/>
  <c r="K264" i="46"/>
  <c r="K265" i="46"/>
  <c r="K266" i="46"/>
  <c r="K257" i="46"/>
  <c r="K227" i="46"/>
  <c r="K228" i="46"/>
  <c r="K229" i="46"/>
  <c r="K230" i="46"/>
  <c r="K231" i="46"/>
  <c r="K232" i="46"/>
  <c r="K233" i="46"/>
  <c r="K234" i="46"/>
  <c r="K235" i="46"/>
  <c r="K226" i="46"/>
  <c r="K196" i="46"/>
  <c r="K197" i="46"/>
  <c r="K198" i="46"/>
  <c r="K199" i="46"/>
  <c r="K200" i="46"/>
  <c r="K201" i="46"/>
  <c r="K202" i="46"/>
  <c r="K203" i="46"/>
  <c r="K204" i="46"/>
  <c r="K195" i="46"/>
  <c r="K165" i="46"/>
  <c r="K166" i="46"/>
  <c r="K167" i="46"/>
  <c r="K168" i="46"/>
  <c r="K169" i="46"/>
  <c r="K170" i="46"/>
  <c r="K171" i="46"/>
  <c r="K172" i="46"/>
  <c r="K173" i="46"/>
  <c r="K164" i="46"/>
  <c r="K134" i="46"/>
  <c r="K135" i="46"/>
  <c r="K136" i="46"/>
  <c r="K137" i="46"/>
  <c r="K138" i="46"/>
  <c r="K139" i="46"/>
  <c r="K140" i="46"/>
  <c r="K141" i="46"/>
  <c r="K142" i="46"/>
  <c r="K133" i="46"/>
  <c r="K103" i="46"/>
  <c r="K104" i="46"/>
  <c r="K105" i="46"/>
  <c r="K106" i="46"/>
  <c r="K107" i="46"/>
  <c r="K108" i="46"/>
  <c r="K109" i="46"/>
  <c r="K110" i="46"/>
  <c r="K111" i="46"/>
  <c r="K102" i="46"/>
  <c r="K72" i="46"/>
  <c r="K73" i="46"/>
  <c r="K74" i="46"/>
  <c r="K75" i="46"/>
  <c r="K76" i="46"/>
  <c r="K77" i="46"/>
  <c r="K78" i="46"/>
  <c r="K79" i="46"/>
  <c r="K80" i="46"/>
  <c r="K71" i="46"/>
  <c r="K41" i="46"/>
  <c r="K42" i="46"/>
  <c r="K43" i="46"/>
  <c r="K44" i="46"/>
  <c r="K45" i="46"/>
  <c r="K46" i="46"/>
  <c r="K47" i="46"/>
  <c r="K48" i="46"/>
  <c r="K49" i="46"/>
  <c r="K40" i="46"/>
  <c r="K8" i="46"/>
  <c r="K9" i="46"/>
  <c r="K10" i="46"/>
  <c r="K11" i="46"/>
  <c r="K12" i="46"/>
  <c r="K13" i="46"/>
  <c r="K14" i="46"/>
  <c r="K15" i="46"/>
  <c r="K16" i="46"/>
  <c r="K7" i="46"/>
  <c r="K544" i="45"/>
  <c r="K1124" i="46"/>
  <c r="K1123" i="46"/>
  <c r="K1101" i="46"/>
  <c r="K1100" i="46"/>
  <c r="K482" i="45" l="1"/>
  <c r="K693" i="45" l="1"/>
  <c r="K694" i="45"/>
  <c r="K695" i="45"/>
  <c r="K696" i="45"/>
  <c r="K691" i="45" l="1"/>
  <c r="K692" i="45"/>
  <c r="K666" i="45" l="1"/>
  <c r="K667" i="45"/>
  <c r="K668" i="45"/>
  <c r="K669" i="45"/>
  <c r="K1094" i="46" l="1"/>
  <c r="K1071" i="46" l="1"/>
  <c r="K1093" i="46"/>
  <c r="K660" i="45"/>
  <c r="K636" i="45"/>
  <c r="K637" i="45"/>
  <c r="K638" i="45"/>
  <c r="K635" i="45"/>
  <c r="K633" i="45"/>
  <c r="K634" i="45"/>
  <c r="K1063" i="46" l="1"/>
  <c r="K1064" i="46"/>
  <c r="K1065" i="46"/>
  <c r="K1066" i="46"/>
  <c r="K1067" i="46"/>
  <c r="K1068" i="46"/>
  <c r="K1069" i="46"/>
  <c r="K1070" i="46"/>
  <c r="K1040" i="46"/>
  <c r="K1041" i="46"/>
  <c r="K606" i="45"/>
  <c r="K629" i="45"/>
  <c r="K631" i="45"/>
  <c r="K632" i="45"/>
  <c r="K607" i="45"/>
  <c r="K630" i="45"/>
  <c r="K1032" i="46" l="1"/>
  <c r="K1033" i="46"/>
  <c r="K1034" i="46"/>
  <c r="K1035" i="46"/>
  <c r="K1036" i="46"/>
  <c r="K1037" i="46"/>
  <c r="K1038" i="46"/>
  <c r="K1039" i="46"/>
  <c r="K1001" i="46"/>
  <c r="K1002" i="46"/>
  <c r="K1003" i="46"/>
  <c r="K1004" i="46"/>
  <c r="K1005" i="46"/>
  <c r="K1006" i="46"/>
  <c r="K1007" i="46"/>
  <c r="K1008" i="46"/>
  <c r="K1009" i="46"/>
  <c r="K1010" i="46"/>
  <c r="K970" i="46"/>
  <c r="K971" i="46"/>
  <c r="K972" i="46"/>
  <c r="K973" i="46"/>
  <c r="K974" i="46"/>
  <c r="K975" i="46"/>
  <c r="K976" i="46"/>
  <c r="K977" i="46"/>
  <c r="K978" i="46"/>
  <c r="K979" i="46"/>
  <c r="K947" i="46"/>
  <c r="K948" i="46"/>
  <c r="K605" i="45"/>
  <c r="K604" i="45"/>
  <c r="K600" i="45"/>
  <c r="K601" i="45"/>
  <c r="K602" i="45"/>
  <c r="K603" i="45"/>
  <c r="K598" i="45"/>
  <c r="K599" i="45"/>
  <c r="K576" i="45"/>
  <c r="K575" i="45"/>
  <c r="K574" i="45"/>
  <c r="K573" i="45"/>
  <c r="K572" i="45"/>
  <c r="K571" i="45"/>
  <c r="K943" i="46" l="1"/>
  <c r="K944" i="46"/>
  <c r="K945" i="46"/>
  <c r="K946" i="46"/>
  <c r="K939" i="46" l="1"/>
  <c r="K940" i="46"/>
  <c r="K941" i="46"/>
  <c r="K942" i="46"/>
  <c r="K569" i="45"/>
  <c r="K570" i="45"/>
  <c r="K568" i="45"/>
  <c r="K567" i="45"/>
  <c r="K545" i="45"/>
  <c r="K915" i="46" l="1"/>
  <c r="K916" i="46"/>
  <c r="K917" i="46"/>
  <c r="K913" i="46" l="1"/>
  <c r="K914" i="46"/>
  <c r="K543" i="45"/>
  <c r="K542" i="45"/>
  <c r="K912" i="46" l="1"/>
  <c r="K540" i="45"/>
  <c r="K541" i="45"/>
  <c r="K909" i="46" l="1"/>
  <c r="K910" i="46"/>
  <c r="K911" i="46"/>
  <c r="K538" i="45"/>
  <c r="K539" i="45"/>
  <c r="K536" i="45"/>
  <c r="K537" i="45"/>
  <c r="K514" i="45"/>
  <c r="K908" i="46" l="1"/>
  <c r="K883" i="46"/>
  <c r="K884" i="46"/>
  <c r="K885" i="46"/>
  <c r="K886" i="46"/>
  <c r="K513" i="45"/>
  <c r="K509" i="45"/>
  <c r="K510" i="45"/>
  <c r="K511" i="45"/>
  <c r="K512" i="45"/>
  <c r="K508" i="45"/>
  <c r="K878" i="46" l="1"/>
  <c r="K879" i="46"/>
  <c r="K880" i="46"/>
  <c r="K881" i="46"/>
  <c r="K882" i="46"/>
  <c r="K506" i="45"/>
  <c r="K507" i="45"/>
  <c r="K877" i="46" l="1"/>
  <c r="K852" i="46"/>
  <c r="K853" i="46"/>
  <c r="K854" i="46"/>
  <c r="K855" i="46"/>
  <c r="K848" i="46"/>
  <c r="K849" i="46"/>
  <c r="K850" i="46"/>
  <c r="K851" i="46"/>
  <c r="K505" i="45"/>
  <c r="K483" i="45"/>
  <c r="K846" i="46" l="1"/>
  <c r="K847" i="46"/>
  <c r="K820" i="46"/>
  <c r="K821" i="46"/>
  <c r="K822" i="46"/>
  <c r="K823" i="46"/>
  <c r="K824" i="46"/>
  <c r="K481" i="45"/>
  <c r="K479" i="45"/>
  <c r="K480" i="45"/>
  <c r="K476" i="45"/>
  <c r="K477" i="45"/>
  <c r="K478" i="45"/>
  <c r="K815" i="46" l="1"/>
  <c r="K816" i="46"/>
  <c r="K817" i="46"/>
  <c r="K818" i="46"/>
  <c r="K819" i="46"/>
  <c r="K784" i="46"/>
  <c r="K785" i="46"/>
  <c r="K786" i="46"/>
  <c r="K787" i="46"/>
  <c r="K788" i="46"/>
  <c r="K789" i="46"/>
  <c r="K790" i="46"/>
  <c r="K791" i="46"/>
  <c r="K792" i="46"/>
  <c r="K793" i="46"/>
  <c r="K753" i="46"/>
  <c r="K754" i="46"/>
  <c r="K755" i="46"/>
  <c r="K756" i="46"/>
  <c r="K757" i="46"/>
  <c r="K758" i="46"/>
  <c r="K759" i="46"/>
  <c r="K760" i="46"/>
  <c r="K761" i="46"/>
  <c r="K762" i="46"/>
  <c r="K722" i="46"/>
  <c r="K723" i="46"/>
  <c r="K724" i="46"/>
  <c r="K725" i="46"/>
  <c r="K726" i="46"/>
  <c r="K727" i="46"/>
  <c r="K728" i="46"/>
  <c r="K729" i="46"/>
  <c r="K730" i="46"/>
  <c r="K731" i="46"/>
  <c r="K475" i="45"/>
  <c r="K474" i="45"/>
  <c r="K447" i="45"/>
  <c r="K448" i="45"/>
  <c r="K449" i="45"/>
  <c r="K450" i="45"/>
  <c r="K451" i="45"/>
  <c r="K452" i="45"/>
  <c r="K446" i="45"/>
  <c r="K444" i="45"/>
  <c r="K445" i="45"/>
  <c r="K443" i="45"/>
  <c r="K421" i="45"/>
  <c r="K419" i="45"/>
  <c r="K420" i="45"/>
  <c r="K417" i="45"/>
  <c r="K418" i="45"/>
  <c r="K414" i="45"/>
  <c r="K415" i="45"/>
  <c r="K416" i="45"/>
  <c r="K412" i="45"/>
  <c r="K413" i="45"/>
  <c r="K389" i="45"/>
  <c r="K390" i="45"/>
  <c r="K386" i="45"/>
  <c r="K387" i="45"/>
  <c r="K388" i="45"/>
  <c r="K383" i="45"/>
  <c r="K384" i="45"/>
  <c r="K385" i="45"/>
  <c r="K381" i="45"/>
  <c r="K382" i="45"/>
  <c r="K359" i="45"/>
  <c r="K351" i="45"/>
  <c r="K352" i="45"/>
  <c r="K353" i="45"/>
  <c r="K354" i="45"/>
  <c r="K355" i="45"/>
  <c r="K356" i="45"/>
  <c r="K357" i="45"/>
  <c r="K358" i="45"/>
  <c r="K350" i="45"/>
  <c r="K325" i="45"/>
  <c r="K326" i="45"/>
  <c r="K327" i="45"/>
  <c r="K328" i="45"/>
  <c r="K321" i="45"/>
  <c r="K322" i="45"/>
  <c r="K323" i="45"/>
  <c r="K324" i="45"/>
  <c r="K319" i="45"/>
  <c r="K320" i="45"/>
  <c r="K297" i="45"/>
  <c r="K698" i="46" l="1"/>
  <c r="K699" i="46"/>
  <c r="K700" i="46"/>
  <c r="K296" i="45"/>
  <c r="K293" i="45"/>
  <c r="K295" i="45"/>
  <c r="K288" i="45"/>
  <c r="K289" i="45"/>
  <c r="K290" i="45"/>
  <c r="K291" i="45"/>
  <c r="K292" i="45"/>
  <c r="K294" i="45"/>
  <c r="K264" i="45"/>
  <c r="K265" i="45"/>
  <c r="K266" i="45"/>
  <c r="K697" i="46"/>
  <c r="K696" i="46"/>
  <c r="K693" i="46"/>
  <c r="K694" i="46"/>
  <c r="K695" i="46"/>
  <c r="K262" i="45" l="1"/>
  <c r="K263" i="45"/>
  <c r="K660" i="46" l="1"/>
  <c r="K661" i="46"/>
  <c r="K662" i="46"/>
  <c r="K663" i="46"/>
  <c r="K664" i="46"/>
  <c r="K665" i="46"/>
  <c r="K666" i="46"/>
  <c r="K667" i="46"/>
  <c r="K668" i="46"/>
  <c r="K669" i="46"/>
  <c r="K638" i="46"/>
  <c r="K637" i="46"/>
  <c r="K228" i="45"/>
  <c r="K259" i="45"/>
  <c r="K261" i="45"/>
  <c r="K258" i="45"/>
  <c r="K260" i="45"/>
  <c r="K235" i="45"/>
  <c r="K257" i="45"/>
  <c r="K234" i="45"/>
  <c r="K230" i="45"/>
  <c r="K231" i="45"/>
  <c r="K232" i="45"/>
  <c r="K233" i="45"/>
  <c r="K229" i="45"/>
  <c r="K631" i="46" l="1"/>
  <c r="K632" i="46"/>
  <c r="K633" i="46"/>
  <c r="K634" i="46"/>
  <c r="K635" i="46"/>
  <c r="K636" i="46"/>
  <c r="K227" i="45"/>
  <c r="K226" i="45"/>
  <c r="K203" i="45"/>
  <c r="K204" i="45"/>
  <c r="K629" i="46" l="1"/>
  <c r="K630" i="46"/>
  <c r="K603" i="46"/>
  <c r="K604" i="46"/>
  <c r="K605" i="46"/>
  <c r="K606" i="46"/>
  <c r="K607" i="46"/>
  <c r="K201" i="45"/>
  <c r="K202" i="45"/>
  <c r="K598" i="46" l="1"/>
  <c r="K599" i="46"/>
  <c r="K600" i="46"/>
  <c r="K601" i="46"/>
  <c r="K602" i="46"/>
  <c r="K200" i="45"/>
  <c r="K199" i="45"/>
  <c r="K197" i="45"/>
  <c r="K198" i="45"/>
  <c r="K567" i="46" l="1"/>
  <c r="K568" i="46"/>
  <c r="K569" i="46"/>
  <c r="K570" i="46"/>
  <c r="K571" i="46"/>
  <c r="K572" i="46"/>
  <c r="K573" i="46"/>
  <c r="K574" i="46"/>
  <c r="K575" i="46"/>
  <c r="K576" i="46"/>
  <c r="K536" i="46"/>
  <c r="K537" i="46"/>
  <c r="K538" i="46"/>
  <c r="K539" i="46"/>
  <c r="K540" i="46"/>
  <c r="K541" i="46"/>
  <c r="K542" i="46"/>
  <c r="K543" i="46"/>
  <c r="K544" i="46"/>
  <c r="K545" i="46"/>
  <c r="K507" i="46"/>
  <c r="K508" i="46"/>
  <c r="K509" i="46"/>
  <c r="K510" i="46"/>
  <c r="K511" i="46"/>
  <c r="K512" i="46"/>
  <c r="K513" i="46"/>
  <c r="K514" i="46"/>
  <c r="K196" i="45"/>
  <c r="K195" i="45"/>
  <c r="K173" i="45"/>
  <c r="K172" i="45"/>
  <c r="K170" i="45"/>
  <c r="K171" i="45"/>
  <c r="K169" i="45"/>
  <c r="K167" i="45"/>
  <c r="K168" i="45"/>
  <c r="K164" i="45"/>
  <c r="K165" i="45"/>
  <c r="K166" i="45"/>
  <c r="K140" i="45"/>
  <c r="K141" i="45"/>
  <c r="K142" i="45"/>
  <c r="K137" i="45"/>
  <c r="K138" i="45"/>
  <c r="K139" i="45"/>
  <c r="K505" i="46" l="1"/>
  <c r="K506" i="46"/>
  <c r="K474" i="46"/>
  <c r="K475" i="46"/>
  <c r="K476" i="46"/>
  <c r="K477" i="46"/>
  <c r="K478" i="46"/>
  <c r="K479" i="46"/>
  <c r="K480" i="46"/>
  <c r="K481" i="46"/>
  <c r="K482" i="46"/>
  <c r="K483" i="46"/>
  <c r="K136" i="45"/>
  <c r="K135" i="45"/>
  <c r="K133" i="45"/>
  <c r="K134" i="45"/>
  <c r="K111" i="45"/>
  <c r="K109" i="45"/>
  <c r="K110" i="45"/>
  <c r="K108" i="45"/>
  <c r="K444" i="46" l="1"/>
  <c r="K445" i="46"/>
  <c r="K446" i="46"/>
  <c r="K447" i="46"/>
  <c r="K448" i="46"/>
  <c r="K449" i="46"/>
  <c r="K450" i="46"/>
  <c r="K451" i="46"/>
  <c r="K452" i="46"/>
  <c r="K106" i="45"/>
  <c r="K107" i="45"/>
  <c r="K105" i="45"/>
  <c r="K104" i="45"/>
  <c r="K103" i="45"/>
  <c r="K443" i="46" l="1"/>
  <c r="K102" i="45"/>
  <c r="K79" i="45"/>
  <c r="K80" i="45"/>
  <c r="K78" i="45"/>
  <c r="K77" i="45"/>
  <c r="K72" i="45" l="1"/>
  <c r="K71" i="45"/>
  <c r="K49" i="45"/>
  <c r="K48" i="45"/>
  <c r="K47" i="45"/>
  <c r="K46" i="45" l="1"/>
  <c r="K45" i="45"/>
  <c r="K44" i="45"/>
  <c r="K43" i="45"/>
  <c r="K42" i="45"/>
  <c r="K41" i="45"/>
  <c r="K40" i="45"/>
  <c r="K16" i="45"/>
  <c r="K15" i="45"/>
  <c r="K14" i="45"/>
  <c r="K13" i="45"/>
  <c r="K12" i="45"/>
  <c r="K11" i="45"/>
  <c r="K10" i="45"/>
  <c r="K17" i="46" l="1"/>
  <c r="K39" i="46" s="1"/>
  <c r="K9" i="45"/>
  <c r="K50" i="46" l="1"/>
  <c r="K70" i="46" s="1"/>
  <c r="K8" i="45"/>
  <c r="K7" i="45"/>
  <c r="K17" i="45" l="1"/>
  <c r="K39" i="45" s="1"/>
  <c r="K50" i="45" s="1"/>
  <c r="K81" i="46"/>
  <c r="K101" i="46" s="1"/>
  <c r="K112" i="46" l="1"/>
  <c r="K132" i="46" s="1"/>
  <c r="K70" i="45"/>
  <c r="K81" i="45" s="1"/>
  <c r="K143" i="46" l="1"/>
  <c r="K163" i="46" s="1"/>
  <c r="K101" i="45"/>
  <c r="K112" i="45" s="1"/>
  <c r="K174" i="46" l="1"/>
  <c r="K194" i="46" s="1"/>
  <c r="K132" i="45"/>
  <c r="K205" i="46" l="1"/>
  <c r="K225" i="46" s="1"/>
  <c r="K143" i="45"/>
  <c r="K163" i="45" s="1"/>
  <c r="K174" i="45" l="1"/>
  <c r="K194" i="45" s="1"/>
  <c r="K236" i="46"/>
  <c r="K256" i="46" s="1"/>
  <c r="K267" i="46" l="1"/>
  <c r="K287" i="46" s="1"/>
  <c r="K205" i="45"/>
  <c r="K225" i="45" s="1"/>
  <c r="K236" i="45" l="1"/>
  <c r="K256" i="45" s="1"/>
  <c r="K298" i="46"/>
  <c r="K318" i="46" s="1"/>
  <c r="K329" i="46" l="1"/>
  <c r="K349" i="46" s="1"/>
  <c r="K267" i="45"/>
  <c r="K287" i="45" s="1"/>
  <c r="K360" i="46" l="1"/>
  <c r="K380" i="46" s="1"/>
  <c r="K298" i="45"/>
  <c r="K318" i="45" s="1"/>
  <c r="K329" i="45" l="1"/>
  <c r="K349" i="45" s="1"/>
  <c r="K391" i="46"/>
  <c r="K411" i="46" s="1"/>
  <c r="K422" i="46" l="1"/>
  <c r="K442" i="46" s="1"/>
  <c r="K360" i="45"/>
  <c r="K380" i="45" s="1"/>
  <c r="K391" i="45" l="1"/>
  <c r="K411" i="45" s="1"/>
  <c r="K453" i="46"/>
  <c r="K473" i="46" s="1"/>
  <c r="K484" i="46" l="1"/>
  <c r="K504" i="46" s="1"/>
  <c r="K422" i="45"/>
  <c r="K442" i="45" s="1"/>
  <c r="K453" i="45" l="1"/>
  <c r="K473" i="45" s="1"/>
  <c r="K515" i="46"/>
  <c r="K535" i="46" s="1"/>
  <c r="K484" i="45" l="1"/>
  <c r="K504" i="45" s="1"/>
  <c r="K546" i="46"/>
  <c r="K566" i="46" s="1"/>
  <c r="K577" i="46" l="1"/>
  <c r="K597" i="46" s="1"/>
  <c r="K515" i="45"/>
  <c r="K535" i="45" s="1"/>
  <c r="K608" i="46" l="1"/>
  <c r="K628" i="46" s="1"/>
  <c r="K639" i="46" l="1"/>
  <c r="K659" i="46" s="1"/>
  <c r="K670" i="46" l="1"/>
  <c r="K690" i="46" s="1"/>
  <c r="K701" i="46" l="1"/>
  <c r="K721" i="46" s="1"/>
  <c r="K732" i="46" l="1"/>
  <c r="K752" i="46" s="1"/>
  <c r="K763" i="46" l="1"/>
  <c r="K783" i="46" s="1"/>
  <c r="K794" i="46" l="1"/>
  <c r="K814" i="46" s="1"/>
  <c r="K825" i="46" s="1"/>
  <c r="K845" i="46" s="1"/>
  <c r="K856" i="46" l="1"/>
  <c r="K876" i="46" s="1"/>
  <c r="K887" i="46" l="1"/>
  <c r="K907" i="46" s="1"/>
  <c r="K918" i="46" l="1"/>
  <c r="K938" i="46" s="1"/>
  <c r="K949" i="46" l="1"/>
  <c r="K969" i="46" s="1"/>
  <c r="K980" i="46" l="1"/>
  <c r="K1000" i="46" s="1"/>
  <c r="K1011" i="46" l="1"/>
  <c r="K1031" i="46" s="1"/>
  <c r="K1042" i="46" l="1"/>
  <c r="K1062" i="46" s="1"/>
  <c r="K1072" i="46" s="1"/>
  <c r="K1092" i="46" s="1"/>
  <c r="K1102" i="46" l="1"/>
  <c r="K1122" i="46" s="1"/>
  <c r="K1125" i="46" s="1"/>
  <c r="K697" i="45" l="1"/>
  <c r="K690" i="45"/>
  <c r="K670" i="45"/>
  <c r="K659" i="45"/>
  <c r="K639" i="45"/>
  <c r="K628" i="45"/>
  <c r="K608" i="45"/>
  <c r="K597" i="45"/>
  <c r="K577" i="45"/>
  <c r="K566" i="45"/>
  <c r="K546" i="45"/>
</calcChain>
</file>

<file path=xl/sharedStrings.xml><?xml version="1.0" encoding="utf-8"?>
<sst xmlns="http://schemas.openxmlformats.org/spreadsheetml/2006/main" count="6274" uniqueCount="1562">
  <si>
    <t>รายการ ขนาด ลักษณะ</t>
  </si>
  <si>
    <t>จำนวน</t>
  </si>
  <si>
    <t>งปม.</t>
  </si>
  <si>
    <t>บกศ.</t>
  </si>
  <si>
    <t>ปกอ.</t>
  </si>
  <si>
    <t>ชุดเครื่องคอมพิวเตอร์</t>
  </si>
  <si>
    <t>5120-024-0004/391-001</t>
  </si>
  <si>
    <t>เครื่องมือบริการหัวฉีดดีเซล</t>
  </si>
  <si>
    <t>4910-008-0001/391-001</t>
  </si>
  <si>
    <t>5120-024-0006/391-001</t>
  </si>
  <si>
    <t>เครื่องมือละเอียดช่างยนต์</t>
  </si>
  <si>
    <t>5120-024-0007/391-001</t>
  </si>
  <si>
    <t>เครื่องมือช่างยนต์ทั่วไป</t>
  </si>
  <si>
    <t>4910-016-0001/391-001-391-002</t>
  </si>
  <si>
    <t>แม่แรงตะเฆ่  2  ตัน</t>
  </si>
  <si>
    <t>ชุดอุปกรณ์ฝึกเครื่องยนต์ดีเซล</t>
  </si>
  <si>
    <t>3442-002-0002/391-001</t>
  </si>
  <si>
    <t>เครื่องอัดจาระบีแบบเคลื่อนที่ได้ใช้ลม</t>
  </si>
  <si>
    <t>5180-003-0001/401-001</t>
  </si>
  <si>
    <t>2920-002-0001/401-001-401-002</t>
  </si>
  <si>
    <t>ชุดอุปกรณ์ฝึกไฟฟ้ารถยนต์</t>
  </si>
  <si>
    <t>2530-009-0001/401-001</t>
  </si>
  <si>
    <t>ชุดอุปกรณ์ฝึกระบบเครื่องล่าง</t>
  </si>
  <si>
    <t>4910-035-0002/401-001</t>
  </si>
  <si>
    <t>ชุดปฏิบัติการช่างซ่อมรถจักรยานยนต์</t>
  </si>
  <si>
    <t>2805-001-0001/401-001</t>
  </si>
  <si>
    <t>ชุดปฏิบัติการช่างยนต์แก๊สโซลีนเล็ก</t>
  </si>
  <si>
    <t>2520-014-0001/401-001</t>
  </si>
  <si>
    <t>ชุดอุปกรณ์ฝึกระบบส่งกำลัง</t>
  </si>
  <si>
    <t>2815-001-0002/401-001</t>
  </si>
  <si>
    <t>2520-002-0001/401-001</t>
  </si>
  <si>
    <t>เครื่องสาธิตการทำงานของคลัทซ์</t>
  </si>
  <si>
    <t>3010-006-0001/401-001</t>
  </si>
  <si>
    <t>เครื่องสาธิตการทำงานของเกียร์อัตโนมัติ</t>
  </si>
  <si>
    <t>3010-004-0001/401-001</t>
  </si>
  <si>
    <t>เครื่องสาธิตการทำงานของเกียร์ธรรมดา</t>
  </si>
  <si>
    <t>2925-011-0001/401-001</t>
  </si>
  <si>
    <t>เครื่องสาธิตการทำงานของอัลเตอเนเตอร์</t>
  </si>
  <si>
    <t>2925-017-0001/401-001</t>
  </si>
  <si>
    <t>เครื่องสาธิตการทำงานของมอเตอร์สตาร์ท</t>
  </si>
  <si>
    <t>3020-003-0001/401-001</t>
  </si>
  <si>
    <t>5950-002-0001/401-001</t>
  </si>
  <si>
    <t>เครื่องสาธิตการทำงานของคอยล์</t>
  </si>
  <si>
    <t>2530-006-0001/401-001</t>
  </si>
  <si>
    <t>เครื่องสาธิตระบบแวคกัมเบรกบอสเตอร์</t>
  </si>
  <si>
    <t>2530-005-0001/401-001</t>
  </si>
  <si>
    <t>เครื่องสาธิตระบบดับเบิ้ลเซอร์คิทเบรค</t>
  </si>
  <si>
    <t>1680-009-0001/401-001</t>
  </si>
  <si>
    <t>เครื่องสาธิตการทำงานของพวงมาลัย</t>
  </si>
  <si>
    <t>3460-007-0001/401-001</t>
  </si>
  <si>
    <t>แม่แรงยกกระปุกเกียร์</t>
  </si>
  <si>
    <t>4910-012-0001/401-001</t>
  </si>
  <si>
    <t>เครื่องมือถอดประกอบและบริการไฟฟ้ารถยนต์</t>
  </si>
  <si>
    <t>4910-007-0001/401-001</t>
  </si>
  <si>
    <t>เครื่องมือบริการระบบเบรค</t>
  </si>
  <si>
    <t>4910-012-0003/401-001</t>
  </si>
  <si>
    <t>4910-012-0002/401-001</t>
  </si>
  <si>
    <t>เครื่องตรวจอาเมเจอร์</t>
  </si>
  <si>
    <t>2340-005-0004/401-001-401-003</t>
  </si>
  <si>
    <t>เครื่องจักรยานยนต์  4  สูบ  4  จังหวะ</t>
  </si>
  <si>
    <t>2340-005-0003/401-001-401-003</t>
  </si>
  <si>
    <t>เครื่องจักรยานยนต์  2  สูบ  4  จังหวะ</t>
  </si>
  <si>
    <t>2340-005-0002/401-001-401-005</t>
  </si>
  <si>
    <t>2340-005-0001/401-001-401-005</t>
  </si>
  <si>
    <t>4910-002-0001/401-001</t>
  </si>
  <si>
    <t>เครื่องยกรถจักรยานยนต์</t>
  </si>
  <si>
    <t>4130-008-0001/411-001</t>
  </si>
  <si>
    <t>เครื่องค้นหารอยรั่วน้ำยาแอร์แบบเปลวไฟ</t>
  </si>
  <si>
    <t>4110-002-0001/411-001</t>
  </si>
  <si>
    <t>ชุดเครื่องปรับอากาศรถยนต์</t>
  </si>
  <si>
    <t>4330-004-0001/441-001</t>
  </si>
  <si>
    <t>เครื่องมืออัดและบริการบูช</t>
  </si>
  <si>
    <t>4940-004-0001/441-001</t>
  </si>
  <si>
    <t>เครื่องพ่นสีรถยนต์</t>
  </si>
  <si>
    <t>4230-006-0001/441-001</t>
  </si>
  <si>
    <t>ห้องพ่นสีและอบสีรถยนต์</t>
  </si>
  <si>
    <t>7440-001-0001/462-002</t>
  </si>
  <si>
    <t>4910-033-0001/461-001</t>
  </si>
  <si>
    <t>เครื่องสมดุลล้อรถยนต์แบบนอกรถ</t>
  </si>
  <si>
    <t>6910-001-0008/461-001</t>
  </si>
  <si>
    <t>ชุดฝึกจักรยานยนต์ 4 จังหวะ</t>
  </si>
  <si>
    <t>6130-001-0001/461-001</t>
  </si>
  <si>
    <t>ชุดฝึกเครื่องช่วยสตาร์ท</t>
  </si>
  <si>
    <t>6130-001-0001/471-002</t>
  </si>
  <si>
    <t>เครื่องประจุแบตเตอรี่แบบเร็ว</t>
  </si>
  <si>
    <t>2805-001-0001/482-001-005</t>
  </si>
  <si>
    <t>เครื่องยนต์ SAMTO 5.5 HP</t>
  </si>
  <si>
    <t>4140-001-0003/482-013-018</t>
  </si>
  <si>
    <t>พัดลมโคจร 16  นิ้ว</t>
  </si>
  <si>
    <t>2815-001-0004/493-001</t>
  </si>
  <si>
    <t>เครื่องยนต์ TOYOTA 2 L</t>
  </si>
  <si>
    <t>3940-005-0001/521-001</t>
  </si>
  <si>
    <t>เครนยกเครื่องยนต์ ขนาด 1 ตัน</t>
  </si>
  <si>
    <t>คอมเพรสเซอร์ 24000 BTU</t>
  </si>
  <si>
    <t>ชุดทดลองปั้มดีเซล</t>
  </si>
  <si>
    <t>เครื่องสาธิตการทำงานของเครื่องหัวฉีดอิเล็กทรอนิกส์</t>
  </si>
  <si>
    <t>เครื่องจักรยานยนต์ 1 สูบ 4 จังหวะขนาด 90-125 CC</t>
  </si>
  <si>
    <t>เครื่องจักรยานยนต์ 1 สูบ 2 จังหวะขนาด 80-120 CC</t>
  </si>
  <si>
    <t>บริจาค</t>
  </si>
  <si>
    <t>เครื่องล้างและทดสอบหัวเทียนของน้ำมันเชื้อเพลิง</t>
  </si>
  <si>
    <t>เครื่องสาธิตการทำงานของเฟืองท้าย แบบ HYPOID</t>
  </si>
  <si>
    <t>เครื่องทดสอบอัลเทอเนเตอร์เรกกูเรเตอร์ และมอเตอร์สตาร์ท</t>
  </si>
  <si>
    <t>เครื่องมือถอดประกอบชุดระบบส่งกำลัง และเครื่องล่างรถยนต์</t>
  </si>
  <si>
    <t>ลำดับ
ที่</t>
  </si>
  <si>
    <t>เป็นเงิน</t>
  </si>
  <si>
    <t>2539</t>
  </si>
  <si>
    <t>2540</t>
  </si>
  <si>
    <t>2546</t>
  </si>
  <si>
    <t>2552</t>
  </si>
  <si>
    <t>ได้มา
โดยวิธีใด</t>
  </si>
  <si>
    <t>ระยะเวลา
ใช้งาน</t>
  </si>
  <si>
    <t>เคย
ซ่อม
กี่ครั้ง</t>
  </si>
  <si>
    <t>คำชี้แจง
ประกอบ
ของชำรุด</t>
  </si>
  <si>
    <t>เต็มตาม
บัญชี</t>
  </si>
  <si>
    <t>ชำรุด</t>
  </si>
  <si>
    <t>กระบอกปั้มไม่มีกำลัง</t>
  </si>
  <si>
    <t>อุปกรณ์ไม่สมบูรณ์</t>
  </si>
  <si>
    <t>อัดจาระบีไม่ได้</t>
  </si>
  <si>
    <t>ไฟ้ไม่เข้า</t>
  </si>
  <si>
    <t>หมายเหตุ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</si>
  <si>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</si>
  <si>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</si>
  <si>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</si>
  <si>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รวมเป็นเงิน</t>
  </si>
  <si>
    <t xml:space="preserve">หมายเลขประจำ
วัสดุครุภัณฑ์ </t>
  </si>
  <si>
    <t>หน่วยละ</t>
  </si>
  <si>
    <t>มอเตอร์ชำรุด</t>
  </si>
  <si>
    <t>เอกสารหมายเลข 2</t>
  </si>
  <si>
    <t xml:space="preserve"> -</t>
  </si>
  <si>
    <t>ยอดยกไป</t>
  </si>
  <si>
    <t>ยอกยกมา</t>
  </si>
  <si>
    <t>เอกสารหมายเลข 3</t>
  </si>
  <si>
    <t>ยอดยกมา</t>
  </si>
  <si>
    <t>4910-016-0001/391-003</t>
  </si>
  <si>
    <t>ระบบไฮดรอลิกค์ชำรุด</t>
  </si>
  <si>
    <t>3470-002-0002/461-001</t>
  </si>
  <si>
    <t>ชุดเชื่อมแก๊สพร้อมอุปกรณ์เคลื่อนที่</t>
  </si>
  <si>
    <t>หัวเชื่อมและสายแก๊สชำรุด</t>
  </si>
  <si>
    <t>2553</t>
  </si>
  <si>
    <t>7440-001-0001/531-101-102</t>
  </si>
  <si>
    <t>เครื่องคอมพิวเตอร์พร้อมโต๊ะ</t>
  </si>
  <si>
    <t>เมนบร์อดชำรุด</t>
  </si>
  <si>
    <t>6730-001-0003/531-005</t>
  </si>
  <si>
    <t>เครื่องฉายมัลติมีเดียโปรเจกเตอร์</t>
  </si>
  <si>
    <t>หลอดภาพชำรุด</t>
  </si>
  <si>
    <t>7430-008-0002/531-029</t>
  </si>
  <si>
    <t>เครื่องปริ้นเตอร์</t>
  </si>
  <si>
    <t>หัวพิมพ์ชำรุด</t>
  </si>
  <si>
    <t>ลงชื่อ</t>
  </si>
  <si>
    <t>.........................................................</t>
  </si>
  <si>
    <t>ประธานกรรมการ</t>
  </si>
  <si>
    <t>กรรมการ</t>
  </si>
  <si>
    <t>กรรมการและเลขานุการ</t>
  </si>
  <si>
    <t>เอกสารหมายเลข 1</t>
  </si>
  <si>
    <t>(นายบุญแต่ง  ป้อมหิน)</t>
  </si>
  <si>
    <t>(นายจักรกฤษณ์  พันธ์ศรี)</t>
  </si>
  <si>
    <t>(นายณัทพงศ์  โยธี)</t>
  </si>
  <si>
    <t>(นายโสภณัฐ  พละศักดิ์)</t>
  </si>
  <si>
    <t xml:space="preserve"> วิทยาลัยเทคนิคกันทรลักษ์</t>
  </si>
  <si>
    <t>ชย.</t>
  </si>
  <si>
    <t>บัญชีรายการครุภัณฑ์มูลค่าต่ำกว่าเกณฑ์ชำรุด เสื่อมคุณภาพ ไม่ใช้ราชการ ของสถานศึกษา</t>
  </si>
  <si>
    <t xml:space="preserve">ประจำปี 2564 สิ้นงวดเมื่อวันที่ 30 กันยายน 2564  </t>
  </si>
  <si>
    <t>ชย.สาขาเครื่องกลอุตฯ</t>
  </si>
  <si>
    <t>บัญชีรายการครุภัณฑ์ชำรุด เสื่อมคุณภาพ ไม่ใช้ราชการ ของสถานศึกษา</t>
  </si>
  <si>
    <t xml:space="preserve">ประจำปี 2564 สิ้นงวดเมื่อวันที่ 30 กันยายน 2564 </t>
  </si>
  <si>
    <t>วงจรภายในไหม้พบซาก</t>
  </si>
  <si>
    <t>ชุดฝึกระบบเสียงสาธารณะ</t>
  </si>
  <si>
    <t>5835-013-0002/401-001</t>
  </si>
  <si>
    <t>วงจรภายในไหม้,จอแตก,บอร์ดไหม้พบซาก</t>
  </si>
  <si>
    <t>เครื่องรับโทรทัศน์</t>
  </si>
  <si>
    <t>5825-020-0001/401-004-401-023</t>
  </si>
  <si>
    <t>วงจรไหม้,แตกเสียหายพบซาก</t>
  </si>
  <si>
    <t>ชุดฝึกอิเล็กทรอนิกส์เบื้องต้น</t>
  </si>
  <si>
    <t>6910-001-0005/391-001-391-009</t>
  </si>
  <si>
    <t>เครื่องฝึกเครื่องมือทดสอบไฟฟ้าและอิเล็กทรอนิกส์</t>
  </si>
  <si>
    <t>6635-015-0004/391-001-391-010</t>
  </si>
  <si>
    <t>ชุดฝึกวงจรอิเล็กทรอนิกส์</t>
  </si>
  <si>
    <t>6910-001-0010/391-001-391-009</t>
  </si>
  <si>
    <t>วงจรภายในพัง</t>
  </si>
  <si>
    <t>ดิจิตอลมัลติมิเตอร์</t>
  </si>
  <si>
    <t>6625-003-0008/391-001-391-020</t>
  </si>
  <si>
    <t>ชุดทดลองวงจรไฟฟ้ากระแสตรงและกระแสสลับ</t>
  </si>
  <si>
    <t>6625-002-0003/391-001-391-010</t>
  </si>
  <si>
    <t>เครื่องจ่ายไฟกระแสตรง</t>
  </si>
  <si>
    <t>6150-003-0004/391-001-391-020</t>
  </si>
  <si>
    <t>ภวงจรภาคจ่ายไฟไหม้,วงจรภาคส่งไหม้</t>
  </si>
  <si>
    <t>ชุดฝึกเครื่องส่งเอเอ็มเอฟเอ็มสเตอริโอ</t>
  </si>
  <si>
    <t>5826-019-0001/411-001-411-002</t>
  </si>
  <si>
    <t>2541</t>
  </si>
  <si>
    <t>ชุดฝึกระบบเสียงในรถยนต์</t>
  </si>
  <si>
    <t>5835-013-0001/401-001-401-002</t>
  </si>
  <si>
    <t>5835-001-0001/462-001</t>
  </si>
  <si>
    <t>ไหม้</t>
  </si>
  <si>
    <t>การ์ดติดตั้งวีดีโอ</t>
  </si>
  <si>
    <t>7125-001-0001/462-001</t>
  </si>
  <si>
    <t>บอร์ดพัง,ภาคจ่ายไฟพัง</t>
  </si>
  <si>
    <t>7440-001-0001/462-007</t>
  </si>
  <si>
    <t>วงจรภาครับพัง,วงจรภาคส่งไหม้</t>
  </si>
  <si>
    <t>ชุดฝึกรับ-ส่งวิทยุสื่อสารสำหรับฝึก</t>
  </si>
  <si>
    <t>6910-001-0017/461-001-461-002</t>
  </si>
  <si>
    <t>แตกหัก,วงจรไหม้,สายไฟขาด</t>
  </si>
  <si>
    <t>ชุดฝึกไฟเบอร์ออฟติก</t>
  </si>
  <si>
    <t>6910-001-0016/461-001-005</t>
  </si>
  <si>
    <t>2545</t>
  </si>
  <si>
    <t>เครื่องรับโทรทัศน์ สี 14" พานโซนิค</t>
  </si>
  <si>
    <t>5825-020-0001/452-001</t>
  </si>
  <si>
    <t>ชุดสาธิตโทรทัศน์วงจรปิด</t>
  </si>
  <si>
    <t>5820-005-0001/451-001</t>
  </si>
  <si>
    <t>ชุดสาธิตโทรทัศน์ระบบ MATV , CATV</t>
  </si>
  <si>
    <t>5820-011-0001/451-001</t>
  </si>
  <si>
    <t>หัวอ่านแผ่นพัง</t>
  </si>
  <si>
    <t>เครื่อง  CD  RW</t>
  </si>
  <si>
    <t>7740-004-0001/462-003</t>
  </si>
  <si>
    <t>มอเตอร์ไหม้</t>
  </si>
  <si>
    <t>พัดลมตั้งพื้น 16 นิ้ว</t>
  </si>
  <si>
    <t>4141-001-0001/462-012</t>
  </si>
  <si>
    <t>พัดลมติดผนัง 16 นิ้ว</t>
  </si>
  <si>
    <t>4140-001-0001/483-020-025</t>
  </si>
  <si>
    <t>2548</t>
  </si>
  <si>
    <t>หน้าจอพัง</t>
  </si>
  <si>
    <t>กล้องดิจิตอล</t>
  </si>
  <si>
    <t>6720-005-0002/472-002</t>
  </si>
  <si>
    <t>2547</t>
  </si>
  <si>
    <t>โทรทัศน์สีชนิดจอแบนขนาด  21  นิ้ว</t>
  </si>
  <si>
    <t>5825-020-0001/473-001</t>
  </si>
  <si>
    <t>โทรทัศน์สีชนิดจอแบนขนาด  29  นิ้ว</t>
  </si>
  <si>
    <t>5825-020-0001/471-024</t>
  </si>
  <si>
    <t>ภาคส่งสัญญาณพัง,ไมค์ขาด</t>
  </si>
  <si>
    <t>ไมโครโฟนไร้สาย</t>
  </si>
  <si>
    <t>5965-007-0001/461-001-002</t>
  </si>
  <si>
    <t>ลำโพงขาด,วงจรภายในไหม้,หม้อแปลงไหม้</t>
  </si>
  <si>
    <t>ชุดฝึกเครื่องขยายเสียง</t>
  </si>
  <si>
    <t>6910-001-0015/461-001-05</t>
  </si>
  <si>
    <t>วงจรภายในไหม้,แตกหัก</t>
  </si>
  <si>
    <t>เครื่องช่วยซาวด์กลอง  DM5</t>
  </si>
  <si>
    <t>5895-004-0001/462-001</t>
  </si>
  <si>
    <t>เครื่องสแกนเนอร์</t>
  </si>
  <si>
    <t>7440-010-0001/462-002</t>
  </si>
  <si>
    <t>ชุดส่งเครื่องส่งไหม้,คอยไมค์ขาด</t>
  </si>
  <si>
    <t>ไมโครโฟนไร้สายชนิดคู่</t>
  </si>
  <si>
    <t>5965-007-0001/483-001-002</t>
  </si>
  <si>
    <t>พัดลมติดผนัง</t>
  </si>
  <si>
    <t>4140-001-0001/483-026-035</t>
  </si>
  <si>
    <t>บอร์ดพัง</t>
  </si>
  <si>
    <t>7740-004-0001/502-008</t>
  </si>
  <si>
    <t>2550</t>
  </si>
  <si>
    <t>วงจรไหม้</t>
  </si>
  <si>
    <t>มิกเซอร์ 24 ช่อง</t>
  </si>
  <si>
    <t>5835-002-0003/492-001</t>
  </si>
  <si>
    <t>2549</t>
  </si>
  <si>
    <t>วงจรภาคจ่ายไฟไหม้</t>
  </si>
  <si>
    <t>ตัวแปลงสัญญาณไฟเบอร์</t>
  </si>
  <si>
    <t>7440-009-0003/492-001</t>
  </si>
  <si>
    <t>LAN CARD 10/100</t>
  </si>
  <si>
    <t>7440-009-0002/492-001-005</t>
  </si>
  <si>
    <t>LAN CARD 10/100/1000</t>
  </si>
  <si>
    <t>หลอดฉายขาด</t>
  </si>
  <si>
    <t>เครื่องฉายภาพ 3 มิติ</t>
  </si>
  <si>
    <t>6730-001-0002/492-001</t>
  </si>
  <si>
    <t>หลอดเสื่อม</t>
  </si>
  <si>
    <t>เครื่องโปรเจคเตอร์พร้อมจอ 70 นิ้ว</t>
  </si>
  <si>
    <t>6730-001-0003/492-001</t>
  </si>
  <si>
    <t>ชุดรับสัญญาณดาวเทียม</t>
  </si>
  <si>
    <t>6310-002-0001/482-001</t>
  </si>
  <si>
    <t>ชุดจ่ายไฟพัง</t>
  </si>
  <si>
    <t>เครื่องสำรองไฟ</t>
  </si>
  <si>
    <t>7440-010-0010/502-001</t>
  </si>
  <si>
    <t>ฮาร์ดดิส 250 GB</t>
  </si>
  <si>
    <t>7440-009-0003/502-002</t>
  </si>
  <si>
    <t>แตกหัก  ขาหัก</t>
  </si>
  <si>
    <t>เก้าอี้นั่งโพลีโพลพิลีน</t>
  </si>
  <si>
    <t>7110-006-020/531-001-020</t>
  </si>
  <si>
    <t xml:space="preserve">แผนไม้แตกหัก  ขาหัก  </t>
  </si>
  <si>
    <t>เก้าอี้ขาเหล็กไม้ยางพารา</t>
  </si>
  <si>
    <t>7110-006-0007/531-001-050</t>
  </si>
  <si>
    <t>แผ่นไม้แตกหัก  ขาหัก</t>
  </si>
  <si>
    <t>โต๊ะคอมพิวเตอร์  80*60*75  ขาเหล็ก</t>
  </si>
  <si>
    <t>7110-07-0001/531-005-021</t>
  </si>
  <si>
    <t>กล้องถ่ายภาพนิ่ง NIKON รุ่น COOLPIX P90</t>
  </si>
  <si>
    <t>6720-005-0003/521-001</t>
  </si>
  <si>
    <t>หลอดเสิ่อม,ภาคจ่ายไฟพัง</t>
  </si>
  <si>
    <t>เครื่องมัลติมีเดียโปรเจคเตอร์ ACER P1166P</t>
  </si>
  <si>
    <t>6730-001-0003/521-004</t>
  </si>
  <si>
    <t>การ์ดไหม้</t>
  </si>
  <si>
    <t>ตู้สาขาโทรศัพท์</t>
  </si>
  <si>
    <t>5805-009-0001/512-001</t>
  </si>
  <si>
    <t>2551</t>
  </si>
  <si>
    <t>แตกหัก</t>
  </si>
  <si>
    <t xml:space="preserve">CASE SERVER </t>
  </si>
  <si>
    <t>7440-001-0004/501-001</t>
  </si>
  <si>
    <t>ไอซีพัง,บอร์ดไหม้</t>
  </si>
  <si>
    <t>การ์ด SKY 8800</t>
  </si>
  <si>
    <t>7440-009-0001/502-001</t>
  </si>
  <si>
    <t>ชอ.</t>
  </si>
  <si>
    <t>ชฟ.</t>
  </si>
  <si>
    <t xml:space="preserve"> - </t>
  </si>
  <si>
    <t>ทรานฟอร์เมอร์ 1 เฟส</t>
  </si>
  <si>
    <t>5950-004-0001/391-001-391-010</t>
  </si>
  <si>
    <t>ดิจิตอลแคมป์ออนมิเตอร์ (001, 002, 003)</t>
  </si>
  <si>
    <t>5905-006-0005/391-001-391-020</t>
  </si>
  <si>
    <t>เครื่องวัดกระแสไฟฟ้าตรงแบบไมโครแอมป์</t>
  </si>
  <si>
    <t>5905-006-0003/391-001-391-010</t>
  </si>
  <si>
    <t>มัลติมิเตอร์แอมป์มิเตอร์</t>
  </si>
  <si>
    <t>6625-003-0009/391-012,013</t>
  </si>
  <si>
    <t>โต๊ะพับเอนกประสงค์ 6 ฟุต</t>
  </si>
  <si>
    <t>7110-007-0011/451-019-451-028</t>
  </si>
  <si>
    <t>เอกสารหมายเลข 4</t>
  </si>
  <si>
    <t>โต๊ะงานช่างกล</t>
  </si>
  <si>
    <t>7110-007-0017/391-001-391-006</t>
  </si>
  <si>
    <t>เครื่องวัดกระแสสลับแบบพอร์ทเทเบิ้ล</t>
  </si>
  <si>
    <t>5905-006-0004/391-001-391-010</t>
  </si>
  <si>
    <t>ชุดฝึกไฟฟ้าเบื้องต้น</t>
  </si>
  <si>
    <t>6910-001-0006/391-001-391-007</t>
  </si>
  <si>
    <t>แรงเคลื่อนคงที่</t>
  </si>
  <si>
    <t>6910-001-0007/391-001</t>
  </si>
  <si>
    <t>เครื่องฝึกทดลองอิเล็กทรอนิกส์อุสาหกรรม</t>
  </si>
  <si>
    <t>5977-009-0002/401-001-401-005</t>
  </si>
  <si>
    <t>ชุดเครื่องทดสอบในงานติดตั้งไฟฟ้า</t>
  </si>
  <si>
    <t>6110-011-0001/401-001</t>
  </si>
  <si>
    <t>ชุดสาธิตเครื่องกลไฟฟ้าเบื้องต้น</t>
  </si>
  <si>
    <t>6110-001-0001/401-001</t>
  </si>
  <si>
    <t>ชุดฝึกเครื่องกลไฟฟ้า</t>
  </si>
  <si>
    <t>6110-010-0002/401-001</t>
  </si>
  <si>
    <t>มัลติมิเตอร์</t>
  </si>
  <si>
    <t>6625-003-0004/391-001-391-002/
391-015, 022-024</t>
  </si>
  <si>
    <t>R-L-C  แบบดิจิตอล</t>
  </si>
  <si>
    <t>6625-003-0005/391-001</t>
  </si>
  <si>
    <t>เครื่องวัดค่าคาปาซิเตอร์อ่านค่าเป็นตัวเลข</t>
  </si>
  <si>
    <t>5210-016-0001/391-001-391-002</t>
  </si>
  <si>
    <t>ชุดฝึกการควบคุมเครื่องกลไฟฟ้า</t>
  </si>
  <si>
    <t>5975-006-0002/391-001-391-002</t>
  </si>
  <si>
    <t>ดิจิตอลมัลติมิเตอร์แบบตั้งโต๊ะ</t>
  </si>
  <si>
    <t>6625-003-0010/391-001,003,</t>
  </si>
  <si>
    <t>ชุดสาธิตทดลองระบบเครื่องมือวัด</t>
  </si>
  <si>
    <t>6625-002-0004/391-001</t>
  </si>
  <si>
    <t>ตัวปรับความเร็วชำรุด</t>
  </si>
  <si>
    <t>ชุดฝึกควบคุมความเร็วมอเตอร์กระแสสลับ</t>
  </si>
  <si>
    <t>6110-007-0001/411-001</t>
  </si>
  <si>
    <t>หน้าจอแสดงผลชำรุด</t>
  </si>
  <si>
    <t>อินเวอร์เตอร์ 3 เฟส</t>
  </si>
  <si>
    <t>6110-006-0001/411-001</t>
  </si>
  <si>
    <t>เครื่องควบคุมมอเตอร์</t>
  </si>
  <si>
    <t>6110-002-0001/411-001</t>
  </si>
  <si>
    <t>ชุดฝึกนิวเนติกส์ไฟฟ้า</t>
  </si>
  <si>
    <t>4810-001-0001/411-001</t>
  </si>
  <si>
    <t>ชุดประลองวงจรไฟฟ้า  1 กระแสตรง</t>
  </si>
  <si>
    <t>5915-005-0001/401-001-401-005</t>
  </si>
  <si>
    <t>ชุดประลองวงจรไฟฟ้า  2 กระแสสลับ</t>
  </si>
  <si>
    <t>5915-005-0002/401-001-401-005</t>
  </si>
  <si>
    <t>ชุกฝึกประจำวิชาติดตั้งไฟฟ้า</t>
  </si>
  <si>
    <t>6105-004-0001/401-001</t>
  </si>
  <si>
    <t>เครื่องฝึกทดสอบไฟฟ้าและอิเล็กทรอนิกส์</t>
  </si>
  <si>
    <t>5977-009-0001/401-001</t>
  </si>
  <si>
    <t>เครื่องมือวัดเครื่องกลไฟฟ้างานปฏิบัติ</t>
  </si>
  <si>
    <t>5840-012-0001/401-001-401-005</t>
  </si>
  <si>
    <t>เครื่องทดสอบอิเล็กทรอนิกส์และวงจร 1</t>
  </si>
  <si>
    <t>5915-003-0001/401-001-401-005</t>
  </si>
  <si>
    <t>คอมพิวเตอร์ชำรุด</t>
  </si>
  <si>
    <t>ชุดทดลองเป็นลำดับขั้น PLC</t>
  </si>
  <si>
    <t>6930-002-0001/451-001</t>
  </si>
  <si>
    <t>มัลติมิเตอร์แตกหัก</t>
  </si>
  <si>
    <t>ชุดเครื่องมือฝึกซ่อมเครื่องใช้ไฟฟ้า</t>
  </si>
  <si>
    <t>6910-001-0001/451-001</t>
  </si>
  <si>
    <t>เครื่องมืองานท่อหนา</t>
  </si>
  <si>
    <t>5110-022-0002/421-001</t>
  </si>
  <si>
    <t>2542</t>
  </si>
  <si>
    <t>เครื่องมืองานท่อไฟฟ้าบาง</t>
  </si>
  <si>
    <t>5110-022-0001/421-001</t>
  </si>
  <si>
    <t>ด้ามจับหัก</t>
  </si>
  <si>
    <t>เครื่องพันขดลวด</t>
  </si>
  <si>
    <t>5120-024-0003/421-001</t>
  </si>
  <si>
    <t>ชุดอุปกรณ์ฝึกซ่อมเครื่องใช้ไฟฟ้า</t>
  </si>
  <si>
    <t>6910-001-0001./421-001</t>
  </si>
  <si>
    <t>ชุดควบคุมความเร็วมอเตอร์ขนาดไม่ต่ำกว่า 3 แรงม้า</t>
  </si>
  <si>
    <t>6110-002-0001/421-001</t>
  </si>
  <si>
    <t>ชุดฝึกการพันมอเตอร์และทรานฟอเมอร์</t>
  </si>
  <si>
    <t>5120-024-0002/421-001</t>
  </si>
  <si>
    <t>ชุดฝึกเครื่องทำความเย็น</t>
  </si>
  <si>
    <t>4110-008-0002/411-001</t>
  </si>
  <si>
    <t>หน้าจอชำรุด</t>
  </si>
  <si>
    <t>ชุดฝึกโปรแกรมเมเบิลคอนโทรล</t>
  </si>
  <si>
    <t>6110-010-0001/411-001</t>
  </si>
  <si>
    <t>ระบบไฟฟ้าชำรุด,ระบบแมคคานิคชำรุด</t>
  </si>
  <si>
    <t>-</t>
  </si>
  <si>
    <t>เครื่องปั้มเล็ก</t>
  </si>
  <si>
    <t>3443-001-0001/623-001</t>
  </si>
  <si>
    <t xml:space="preserve"> 25 ก.ย.62</t>
  </si>
  <si>
    <t>เครื่องกัด Coppy</t>
  </si>
  <si>
    <t xml:space="preserve">3417-001-0002/623-001 </t>
  </si>
  <si>
    <t>เครื่องกัดตั้ง</t>
  </si>
  <si>
    <t>3417-001-0001/623-001(2)</t>
  </si>
  <si>
    <t>เครื่องกลึง</t>
  </si>
  <si>
    <t>3416-001-0001/623-001(6)</t>
  </si>
  <si>
    <t>เครื่องกลึงขนาดยันศูนย์เหนือแท่น 125 มม.</t>
  </si>
  <si>
    <t>3416-001-0001/463-002</t>
  </si>
  <si>
    <t>3416-001-0001/463-001</t>
  </si>
  <si>
    <t xml:space="preserve"> 2546</t>
  </si>
  <si>
    <t>ชก.</t>
  </si>
  <si>
    <t>โต๊ะเชื่อมไฟฟ้าพร้อมเก้าอี้</t>
  </si>
  <si>
    <t>7110-007-0003/391-001-391-010</t>
  </si>
  <si>
    <t>โต๊ะเชื่อมแก๊สพร้อมเก้าอี้</t>
  </si>
  <si>
    <t>7110-007-0013/391-001-391-010</t>
  </si>
  <si>
    <t>ชช.</t>
  </si>
  <si>
    <t>โต๊ะปฏิบัติงานบัดกรี</t>
  </si>
  <si>
    <t>7110-007-0015/391-001</t>
  </si>
  <si>
    <t>ถังกัดกร่อนด้วยสนิม ผุพังรับแรงดันไม่ได้</t>
  </si>
  <si>
    <t>ชุดท่อบรรจุแก๊ส ออกซิเจน ขนาด 40 ลิตร</t>
  </si>
  <si>
    <t>4710-007-0003/391-001-391-005</t>
  </si>
  <si>
    <t>เมนบอรด์ชำรุด, ฮาดร์ดิสจ์ชำรุดฯ</t>
  </si>
  <si>
    <t>7440-001-0001/462-003</t>
  </si>
  <si>
    <t>ชุดเครื่องมือและอุปกรณ์งานโลหะแผ่น</t>
  </si>
  <si>
    <t>3470-003-0002/391-001</t>
  </si>
  <si>
    <t>ชุดเครื่องมือและอุปกรณ์งานเชื่อมแก๊ส</t>
  </si>
  <si>
    <t>3470-002-0001/391-001</t>
  </si>
  <si>
    <t>สว่านไฟฟ้าตั้งโต๊ะ 13 มม.</t>
  </si>
  <si>
    <t>5130-007-0004/391-001</t>
  </si>
  <si>
    <t>เครื่องเชื่อม orbit -220</t>
  </si>
  <si>
    <t>3470-002-0003/531-005-008</t>
  </si>
  <si>
    <t>เครื่องเชื่อม Tig 200 พร้อมอุปกรณ์</t>
  </si>
  <si>
    <t>3470-002-0003/531-010</t>
  </si>
  <si>
    <t>เครื่องฉายโปรเจคเตอร์ Sony UPL-ES-7</t>
  </si>
  <si>
    <t>6730-001-0003/521-002</t>
  </si>
  <si>
    <t>เครื่องเชื่อมพลาสติก</t>
  </si>
  <si>
    <t>3470-005-0001/471-001</t>
  </si>
  <si>
    <t>ทั่งตีเหล็กขนาด 50 กก.</t>
  </si>
  <si>
    <t>3446-005-0001/391-001-004</t>
  </si>
  <si>
    <t>ตู้เหล็ก 2 บาน (PRERIDENT)</t>
  </si>
  <si>
    <t>7110-001-0001/391-001</t>
  </si>
  <si>
    <t>ฉากเส้นผม</t>
  </si>
  <si>
    <t>5210-016-0002/482-001-006</t>
  </si>
  <si>
    <t>บรรทัดเส้นผม</t>
  </si>
  <si>
    <t>5210-016-0001/482-001-006</t>
  </si>
  <si>
    <t>พัดลมโรงงาน  18 นิ้ว</t>
  </si>
  <si>
    <t>4140-001-0002/482-004-0007</t>
  </si>
  <si>
    <t>ฮาร์ตดิสก์ไหม้,การ์ดขยายไหม้</t>
  </si>
  <si>
    <t>เครื่องคอมพิวเตอร์ HP</t>
  </si>
  <si>
    <t>7440-001-0001/502-508</t>
  </si>
  <si>
    <t>หัวอ่านชำรุด,ตัวเครื่องแตก</t>
  </si>
  <si>
    <t>เครื่องปริ้นเตอร์ 1020</t>
  </si>
  <si>
    <t>7430-008-0001-502-015</t>
  </si>
  <si>
    <t>เครื่องมือและอุปกรณ์ทั่วไปประจำวิชางานฝึกฝีมือ</t>
  </si>
  <si>
    <t>6910-001-0002/391-001</t>
  </si>
  <si>
    <t>เครื่องตัดเจาะระบบไฮดรอลิก</t>
  </si>
  <si>
    <t>5110-001-0001/391-001</t>
  </si>
  <si>
    <t>ครุภัณฑ์ปฏิบัติการสาขางานเครื่องมือทั่วไป</t>
  </si>
  <si>
    <t>เก้าอี้พิมพ์ดีด</t>
  </si>
  <si>
    <t>7110-006-0006/514-001-080</t>
  </si>
  <si>
    <t>โต๊ะพิมพ์ดีด</t>
  </si>
  <si>
    <t>7110-007-0004/514-001-080</t>
  </si>
  <si>
    <t>โต๊ะม้าหินอ่อนพร้อมเก้าอี้</t>
  </si>
  <si>
    <t>5440-003-0001/531-001-002</t>
  </si>
  <si>
    <t>เครื่องทำแซนวิส  Philips -2415</t>
  </si>
  <si>
    <t>7320-012-0001/531-001</t>
  </si>
  <si>
    <t>เครื่องปัน panasonic -799N</t>
  </si>
  <si>
    <t>เครื่องคอมพิวเตอร์สำหรับประมวลผล แบบที่ 2
(จอขนาดไม่น้อยกว่า 18 นิ้ว)</t>
  </si>
  <si>
    <t>7440-001-0003/561-001-020</t>
  </si>
  <si>
    <t>TV LCD 42"  panasonic</t>
  </si>
  <si>
    <t>7730-005-0001/531-001</t>
  </si>
  <si>
    <t>Saeco Grinder MC 2002</t>
  </si>
  <si>
    <t>7320-007-0002/531-001</t>
  </si>
  <si>
    <t>Saeco Nina Plus White color</t>
  </si>
  <si>
    <t>7320-007-0001/531-001</t>
  </si>
  <si>
    <t>ซุ้มหัก อยู่คลังพัสดุ</t>
  </si>
  <si>
    <t>ซุ้มกาแฟ</t>
  </si>
  <si>
    <t>5150-002-0001/531-001</t>
  </si>
  <si>
    <t>เครื่องพิมพ์ดีดภาษาอังกฤษแคร่  15"</t>
  </si>
  <si>
    <t>7430-001-0001/531-066-075</t>
  </si>
  <si>
    <t>ฮาร์ดดิสชำรุด โต๊ะเก้าอี้ขาหัก อยู่แผนก</t>
  </si>
  <si>
    <t>เครื่องคอมพิวเตอร์พร้อมโต๊ะเก้าอี้</t>
  </si>
  <si>
    <t>7440-001-0001/531-123</t>
  </si>
  <si>
    <t>เครื่องคอมพิวเตอร์</t>
  </si>
  <si>
    <t>7440-008-0001/501-057</t>
  </si>
  <si>
    <t>7430-001-0001/501-026-065</t>
  </si>
  <si>
    <t>บช.</t>
  </si>
  <si>
    <t>เครื่องพิมพ์ดีดไฟฟ้าชนิดไม่มีหน่วยความจำ</t>
  </si>
  <si>
    <t>7430-001-0006/391-002-391-016</t>
  </si>
  <si>
    <t>โต๊ะเรียนบัญชีพร้อมเก้าอี้</t>
  </si>
  <si>
    <t>7110-007-0012/391-001-031</t>
  </si>
  <si>
    <t>7110-007-0004/391-004-006</t>
  </si>
  <si>
    <t>นาฬิกาจับเวลา</t>
  </si>
  <si>
    <t>6645-008-0001/391-001-391-002</t>
  </si>
  <si>
    <t>เอกสารหมายเลข 5</t>
  </si>
  <si>
    <t>เอกสารหมายเลข 6</t>
  </si>
  <si>
    <t>เครื่องคำนวณเลข 12 หลัก</t>
  </si>
  <si>
    <t>7420-001-0002/401-023-401-068</t>
  </si>
  <si>
    <t>7110-007-0004/401-053-401-140</t>
  </si>
  <si>
    <t>พัดลมโคจร 16 นิ้ว</t>
  </si>
  <si>
    <t>4140-001-0003/482-029-030</t>
  </si>
  <si>
    <t>เก้าอี้เบาะพนักพิง</t>
  </si>
  <si>
    <t>7110-006-0004/531-161-190</t>
  </si>
  <si>
    <t>7440-001-0001/531-124-138</t>
  </si>
  <si>
    <t>เครื่องคอมพิวเตอร์ ยี่ห้อ ACER</t>
  </si>
  <si>
    <t>7440-001-0001/501-056</t>
  </si>
  <si>
    <t>เครื่องพิมพ์ดีดภาษาอังกฤษแคร่ 18"</t>
  </si>
  <si>
    <t>7430-001-0001/492-008-013</t>
  </si>
  <si>
    <t>7430-001-0001/492-001-007</t>
  </si>
  <si>
    <t>เครื่องปริ้นเตอร์ HP 1020</t>
  </si>
  <si>
    <t>7430-008-0002/492-009</t>
  </si>
  <si>
    <t>7440-001-0001/462-004</t>
  </si>
  <si>
    <t>เครื่องพิมพ์ดีดแบบธรรมดาภาษาไทย 18"</t>
  </si>
  <si>
    <t>7430-001-0007/401-002,024</t>
  </si>
  <si>
    <t>7430-001-0001/401-027-401-051</t>
  </si>
  <si>
    <t>โต๊ะสาธิตเครื่องพิมพ์ดีด</t>
  </si>
  <si>
    <t>7110-007-0011/391-001</t>
  </si>
  <si>
    <t>เครื่องบันทึกเงินสด</t>
  </si>
  <si>
    <t>7420-005-0001/391-001-391-004</t>
  </si>
  <si>
    <t>เครื่องพิมพ์ดีดแบบธรรมดาภาษาไทย 15"</t>
  </si>
  <si>
    <t>7430-001-0005/391-003-391-027</t>
  </si>
  <si>
    <t>เครื่องพิมพ์ดีดภาษาอังกฤษแคร่ 15"</t>
  </si>
  <si>
    <t>7430-001-0003/391-002-391-026</t>
  </si>
  <si>
    <t xml:space="preserve">ขาหัก เบาะขาด </t>
  </si>
  <si>
    <t>เก้าอี้สำหรับคอมพิวเตอร์</t>
  </si>
  <si>
    <t>7110-006-0002/401-001-401-020</t>
  </si>
  <si>
    <t>ไม้อัดผุพัง ขาหัก</t>
  </si>
  <si>
    <t>โต๊ะวางเครื่องคอมพิวเตอร์</t>
  </si>
  <si>
    <t>7110-007-0001/401-003-401-022</t>
  </si>
  <si>
    <t>โต๊ะขาหัก</t>
  </si>
  <si>
    <t>โต๊ะวางเครื่องปริ้น</t>
  </si>
  <si>
    <t>7110-007-0002/401-002-401-005</t>
  </si>
  <si>
    <t>พค.</t>
  </si>
  <si>
    <t>ขาหัก เบาะขาด</t>
  </si>
  <si>
    <t>7110-006-0002/421-021-421-040</t>
  </si>
  <si>
    <t>7110-007-0001/421-023-421-032</t>
  </si>
  <si>
    <t>7110-007-0002/421-007-421-008</t>
  </si>
  <si>
    <t>เอกสารหมายเลข 7</t>
  </si>
  <si>
    <t>เอกสารหมายเลข 8</t>
  </si>
  <si>
    <t>7110-006-0002/431-041-431-045</t>
  </si>
  <si>
    <t>2543</t>
  </si>
  <si>
    <t xml:space="preserve">โต๊ะขาหัก </t>
  </si>
  <si>
    <t>7110-007-0001/431-033-431-037</t>
  </si>
  <si>
    <t>7110-007-0002/431-009-431-010</t>
  </si>
  <si>
    <t>4140-001-0001/482-016-021</t>
  </si>
  <si>
    <t>เครื่องไม่อ่านแผ่น</t>
  </si>
  <si>
    <t xml:space="preserve">เครื่อง WRITE CD ROM </t>
  </si>
  <si>
    <t>7740-004-0001/482-004-006</t>
  </si>
  <si>
    <t>ไม่อ่านข้อมูล</t>
  </si>
  <si>
    <t>FLASH DRIVE 512 MB</t>
  </si>
  <si>
    <t>7440-009-0001/492-003</t>
  </si>
  <si>
    <t xml:space="preserve">ไฟกระชาก ช๊อต </t>
  </si>
  <si>
    <t>HUB 24 PORT</t>
  </si>
  <si>
    <t>7740-010-0006/501-003</t>
  </si>
  <si>
    <t>เครื่อง DVD RW</t>
  </si>
  <si>
    <t>7740-010-0001/502-001</t>
  </si>
  <si>
    <t>HUB 16 PORT</t>
  </si>
  <si>
    <t>7740-010-0006/501-001-002</t>
  </si>
  <si>
    <t>เก้าอี้สำนักงาน  S -35  หนัง</t>
  </si>
  <si>
    <t>7110-006-0007/512-006</t>
  </si>
  <si>
    <t>ไฟกระชาก ช๊อต</t>
  </si>
  <si>
    <t>เครื่องแปลงสัญญาณอินเตอร์เน็ต Switching Hub</t>
  </si>
  <si>
    <t>7440-010-0013/531-001-004</t>
  </si>
  <si>
    <t>เก้าอี้เบาะชุดโครเมี่ยม</t>
  </si>
  <si>
    <t>7110-006-0009/531-001-160</t>
  </si>
  <si>
    <t xml:space="preserve">พัง หัก แกนไม่ดึงกระดาษ </t>
  </si>
  <si>
    <t>เครื่องปริ้นเตอร์ 2080I</t>
  </si>
  <si>
    <t>7430-008-0001/431-009</t>
  </si>
  <si>
    <t>ชำรุดไม่อ่านแผ่น</t>
  </si>
  <si>
    <t>โปรแกรมสำเร็จรูป</t>
  </si>
  <si>
    <t>7440-010-0001/431-002</t>
  </si>
  <si>
    <t>เมนบอร์ด  ฮาร์ดดิส  แรม เสียชำรุด</t>
  </si>
  <si>
    <t>เครื่องไมโครคอมพิวเตอร์</t>
  </si>
  <si>
    <t>7440-001-0001/431-036-431-040</t>
  </si>
  <si>
    <t>พัง หัก แกนไม่ดึงกระดาษ</t>
  </si>
  <si>
    <t>เครื่องปริ้นเตอร์ 710 C</t>
  </si>
  <si>
    <t>7430-008-0001/421-007-421-008</t>
  </si>
  <si>
    <t>7440-001-0001/421-023-421-032</t>
  </si>
  <si>
    <t>7440-010-0001/421-001</t>
  </si>
  <si>
    <t>เครื่องปริ้นเตอร์ OKI 391</t>
  </si>
  <si>
    <t>7430-008-0001/401-004-005</t>
  </si>
  <si>
    <t>7440-001-0001/401-015-016</t>
  </si>
  <si>
    <t>SCANNER EPSON2480</t>
  </si>
  <si>
    <t>7440-010-0002/482-003</t>
  </si>
  <si>
    <t>7440-001-0001/482-040-043</t>
  </si>
  <si>
    <t>7440-001-0001/482-036-039</t>
  </si>
  <si>
    <t>7440-001-0001/482-031-482-035</t>
  </si>
  <si>
    <t>เครื่องปริ้นเตอร์ EPL 6100</t>
  </si>
  <si>
    <t>7430-008-0001/462-001</t>
  </si>
  <si>
    <t>7440-001-0001/461-048-461-054</t>
  </si>
  <si>
    <t>7440-001-0001/461-041-461-047</t>
  </si>
  <si>
    <t>7440-001-0001/462-010-462-030</t>
  </si>
  <si>
    <t xml:space="preserve">หลอดภาพเสีย </t>
  </si>
  <si>
    <t>โทรทัศน์สี 29"</t>
  </si>
  <si>
    <t>5825-020-0001/442-024</t>
  </si>
  <si>
    <t>พัง หัก แกนไม่ดึงกระดาษ ไม่มี</t>
  </si>
  <si>
    <t>เครื่องปริ้นเตอร์เลซอร์ PD12</t>
  </si>
  <si>
    <t>7430-008-0001/431-010</t>
  </si>
  <si>
    <t>หลอดภาพเสียหาย</t>
  </si>
  <si>
    <t>เครื่องโปรเจคเตอร์พร้อมจอรับภาพ</t>
  </si>
  <si>
    <t>6730-001-0003/531-009-012</t>
  </si>
  <si>
    <t>7440-001-0001/512-109-157</t>
  </si>
  <si>
    <t>เครื่องไมโครคอมพิวเตอร์ SVOA จอแบน</t>
  </si>
  <si>
    <t>7440-001-0001/512-060-108</t>
  </si>
  <si>
    <t>เครื่องปริ้นเตอร์เอฟสัน A3 CANON IX 5000</t>
  </si>
  <si>
    <t>7430-008-0002/502-014</t>
  </si>
  <si>
    <t>7440-001-0001/493-017-026</t>
  </si>
  <si>
    <t>7440-001-0001/493-007-016</t>
  </si>
  <si>
    <t>เครื่องคอมพิวเตอร์ GVIEW</t>
  </si>
  <si>
    <t>7440-001-0001/482-046</t>
  </si>
  <si>
    <t>เครื่องปริ้นเตอร์เอฟสันCX3500</t>
  </si>
  <si>
    <t>7430-008-0001/482-004</t>
  </si>
  <si>
    <t>เครื่องปริ้นเตอร์เอฟสัน LQ 300+</t>
  </si>
  <si>
    <t>7430-008-0001/482-005</t>
  </si>
  <si>
    <t xml:space="preserve">SERVER SEY </t>
  </si>
  <si>
    <t>7440-001-0004/482-001</t>
  </si>
  <si>
    <t>พัดลมเพดาน 48 นิ้ว</t>
  </si>
  <si>
    <t>4140-001-0001/482-001</t>
  </si>
  <si>
    <t>โต๊ะแตกหัก โครงขึ้นสนิมผิดรูป</t>
  </si>
  <si>
    <t>โต๊ะปิงปอง</t>
  </si>
  <si>
    <t>7810-012-0001/463-001-463-005</t>
  </si>
  <si>
    <t>วงจรภายในเสียหายใช้งานไม่ได้</t>
  </si>
  <si>
    <t xml:space="preserve">เครื่องเล่นเทป VCD </t>
  </si>
  <si>
    <t>7730-006-0003/501-001</t>
  </si>
  <si>
    <t>เครื่องเล่น  DVD</t>
  </si>
  <si>
    <t>7730-001-0001/531-001-002</t>
  </si>
  <si>
    <t>เครื่องประมวลผลและจอแสดงผมใช้งานไม่ได้</t>
  </si>
  <si>
    <t>7440-001-0001/531-156</t>
  </si>
  <si>
    <t>วงจรภายในเสียหาย ภายนอกแตกหักใช้งานไม่ได้</t>
  </si>
  <si>
    <t>เครื่องฉายโปรเจกเตอร์  Acer</t>
  </si>
  <si>
    <t>6730-001-0003/531-019</t>
  </si>
  <si>
    <t>7440-001-0001/531-154-155</t>
  </si>
  <si>
    <t>6730-001-0003/531-014-015</t>
  </si>
  <si>
    <t>เครื่องประมวลผลและจอแสดงผลใช้งานไม่ได้</t>
  </si>
  <si>
    <t>ชุดคอมพิวเตอร์</t>
  </si>
  <si>
    <t>7440-001-0001/462-006</t>
  </si>
  <si>
    <t>ชย.สาขาเครื่องกล</t>
  </si>
  <si>
    <t>กระดาษติดเฟืองพัง</t>
  </si>
  <si>
    <t>เครื่องปริ้นเตอร์ HP Laserjet P1102</t>
  </si>
  <si>
    <t>7430-008-0002/531-019</t>
  </si>
  <si>
    <t>หมึกแห้งและหัวฮีดพัง</t>
  </si>
  <si>
    <t>เครื่องปริ้น CANON 4800*1200 DPIPIXMA</t>
  </si>
  <si>
    <t>7430-008-0004/513-004</t>
  </si>
  <si>
    <t>ฮาร์ดดิสก์พัง</t>
  </si>
  <si>
    <t>เครื่องคอมพิวเตอร์ DTK</t>
  </si>
  <si>
    <t>7440-001-0001/502-057</t>
  </si>
  <si>
    <t>เฟืองดูดกระดาษพัง</t>
  </si>
  <si>
    <t>เครื่องโทรสาร HP 3455</t>
  </si>
  <si>
    <t>5815-001-0001/502-003</t>
  </si>
  <si>
    <t>หัวพิมพ์อุดตัน</t>
  </si>
  <si>
    <t>เครื่องปริ้น เลเซอร์ HP1010</t>
  </si>
  <si>
    <t>7430-008-0002/481-012</t>
  </si>
  <si>
    <t>7440-001-0001-0001/473-003</t>
  </si>
  <si>
    <t>หมึกแห้งปิดกั้นหัวฉีด</t>
  </si>
  <si>
    <t>เครื่องปริ้น OK1391</t>
  </si>
  <si>
    <t>7430-008-0001/401-006</t>
  </si>
  <si>
    <t>หมึกแห้ง</t>
  </si>
  <si>
    <t>เครื่องปริ้นเตอร์ Kyoccra FS-P2135w</t>
  </si>
  <si>
    <t>7430-003-0007/582-001</t>
  </si>
  <si>
    <t>เปิดเครื่องไม่ติด</t>
  </si>
  <si>
    <t>7440-001-0001/531-141</t>
  </si>
  <si>
    <t>ฮาร์ดดิส</t>
  </si>
  <si>
    <t>7440-010-0003/502-003</t>
  </si>
  <si>
    <t>7440-009-0001/501-001</t>
  </si>
  <si>
    <t>เครื่องปริ้นเตอร์ HP Laserjet P 1102</t>
  </si>
  <si>
    <t>7430-008-0002/531-021</t>
  </si>
  <si>
    <t>เครื่องบันทึกเสียง  Sony</t>
  </si>
  <si>
    <t xml:space="preserve">งปม.  </t>
  </si>
  <si>
    <t>HP LASERJET PI606</t>
  </si>
  <si>
    <t xml:space="preserve"> 13 ก.พ.60</t>
  </si>
  <si>
    <t>ตู้เย็น ขนาด 6.4 คิว</t>
  </si>
  <si>
    <t>4110-001-0001/582-001</t>
  </si>
  <si>
    <t xml:space="preserve"> 6 ม.ค.58</t>
  </si>
  <si>
    <t>7440-001-0001/531-146</t>
  </si>
  <si>
    <t>เครื่องมัลติฟังชั่น BAOTHER DCP 8056</t>
  </si>
  <si>
    <t>7430-008-0006/523-006</t>
  </si>
  <si>
    <t>เครื่องคอมพิวเตอร์ จอแบน</t>
  </si>
  <si>
    <t>7440-001-0001/502-056</t>
  </si>
  <si>
    <t>เครื่องสแกนเนอร์ 7650</t>
  </si>
  <si>
    <t>7440-010-0002/482-004</t>
  </si>
  <si>
    <t>คอมพิวเตอร์ DTK</t>
  </si>
  <si>
    <t>7440-001-0001/473-002</t>
  </si>
  <si>
    <t xml:space="preserve"> 2 ก.พ.58</t>
  </si>
  <si>
    <t>ขาโต๊ะผุพัง</t>
  </si>
  <si>
    <t>7110-007-0004/391-002</t>
  </si>
  <si>
    <t>ไฟช็อต</t>
  </si>
  <si>
    <t>พัดลมตั้งโต๊ะ 16"</t>
  </si>
  <si>
    <t>4140-001-0001/442-010</t>
  </si>
  <si>
    <t>โต๊ะผุพัง</t>
  </si>
  <si>
    <t>โต๊ะวางเครื่องพิมพ์</t>
  </si>
  <si>
    <t>7110-007-0002/401-006</t>
  </si>
  <si>
    <t>ล้อเก้าอี้หัก โต๊ะชำรุด</t>
  </si>
  <si>
    <t>โต๊ะวางเครื่องคอมพิวเตอร์ +เก้าอี้</t>
  </si>
  <si>
    <t>7110-007-0001/401-002</t>
  </si>
  <si>
    <t>จอแสดงตัวเลขขัดข้อง</t>
  </si>
  <si>
    <t>เครื่องคำนวณเลข</t>
  </si>
  <si>
    <t>7420-001-0001/391-001</t>
  </si>
  <si>
    <t>พัดลมฮาตาริ 16 "</t>
  </si>
  <si>
    <t>4140-001-0001/483-019</t>
  </si>
  <si>
    <t>พัดลมตั้งพื้น 16 นิ้ว มิซูมารุ</t>
  </si>
  <si>
    <t>4140-001-0001/493-038</t>
  </si>
  <si>
    <t>พัดลมTORY 16 นิ้ว</t>
  </si>
  <si>
    <t>4140-001-0001/493-037</t>
  </si>
  <si>
    <t>เอกสารหมายเลข 9</t>
  </si>
  <si>
    <t>เอกสารหมายเลข 10</t>
  </si>
  <si>
    <t>เอกสารหมายเลข 11</t>
  </si>
  <si>
    <t>เอกสารหมายเลข 12</t>
  </si>
  <si>
    <t>ล้อเลื่อนชำรุด</t>
  </si>
  <si>
    <t>เก้าอี้ (ขาเหล็ก ) 5 แฉก</t>
  </si>
  <si>
    <t>7110-006-0006/531-013</t>
  </si>
  <si>
    <t>เก้าอี้ชำรุด</t>
  </si>
  <si>
    <t>โต๊ะวางเครื่องคอมพิวเตอร์พร้อมเก้าอี้</t>
  </si>
  <si>
    <t>7110-007-0001/502-007-008</t>
  </si>
  <si>
    <t>ระบบไฟมีปัญหา</t>
  </si>
  <si>
    <t>เครื่องสำรองไฟฟ้า</t>
  </si>
  <si>
    <t>6130-001-0001/531-008</t>
  </si>
  <si>
    <t>FLASH DRIVE 2 GB</t>
  </si>
  <si>
    <t>7440-009-0001/502-005</t>
  </si>
  <si>
    <t>7430-003-6002/601-001</t>
  </si>
  <si>
    <t>5835-006-0001/531-001</t>
  </si>
  <si>
    <t>แคร่แป้นพิมพ์ชำรุด</t>
  </si>
  <si>
    <t>เครื่องพิมพ์ดีดแบบธรรมดาภาษาไทย  18"</t>
  </si>
  <si>
    <t>7430-001-0007/391-001</t>
  </si>
  <si>
    <t>เครื่องพิมพ์ดีดแบบธรรมดาภาษาอังกฤษ 18"</t>
  </si>
  <si>
    <t>7430-001-0002/391-001</t>
  </si>
  <si>
    <t>เก้าอี้ชำรุด โต๊ะผุพัง</t>
  </si>
  <si>
    <t>7440-001-0001/531-150</t>
  </si>
  <si>
    <t>เครื่องไม่ดึงกระดาษ</t>
  </si>
  <si>
    <t>เครื่องปริ้นเตอร์ CANON LBp 3050</t>
  </si>
  <si>
    <t>7430-008-0002/531-023</t>
  </si>
  <si>
    <t>หน้าจอเสีย</t>
  </si>
  <si>
    <t xml:space="preserve">ชุดเครื่องคอมพิวเตอร์  HP </t>
  </si>
  <si>
    <t>7440-001-0001/502-059</t>
  </si>
  <si>
    <t>เครื่องคอมพิวเตอร์  จอแบน</t>
  </si>
  <si>
    <t>7440-001-0001/502-053-054</t>
  </si>
  <si>
    <t>เครื่องโทรศัพท์ มือถือ NOKIA 6080</t>
  </si>
  <si>
    <t>5805-001-0002/502-002</t>
  </si>
  <si>
    <t>ไม่ดึงกระดาษ</t>
  </si>
  <si>
    <t>เครื่องปริ้นเตอร์ HP1020</t>
  </si>
  <si>
    <t>7430-008-0002/492-007</t>
  </si>
  <si>
    <t>7440-001-0001/492-047</t>
  </si>
  <si>
    <t>6720-005-0002/472-001</t>
  </si>
  <si>
    <t>เครื่องพิมพ์ดีดแบบธรรมดาภาษาไทย  15"</t>
  </si>
  <si>
    <t>7430-001-0005/391-001</t>
  </si>
  <si>
    <t>7440-001-0001/531-147</t>
  </si>
  <si>
    <t>7440-001-0001/473-005</t>
  </si>
  <si>
    <t>อะไหล่บอร์ด ชำรุด ไฟไม่เข้า</t>
  </si>
  <si>
    <t>6130-001-0001/531-006</t>
  </si>
  <si>
    <t>เบาะนั่งขาด</t>
  </si>
  <si>
    <t>เก้าอี้สำนักงาน (ขาเหล็ก)</t>
  </si>
  <si>
    <t>7110-006-0006/531-001</t>
  </si>
  <si>
    <t>หน้าจอชำรุด เปิดไม่ติด</t>
  </si>
  <si>
    <t>อุดหนุน</t>
  </si>
  <si>
    <t>เครื่องคอมพิวเตอร์พร้อมจอ 20"HP</t>
  </si>
  <si>
    <t>7440-001-0001/566-001</t>
  </si>
  <si>
    <t>บอร์ด ชำรุด เปิดเครื่องไม่ติด</t>
  </si>
  <si>
    <t>เครื่องสแกนลายนิ้วมือ รุ่น X938</t>
  </si>
  <si>
    <t>6310-004-0001/531-001</t>
  </si>
  <si>
    <t>ฮาสดิส ชำรุด จอไม่แสดงภาพ</t>
  </si>
  <si>
    <t>7440-001-0001/492-049</t>
  </si>
  <si>
    <t>แกนหนุมกระดาษ ไม่ทำงาน สั่งปริ้นไม่ได้</t>
  </si>
  <si>
    <t>เครื่องปริ้นเตอร์ Inkjet in one Epson 2106</t>
  </si>
  <si>
    <t>7430-008-0002/566-001</t>
  </si>
  <si>
    <t>บกศ</t>
  </si>
  <si>
    <t>เครื่องปริ้นเตอร์ HP PSC 1315</t>
  </si>
  <si>
    <t>7430-008-002/492-006</t>
  </si>
  <si>
    <t>ฮาร์ดดิส80</t>
  </si>
  <si>
    <t>7440-010-003/492-001</t>
  </si>
  <si>
    <t>เครื่องไรท์ ซีดี</t>
  </si>
  <si>
    <t>7440-010-002/492-007</t>
  </si>
  <si>
    <t>ซาวด์การ์ด</t>
  </si>
  <si>
    <t>7440-0010-0001/492/001</t>
  </si>
  <si>
    <t>งปม</t>
  </si>
  <si>
    <t>ผ้าม่าน ขนาด 0.9*45 เมตร</t>
  </si>
  <si>
    <t>8350-001-001/491-001</t>
  </si>
  <si>
    <t>ผ้าม่าน ขนาด 0.7*1.8 เมตร</t>
  </si>
  <si>
    <t>ผ้าม่าน ขนาด 0.9*1.85 เมตร</t>
  </si>
  <si>
    <t>ผ้าม่าน ขนาด 0.8*2 เมตร</t>
  </si>
  <si>
    <t>8350-001-001/491-001-006</t>
  </si>
  <si>
    <t>หูฟังพร้อมไมค์</t>
  </si>
  <si>
    <t>5965-003-0001/491-001-006</t>
  </si>
  <si>
    <t>ลำโพง</t>
  </si>
  <si>
    <t>7440-010-004/492-001</t>
  </si>
  <si>
    <t>เก้าอี้ ขาเหล็ก 5 แฉก</t>
  </si>
  <si>
    <t>7110-006-0006/531-010</t>
  </si>
  <si>
    <t>ผ้าม่าน ขนาด 1*1.35 เมตร</t>
  </si>
  <si>
    <t>ขาตั้งกล้อง</t>
  </si>
  <si>
    <t>6760-0802-6003/602-001</t>
  </si>
  <si>
    <t xml:space="preserve"> 31 ก.ค.60</t>
  </si>
  <si>
    <t>แฟลต speedlite yn 568ex2</t>
  </si>
  <si>
    <t>6760-0802-6002/602-001</t>
  </si>
  <si>
    <t>เครื่องเปิดไม่ติด/ไม่พบโต๊ะเก้าอี้</t>
  </si>
  <si>
    <t>7440-001-0001//531-148</t>
  </si>
  <si>
    <t>เครื่องปริ้นเตอร์ CANNON LBp3050</t>
  </si>
  <si>
    <t>7430-008-0002/531-022</t>
  </si>
  <si>
    <t>เก้าอี้สำหรับห้องประชุม</t>
  </si>
  <si>
    <t>7110-006-0003/391-001-400</t>
  </si>
  <si>
    <t>เก้าอี้ฟังคำบรรยาย</t>
  </si>
  <si>
    <t>7110-006-0004/392-001-075</t>
  </si>
  <si>
    <t>7110-006-0004/391-001-200</t>
  </si>
  <si>
    <t>7110-006-0004/401-201-400</t>
  </si>
  <si>
    <t>โต๊ะทำงานระดับ 7-9</t>
  </si>
  <si>
    <t>7110-007-0005/391-001</t>
  </si>
  <si>
    <t>โต๊ะทำงานระดับ 3-6</t>
  </si>
  <si>
    <t>7110-007-0003/391-001-015</t>
  </si>
  <si>
    <t>เครื่องทำน้ำเย็นสแตนดาร์ด</t>
  </si>
  <si>
    <t>4110-002-0002/391-001-002</t>
  </si>
  <si>
    <t>7110-007-0005/403-001-002</t>
  </si>
  <si>
    <t>7110-007-0003/403-001</t>
  </si>
  <si>
    <t>เก้าอี้สำนักงานล้อเลื่อนหลังโยก</t>
  </si>
  <si>
    <t>7110-006-0001/403-002</t>
  </si>
  <si>
    <t>7110-006-0001/403-001</t>
  </si>
  <si>
    <t>โต๊ะหมู่บูชา (หมู่ 9 หน้า 8)</t>
  </si>
  <si>
    <t>9925-009-0001/412-001</t>
  </si>
  <si>
    <t>7110-0006-0004/434-001-080</t>
  </si>
  <si>
    <t>7110-006-0004/432-076-120</t>
  </si>
  <si>
    <t>ปกศ.</t>
  </si>
  <si>
    <t>โต๊ะทำงานระดับ 1 - 2 พร้อมเก้าอี้</t>
  </si>
  <si>
    <t>7110-001-0001/434-001-015</t>
  </si>
  <si>
    <t>7110-001-0001/432-001-015</t>
  </si>
  <si>
    <t>โต๊ะอเนกประสงค์</t>
  </si>
  <si>
    <t>7110-007-0019/424-001-020</t>
  </si>
  <si>
    <t>โต๊ะรับประทานอาหาร</t>
  </si>
  <si>
    <t>7110-007-0018/424-001-036</t>
  </si>
  <si>
    <t>เก้าอี้รับประทานอาหาร</t>
  </si>
  <si>
    <t>7110-006-0005/424-001-072</t>
  </si>
  <si>
    <t>โต๊ะหมู่บูชา (หมู่ 5)</t>
  </si>
  <si>
    <t>9925-009-0001/422-002</t>
  </si>
  <si>
    <t>7110-006-0001/432-001</t>
  </si>
  <si>
    <t>เอกสารหมายเลข 13</t>
  </si>
  <si>
    <t>เอกสารหมายเลข 14</t>
  </si>
  <si>
    <t>เอกสารหมายเลข 15</t>
  </si>
  <si>
    <t>เอกสารหมายเลข 16</t>
  </si>
  <si>
    <t>เอกสารหมายเลข 17</t>
  </si>
  <si>
    <t>เอกสารหมายเลข 18</t>
  </si>
  <si>
    <t>เอกสารหมายเลข 19</t>
  </si>
  <si>
    <t>เอกสารหมายเลข 20</t>
  </si>
  <si>
    <t>พัดลมอุตสาหกรรม 20 "</t>
  </si>
  <si>
    <t>4140-001-0001/432-001(3)</t>
  </si>
  <si>
    <t>4110-002-0002/433-001-004</t>
  </si>
  <si>
    <t>เครื่องเจียมือถือ 4" มากีต้า</t>
  </si>
  <si>
    <t>5130-007-0001/442-001</t>
  </si>
  <si>
    <t>2544</t>
  </si>
  <si>
    <t>4140-001-0001/442-006</t>
  </si>
  <si>
    <t>7110-006-0004/444-081-160</t>
  </si>
  <si>
    <t>7110-007-0003/462-001-002</t>
  </si>
  <si>
    <t>7110-006-0004/462-121-200</t>
  </si>
  <si>
    <t>โต๊ะทำงานระดับระดับ 1 - 2 พร้อมเก้าอี้</t>
  </si>
  <si>
    <t>7110-001-0001/462-016-019</t>
  </si>
  <si>
    <t>4140-001-0001/463-003-018</t>
  </si>
  <si>
    <t>4140-001-0001/463-001-002</t>
  </si>
  <si>
    <t>7110-001-0001/472-027-035</t>
  </si>
  <si>
    <t>7110-001-0001/472-036-038</t>
  </si>
  <si>
    <t>เลื่อยวงเดือน 9 นิ้ว</t>
  </si>
  <si>
    <t>5210-002-0001/482-001</t>
  </si>
  <si>
    <t>เก้าอี้ขาคู่หน้าไม้ยาง</t>
  </si>
  <si>
    <t>7110-006-0006/481-001-280</t>
  </si>
  <si>
    <t>7110-001-0001/481-001-005</t>
  </si>
  <si>
    <t>7110-0006-0004/494-161-580</t>
  </si>
  <si>
    <t>7110-001-0001/492-048-068</t>
  </si>
  <si>
    <t>ปั้มหอยโข่ง</t>
  </si>
  <si>
    <t>4330-001-0002/502-003</t>
  </si>
  <si>
    <t>7110-006-0004/504-581-700</t>
  </si>
  <si>
    <t>โต๊ะเครื่องคอมพิวเตอร์</t>
  </si>
  <si>
    <t>7110-007-0001/502-009</t>
  </si>
  <si>
    <t>พัดลมไอน้ำ</t>
  </si>
  <si>
    <t>4140-001-0002/514-001-008</t>
  </si>
  <si>
    <t>ผ้าม่านพร้อมอุปกรณ์</t>
  </si>
  <si>
    <t>8350-001-0001/521-007-013</t>
  </si>
  <si>
    <t>เก้าอี้สำนักงาน  S - 35 หนัง</t>
  </si>
  <si>
    <t>7110-006-0007/512-005</t>
  </si>
  <si>
    <t>HP Laserjet P1005</t>
  </si>
  <si>
    <t>7430-008-0002/531-017</t>
  </si>
  <si>
    <t>ผ้าม่านพร้อมติดตั้ง ขนาด 260*220 ซ.ม.</t>
  </si>
  <si>
    <t>8350-001-0001/531-024-025</t>
  </si>
  <si>
    <t>ผ้าม่านพร้อมติดตั้ง ขนาด 360*220 ซ.ม.</t>
  </si>
  <si>
    <t>8350-001-0001/531-022-023</t>
  </si>
  <si>
    <t>ผ้าม่านพร้อมติดตั้ง ขนาด 96*105 ซ.ม.</t>
  </si>
  <si>
    <t>8350-001-0001/531-020-021</t>
  </si>
  <si>
    <t>ผ้าม่านพร้อมติดตั้ง ขนาด 260*230 ซ.ม.</t>
  </si>
  <si>
    <t>8350-001-0001/531-018-019</t>
  </si>
  <si>
    <t>ผ้าม่านพร้อมติดตั้ง ขนาด 356*230 ซ.ม.</t>
  </si>
  <si>
    <t>8350-001-0001/531-016-017</t>
  </si>
  <si>
    <t>ผ้าม่านพร้อมติดตั้ง ขนาด 376*200 ซ.ม.</t>
  </si>
  <si>
    <t>8350-001-0001/531-014-015</t>
  </si>
  <si>
    <t>ผ้าม่านพร้อมติดตั้ง ขนาด 100*95 ซ.ม.</t>
  </si>
  <si>
    <t>8350-001-0001/531-026-027</t>
  </si>
  <si>
    <t>เครื่องกรองน้ำ</t>
  </si>
  <si>
    <t>4610-007-0001/551-001-002</t>
  </si>
  <si>
    <t>2555</t>
  </si>
  <si>
    <t>สว่านโรตารี่ GBH - 2 BOSCH</t>
  </si>
  <si>
    <t>5130-009-0001/442-001</t>
  </si>
  <si>
    <t>เครื่องตัดสติกเกอร์ ROLAND</t>
  </si>
  <si>
    <t>7490-015-0001/432-001</t>
  </si>
  <si>
    <t>3750-002-0001/432-004</t>
  </si>
  <si>
    <t>รถตัดหญ้า 4 ล้อ</t>
  </si>
  <si>
    <t>3750-002-0001/432-003</t>
  </si>
  <si>
    <t>ชุดรับแขก</t>
  </si>
  <si>
    <t>3570-002-0001/432-001</t>
  </si>
  <si>
    <t>เครื่องทำน้ำเย็น</t>
  </si>
  <si>
    <t>4110-002-0002/422-001</t>
  </si>
  <si>
    <t>รถตัดหญ้า 5.5</t>
  </si>
  <si>
    <t>3750-002-0001/412-001</t>
  </si>
  <si>
    <t>เครื่องปรับอากาศ</t>
  </si>
  <si>
    <t>4210-001-0001/403-001-005</t>
  </si>
  <si>
    <t>โต๊ะประชุม ขนาด 12 คน</t>
  </si>
  <si>
    <t>7110-007-0010/401-002</t>
  </si>
  <si>
    <t>7110-007-0010/391-001</t>
  </si>
  <si>
    <t>4210-001-0001/473-006</t>
  </si>
  <si>
    <t>4210-001-0001/472-003-004</t>
  </si>
  <si>
    <t>4210-001-0001/472-001-002</t>
  </si>
  <si>
    <t>4210-001-0001/472-001</t>
  </si>
  <si>
    <t>7110-001-0001/472-039-042</t>
  </si>
  <si>
    <t>สว่านไฟฟ้ากระแทก</t>
  </si>
  <si>
    <t>5130-009-0001/462-002</t>
  </si>
  <si>
    <t>เครื่องทำน้ำเย็น 4 หัว</t>
  </si>
  <si>
    <t>4110-002-0002/462-002</t>
  </si>
  <si>
    <t>7110-007-0005/462-001</t>
  </si>
  <si>
    <t>ปั้มน้ำมิตซู  ขนาด 2" 2 PH</t>
  </si>
  <si>
    <t>4330-001-0002/452-002</t>
  </si>
  <si>
    <t>จิกซอร์ 4300 มากีต้า</t>
  </si>
  <si>
    <t>3220-003-0001/452-001</t>
  </si>
  <si>
    <t>กล้องถ่ายภาพนิ่ง</t>
  </si>
  <si>
    <t>6720-005-0002/531-005</t>
  </si>
  <si>
    <t>พัดลมไอน้ำขนาด 26"  พร้อมอุปกรณ์</t>
  </si>
  <si>
    <t>4140-001-0003/532-001-009</t>
  </si>
  <si>
    <t>เครื่องขัดพื้น CLEAN WORLD 18 นิ้ว TIP</t>
  </si>
  <si>
    <t>3450-002-0001/521-001</t>
  </si>
  <si>
    <t>โต๊ะเหล็ก 5 ฟุต TC - 3060  BESTER</t>
  </si>
  <si>
    <t>7110-001-0003/512-006</t>
  </si>
  <si>
    <t>7440-001-0001/502-055</t>
  </si>
  <si>
    <t>4210-001-0001/494-001-002</t>
  </si>
  <si>
    <t>โต๊ะหมู่บูชา ขนาด 9 * 9</t>
  </si>
  <si>
    <t>9925-009-0002/492-003</t>
  </si>
  <si>
    <t>เครื่องทำน้ำเย็น  6  หัว</t>
  </si>
  <si>
    <t>4110-002-0002/492-005-006</t>
  </si>
  <si>
    <t>เครื่องทำน้ำเย็น 5 หัว</t>
  </si>
  <si>
    <t>4110-002-0002/492-003-004</t>
  </si>
  <si>
    <t>เครื่องซักผ้า</t>
  </si>
  <si>
    <t>3510-003-0001/484-001</t>
  </si>
  <si>
    <t xml:space="preserve">ปั๊มน้ำ MITSUBISHI 380V 2 นิ้ว 3แรง </t>
  </si>
  <si>
    <t>ตู้น้ำดื่ม 6 ก๊อก ขนาด 3/8</t>
  </si>
  <si>
    <t>4110-003-0001/551-001-002</t>
  </si>
  <si>
    <t>ชุดโต๊ะประชุม 8 ที่นั่ง พร้อมเก้าอี้</t>
  </si>
  <si>
    <t>7110-007-0014/551-017-024</t>
  </si>
  <si>
    <t>ชุดโต๊ะประชุม 16 ที่นั่ง พร้อมเก้าอี้</t>
  </si>
  <si>
    <t>7110-007-0013/551-001-016</t>
  </si>
  <si>
    <t>เครื่องปรับอากาศมิสซูบิซิ 32,000 บีทียู</t>
  </si>
  <si>
    <t>4120-001-0003/551-008-009</t>
  </si>
  <si>
    <t>ตู้เหล็ก 4 ลิ้นชัก</t>
  </si>
  <si>
    <t>7125-002-0002/462-001</t>
  </si>
  <si>
    <t>ตู้เหล็ก 2  บานเลื่อน</t>
  </si>
  <si>
    <t>7110-002-0006/401-001</t>
  </si>
  <si>
    <t>7125-002-0002/401-012-013</t>
  </si>
  <si>
    <t>ตู้เหล็ก 15 ลิ้นชัก STAR</t>
  </si>
  <si>
    <t>7110-002-0002/512-007-010</t>
  </si>
  <si>
    <t>โต๊ะวางเครื่องคอม + เก้าอี้</t>
  </si>
  <si>
    <t>7110-007-0001/502-006</t>
  </si>
  <si>
    <t>7110-006-0006/531-012</t>
  </si>
  <si>
    <t>ตู้เหล็ก  2 บานเปิด</t>
  </si>
  <si>
    <t>7110-002-0005/521-019-021</t>
  </si>
  <si>
    <t>เครื่องอ่านบาร์โค๊ต TYSSO BMR-R-33 UM</t>
  </si>
  <si>
    <t>7490-015-0004/512-001-002</t>
  </si>
  <si>
    <t>เครื่องพิมพ์มัลติฟังชั่น HP LASER M 1120 MFP</t>
  </si>
  <si>
    <t>7430-008-0006/512-017</t>
  </si>
  <si>
    <t>7440-001-0001/502-052</t>
  </si>
  <si>
    <t>เครื่องปริ้นเตอร์  HP 1020</t>
  </si>
  <si>
    <t>7740-004-0002/492-012</t>
  </si>
  <si>
    <t>7440-001-0001/472-030</t>
  </si>
  <si>
    <t xml:space="preserve">server Hpj proliant ml 10 Geng  </t>
  </si>
  <si>
    <t xml:space="preserve"> 21 พ.ค.60</t>
  </si>
  <si>
    <t>เครื่องพิมพ์บัตรพลาสติกพร้อมอุปกรณ์ EVOLIS PEBBLE 4</t>
  </si>
  <si>
    <t>7490-015-0003/512-001</t>
  </si>
  <si>
    <t>7440-001-6001/602-001</t>
  </si>
  <si>
    <t>เก้าอี้ (ขาเหล็ก) 5 แฉก</t>
  </si>
  <si>
    <t>7440-009-0001/492-001</t>
  </si>
  <si>
    <t>6130-001-0001/531-002</t>
  </si>
  <si>
    <t>เครื่องคอมพิวเตอร์ ASUS</t>
  </si>
  <si>
    <t>7440-001-0001/502-048</t>
  </si>
  <si>
    <t>7440-001-0001/492-048</t>
  </si>
  <si>
    <t>เครื่องปริ้นเตอร์ HP 1022</t>
  </si>
  <si>
    <t>7430-008-0002/492-011</t>
  </si>
  <si>
    <t>6720-005-0002/472-005</t>
  </si>
  <si>
    <t>เครื่องคอมพิวเตอร์พร้อมโต๊ะเก้าอี๊</t>
  </si>
  <si>
    <t>7440-001-0001/531-139</t>
  </si>
  <si>
    <t>เครื่องคอมพิวเตอร์พกพา ACER A15</t>
  </si>
  <si>
    <t>7440-001-0002/521-002</t>
  </si>
  <si>
    <t>เครื่องปริ้นเตอร์ HP COLOR LASER JET 1600</t>
  </si>
  <si>
    <t>7430-008-0005/513-005</t>
  </si>
  <si>
    <t>โต๊ะเหล็ก 5 ฟุต TC-3060 BESTER</t>
  </si>
  <si>
    <t>7110-001-003/512-002</t>
  </si>
  <si>
    <t>เครื่องคอมพิวเตอร์ DMA</t>
  </si>
  <si>
    <t>7440-001-0001/551-168-172</t>
  </si>
  <si>
    <t>6130-001-0001/531-011</t>
  </si>
  <si>
    <t>7110-006-0006/531-017</t>
  </si>
  <si>
    <t>เครื่องกรองน้ำขนาด  8  นิ้ว</t>
  </si>
  <si>
    <t>4610-007-0002/551-003</t>
  </si>
  <si>
    <t>ตู้หยอดเหรียญน้ำดื่ม</t>
  </si>
  <si>
    <t>4110-003-0002/551-003</t>
  </si>
  <si>
    <t>เครื่องล้างขวดบรรจุน้ำ</t>
  </si>
  <si>
    <t>4610-009-0001/531-001</t>
  </si>
  <si>
    <t>HP Laserjer MPP 1522n</t>
  </si>
  <si>
    <t>7430-008-0006/531-014</t>
  </si>
  <si>
    <t>กล้องดิจิตอล  SONY  รุ่น DSC-S950</t>
  </si>
  <si>
    <t>6720-005-0005/521-001</t>
  </si>
  <si>
    <t xml:space="preserve">พัดลมตั้งพื้น 16 นิ้ว MD </t>
  </si>
  <si>
    <t>4140-001-0001/493-039</t>
  </si>
  <si>
    <t>เครื่องแปลงสัญญาณอินเตอร์ แบบไร้สาย</t>
  </si>
  <si>
    <t>7440-010-0015/531-001-005</t>
  </si>
  <si>
    <t>7440-010-0014/531-001-005</t>
  </si>
  <si>
    <t>ไม่จัดเก็บสำรองไฟฟ้า</t>
  </si>
  <si>
    <t>6130-001-0001/531-010</t>
  </si>
  <si>
    <t>ขาเหล็กหัก</t>
  </si>
  <si>
    <t>เก้าอี้ (ขาเหล็ก)  5 แฉก</t>
  </si>
  <si>
    <t>7110-006-0006/531-016</t>
  </si>
  <si>
    <t>ปริ้นไม่ได้</t>
  </si>
  <si>
    <t>เครื่องพิมพ์ HP Laserjet P1102</t>
  </si>
  <si>
    <t>7430-008-0006/576-001-003</t>
  </si>
  <si>
    <t>เครื่องไมโครคอมพิวเตอร์ Acer tc-605 18.5 led</t>
  </si>
  <si>
    <t>7440-001-0001/586-001(2)</t>
  </si>
  <si>
    <t xml:space="preserve"> 20 ต.ค.57</t>
  </si>
  <si>
    <t>7440-001-0001/576-001-004</t>
  </si>
  <si>
    <t>อุปกรณ์บริหารจัดการเครือข่าย  และอินเตอร์เน็ต</t>
  </si>
  <si>
    <t>7440-010-0012/531-001</t>
  </si>
  <si>
    <t>Media Converter Single mode</t>
  </si>
  <si>
    <t>6340-010-0001/531-001-006</t>
  </si>
  <si>
    <t>คอมพิวเตอร์โน๊ตบุ๊ค</t>
  </si>
  <si>
    <t>7440-001-0003/586-001(3)</t>
  </si>
  <si>
    <t xml:space="preserve"> 11 พ.ค.58</t>
  </si>
  <si>
    <t xml:space="preserve">ตู้เหล็ก 2  บานเลื่อน   </t>
  </si>
  <si>
    <t>7110-002-0005/521-022-023</t>
  </si>
  <si>
    <t>โต๊ะทำงานระดับ 1-2+เก้าอี้</t>
  </si>
  <si>
    <t>7110-006-0006/531-011</t>
  </si>
  <si>
    <t>โต๊ะวางเครื่องคอม+เก้าอี้</t>
  </si>
  <si>
    <t>7110-007-0001/531-001</t>
  </si>
  <si>
    <t>7110-007-0003/531-018</t>
  </si>
  <si>
    <t>7110-002-0006/531-026-027</t>
  </si>
  <si>
    <t>7440-001-0001/531-140</t>
  </si>
  <si>
    <t>เครื่องพิมพ์พร้อมระบบอิ้งแท็งค์</t>
  </si>
  <si>
    <t>7110-002-0005/531-030</t>
  </si>
  <si>
    <t>เครื่องคอมพิวเตอร์จอแบน</t>
  </si>
  <si>
    <t>7110-002-0007/521-001</t>
  </si>
  <si>
    <t>ความร่วมมือ</t>
  </si>
  <si>
    <t>ศูนย์ข้อมูล</t>
  </si>
  <si>
    <t>การค้า</t>
  </si>
  <si>
    <t>วางแผน</t>
  </si>
  <si>
    <t>ทะเบียน</t>
  </si>
  <si>
    <t>อาคาร</t>
  </si>
  <si>
    <t>บัญชี</t>
  </si>
  <si>
    <t>บุคลากร</t>
  </si>
  <si>
    <t>ประชาสัมพันธ์</t>
  </si>
  <si>
    <t>พัสดุ</t>
  </si>
  <si>
    <t>การเงิน</t>
  </si>
  <si>
    <t>บริหารงานทั่วไป</t>
  </si>
  <si>
    <t>ประกัน</t>
  </si>
  <si>
    <t>ไม่เก็บไฟฟ้า เปิด-ปิดไม่ได้</t>
  </si>
  <si>
    <t>6130-001-0001/531-001</t>
  </si>
  <si>
    <t>ไม่ดึงกระดาษ เปิด-ปิดไม่ได้</t>
  </si>
  <si>
    <t>7430-008-0002/531-016</t>
  </si>
  <si>
    <t>เปิด-ปิดไม่ได้</t>
  </si>
  <si>
    <t>เครื่องคอมพิวเตอร์ชุด DMA</t>
  </si>
  <si>
    <t>7440-001-0001/551-173</t>
  </si>
  <si>
    <t>วิจัย</t>
  </si>
  <si>
    <t>7430-008-0002/531-015</t>
  </si>
  <si>
    <t>6130-001-0001/531-009</t>
  </si>
  <si>
    <t>จอเป็นรอยแตกร้าว จอทัสกรีนตกลาย</t>
  </si>
  <si>
    <t>เครื่องคอมพิวเตอร์ ALL IN ONE</t>
  </si>
  <si>
    <t>7440-001-0001/582-001</t>
  </si>
  <si>
    <t>6720-005-0002/531-004</t>
  </si>
  <si>
    <r>
      <rPr>
        <sz val="16"/>
        <color theme="0"/>
        <rFont val="TH SarabunPSK"/>
        <family val="2"/>
      </rPr>
      <t>1</t>
    </r>
    <r>
      <rPr>
        <sz val="16"/>
        <rFont val="TH SarabunPSK"/>
        <family val="2"/>
      </rPr>
      <t>-</t>
    </r>
    <r>
      <rPr>
        <sz val="16"/>
        <color theme="0"/>
        <rFont val="TH SarabunPSK"/>
        <family val="2"/>
      </rPr>
      <t>ล</t>
    </r>
  </si>
  <si>
    <t>7440-001-0001/531-151</t>
  </si>
  <si>
    <t>ชำรุด ใช้งานไม่ได้</t>
  </si>
  <si>
    <t>Printer HP Laserjet M1522n MFP</t>
  </si>
  <si>
    <t>7430-008-0006/531-027</t>
  </si>
  <si>
    <t>วัดผล</t>
  </si>
  <si>
    <t>7440-001-0001/502-051</t>
  </si>
  <si>
    <t>หลักสูตร</t>
  </si>
  <si>
    <t>ตู้เหล็ก 2 บานเลื่อน PRERIDDENT</t>
  </si>
  <si>
    <t>7110-002-0006/401-002-003</t>
  </si>
  <si>
    <t>พัดลมตั้งโต๊ะ 16" ฮาตาริ</t>
  </si>
  <si>
    <t>4140-001-0001/391-003</t>
  </si>
  <si>
    <t>พัดลมตั้งพื้น 16" โตซิบ้า</t>
  </si>
  <si>
    <t>4140-001-0001/442-007-008</t>
  </si>
  <si>
    <t>ตู้เหล็ก 2 บานเลื่อนไทโย</t>
  </si>
  <si>
    <t>7110-002-0006/472-059-060</t>
  </si>
  <si>
    <t>ตู้เหล็ก 2 บานเปิด</t>
  </si>
  <si>
    <t>7110-002-0005/492-010</t>
  </si>
  <si>
    <t>ตู้บานเลื่อนทึบ 4 ฟุต</t>
  </si>
  <si>
    <t>7110-002-0007/492-007</t>
  </si>
  <si>
    <t>7440-001-0001/531-149</t>
  </si>
  <si>
    <t>7110-001-0003/512-003</t>
  </si>
  <si>
    <t>6720-005-0002/472-004</t>
  </si>
  <si>
    <t>7440-001-0001/462-005</t>
  </si>
  <si>
    <t>ทวิภาคี</t>
  </si>
  <si>
    <t>7440-001-0001/531-144</t>
  </si>
  <si>
    <t>เครื่องรับอากาศ ซัมซุง 13,000 บีทียู</t>
  </si>
  <si>
    <t>4210-001-0001/531-006</t>
  </si>
  <si>
    <t>7440-001-0001/462-001</t>
  </si>
  <si>
    <t>เอกสารหมายเลข 21</t>
  </si>
  <si>
    <t>เอกสารหมายเลข 22</t>
  </si>
  <si>
    <t>เอกสารหมายเลข 23</t>
  </si>
  <si>
    <t>งานสื่อ</t>
  </si>
  <si>
    <t>จอรับภาพ 175 * 175</t>
  </si>
  <si>
    <t>6730-002-0001/391-002</t>
  </si>
  <si>
    <t>6730-002-0001/442-001-004</t>
  </si>
  <si>
    <t>ตู้บานเลื่อนกระจก ขนาด 4 ฟุต</t>
  </si>
  <si>
    <t>7110-002-0006/442-001</t>
  </si>
  <si>
    <t>วีดีโอ ซีวีดี ซีดี</t>
  </si>
  <si>
    <t>5820-015-0002/452-002</t>
  </si>
  <si>
    <t>เทปใบ้แบบคู่</t>
  </si>
  <si>
    <t>7730-006-0001/452-001-002</t>
  </si>
  <si>
    <t>เก้าอี้(ขาเหล็ก)  5  แฉก</t>
  </si>
  <si>
    <t>7110-006-0006/531-014</t>
  </si>
  <si>
    <t>โต๊ะเหล็ก  4  ฟุต</t>
  </si>
  <si>
    <t>7110-007-0004/531-011</t>
  </si>
  <si>
    <t>ตู้เหล็ก  2  บานเปิด</t>
  </si>
  <si>
    <t>7110-006-0006/531-028</t>
  </si>
  <si>
    <t>เก้าอี้บุนวม</t>
  </si>
  <si>
    <t>711-006-0008/551-001-027</t>
  </si>
  <si>
    <t>เก้าอี้ประชุมแบบโยกได้</t>
  </si>
  <si>
    <t>7110-006-0007/551-001-005</t>
  </si>
  <si>
    <t>โต๊ะประชุมขนาด 400*250</t>
  </si>
  <si>
    <t>7110-007-0016/551-001-005</t>
  </si>
  <si>
    <t>เก้าอี้ประชุม</t>
  </si>
  <si>
    <t>7110-006-0006/551-022-023</t>
  </si>
  <si>
    <t>7110-006-0008/551-001-007</t>
  </si>
  <si>
    <t>เลนส์กล้องถ่ายภาพนิ่ง</t>
  </si>
  <si>
    <t>6760-004-0002/566-001</t>
  </si>
  <si>
    <t>เครื่องวีดีโอแบบเล่นและบันทึกเทป</t>
  </si>
  <si>
    <t>5820-015-0003/391-001</t>
  </si>
  <si>
    <t>เครื่องฉายภาพทึบแสง</t>
  </si>
  <si>
    <t>6730-001-0002/391-001</t>
  </si>
  <si>
    <t>ศูนย์การเรียนรู้ด้วยตัวเอง</t>
  </si>
  <si>
    <t>7440-010-0001/481-001</t>
  </si>
  <si>
    <t>COMPUTER NOTEBOOK เจ จี</t>
  </si>
  <si>
    <t>7440-001-0002/461-001</t>
  </si>
  <si>
    <t>เครื่องมัลติมีเดียโปรเจคเตอร์</t>
  </si>
  <si>
    <t>6730-001-0003/461-001</t>
  </si>
  <si>
    <t>วีดีโอ 2 หัวเทป/จูนเนอร์</t>
  </si>
  <si>
    <t>5820-015-0001/452-003</t>
  </si>
  <si>
    <t>กล้องสีครบชุด</t>
  </si>
  <si>
    <t>6720-008-0001/442-001</t>
  </si>
  <si>
    <t>โทรทัศน์สี 29 "</t>
  </si>
  <si>
    <t>5825-020-0001/444-001</t>
  </si>
  <si>
    <t>เครื่องฉายภาพข้ามศรีษะ</t>
  </si>
  <si>
    <t>6730-001-0001/442-004-007</t>
  </si>
  <si>
    <t>6730-001-0001/412-001-003</t>
  </si>
  <si>
    <t>กล้องบันทึกภาพ วีดีโอ</t>
  </si>
  <si>
    <t>6710-004-0001/412-001</t>
  </si>
  <si>
    <t>โทรทัศน์สี 20 "</t>
  </si>
  <si>
    <t>5825-020-0001/391-001</t>
  </si>
  <si>
    <t>เครื่องคอมพิวเตอร์แม่ข่าย</t>
  </si>
  <si>
    <t>7440-001-0001/541-167</t>
  </si>
  <si>
    <t>7440-001-0001/541-157-166</t>
  </si>
  <si>
    <t>7440-001-0001/531-153</t>
  </si>
  <si>
    <t>โปรเจคเตอร์</t>
  </si>
  <si>
    <t>7440-001-0001/531-103-122</t>
  </si>
  <si>
    <t>ชุดคอมพิวเตอร์ พร้อมโต๊ะเก้าอี้</t>
  </si>
  <si>
    <t>7440-001-0001/531-072-100</t>
  </si>
  <si>
    <t>ชุดครุภัณฑ์ปฎิบัติการวิชาชีพพื้นฐานและวิชาชีพพื้นฐาน</t>
  </si>
  <si>
    <t>6930-013-0001/521-001</t>
  </si>
  <si>
    <t>กล้องดิจิตอล  CANON</t>
  </si>
  <si>
    <t>6720-005-0002/492-007</t>
  </si>
  <si>
    <t>7440-001-0001/484-001-006</t>
  </si>
  <si>
    <t>เครื่องปรับอากาศชนิดแขวน 38000 บีทียู</t>
  </si>
  <si>
    <t>4210-001-0001/484-001</t>
  </si>
  <si>
    <t>แฟลชกล้องถ่ายภาพนิ่ง 566-001</t>
  </si>
  <si>
    <t>6760-008-0001/566-001</t>
  </si>
  <si>
    <t>เลนส์กล้องถ่ายภาพนิ่งระยะไกล</t>
  </si>
  <si>
    <t>6760-004-0001/566-001</t>
  </si>
  <si>
    <t>6720-005-002/566-001</t>
  </si>
  <si>
    <t>กล้องถ่ายภาพนิ่งความละเอียดสูง</t>
  </si>
  <si>
    <t>6720-005-0003/566-001-002</t>
  </si>
  <si>
    <t>TV LG Phasma 50 นิ้ว PA4500</t>
  </si>
  <si>
    <t>7730-005-0001/566-009-012</t>
  </si>
  <si>
    <t xml:space="preserve">เครื่องคอมพิวเตอร์ </t>
  </si>
  <si>
    <t>7440-001-0001/551-173-179</t>
  </si>
  <si>
    <t>โปรแจคเตอร์</t>
  </si>
  <si>
    <t>6730-001-0001/551-004</t>
  </si>
  <si>
    <t>6310-003-0001/551-001</t>
  </si>
  <si>
    <t>ห้องสมุด</t>
  </si>
  <si>
    <t>โต๊ะญี่ปุ่น</t>
  </si>
  <si>
    <t>7105-006-0001/493-001</t>
  </si>
  <si>
    <t>7105-006-0001/482-001-003</t>
  </si>
  <si>
    <t>ตู้เก็บแผ่น VCD แบบไม้</t>
  </si>
  <si>
    <t>7125-001-0005/502-001-005</t>
  </si>
  <si>
    <t>7051-006-0002/502-004-007</t>
  </si>
  <si>
    <t>ตู้เก็บหนังสือ ขนาด 35*70 ซม.</t>
  </si>
  <si>
    <t>7125-001-0004/493-001</t>
  </si>
  <si>
    <t>แท่นอ่านหนังสือพิมพ์</t>
  </si>
  <si>
    <t>7195-006-0001/391-001-391-002</t>
  </si>
  <si>
    <t>ตู้ดรรชนี 12 ลิ้นชัก</t>
  </si>
  <si>
    <t>7110-002-0001/391-001</t>
  </si>
  <si>
    <t>โต๊ะอ่านหนังสือ ขนาด 4 ที่นั่งพร้อมเก้าอี้ไม้</t>
  </si>
  <si>
    <t>7110-007-0006/391-001-391-008</t>
  </si>
  <si>
    <t>7440-001-0001/531-152</t>
  </si>
  <si>
    <t>เครื่องปริ้นเตอร์  CANON LBP 3050</t>
  </si>
  <si>
    <t>7430-008-0002/531-025</t>
  </si>
  <si>
    <t>ชุดเครื่องคอมพิวเตอร์ตั้งโต๊ะ (โต๊ะ+ เก้าอี้)</t>
  </si>
  <si>
    <t>7440-001-0004/521-059-070</t>
  </si>
  <si>
    <t>เครื่องปริ้นเลเซอร์แคนนอน 1210</t>
  </si>
  <si>
    <t>7430-008-0001/472-003</t>
  </si>
  <si>
    <t>7440-001-0001/462-008</t>
  </si>
  <si>
    <t>ประตูควบคุมทางเข้าออกแบบ 2 ทาง</t>
  </si>
  <si>
    <t>7490-015-0002/462-001</t>
  </si>
  <si>
    <t>เครื่องตัดกระดาษหรือขอบหนังสือ</t>
  </si>
  <si>
    <t>7490-002-0001/391-001</t>
  </si>
  <si>
    <t>ตู้เก็บบัตรรายการ  15  ลิ้นชัก</t>
  </si>
  <si>
    <t>7110-002-0003/391-001</t>
  </si>
  <si>
    <t>กิจกรรม</t>
  </si>
  <si>
    <t>ขดลวดไหม้</t>
  </si>
  <si>
    <t>พัดลมตั้งพื้น 16"สีเทา โตซิบา</t>
  </si>
  <si>
    <t>4140-001-0001/442-009</t>
  </si>
  <si>
    <t>ขาหัก/พื้นไม้ผุบวม</t>
  </si>
  <si>
    <t>โต๊ะปิงปอง 20 มม.</t>
  </si>
  <si>
    <t>7810-012-0001/442-001</t>
  </si>
  <si>
    <t>ใบแตก/คอหัก</t>
  </si>
  <si>
    <t xml:space="preserve">พัดลมตั้งพื้น 16" TORY </t>
  </si>
  <si>
    <t>4140-001-0001/493-036</t>
  </si>
  <si>
    <t>ผุบวม/พื้นไหม้</t>
  </si>
  <si>
    <t xml:space="preserve">โต๊ะรีดผ้า  </t>
  </si>
  <si>
    <t>7105-006-0001/531-001-002</t>
  </si>
  <si>
    <t>โค้งงอเสียรูปทรง</t>
  </si>
  <si>
    <t>ราวตากผ้าแสตนเลส  ขนาด 150*60*180</t>
  </si>
  <si>
    <t>7110-015-0001/531-001-002</t>
  </si>
  <si>
    <t>ไม้บวม/ฉีกหัก</t>
  </si>
  <si>
    <t>ชั้นเอนกประสงค์</t>
  </si>
  <si>
    <t>7125-004-0001/531-001-002</t>
  </si>
  <si>
    <t>หลอดภาพเสีย</t>
  </si>
  <si>
    <t>ทีวี 21" LG</t>
  </si>
  <si>
    <t>7730-005-0002/541-002</t>
  </si>
  <si>
    <t>ไม้บวมผุ</t>
  </si>
  <si>
    <t>โต๊ะคอมพิวเตอร์</t>
  </si>
  <si>
    <t>7110-007-0008/541-031</t>
  </si>
  <si>
    <t>เตารีด  พานาโซนิค</t>
  </si>
  <si>
    <t>7210-015-0002/531-001-002</t>
  </si>
  <si>
    <t xml:space="preserve">กล้องถ่ายภาพนิ่ง  </t>
  </si>
  <si>
    <t>6720-005-0002/531-003</t>
  </si>
  <si>
    <t>จอดับ/บอร์ดเสีย</t>
  </si>
  <si>
    <t>คอมพิวเตอร์</t>
  </si>
  <si>
    <t>7440-001-0001/463-001</t>
  </si>
  <si>
    <t>บอร์ดเสีย</t>
  </si>
  <si>
    <t>4120-001-0002/541-007</t>
  </si>
  <si>
    <t>หัก/ไม่ครบ</t>
  </si>
  <si>
    <t>โต๊ะประชุม 20 ที่นั่ง พร้อมเก้าอี้ 20 ตัว</t>
  </si>
  <si>
    <t>7110-007-0011/541-001-020</t>
  </si>
  <si>
    <t>จอขาด/ขั้วหลอดไฟเสีย</t>
  </si>
  <si>
    <t>6730-001-0003/531-013,014</t>
  </si>
  <si>
    <t>เครื่องปรับอากาศ  PANASONIC 1800 BTU</t>
  </si>
  <si>
    <t>ปกครอง</t>
  </si>
  <si>
    <t>ฐานตู้เหล็กสนิมกัด</t>
  </si>
  <si>
    <t>7125-002-0002/492-005</t>
  </si>
  <si>
    <t>ขาโต๊ะหัก/ขาเก้าอี้สนิมขึ้น</t>
  </si>
  <si>
    <t>โต๊ะเหล็ก ขนาด 4 ฟุต SMART FORM + เก้าอี้</t>
  </si>
  <si>
    <t>7110-007-0004/521-001-002</t>
  </si>
  <si>
    <t>แผงไฟจอพัง</t>
  </si>
  <si>
    <t>จอคอมพิวเตอร์ SVOA  17  นิ้ว</t>
  </si>
  <si>
    <t>7440-010-0005/502-001</t>
  </si>
  <si>
    <t>เซนเซอร์พัง/แป้นรับแบตชาร์จไฟไม่เข้า</t>
  </si>
  <si>
    <t>กล้องถ่ายภาพเคลื่อนไว</t>
  </si>
  <si>
    <t>6710-004-0001/531-02</t>
  </si>
  <si>
    <t>ตลับหมึกพัง/ไฟซ๊อตที่แผงไฟ</t>
  </si>
  <si>
    <t>7430-008-0002/492-010</t>
  </si>
  <si>
    <t>หัวพิมพ์แตก</t>
  </si>
  <si>
    <t>7430-008-0002/493-003</t>
  </si>
  <si>
    <t>แนะแนว</t>
  </si>
  <si>
    <t xml:space="preserve">ตู้เหล็ก 15 ลิ้นชัก </t>
  </si>
  <si>
    <t>7110-002-0002/462-001</t>
  </si>
  <si>
    <t>ตู้เหล็ก 4 ลิ้นชัก PRERIDENT</t>
  </si>
  <si>
    <t>7125-002-0002/462-002</t>
  </si>
  <si>
    <t>7125-002-0002/401-010</t>
  </si>
  <si>
    <t>ตู้เกิดสนิมและผุพังจำนวนมากใช้งานไม่ได้</t>
  </si>
  <si>
    <t>ตู้เหล็ก 4 ลิ้นชัก KINGKONG</t>
  </si>
  <si>
    <t>7125002-0002/391-004</t>
  </si>
  <si>
    <t>7440-001-0001/473-006</t>
  </si>
  <si>
    <t>สวัสดิการ</t>
  </si>
  <si>
    <t>เครื่องทำน้ำเย็น  VT-699  VICTOR  15  เครื่อง</t>
  </si>
  <si>
    <t>4110-002-0003/531-003-017</t>
  </si>
  <si>
    <t>ปั้มอัตโนมัติ  WP-305Q  1  เครื่อง</t>
  </si>
  <si>
    <t>Printer  HP  Laserjet  M1522n  MFP  1  เครื่อง</t>
  </si>
  <si>
    <t>7430-008-0006/531-028</t>
  </si>
  <si>
    <t>ครูที่ปรึกษา</t>
  </si>
  <si>
    <t>7440-001-0001/531-142</t>
  </si>
  <si>
    <t>ขาโต๊ะชำรุด</t>
  </si>
  <si>
    <t>โต๊ะระดับ 3-6</t>
  </si>
  <si>
    <t>7110-006-0006/531-007-008</t>
  </si>
  <si>
    <t>7110-006-006/531-011</t>
  </si>
  <si>
    <t>โครงการพิเศษ</t>
  </si>
  <si>
    <t>โต๊ะคอมพิวเตอร์ 60*100*75</t>
  </si>
  <si>
    <t>เมนบอร์ดเครื่องคอมฯพัง/ขาโต๊ะหัก</t>
  </si>
  <si>
    <t>หัก</t>
  </si>
  <si>
    <t>แป้นหัก</t>
  </si>
  <si>
    <t>ระบบไฟฟ้าช็อต</t>
  </si>
  <si>
    <t>ขาหัก</t>
  </si>
  <si>
    <t>แป้นพิมพ์หัก</t>
  </si>
  <si>
    <t>เมนบอร์ดพัง</t>
  </si>
  <si>
    <t>หน้าจอไม่แสดงผล เก้าอี้หัก</t>
  </si>
  <si>
    <t>ปุ่มแตกหัก</t>
  </si>
  <si>
    <t>ปุ่มกดพัง</t>
  </si>
  <si>
    <t>ช็อต</t>
  </si>
  <si>
    <t>ขาหัก เบาะผุ</t>
  </si>
  <si>
    <t xml:space="preserve">แตกหัก  </t>
  </si>
  <si>
    <t>แผงวงจรไหม้</t>
  </si>
  <si>
    <t>พื้นโต๊ะทะลุ</t>
  </si>
  <si>
    <t>เครี่องวัดชำรุด</t>
  </si>
  <si>
    <t>หน้าจอแตก</t>
  </si>
  <si>
    <t>อุปกรณ์แตกหัก</t>
  </si>
  <si>
    <t>แผงวงจรชำรุด</t>
  </si>
  <si>
    <t xml:space="preserve">หน้าจอแตก  </t>
  </si>
  <si>
    <t xml:space="preserve">กระจกสะท้อนแสงพัง </t>
  </si>
  <si>
    <t>ผุ แตกหัก</t>
  </si>
  <si>
    <t xml:space="preserve">แตกเสียหาย,รูทั่งไม่เป็นรูป </t>
  </si>
  <si>
    <t xml:space="preserve">ประตูพัง ,เป็นสนิม </t>
  </si>
  <si>
    <t xml:space="preserve">แตก ไม่มีคม  </t>
  </si>
  <si>
    <t>ใบพัดหัก,มอเตอร์ชำรุดเป็นสนิม</t>
  </si>
  <si>
    <t xml:space="preserve">แตกหัก </t>
  </si>
  <si>
    <t xml:space="preserve">แคร่หัก </t>
  </si>
  <si>
    <t xml:space="preserve">ฮาร์ดดิสชำรุด </t>
  </si>
  <si>
    <t xml:space="preserve">วงจรไหม้ </t>
  </si>
  <si>
    <t xml:space="preserve">วงจรพัง </t>
  </si>
  <si>
    <t xml:space="preserve">อุปกรณ์ภายในไหม้ </t>
  </si>
  <si>
    <t>ผุ เป็นสนิม</t>
  </si>
  <si>
    <t>แผ่นปูผุ</t>
  </si>
  <si>
    <t>ผุ</t>
  </si>
  <si>
    <t>แผ่นรองนั่งผุ</t>
  </si>
  <si>
    <t>บอร์ดแผงวงจรไหม้</t>
  </si>
  <si>
    <t>ระบบกลไกแตกหัก</t>
  </si>
  <si>
    <t>บอร์ดและจอแตก โต๊ะเก้าอี้ผุ</t>
  </si>
  <si>
    <t>สนิมเกาะประตูชำรุด</t>
  </si>
  <si>
    <t>ประตูชำรุด</t>
  </si>
  <si>
    <t>เมนบอร์ดชำรุด</t>
  </si>
  <si>
    <t>เลนส์รับภาพแตก</t>
  </si>
  <si>
    <t>ขาหัก สนิมเกาะ</t>
  </si>
  <si>
    <t>CPU ไหม้</t>
  </si>
  <si>
    <t>ชุดกลไกชำรุด</t>
  </si>
  <si>
    <t>เป็นสนิม</t>
  </si>
  <si>
    <t>ระบบดึงกระดาษชำรุด</t>
  </si>
  <si>
    <t>เมนบอร์ดชำรุด โต๊ะ เก้าอี้ ผุ</t>
  </si>
  <si>
    <t>ระบบไม่ทำงาน</t>
  </si>
  <si>
    <t>ที่กดน้ำชำรุด</t>
  </si>
  <si>
    <t>ระบบกรองน้ำพัง</t>
  </si>
  <si>
    <t>ระบบขัดข้อง</t>
  </si>
  <si>
    <t>ผุพังเป็นสนิม</t>
  </si>
  <si>
    <t>ผุพังเป็นสนิม เปิดไม่ได้</t>
  </si>
  <si>
    <t>จอพัง</t>
  </si>
  <si>
    <t>ฮาร์ดดิสไม่อ่าน</t>
  </si>
  <si>
    <t>ฮาร์ดดิสพัง</t>
  </si>
  <si>
    <t>ขาชำรุด</t>
  </si>
  <si>
    <t>หัวอ่านตลับหมึกชำรุด</t>
  </si>
  <si>
    <t xml:space="preserve">เมนบอรด์ชำรุด </t>
  </si>
  <si>
    <t>ไม่จัดเก็บไฟ</t>
  </si>
  <si>
    <t>หน่วยความจำไม่ทำงาน</t>
  </si>
  <si>
    <t>ไม่ดึงกระดาษ แกนกลางหัก</t>
  </si>
  <si>
    <t>ไม่อ่านและไม่บันทึกเสียง</t>
  </si>
  <si>
    <t>เครื่องไม่อ่านเอกสาร</t>
  </si>
  <si>
    <t>จอภาพไม่แสดงผล</t>
  </si>
  <si>
    <t>โต๊ะเก้าอี้ขาหัก</t>
  </si>
  <si>
    <t xml:space="preserve">คอมเพรสเซอร์ชำรุด </t>
  </si>
  <si>
    <t>ที่ล็อกตู้ชำรุด</t>
  </si>
  <si>
    <t>ที่ว่างแป้นพิมพ์หัก</t>
  </si>
  <si>
    <t xml:space="preserve">หน้าจอไม่แสดงผล  </t>
  </si>
  <si>
    <t>ระบบมีปัญหา</t>
  </si>
  <si>
    <t>ระบบชำรุด</t>
  </si>
  <si>
    <t>เครื่องมีปัญหา</t>
  </si>
  <si>
    <t>เปิดไม่ได้</t>
  </si>
  <si>
    <t>ปริ้นไม่ได้ ตลับหมึกชำรุด</t>
  </si>
  <si>
    <t>ตลับหมึกชำรุด</t>
  </si>
  <si>
    <t>แตกใช้งานไม่ได้</t>
  </si>
  <si>
    <t>ดอกลำโพงขาด</t>
  </si>
  <si>
    <t>ขาด</t>
  </si>
  <si>
    <t>ขาเก้าอี้หัก</t>
  </si>
  <si>
    <t>ขาหลุด</t>
  </si>
  <si>
    <t>ท่อน้ำยารั่ว</t>
  </si>
  <si>
    <t>ผุ  ขาหัก</t>
  </si>
  <si>
    <t>ล้อหัก แตก</t>
  </si>
  <si>
    <t>ขึ้นสนิม หัก</t>
  </si>
  <si>
    <t>ขาหัก ผุ</t>
  </si>
  <si>
    <t>พนักพิงหัก</t>
  </si>
  <si>
    <t>พื้นแตก</t>
  </si>
  <si>
    <t>ท่อน้ำยาแตก</t>
  </si>
  <si>
    <t>เฟืองรูด</t>
  </si>
  <si>
    <t>ขาหัก พื้นหลุด</t>
  </si>
  <si>
    <t xml:space="preserve">ขึ้นสนิม  </t>
  </si>
  <si>
    <t>เมนบอร์ดไหม้</t>
  </si>
  <si>
    <t>ขึ้นสนิม ขาหัก</t>
  </si>
  <si>
    <t>ขึ้นรา ขาด</t>
  </si>
  <si>
    <t>ถังรั่ว</t>
  </si>
  <si>
    <t>คอยเย็นรั่ว</t>
  </si>
  <si>
    <t>สตาร์ทไม่ติด</t>
  </si>
  <si>
    <t>ไฟไม่เข้า</t>
  </si>
  <si>
    <t>ลูกสูบติด</t>
  </si>
  <si>
    <t>ถังน้ำมันรั่ว</t>
  </si>
  <si>
    <t>ฐานเครื่องแตก</t>
  </si>
  <si>
    <t>ขึ้นสนิม</t>
  </si>
  <si>
    <t>เฟืองแตก</t>
  </si>
  <si>
    <t>คอยร้อนไหม้</t>
  </si>
  <si>
    <t>เครื่องไหม้</t>
  </si>
  <si>
    <t>คอมเพรสเซอร์ไม่ทำงาน</t>
  </si>
  <si>
    <t>คอมเพรสเซอร์ไหม้</t>
  </si>
  <si>
    <t>ขึ้นสนิม ผุ</t>
  </si>
  <si>
    <t>ระบบไอน้ำไม่ทำงาน</t>
  </si>
  <si>
    <t>เปิดกล้องไม่ติด</t>
  </si>
  <si>
    <t xml:space="preserve">ชำรุดใช้งานไม่ได้ </t>
  </si>
  <si>
    <t>ขาตั้งหัก จอภาพขาด</t>
  </si>
  <si>
    <t>กระจกแตก บานเลื่อนสนิมเกาะ</t>
  </si>
  <si>
    <t>บอร์ดวงจรพัง</t>
  </si>
  <si>
    <t>วงจรพัง</t>
  </si>
  <si>
    <t>ผุพัง ขาเก้าอี้หัก</t>
  </si>
  <si>
    <t>ผุพัง ขาโต๊ะหัก</t>
  </si>
  <si>
    <t>เลนส์กล้องแตกพัง</t>
  </si>
  <si>
    <t>เปิดไม่ติด ก้านส่งไฟหัก</t>
  </si>
  <si>
    <t>เปิดไม่ติด เครื่องบันทึกพัง</t>
  </si>
  <si>
    <t>เปิดไม่ติด หลอดภาพเสีย ปลั๊กไหม้</t>
  </si>
  <si>
    <t>เปิดไม่ติด เครื่องบันทึกภาพพัง</t>
  </si>
  <si>
    <t>เปิดไม่ติด หลอดฉายพัง หม้อแปลงพัง</t>
  </si>
  <si>
    <t>เปิดไม่ติด หลอดภาพพัง จอแตก</t>
  </si>
  <si>
    <t>เปิดไม่ติด เลนซ์พัง บันทึกภาพไม่ได้</t>
  </si>
  <si>
    <t>เปิดไม่ได้ บอร์ดพัง</t>
  </si>
  <si>
    <t>เปิดไม่ได้ หลอดภาพพัง บอร์ดพัง</t>
  </si>
  <si>
    <t>จอภาพพัง เครื่องเปิดไม่ได้ บอร์ดพัง</t>
  </si>
  <si>
    <t>ตู้เหล็กบานเลื่อนชำรุดปิดไม่ได้</t>
  </si>
  <si>
    <t xml:space="preserve">เปิดไม่ติด คอมเพรสเซอร์พัง </t>
  </si>
  <si>
    <t xml:space="preserve">เปิดไม่ติด บอร์ดพัง </t>
  </si>
  <si>
    <t xml:space="preserve">เปิดไม่ติด  </t>
  </si>
  <si>
    <t>เปิดไม่ได้ จอภาพพัง</t>
  </si>
  <si>
    <t>ชำรุดเปิดไม่ติด</t>
  </si>
  <si>
    <t xml:space="preserve">บอร์ดพัง เคสผุพัง </t>
  </si>
  <si>
    <t xml:space="preserve">ชำรุดเปิดไม่ติด  </t>
  </si>
  <si>
    <t>เปิดไม่ติด เลนส์พัง วงจรช็อต</t>
  </si>
  <si>
    <t>เลนส์กล้องแตก</t>
  </si>
  <si>
    <t>แฟลชกล้องแตกพัง</t>
  </si>
  <si>
    <t>ครุภัณฑ์มูลค่าต่ำกว่าเกณฑ์ชำรุด 226 รายการ</t>
  </si>
  <si>
    <t>เอกสารหมายเลข 24</t>
  </si>
  <si>
    <t xml:space="preserve">เอกสารหมายเลข 25 </t>
  </si>
  <si>
    <t>เอกสารหมายเลข 26</t>
  </si>
  <si>
    <t>เอกสารหมายเลข 27</t>
  </si>
  <si>
    <t>เอกสารหมายเลข 28</t>
  </si>
  <si>
    <t xml:space="preserve">เอกสารหมายเลข 29 </t>
  </si>
  <si>
    <t>เอกสารหมายเลข 30</t>
  </si>
  <si>
    <t>เอกสารหมายเลข 31</t>
  </si>
  <si>
    <t>เอกสารหมายเลข 32</t>
  </si>
  <si>
    <t>เอกสารหมายเลข 33</t>
  </si>
  <si>
    <t>เอกสารหมายเลข 34</t>
  </si>
  <si>
    <t>เอกสารหมายเลข 35</t>
  </si>
  <si>
    <t>เอกสารหมายเลข 36</t>
  </si>
  <si>
    <t>เอกสารหมายเลข 37</t>
  </si>
  <si>
    <t>เอกสารหมายเลข 38</t>
  </si>
  <si>
    <t>เอกสารหมายเลข 39</t>
  </si>
  <si>
    <t>เอกสารหมายเลข 40</t>
  </si>
  <si>
    <t xml:space="preserve">เอกสารหมายเลข 41 </t>
  </si>
  <si>
    <t>เอกสารหมายเลข 42</t>
  </si>
  <si>
    <t>เอกสารหมายเลข 43</t>
  </si>
  <si>
    <t>เอกสารหมายเลข 44</t>
  </si>
  <si>
    <t>เอกสารหมายเลข 45</t>
  </si>
  <si>
    <t>เอกสารหมายเลข 46</t>
  </si>
  <si>
    <t>เอกสารหมายเลข 47</t>
  </si>
  <si>
    <t>เอกสารหมายเลข 48</t>
  </si>
  <si>
    <t>เอกสารหมายเลข 49</t>
  </si>
  <si>
    <t>เอกสารหมายเลข 50</t>
  </si>
  <si>
    <t>เอกสารหมายเลข 51</t>
  </si>
  <si>
    <t>เอกสารหมายเลข 52</t>
  </si>
  <si>
    <t>เอกสารหมายเลข 53</t>
  </si>
  <si>
    <t>เอกสารหมายเลข 54</t>
  </si>
  <si>
    <t>เอกสารหมายเลข 55</t>
  </si>
  <si>
    <t>เอกสารหมายเลข 56</t>
  </si>
  <si>
    <t>เอกสารหมายเลข 57</t>
  </si>
  <si>
    <t>เอกสารหมายเลข 58</t>
  </si>
  <si>
    <t>เอกสารหมายเลข 59</t>
  </si>
  <si>
    <t>ครุภัณฑ์ชำรุด 360 รายการ</t>
  </si>
  <si>
    <t>เอกสารหมายเลข 60</t>
  </si>
  <si>
    <t xml:space="preserve">   </t>
  </si>
  <si>
    <t>สามัญ</t>
  </si>
  <si>
    <t>วงจรภายในไหม้</t>
  </si>
  <si>
    <t>จอเสื่อม</t>
  </si>
  <si>
    <t>มอเตอร์ไหม้,ใบพัดแตก</t>
  </si>
  <si>
    <t>แตก</t>
  </si>
  <si>
    <t xml:space="preserve">หน้าจอแตก </t>
  </si>
  <si>
    <t>โครงสร้างโต๊ะผุพัง</t>
  </si>
  <si>
    <t xml:space="preserve">โครงสร้างโต๊ะผุพัง </t>
  </si>
  <si>
    <t>ใบฉากไม่มีคม</t>
  </si>
  <si>
    <t>ลูกปืนแตก/มอเตอร์ไหม้</t>
  </si>
  <si>
    <t>ขึ้นสนิม หัก/มอเตอร์ไหม้</t>
  </si>
  <si>
    <t>ใบพัดแตก/มอเตอร์ไหม้</t>
  </si>
  <si>
    <t>ติดไวรัสไม่สามารถอ่านไฟล์ข้อมูลได้</t>
  </si>
  <si>
    <t xml:space="preserve">ไม่เก็บไฟ ระบบไฟฟ้าไม่ทำงาน  </t>
  </si>
  <si>
    <t xml:space="preserve">เปิดไม่ติด สั่งพิมพ์ไม่ได้  </t>
  </si>
  <si>
    <t>ประตูปิดไม่ได้ ผุ</t>
  </si>
  <si>
    <t xml:space="preserve">ไม้อัดผุ เหล็กเป็นสนิม </t>
  </si>
  <si>
    <t xml:space="preserve">ขาหัก ,ไม้อัดผุ  </t>
  </si>
  <si>
    <t xml:space="preserve">ไม้อัดผุ </t>
  </si>
  <si>
    <t xml:space="preserve">ขาหัก ,ไม้อัดผุ </t>
  </si>
  <si>
    <t xml:space="preserve">ไม้อัดผุ  </t>
  </si>
  <si>
    <t xml:space="preserve">หน้าจอแตกและปุ่มกดชำรุด </t>
  </si>
  <si>
    <t xml:space="preserve">โต๊ะและอุปกรณ์ประกอบชำรุด </t>
  </si>
  <si>
    <t xml:space="preserve">ขาหัก  </t>
  </si>
  <si>
    <t xml:space="preserve">มอเตอร์ชำรุด  </t>
  </si>
  <si>
    <t xml:space="preserve">สายไฟชำรุด  </t>
  </si>
  <si>
    <t xml:space="preserve">ขาหัก, ไม้อัดผุ  </t>
  </si>
  <si>
    <t>วงจรไหม้,ลำโพงขาด</t>
  </si>
  <si>
    <t>วงจรภายในเสียหาย บอร์ดไหม้</t>
  </si>
  <si>
    <t>โย๊คขาด</t>
  </si>
  <si>
    <t>ทรานซีสเตอร์พัง,วงจรไหม้</t>
  </si>
  <si>
    <t>ภาคจ่ายไฟไหม้,ฟลายแบ็คขาด</t>
  </si>
  <si>
    <t>LNB พัง</t>
  </si>
  <si>
    <t>โต๊ะและอุปกรณ์แตกหัก</t>
  </si>
  <si>
    <t xml:space="preserve">มอเตอร์ชำรุด, ไฟฟ้าลัดวงจร </t>
  </si>
  <si>
    <t xml:space="preserve">จอชำรุด  </t>
  </si>
  <si>
    <t xml:space="preserve">ฮาร์ดดิสชำรุด  </t>
  </si>
  <si>
    <t xml:space="preserve">วงจรภายในเสียหาย ภายนอกแตกหัก </t>
  </si>
  <si>
    <t xml:space="preserve">ตัวเครื่องชำรุด  </t>
  </si>
  <si>
    <t xml:space="preserve">ตัวเครื่องไม่สามารถประมวผลได้ </t>
  </si>
  <si>
    <t xml:space="preserve">ตัวเครื่องไม่สามารถประมวผลได้, โต๊/เก้าอี้ ขาหัก  </t>
  </si>
  <si>
    <t xml:space="preserve">ไม้อัดผุ เหล็กเป็นสนิม  </t>
  </si>
  <si>
    <t xml:space="preserve">ลิ้นชัก เปิด-ปิดไม่ได้ ไม้ผุ  </t>
  </si>
  <si>
    <t xml:space="preserve">แผงวงจรไหม้,ใบมีดไม่คม เป็นสนิม </t>
  </si>
  <si>
    <t xml:space="preserve">ขาเซ็นเซอร์หัก,drum เสีย  </t>
  </si>
  <si>
    <t xml:space="preserve">เมนบอร์ด, ฮาร์ดดิสก์, การ์ดขยายไหม้  </t>
  </si>
  <si>
    <t xml:space="preserve">ขาเซ็นเซอร์หัก, drum เสีย </t>
  </si>
  <si>
    <t xml:space="preserve">ระบบควบคุมการเข้า-ออก ไม่ทำงาน  
 </t>
  </si>
  <si>
    <t xml:space="preserve"> </t>
  </si>
  <si>
    <t xml:space="preserve">เมนบอร์ด, ฮาร์ดดิสก์พัง/ โต๊ะ ไม้อัดผุ เก้าอี้ ขาหัก  
</t>
  </si>
  <si>
    <t xml:space="preserve">เครื่อง CPUและหน้าจอเปิดไม่ติด 
 </t>
  </si>
  <si>
    <t xml:space="preserve">ไฟฟ้าลัดวงจร </t>
  </si>
  <si>
    <t xml:space="preserve">ไฟฟ้าลัดวงจร/ช็อต </t>
  </si>
  <si>
    <t>เครื่องช็อต จอขาด</t>
  </si>
  <si>
    <t>เครื่องทดสอบหัวฉีดชำรุด</t>
  </si>
  <si>
    <t>แกนวัดลดเลื่อนปรับระดับไม่ได้</t>
  </si>
  <si>
    <t>ชุดประแจแตกหัก</t>
  </si>
  <si>
    <t>เพลาลูกเบี้ยวหัก สายพานขาด</t>
  </si>
  <si>
    <t>เครื่องมือถอดลูกปืนแตก</t>
  </si>
  <si>
    <t>บอร์ดยึดแตกหัก อุปกรณ์ไฟฟ้าเสื่อมสภาพ</t>
  </si>
  <si>
    <t>ชุดปีกนกและระบบเบรคชำรุด</t>
  </si>
  <si>
    <t>ตู้เครื่องชำรุด ชุดประแจแตกหัก</t>
  </si>
  <si>
    <t>ฐานยึกเสียรูปร่าง</t>
  </si>
  <si>
    <t>แท่นขาตั้งแตก</t>
  </si>
  <si>
    <t>หลอดทดสอบแตก ปั๊มแรงดันไม่ทำงาน</t>
  </si>
  <si>
    <t>แผ่นกดชำรุด หัก</t>
  </si>
  <si>
    <t>ชุดเฟืองเกียร์แตกหัก</t>
  </si>
  <si>
    <t>แผงยึดแตกหัก</t>
  </si>
  <si>
    <t>มอเตอร์แตก</t>
  </si>
  <si>
    <t>ชุดเพลา เฟืองวงแหวนแตก</t>
  </si>
  <si>
    <t>ชุดมอเตอร์ขดลวดไหม้</t>
  </si>
  <si>
    <t>ชุดแวคกัมเบรกแตก</t>
  </si>
  <si>
    <t>กระบอกเบรคแตก</t>
  </si>
  <si>
    <t>กระปุกพวงมาลัยแตกหัก</t>
  </si>
  <si>
    <t>ชุดเครื่องมือวัดเสื่อมสภาพ</t>
  </si>
  <si>
    <t>ขดลวดสนามแม่เหล็กไหม้</t>
  </si>
  <si>
    <t>ขดลวดทดสอบไหม้</t>
  </si>
  <si>
    <t>เพลาเบี้ยว ฝาสูบร้าว</t>
  </si>
  <si>
    <t>ชุดไฟและระบบเกียร์ใช้งานไม่ได้</t>
  </si>
  <si>
    <t>เสื้อสูบแตก</t>
  </si>
  <si>
    <t>แก๊สหมด ระบบค้นหาไม่ทำงาน</t>
  </si>
  <si>
    <t>แผนงคอล์ยร้อนรั่ว คอมเพรสเซอร์ไม่มีกำลังอัด</t>
  </si>
  <si>
    <t>ถังพ่นสีพ่นไม่ได้</t>
  </si>
  <si>
    <t>ชุดอุปกรณ์คอมพิวเตอร์ไฟฟ้าลัดวงจร</t>
  </si>
  <si>
    <t>ชุดเสื้อสูบร้าวเกิดรอยในกระบอกสูบ</t>
  </si>
  <si>
    <t>เพลาคด</t>
  </si>
  <si>
    <t>ชุดปั๊มแรงดันลูกปั๊มไม่ทำงาน</t>
  </si>
  <si>
    <t>3419-007-0001/551-001</t>
  </si>
  <si>
    <t>ชุดกรองเสื่อมสภาพและชุดคอนโทรนชำรุด</t>
  </si>
  <si>
    <t>เครื่องขยายเสียงแบบเพาเวอร์แอมป์</t>
  </si>
  <si>
    <t>พต.</t>
  </si>
  <si>
    <t>(นายอาทร  ศรีมะณี)</t>
  </si>
  <si>
    <t>15</t>
  </si>
  <si>
    <t>12</t>
  </si>
  <si>
    <t>ทค.</t>
  </si>
  <si>
    <t>หัก ผุ</t>
  </si>
  <si>
    <t>เครื่องตัดหญ้าแบบสายสะพาย</t>
  </si>
  <si>
    <t>ใบพัดแตก มอเตอร์ไหม้</t>
  </si>
  <si>
    <t>เครื่องแปลงสัญญาณอินเตอร์เน็ต 8  ช่อง</t>
  </si>
  <si>
    <t>ฟ้าผ่า ไฟกระชากอุปกรณ์ภายในพัง</t>
  </si>
  <si>
    <t>บอร์ดพัง เฟืองพัง</t>
  </si>
  <si>
    <t>ฟ้าผ่าไฟกระชากอุปกรณ์ภายในพัง</t>
  </si>
  <si>
    <t>6910-001-0001/391-001</t>
  </si>
  <si>
    <r>
      <rPr>
        <b/>
        <sz val="16"/>
        <rFont val="TH SarabunPSK"/>
        <family val="2"/>
      </rPr>
      <t>1-ล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</si>
</sst>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;[Red]0"/>
    <numFmt numFmtId="165" formatCode="0.00;[Red]0.00"/>
    <numFmt numFmtId="166" formatCode="#,##0.00;[Red]#,##0.00"/>
  </numFmts>
  <fonts count="30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  <font>
      <sz val="11"/>
      <color rgb="FF9C6500"/>
      <name val="Calibri"/>
      <family val="2"/>
      <charset val="222"/>
      <scheme val="minor"/>
    </font>
    <font>
      <sz val="16"/>
      <color theme="0"/>
      <name val="TH SarabunPSK"/>
      <family val="2"/>
    </font>
    <font>
      <sz val="16"/>
      <name val="TH SarabunPSK"/>
      <family val="2"/>
      <charset val="222"/>
    </font>
    <font>
      <sz val="16"/>
      <name val="TH SarabunIT๙"/>
      <family val="2"/>
      <charset val="222"/>
    </font>
    <font>
      <sz val="16"/>
      <color theme="0" tint="-0.89999084444715716"/>
      <name val="TH SarabunIT๙"/>
      <family val="2"/>
      <charset val="222"/>
    </font>
    <font>
      <sz val="16"/>
      <color theme="1"/>
      <name val="TH SarabunPSK"/>
      <family val="2"/>
      <charset val="222"/>
    </font>
    <font>
      <sz val="16"/>
      <color rgb="FF333333"/>
      <name val="TH SarabunPSK"/>
      <family val="2"/>
      <charset val="222"/>
    </font>
    <font>
      <sz val="16"/>
      <color rgb="FF303030"/>
      <name val="TH SarabunPSK"/>
      <family val="2"/>
      <charset val="222"/>
    </font>
    <font>
      <b/>
      <sz val="16"/>
      <color theme="1"/>
      <name val="TH SarabunPSK"/>
      <family val="2"/>
      <charset val="222"/>
    </font>
    <font>
      <sz val="16"/>
      <color rgb="FF9C6500"/>
      <name val="Calibri"/>
      <family val="2"/>
      <charset val="222"/>
      <scheme val="minor"/>
    </font>
    <font>
      <sz val="14"/>
      <name val="TH SarabunPSK"/>
      <family val="2"/>
      <charset val="222"/>
    </font>
    <font>
      <sz val="16"/>
      <color rgb="FFFF0000"/>
      <name val="TH SarabunPSK"/>
      <family val="2"/>
    </font>
    <font>
      <sz val="16"/>
      <color rgb="FF0070C0"/>
      <name val="TH SarabunPSK"/>
      <family val="2"/>
    </font>
    <font>
      <sz val="14"/>
      <color rgb="FF0070C0"/>
      <name val="TH SarabunPSK"/>
      <family val="2"/>
    </font>
    <font>
      <sz val="16"/>
      <color rgb="FF2F75B5"/>
      <name val="TH SarabunPSK"/>
      <family val="2"/>
    </font>
    <font>
      <sz val="14"/>
      <color rgb="FF2F75B5"/>
      <name val="TH SarabunPSK"/>
      <family val="2"/>
    </font>
    <font>
      <b/>
      <sz val="16"/>
      <name val="TH SarabunPSK"/>
      <family val="2"/>
      <charset val="222"/>
    </font>
    <font>
      <b/>
      <u/>
      <sz val="16"/>
      <name val="TH SarabunPSK"/>
      <family val="2"/>
      <charset val="222"/>
    </font>
    <font>
      <b/>
      <sz val="14"/>
      <name val="TH SarabunPSK"/>
      <family val="2"/>
      <charset val="222"/>
    </font>
    <font>
      <b/>
      <sz val="16"/>
      <name val="TH SarabunIT๙"/>
      <family val="2"/>
      <charset val="222"/>
    </font>
    <font>
      <b/>
      <sz val="15"/>
      <name val="TH SarabunPSK"/>
      <family val="2"/>
      <charset val="222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9" fillId="2" borderId="0" applyNumberFormat="0" applyBorder="0" applyAlignment="0" applyProtection="0"/>
  </cellStyleXfs>
  <cellXfs count="413">
    <xf numFmtId="0" fontId="0" fillId="0" borderId="0" xfId="0"/>
    <xf numFmtId="0" fontId="4" fillId="0" borderId="0" xfId="0" applyFont="1"/>
    <xf numFmtId="0" fontId="3" fillId="0" borderId="0" xfId="6" applyFont="1"/>
    <xf numFmtId="43" fontId="3" fillId="0" borderId="1" xfId="1" applyFont="1" applyFill="1" applyBorder="1"/>
    <xf numFmtId="0" fontId="3" fillId="0" borderId="1" xfId="6" applyFont="1" applyBorder="1" applyAlignment="1">
      <alignment horizontal="center"/>
    </xf>
    <xf numFmtId="0" fontId="3" fillId="0" borderId="1" xfId="6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vertical="top"/>
    </xf>
    <xf numFmtId="43" fontId="4" fillId="0" borderId="0" xfId="0" applyNumberFormat="1" applyFont="1"/>
    <xf numFmtId="43" fontId="3" fillId="0" borderId="1" xfId="1" applyFont="1" applyFill="1" applyBorder="1" applyAlignment="1">
      <alignment horizontal="center"/>
    </xf>
    <xf numFmtId="43" fontId="3" fillId="0" borderId="1" xfId="1" applyFont="1" applyFill="1" applyBorder="1" applyAlignment="1">
      <alignment horizontal="center" vertical="top"/>
    </xf>
    <xf numFmtId="43" fontId="3" fillId="0" borderId="2" xfId="1" applyFont="1" applyFill="1" applyBorder="1"/>
    <xf numFmtId="43" fontId="3" fillId="0" borderId="5" xfId="1" applyFont="1" applyFill="1" applyBorder="1"/>
    <xf numFmtId="0" fontId="4" fillId="0" borderId="5" xfId="0" applyFont="1" applyBorder="1" applyAlignment="1">
      <alignment horizontal="center"/>
    </xf>
    <xf numFmtId="0" fontId="3" fillId="0" borderId="5" xfId="5" applyFont="1" applyBorder="1" applyAlignment="1">
      <alignment horizontal="center"/>
    </xf>
    <xf numFmtId="0" fontId="3" fillId="0" borderId="5" xfId="2" applyFont="1" applyBorder="1" applyAlignment="1">
      <alignment horizontal="center"/>
    </xf>
    <xf numFmtId="0" fontId="3" fillId="0" borderId="1" xfId="5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2" applyFont="1" applyBorder="1" applyAlignment="1">
      <alignment horizontal="center"/>
    </xf>
    <xf numFmtId="49" fontId="3" fillId="0" borderId="1" xfId="0" applyNumberFormat="1" applyFont="1" applyBorder="1" applyAlignment="1">
      <alignment horizontal="left"/>
    </xf>
    <xf numFmtId="49" fontId="3" fillId="0" borderId="1" xfId="7" applyNumberFormat="1" applyFont="1" applyBorder="1" applyAlignment="1">
      <alignment horizontal="center"/>
    </xf>
    <xf numFmtId="0" fontId="3" fillId="0" borderId="2" xfId="2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3" fillId="0" borderId="2" xfId="5" applyFont="1" applyBorder="1" applyAlignment="1">
      <alignment horizontal="center"/>
    </xf>
    <xf numFmtId="0" fontId="3" fillId="0" borderId="2" xfId="6" applyFont="1" applyBorder="1" applyAlignment="1">
      <alignment horizontal="left"/>
    </xf>
    <xf numFmtId="0" fontId="3" fillId="0" borderId="1" xfId="4" applyFont="1" applyBorder="1" applyAlignment="1">
      <alignment horizontal="center"/>
    </xf>
    <xf numFmtId="0" fontId="3" fillId="0" borderId="1" xfId="3" applyFont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43" fontId="3" fillId="0" borderId="5" xfId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6" applyFont="1" applyBorder="1" applyAlignment="1">
      <alignment horizontal="center"/>
    </xf>
    <xf numFmtId="43" fontId="3" fillId="0" borderId="1" xfId="1" applyFont="1" applyFill="1" applyBorder="1" applyAlignment="1">
      <alignment horizontal="right" vertical="top"/>
    </xf>
    <xf numFmtId="49" fontId="3" fillId="0" borderId="1" xfId="0" applyNumberFormat="1" applyFont="1" applyBorder="1" applyAlignment="1">
      <alignment horizontal="left" vertical="top"/>
    </xf>
    <xf numFmtId="0" fontId="4" fillId="0" borderId="0" xfId="0" applyFont="1" applyAlignment="1">
      <alignment vertical="center"/>
    </xf>
    <xf numFmtId="0" fontId="4" fillId="0" borderId="5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center" wrapText="1"/>
    </xf>
    <xf numFmtId="43" fontId="4" fillId="0" borderId="5" xfId="0" applyNumberFormat="1" applyFont="1" applyBorder="1" applyAlignment="1">
      <alignment horizontal="center" vertical="center" wrapText="1"/>
    </xf>
    <xf numFmtId="43" fontId="3" fillId="0" borderId="3" xfId="1" applyFont="1" applyFill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43" fontId="4" fillId="0" borderId="5" xfId="0" applyNumberFormat="1" applyFont="1" applyBorder="1" applyAlignment="1">
      <alignment horizontal="center" vertical="top" wrapText="1"/>
    </xf>
    <xf numFmtId="43" fontId="3" fillId="0" borderId="1" xfId="1" applyFont="1" applyFill="1" applyBorder="1" applyAlignment="1">
      <alignment vertical="top"/>
    </xf>
    <xf numFmtId="0" fontId="3" fillId="0" borderId="1" xfId="2" applyFont="1" applyBorder="1" applyAlignment="1">
      <alignment horizontal="center" vertical="top"/>
    </xf>
    <xf numFmtId="0" fontId="3" fillId="0" borderId="1" xfId="6" applyFont="1" applyBorder="1" applyAlignment="1">
      <alignment horizontal="left" vertical="top"/>
    </xf>
    <xf numFmtId="0" fontId="3" fillId="0" borderId="5" xfId="2" applyFont="1" applyBorder="1" applyAlignment="1">
      <alignment horizontal="center" vertical="top"/>
    </xf>
    <xf numFmtId="43" fontId="3" fillId="0" borderId="3" xfId="1" applyFont="1" applyFill="1" applyBorder="1" applyAlignment="1">
      <alignment vertical="top"/>
    </xf>
    <xf numFmtId="0" fontId="3" fillId="0" borderId="1" xfId="6" applyFont="1" applyBorder="1" applyAlignment="1">
      <alignment horizontal="center" vertical="top"/>
    </xf>
    <xf numFmtId="43" fontId="4" fillId="0" borderId="0" xfId="0" applyNumberFormat="1" applyFont="1" applyAlignment="1">
      <alignment vertical="top"/>
    </xf>
    <xf numFmtId="166" fontId="3" fillId="0" borderId="1" xfId="1" applyNumberFormat="1" applyFont="1" applyFill="1" applyBorder="1" applyAlignment="1">
      <alignment horizontal="right" vertical="top"/>
    </xf>
    <xf numFmtId="166" fontId="4" fillId="0" borderId="0" xfId="0" applyNumberFormat="1" applyFont="1" applyAlignment="1">
      <alignment vertical="top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/>
    </xf>
    <xf numFmtId="0" fontId="4" fillId="0" borderId="0" xfId="0" applyFont="1" applyAlignment="1">
      <alignment horizontal="left"/>
    </xf>
    <xf numFmtId="0" fontId="3" fillId="0" borderId="5" xfId="0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/>
    </xf>
    <xf numFmtId="0" fontId="3" fillId="0" borderId="5" xfId="6" applyFont="1" applyBorder="1" applyAlignment="1">
      <alignment horizontal="left"/>
    </xf>
    <xf numFmtId="0" fontId="3" fillId="0" borderId="5" xfId="6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3" fontId="7" fillId="0" borderId="1" xfId="1" applyFont="1" applyFill="1" applyBorder="1" applyAlignment="1">
      <alignment horizontal="center"/>
    </xf>
    <xf numFmtId="43" fontId="7" fillId="0" borderId="1" xfId="1" applyFont="1" applyFill="1" applyBorder="1"/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2" applyFont="1" applyAlignment="1">
      <alignment horizontal="center"/>
    </xf>
    <xf numFmtId="0" fontId="3" fillId="0" borderId="0" xfId="6" applyFont="1" applyAlignment="1">
      <alignment horizontal="center"/>
    </xf>
    <xf numFmtId="43" fontId="3" fillId="0" borderId="0" xfId="1" applyFont="1" applyFill="1" applyBorder="1"/>
    <xf numFmtId="49" fontId="3" fillId="0" borderId="0" xfId="7" applyNumberFormat="1" applyFont="1" applyAlignment="1">
      <alignment horizontal="center"/>
    </xf>
    <xf numFmtId="0" fontId="3" fillId="0" borderId="0" xfId="6" applyFont="1" applyAlignment="1">
      <alignment horizontal="left"/>
    </xf>
    <xf numFmtId="0" fontId="3" fillId="0" borderId="0" xfId="6" applyFont="1" applyAlignment="1">
      <alignment horizontal="right"/>
    </xf>
    <xf numFmtId="0" fontId="3" fillId="0" borderId="5" xfId="0" applyFont="1" applyBorder="1" applyAlignment="1">
      <alignment horizontal="center"/>
    </xf>
    <xf numFmtId="49" fontId="3" fillId="0" borderId="5" xfId="7" applyNumberFormat="1" applyFont="1" applyBorder="1" applyAlignment="1">
      <alignment horizontal="center"/>
    </xf>
    <xf numFmtId="43" fontId="7" fillId="0" borderId="5" xfId="1" applyFont="1" applyFill="1" applyBorder="1" applyAlignment="1">
      <alignment horizontal="center"/>
    </xf>
    <xf numFmtId="43" fontId="7" fillId="0" borderId="5" xfId="1" applyFont="1" applyFill="1" applyBorder="1"/>
    <xf numFmtId="0" fontId="4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3" fillId="0" borderId="1" xfId="1" applyFont="1" applyFill="1" applyBorder="1" applyAlignment="1">
      <alignment horizontal="right"/>
    </xf>
    <xf numFmtId="49" fontId="3" fillId="0" borderId="0" xfId="0" applyNumberFormat="1" applyFont="1" applyAlignment="1">
      <alignment horizontal="center"/>
    </xf>
    <xf numFmtId="49" fontId="3" fillId="0" borderId="1" xfId="13" applyNumberFormat="1" applyFont="1" applyBorder="1" applyAlignment="1">
      <alignment horizontal="center"/>
    </xf>
    <xf numFmtId="15" fontId="4" fillId="0" borderId="1" xfId="0" applyNumberFormat="1" applyFont="1" applyBorder="1" applyAlignment="1">
      <alignment horizontal="center"/>
    </xf>
    <xf numFmtId="49" fontId="3" fillId="0" borderId="5" xfId="6" applyNumberFormat="1" applyFont="1" applyBorder="1" applyAlignment="1">
      <alignment horizontal="left" vertical="center"/>
    </xf>
    <xf numFmtId="0" fontId="3" fillId="0" borderId="7" xfId="6" applyFont="1" applyBorder="1" applyAlignment="1">
      <alignment horizontal="center" vertical="center"/>
    </xf>
    <xf numFmtId="0" fontId="6" fillId="0" borderId="1" xfId="0" applyFont="1" applyBorder="1"/>
    <xf numFmtId="0" fontId="4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/>
    </xf>
    <xf numFmtId="0" fontId="6" fillId="0" borderId="5" xfId="0" applyFont="1" applyBorder="1" applyAlignment="1">
      <alignment horizontal="center" vertical="center" wrapText="1"/>
    </xf>
    <xf numFmtId="43" fontId="6" fillId="0" borderId="5" xfId="0" applyNumberFormat="1" applyFont="1" applyBorder="1" applyAlignment="1">
      <alignment horizontal="center" vertical="center" wrapText="1"/>
    </xf>
    <xf numFmtId="0" fontId="3" fillId="0" borderId="1" xfId="8" applyFont="1" applyBorder="1" applyAlignment="1">
      <alignment horizontal="left"/>
    </xf>
    <xf numFmtId="43" fontId="6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8" xfId="6" applyFont="1" applyBorder="1" applyAlignment="1">
      <alignment horizontal="left"/>
    </xf>
    <xf numFmtId="49" fontId="3" fillId="0" borderId="1" xfId="0" applyNumberFormat="1" applyFont="1" applyBorder="1" applyAlignment="1">
      <alignment horizontal="center" vertical="top"/>
    </xf>
    <xf numFmtId="2" fontId="3" fillId="0" borderId="5" xfId="6" applyNumberFormat="1" applyFont="1" applyBorder="1" applyAlignment="1">
      <alignment horizontal="left" vertical="top" wrapText="1"/>
    </xf>
    <xf numFmtId="1" fontId="3" fillId="0" borderId="1" xfId="6" applyNumberFormat="1" applyFont="1" applyBorder="1" applyAlignment="1">
      <alignment horizontal="center" vertical="top"/>
    </xf>
    <xf numFmtId="43" fontId="3" fillId="0" borderId="5" xfId="1" applyFont="1" applyFill="1" applyBorder="1" applyAlignment="1">
      <alignment vertical="top"/>
    </xf>
    <xf numFmtId="43" fontId="3" fillId="0" borderId="1" xfId="1" applyFont="1" applyFill="1" applyBorder="1" applyAlignment="1"/>
    <xf numFmtId="0" fontId="4" fillId="0" borderId="5" xfId="0" applyFont="1" applyBorder="1"/>
    <xf numFmtId="49" fontId="3" fillId="0" borderId="2" xfId="0" applyNumberFormat="1" applyFont="1" applyBorder="1" applyAlignment="1">
      <alignment horizontal="center"/>
    </xf>
    <xf numFmtId="15" fontId="4" fillId="0" borderId="1" xfId="0" applyNumberFormat="1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43" fontId="3" fillId="0" borderId="1" xfId="6" applyNumberFormat="1" applyFont="1" applyBorder="1"/>
    <xf numFmtId="0" fontId="3" fillId="0" borderId="5" xfId="6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15" fontId="3" fillId="0" borderId="2" xfId="0" applyNumberFormat="1" applyFont="1" applyBorder="1" applyAlignment="1">
      <alignment horizontal="center"/>
    </xf>
    <xf numFmtId="0" fontId="3" fillId="0" borderId="1" xfId="6" applyFont="1" applyBorder="1" applyAlignment="1">
      <alignment horizontal="left" vertical="center"/>
    </xf>
    <xf numFmtId="43" fontId="3" fillId="0" borderId="3" xfId="1" applyFont="1" applyFill="1" applyBorder="1" applyAlignment="1">
      <alignment horizontal="center"/>
    </xf>
    <xf numFmtId="43" fontId="3" fillId="0" borderId="3" xfId="6" applyNumberFormat="1" applyFont="1" applyBorder="1"/>
    <xf numFmtId="15" fontId="3" fillId="0" borderId="1" xfId="7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left"/>
    </xf>
    <xf numFmtId="43" fontId="3" fillId="0" borderId="2" xfId="1" applyFont="1" applyFill="1" applyBorder="1" applyAlignment="1">
      <alignment horizontal="right"/>
    </xf>
    <xf numFmtId="0" fontId="3" fillId="0" borderId="1" xfId="5" applyFont="1" applyBorder="1" applyAlignment="1">
      <alignment horizontal="center" vertical="top"/>
    </xf>
    <xf numFmtId="0" fontId="3" fillId="0" borderId="2" xfId="0" applyFont="1" applyBorder="1" applyAlignment="1">
      <alignment horizontal="center"/>
    </xf>
    <xf numFmtId="0" fontId="3" fillId="0" borderId="9" xfId="1" applyNumberFormat="1" applyFont="1" applyFill="1" applyBorder="1" applyAlignment="1">
      <alignment horizontal="center"/>
    </xf>
    <xf numFmtId="49" fontId="3" fillId="0" borderId="1" xfId="8" applyNumberFormat="1" applyFont="1" applyBorder="1" applyAlignment="1">
      <alignment horizontal="left"/>
    </xf>
    <xf numFmtId="15" fontId="3" fillId="0" borderId="2" xfId="7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49" fontId="3" fillId="0" borderId="1" xfId="2" applyNumberFormat="1" applyFont="1" applyBorder="1" applyAlignment="1">
      <alignment horizontal="center" vertical="center"/>
    </xf>
    <xf numFmtId="43" fontId="3" fillId="0" borderId="1" xfId="1" applyFont="1" applyFill="1" applyBorder="1" applyAlignment="1">
      <alignment vertical="center"/>
    </xf>
    <xf numFmtId="4" fontId="3" fillId="0" borderId="1" xfId="1" applyNumberFormat="1" applyFont="1" applyFill="1" applyBorder="1"/>
    <xf numFmtId="43" fontId="6" fillId="0" borderId="6" xfId="0" applyNumberFormat="1" applyFont="1" applyBorder="1" applyAlignment="1">
      <alignment horizontal="center"/>
    </xf>
    <xf numFmtId="0" fontId="3" fillId="0" borderId="1" xfId="2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center"/>
    </xf>
    <xf numFmtId="49" fontId="11" fillId="0" borderId="1" xfId="13" applyNumberFormat="1" applyFont="1" applyBorder="1" applyAlignment="1">
      <alignment horizontal="center"/>
    </xf>
    <xf numFmtId="0" fontId="11" fillId="0" borderId="1" xfId="6" applyFont="1" applyBorder="1" applyAlignment="1">
      <alignment horizontal="left"/>
    </xf>
    <xf numFmtId="0" fontId="11" fillId="0" borderId="1" xfId="6" applyFont="1" applyBorder="1"/>
    <xf numFmtId="0" fontId="11" fillId="0" borderId="1" xfId="2" applyFont="1" applyBorder="1" applyAlignment="1">
      <alignment horizontal="center"/>
    </xf>
    <xf numFmtId="0" fontId="11" fillId="0" borderId="1" xfId="2" quotePrefix="1" applyFont="1" applyBorder="1" applyAlignment="1">
      <alignment horizontal="center"/>
    </xf>
    <xf numFmtId="0" fontId="11" fillId="0" borderId="1" xfId="6" applyFont="1" applyBorder="1" applyAlignment="1">
      <alignment horizontal="center"/>
    </xf>
    <xf numFmtId="43" fontId="11" fillId="0" borderId="1" xfId="1" applyFont="1" applyFill="1" applyBorder="1"/>
    <xf numFmtId="0" fontId="11" fillId="0" borderId="0" xfId="0" applyFont="1"/>
    <xf numFmtId="15" fontId="11" fillId="0" borderId="1" xfId="0" applyNumberFormat="1" applyFont="1" applyBorder="1" applyAlignment="1">
      <alignment horizontal="center"/>
    </xf>
    <xf numFmtId="0" fontId="12" fillId="0" borderId="1" xfId="0" applyFont="1" applyBorder="1"/>
    <xf numFmtId="49" fontId="11" fillId="0" borderId="1" xfId="0" applyNumberFormat="1" applyFont="1" applyBorder="1" applyAlignment="1">
      <alignment horizontal="center"/>
    </xf>
    <xf numFmtId="43" fontId="11" fillId="0" borderId="1" xfId="12" applyFont="1" applyFill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0" xfId="0" applyFont="1" applyAlignment="1">
      <alignment horizontal="center"/>
    </xf>
    <xf numFmtId="43" fontId="11" fillId="0" borderId="5" xfId="12" applyFont="1" applyFill="1" applyBorder="1" applyAlignment="1">
      <alignment horizontal="left"/>
    </xf>
    <xf numFmtId="0" fontId="14" fillId="0" borderId="1" xfId="0" applyFont="1" applyBorder="1" applyAlignment="1">
      <alignment horizontal="center"/>
    </xf>
    <xf numFmtId="0" fontId="11" fillId="0" borderId="0" xfId="6" applyFont="1"/>
    <xf numFmtId="0" fontId="11" fillId="0" borderId="0" xfId="6" applyFont="1" applyAlignment="1">
      <alignment horizontal="left"/>
    </xf>
    <xf numFmtId="0" fontId="14" fillId="0" borderId="5" xfId="0" applyFont="1" applyBorder="1" applyAlignment="1">
      <alignment horizontal="center"/>
    </xf>
    <xf numFmtId="43" fontId="11" fillId="0" borderId="1" xfId="12" applyFont="1" applyFill="1" applyBorder="1" applyAlignment="1">
      <alignment horizontal="center"/>
    </xf>
    <xf numFmtId="43" fontId="11" fillId="0" borderId="0" xfId="12" applyFont="1" applyFill="1" applyBorder="1" applyAlignment="1">
      <alignment horizontal="center"/>
    </xf>
    <xf numFmtId="0" fontId="14" fillId="0" borderId="5" xfId="0" applyFont="1" applyBorder="1" applyAlignment="1">
      <alignment horizontal="center" vertical="center" wrapText="1"/>
    </xf>
    <xf numFmtId="0" fontId="14" fillId="0" borderId="1" xfId="0" applyFont="1" applyBorder="1"/>
    <xf numFmtId="0" fontId="14" fillId="0" borderId="0" xfId="0" applyFont="1"/>
    <xf numFmtId="43" fontId="11" fillId="0" borderId="1" xfId="12" applyFont="1" applyFill="1" applyBorder="1" applyAlignment="1">
      <alignment horizontal="left" vertical="top"/>
    </xf>
    <xf numFmtId="43" fontId="11" fillId="0" borderId="2" xfId="12" applyFont="1" applyFill="1" applyBorder="1" applyAlignment="1">
      <alignment horizontal="left"/>
    </xf>
    <xf numFmtId="0" fontId="14" fillId="0" borderId="1" xfId="0" applyFont="1" applyBorder="1" applyAlignment="1">
      <alignment horizontal="left" vertical="top"/>
    </xf>
    <xf numFmtId="43" fontId="11" fillId="0" borderId="1" xfId="12" applyFont="1" applyFill="1" applyBorder="1" applyAlignment="1"/>
    <xf numFmtId="43" fontId="11" fillId="0" borderId="5" xfId="1" applyFont="1" applyFill="1" applyBorder="1" applyAlignment="1">
      <alignment horizontal="left"/>
    </xf>
    <xf numFmtId="43" fontId="11" fillId="0" borderId="1" xfId="1" applyFont="1" applyFill="1" applyBorder="1" applyAlignment="1">
      <alignment horizontal="left"/>
    </xf>
    <xf numFmtId="43" fontId="11" fillId="0" borderId="2" xfId="1" applyFont="1" applyFill="1" applyBorder="1" applyAlignment="1">
      <alignment horizontal="left"/>
    </xf>
    <xf numFmtId="43" fontId="11" fillId="0" borderId="2" xfId="12" applyFont="1" applyFill="1" applyBorder="1" applyAlignment="1"/>
    <xf numFmtId="43" fontId="11" fillId="0" borderId="1" xfId="12" applyFont="1" applyFill="1" applyBorder="1" applyAlignment="1">
      <alignment horizontal="left" vertical="center"/>
    </xf>
    <xf numFmtId="0" fontId="15" fillId="0" borderId="1" xfId="0" applyFont="1" applyBorder="1"/>
    <xf numFmtId="0" fontId="16" fillId="0" borderId="1" xfId="0" applyFont="1" applyBorder="1" applyAlignment="1">
      <alignment vertical="top" wrapText="1"/>
    </xf>
    <xf numFmtId="0" fontId="14" fillId="0" borderId="1" xfId="0" applyFont="1" applyBorder="1" applyAlignment="1">
      <alignment wrapText="1"/>
    </xf>
    <xf numFmtId="0" fontId="14" fillId="0" borderId="1" xfId="0" applyFont="1" applyBorder="1" applyAlignment="1">
      <alignment vertical="top" wrapText="1"/>
    </xf>
    <xf numFmtId="43" fontId="11" fillId="0" borderId="1" xfId="12" applyFont="1" applyFill="1" applyBorder="1" applyAlignment="1">
      <alignment horizontal="left" vertical="top" wrapText="1"/>
    </xf>
    <xf numFmtId="0" fontId="11" fillId="0" borderId="5" xfId="6" applyFont="1" applyBorder="1"/>
    <xf numFmtId="0" fontId="11" fillId="0" borderId="2" xfId="6" applyFont="1" applyBorder="1" applyAlignment="1">
      <alignment horizontal="left"/>
    </xf>
    <xf numFmtId="0" fontId="11" fillId="0" borderId="5" xfId="6" applyFont="1" applyBorder="1" applyAlignment="1">
      <alignment horizontal="left"/>
    </xf>
    <xf numFmtId="49" fontId="11" fillId="0" borderId="7" xfId="6" applyNumberFormat="1" applyFont="1" applyBorder="1" applyAlignment="1">
      <alignment horizontal="left" vertical="center"/>
    </xf>
    <xf numFmtId="0" fontId="17" fillId="0" borderId="1" xfId="0" applyFont="1" applyBorder="1"/>
    <xf numFmtId="0" fontId="14" fillId="0" borderId="7" xfId="0" applyFont="1" applyBorder="1" applyAlignment="1">
      <alignment horizontal="center" vertical="center"/>
    </xf>
    <xf numFmtId="0" fontId="11" fillId="0" borderId="2" xfId="6" applyFont="1" applyBorder="1"/>
    <xf numFmtId="2" fontId="11" fillId="0" borderId="1" xfId="6" applyNumberFormat="1" applyFont="1" applyBorder="1" applyAlignment="1">
      <alignment horizontal="left" vertical="top"/>
    </xf>
    <xf numFmtId="0" fontId="14" fillId="0" borderId="5" xfId="0" applyFont="1" applyBorder="1"/>
    <xf numFmtId="0" fontId="11" fillId="0" borderId="1" xfId="6" applyFont="1" applyBorder="1" applyAlignment="1">
      <alignment vertical="top" wrapText="1"/>
    </xf>
    <xf numFmtId="0" fontId="11" fillId="0" borderId="7" xfId="6" applyFont="1" applyBorder="1" applyAlignment="1">
      <alignment horizontal="left" vertical="center"/>
    </xf>
    <xf numFmtId="0" fontId="11" fillId="0" borderId="1" xfId="8" applyFont="1" applyBorder="1"/>
    <xf numFmtId="0" fontId="11" fillId="0" borderId="1" xfId="6" applyFont="1" applyBorder="1" applyAlignment="1">
      <alignment horizontal="left" vertical="center"/>
    </xf>
    <xf numFmtId="49" fontId="11" fillId="0" borderId="1" xfId="0" applyNumberFormat="1" applyFont="1" applyBorder="1" applyAlignment="1">
      <alignment horizontal="left"/>
    </xf>
    <xf numFmtId="49" fontId="11" fillId="0" borderId="1" xfId="0" applyNumberFormat="1" applyFont="1" applyBorder="1"/>
    <xf numFmtId="49" fontId="11" fillId="0" borderId="1" xfId="6" applyNumberFormat="1" applyFont="1" applyBorder="1"/>
    <xf numFmtId="0" fontId="11" fillId="0" borderId="1" xfId="0" applyFont="1" applyBorder="1"/>
    <xf numFmtId="49" fontId="11" fillId="0" borderId="2" xfId="0" applyNumberFormat="1" applyFont="1" applyBorder="1" applyAlignment="1">
      <alignment horizontal="left"/>
    </xf>
    <xf numFmtId="49" fontId="11" fillId="0" borderId="1" xfId="0" applyNumberFormat="1" applyFont="1" applyBorder="1" applyAlignment="1">
      <alignment vertical="top"/>
    </xf>
    <xf numFmtId="49" fontId="11" fillId="0" borderId="1" xfId="8" applyNumberFormat="1" applyFont="1" applyBorder="1" applyAlignment="1">
      <alignment horizontal="left"/>
    </xf>
    <xf numFmtId="49" fontId="11" fillId="0" borderId="2" xfId="8" applyNumberFormat="1" applyFont="1" applyBorder="1" applyAlignment="1">
      <alignment horizontal="left"/>
    </xf>
    <xf numFmtId="0" fontId="11" fillId="0" borderId="1" xfId="6" applyFont="1" applyBorder="1" applyAlignment="1">
      <alignment vertical="center"/>
    </xf>
    <xf numFmtId="0" fontId="11" fillId="0" borderId="1" xfId="6" applyFont="1" applyBorder="1" applyAlignment="1">
      <alignment vertical="top"/>
    </xf>
    <xf numFmtId="0" fontId="11" fillId="0" borderId="1" xfId="6" applyFont="1" applyBorder="1" applyAlignment="1">
      <alignment horizontal="left" vertical="top"/>
    </xf>
    <xf numFmtId="0" fontId="18" fillId="0" borderId="0" xfId="14" applyFont="1" applyFill="1"/>
    <xf numFmtId="43" fontId="19" fillId="0" borderId="1" xfId="12" applyFont="1" applyFill="1" applyBorder="1" applyAlignment="1"/>
    <xf numFmtId="0" fontId="4" fillId="3" borderId="0" xfId="0" applyFont="1" applyFill="1"/>
    <xf numFmtId="0" fontId="3" fillId="0" borderId="1" xfId="0" applyFont="1" applyBorder="1" applyAlignment="1">
      <alignment horizontal="center" vertical="top"/>
    </xf>
    <xf numFmtId="43" fontId="19" fillId="0" borderId="1" xfId="12" applyFont="1" applyFill="1" applyBorder="1" applyAlignment="1">
      <alignment horizontal="left"/>
    </xf>
    <xf numFmtId="0" fontId="20" fillId="0" borderId="1" xfId="0" applyFont="1" applyBorder="1" applyAlignment="1">
      <alignment horizontal="center"/>
    </xf>
    <xf numFmtId="0" fontId="21" fillId="0" borderId="5" xfId="6" applyFont="1" applyBorder="1" applyAlignment="1">
      <alignment horizontal="left"/>
    </xf>
    <xf numFmtId="0" fontId="21" fillId="0" borderId="5" xfId="6" applyFont="1" applyBorder="1"/>
    <xf numFmtId="0" fontId="21" fillId="0" borderId="5" xfId="2" applyFont="1" applyBorder="1" applyAlignment="1">
      <alignment horizontal="center"/>
    </xf>
    <xf numFmtId="0" fontId="21" fillId="0" borderId="5" xfId="6" applyFont="1" applyBorder="1" applyAlignment="1">
      <alignment horizontal="center"/>
    </xf>
    <xf numFmtId="43" fontId="21" fillId="0" borderId="5" xfId="1" applyFont="1" applyFill="1" applyBorder="1"/>
    <xf numFmtId="0" fontId="21" fillId="0" borderId="5" xfId="0" applyFont="1" applyBorder="1" applyAlignment="1">
      <alignment horizontal="center" vertical="center"/>
    </xf>
    <xf numFmtId="0" fontId="21" fillId="0" borderId="0" xfId="0" applyFont="1"/>
    <xf numFmtId="0" fontId="21" fillId="0" borderId="1" xfId="0" applyFont="1" applyBorder="1" applyAlignment="1">
      <alignment horizontal="center" vertical="center"/>
    </xf>
    <xf numFmtId="0" fontId="21" fillId="0" borderId="1" xfId="2" applyFont="1" applyBorder="1" applyAlignment="1">
      <alignment horizontal="center"/>
    </xf>
    <xf numFmtId="0" fontId="21" fillId="0" borderId="2" xfId="6" applyFont="1" applyBorder="1" applyAlignment="1">
      <alignment horizontal="center"/>
    </xf>
    <xf numFmtId="43" fontId="21" fillId="0" borderId="2" xfId="1" applyFont="1" applyFill="1" applyBorder="1"/>
    <xf numFmtId="43" fontId="21" fillId="0" borderId="1" xfId="1" applyFont="1" applyFill="1" applyBorder="1"/>
    <xf numFmtId="49" fontId="21" fillId="0" borderId="5" xfId="0" applyNumberFormat="1" applyFont="1" applyBorder="1" applyAlignment="1">
      <alignment horizontal="center"/>
    </xf>
    <xf numFmtId="43" fontId="21" fillId="0" borderId="5" xfId="12" applyFont="1" applyFill="1" applyBorder="1" applyAlignment="1">
      <alignment horizontal="left"/>
    </xf>
    <xf numFmtId="0" fontId="21" fillId="0" borderId="1" xfId="0" applyFont="1" applyBorder="1" applyAlignment="1">
      <alignment horizontal="center"/>
    </xf>
    <xf numFmtId="49" fontId="21" fillId="0" borderId="1" xfId="0" applyNumberFormat="1" applyFont="1" applyBorder="1" applyAlignment="1">
      <alignment horizontal="center"/>
    </xf>
    <xf numFmtId="0" fontId="21" fillId="0" borderId="1" xfId="6" applyFont="1" applyBorder="1" applyAlignment="1">
      <alignment horizontal="left"/>
    </xf>
    <xf numFmtId="0" fontId="21" fillId="0" borderId="1" xfId="6" applyFont="1" applyBorder="1"/>
    <xf numFmtId="0" fontId="21" fillId="0" borderId="1" xfId="6" applyFont="1" applyBorder="1" applyAlignment="1">
      <alignment horizontal="center"/>
    </xf>
    <xf numFmtId="43" fontId="21" fillId="0" borderId="1" xfId="12" applyFont="1" applyFill="1" applyBorder="1" applyAlignment="1">
      <alignment horizontal="left"/>
    </xf>
    <xf numFmtId="0" fontId="22" fillId="0" borderId="1" xfId="6" applyFont="1" applyBorder="1" applyAlignment="1">
      <alignment horizontal="left"/>
    </xf>
    <xf numFmtId="0" fontId="21" fillId="0" borderId="1" xfId="0" applyFont="1" applyBorder="1" applyAlignment="1">
      <alignment horizontal="left"/>
    </xf>
    <xf numFmtId="49" fontId="21" fillId="0" borderId="1" xfId="7" applyNumberFormat="1" applyFont="1" applyBorder="1" applyAlignment="1">
      <alignment horizontal="center"/>
    </xf>
    <xf numFmtId="49" fontId="21" fillId="0" borderId="2" xfId="7" applyNumberFormat="1" applyFont="1" applyBorder="1" applyAlignment="1">
      <alignment horizontal="center"/>
    </xf>
    <xf numFmtId="0" fontId="21" fillId="0" borderId="2" xfId="6" applyFont="1" applyBorder="1" applyAlignment="1">
      <alignment horizontal="left"/>
    </xf>
    <xf numFmtId="0" fontId="21" fillId="0" borderId="2" xfId="0" applyFont="1" applyBorder="1" applyAlignment="1">
      <alignment horizontal="center"/>
    </xf>
    <xf numFmtId="0" fontId="21" fillId="0" borderId="2" xfId="0" applyFont="1" applyBorder="1" applyAlignment="1">
      <alignment horizontal="left"/>
    </xf>
    <xf numFmtId="0" fontId="23" fillId="0" borderId="1" xfId="0" applyFont="1" applyBorder="1" applyAlignment="1">
      <alignment horizontal="center" vertical="center"/>
    </xf>
    <xf numFmtId="49" fontId="23" fillId="0" borderId="1" xfId="7" applyNumberFormat="1" applyFont="1" applyBorder="1" applyAlignment="1">
      <alignment horizontal="center"/>
    </xf>
    <xf numFmtId="0" fontId="23" fillId="0" borderId="1" xfId="6" applyFont="1" applyBorder="1" applyAlignment="1">
      <alignment horizontal="left"/>
    </xf>
    <xf numFmtId="0" fontId="23" fillId="0" borderId="1" xfId="0" applyFont="1" applyBorder="1" applyAlignment="1">
      <alignment horizontal="center"/>
    </xf>
    <xf numFmtId="0" fontId="23" fillId="0" borderId="1" xfId="2" applyFont="1" applyBorder="1" applyAlignment="1">
      <alignment horizontal="center"/>
    </xf>
    <xf numFmtId="0" fontId="23" fillId="0" borderId="1" xfId="6" applyFont="1" applyBorder="1" applyAlignment="1">
      <alignment horizontal="center"/>
    </xf>
    <xf numFmtId="43" fontId="23" fillId="0" borderId="1" xfId="1" applyFont="1" applyFill="1" applyBorder="1"/>
    <xf numFmtId="0" fontId="23" fillId="0" borderId="1" xfId="0" applyFont="1" applyBorder="1" applyAlignment="1">
      <alignment horizontal="left"/>
    </xf>
    <xf numFmtId="0" fontId="23" fillId="0" borderId="0" xfId="0" applyFont="1"/>
    <xf numFmtId="0" fontId="23" fillId="0" borderId="1" xfId="6" applyFont="1" applyBorder="1"/>
    <xf numFmtId="0" fontId="20" fillId="0" borderId="1" xfId="0" applyFont="1" applyBorder="1" applyAlignment="1">
      <alignment horizontal="center" vertical="center"/>
    </xf>
    <xf numFmtId="0" fontId="20" fillId="0" borderId="0" xfId="0" applyFont="1"/>
    <xf numFmtId="43" fontId="23" fillId="0" borderId="1" xfId="12" applyFont="1" applyFill="1" applyBorder="1" applyAlignment="1">
      <alignment horizontal="left"/>
    </xf>
    <xf numFmtId="0" fontId="24" fillId="0" borderId="1" xfId="6" applyFont="1" applyBorder="1"/>
    <xf numFmtId="0" fontId="3" fillId="0" borderId="1" xfId="0" applyFont="1" applyBorder="1" applyAlignment="1">
      <alignment horizontal="left"/>
    </xf>
    <xf numFmtId="0" fontId="22" fillId="0" borderId="1" xfId="0" applyFont="1" applyBorder="1" applyAlignment="1">
      <alignment horizontal="left"/>
    </xf>
    <xf numFmtId="49" fontId="21" fillId="0" borderId="1" xfId="6" applyNumberFormat="1" applyFont="1" applyBorder="1" applyAlignment="1">
      <alignment horizontal="left"/>
    </xf>
    <xf numFmtId="43" fontId="21" fillId="0" borderId="1" xfId="1" applyFont="1" applyFill="1" applyBorder="1" applyAlignment="1">
      <alignment horizontal="right"/>
    </xf>
    <xf numFmtId="0" fontId="4" fillId="0" borderId="1" xfId="6" applyFont="1" applyBorder="1" applyAlignment="1">
      <alignment horizontal="left"/>
    </xf>
    <xf numFmtId="43" fontId="21" fillId="0" borderId="1" xfId="1" applyFont="1" applyFill="1" applyBorder="1" applyAlignment="1">
      <alignment horizontal="center"/>
    </xf>
    <xf numFmtId="49" fontId="21" fillId="0" borderId="1" xfId="13" applyNumberFormat="1" applyFont="1" applyBorder="1" applyAlignment="1">
      <alignment horizontal="center"/>
    </xf>
    <xf numFmtId="15" fontId="23" fillId="0" borderId="1" xfId="0" applyNumberFormat="1" applyFont="1" applyBorder="1" applyAlignment="1">
      <alignment horizontal="center"/>
    </xf>
    <xf numFmtId="49" fontId="21" fillId="0" borderId="5" xfId="6" applyNumberFormat="1" applyFont="1" applyBorder="1" applyAlignment="1">
      <alignment horizontal="left" vertical="center"/>
    </xf>
    <xf numFmtId="49" fontId="21" fillId="0" borderId="7" xfId="6" applyNumberFormat="1" applyFont="1" applyBorder="1" applyAlignment="1">
      <alignment horizontal="left" vertical="center"/>
    </xf>
    <xf numFmtId="0" fontId="21" fillId="0" borderId="7" xfId="6" applyFont="1" applyBorder="1" applyAlignment="1">
      <alignment horizontal="center" vertical="center"/>
    </xf>
    <xf numFmtId="43" fontId="21" fillId="0" borderId="5" xfId="1" applyFont="1" applyFill="1" applyBorder="1" applyAlignment="1">
      <alignment horizontal="center"/>
    </xf>
    <xf numFmtId="49" fontId="23" fillId="0" borderId="1" xfId="0" applyNumberFormat="1" applyFont="1" applyBorder="1" applyAlignment="1">
      <alignment horizontal="center"/>
    </xf>
    <xf numFmtId="0" fontId="23" fillId="0" borderId="1" xfId="8" applyFont="1" applyBorder="1" applyAlignment="1">
      <alignment horizontal="left"/>
    </xf>
    <xf numFmtId="49" fontId="23" fillId="0" borderId="1" xfId="6" applyNumberFormat="1" applyFont="1" applyBorder="1" applyAlignment="1">
      <alignment horizontal="left" vertical="center"/>
    </xf>
    <xf numFmtId="0" fontId="23" fillId="0" borderId="7" xfId="6" applyFont="1" applyBorder="1" applyAlignment="1">
      <alignment horizontal="center" vertical="center"/>
    </xf>
    <xf numFmtId="0" fontId="23" fillId="0" borderId="1" xfId="8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horizontal="center"/>
    </xf>
    <xf numFmtId="43" fontId="25" fillId="0" borderId="1" xfId="1" applyFont="1" applyFill="1" applyBorder="1" applyAlignment="1">
      <alignment horizontal="center"/>
    </xf>
    <xf numFmtId="43" fontId="25" fillId="0" borderId="1" xfId="1" applyFont="1" applyFill="1" applyBorder="1"/>
    <xf numFmtId="43" fontId="25" fillId="0" borderId="5" xfId="1" applyFont="1" applyFill="1" applyBorder="1" applyAlignment="1">
      <alignment horizontal="center"/>
    </xf>
    <xf numFmtId="43" fontId="25" fillId="0" borderId="5" xfId="1" applyFont="1" applyFill="1" applyBorder="1"/>
    <xf numFmtId="0" fontId="25" fillId="0" borderId="1" xfId="0" applyFont="1" applyBorder="1"/>
    <xf numFmtId="43" fontId="25" fillId="0" borderId="1" xfId="0" applyNumberFormat="1" applyFont="1" applyBorder="1"/>
    <xf numFmtId="43" fontId="11" fillId="0" borderId="0" xfId="0" applyNumberFormat="1" applyFont="1"/>
    <xf numFmtId="0" fontId="11" fillId="0" borderId="0" xfId="0" applyFont="1" applyAlignment="1">
      <alignment vertical="center"/>
    </xf>
    <xf numFmtId="166" fontId="25" fillId="0" borderId="1" xfId="0" applyNumberFormat="1" applyFont="1" applyBorder="1"/>
    <xf numFmtId="0" fontId="25" fillId="0" borderId="4" xfId="0" applyFont="1" applyBorder="1"/>
    <xf numFmtId="43" fontId="25" fillId="0" borderId="6" xfId="0" applyNumberFormat="1" applyFont="1" applyBorder="1"/>
    <xf numFmtId="0" fontId="25" fillId="0" borderId="0" xfId="0" applyFont="1" applyAlignment="1">
      <alignment horizontal="center"/>
    </xf>
    <xf numFmtId="0" fontId="25" fillId="0" borderId="0" xfId="9" applyFont="1" applyAlignment="1">
      <alignment horizontal="center" vertical="center"/>
    </xf>
    <xf numFmtId="0" fontId="25" fillId="0" borderId="0" xfId="0" applyFont="1" applyAlignment="1" applyProtection="1">
      <alignment horizontal="center"/>
      <protection locked="0"/>
    </xf>
    <xf numFmtId="0" fontId="3" fillId="0" borderId="0" xfId="6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Alignment="1" applyProtection="1">
      <alignment horizontal="center"/>
      <protection locked="0"/>
    </xf>
    <xf numFmtId="0" fontId="4" fillId="0" borderId="10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14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25" fillId="0" borderId="0" xfId="0" applyFont="1"/>
    <xf numFmtId="0" fontId="25" fillId="0" borderId="0" xfId="0" applyFont="1" applyAlignment="1">
      <alignment horizontal="left"/>
    </xf>
    <xf numFmtId="0" fontId="25" fillId="0" borderId="10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top" wrapText="1"/>
    </xf>
    <xf numFmtId="0" fontId="25" fillId="0" borderId="11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top" wrapText="1"/>
    </xf>
    <xf numFmtId="0" fontId="25" fillId="0" borderId="6" xfId="0" applyFont="1" applyBorder="1" applyAlignment="1">
      <alignment horizontal="center" vertical="top" wrapText="1"/>
    </xf>
    <xf numFmtId="0" fontId="25" fillId="0" borderId="6" xfId="0" applyFont="1" applyBorder="1" applyAlignment="1">
      <alignment horizontal="center" vertical="top"/>
    </xf>
    <xf numFmtId="0" fontId="25" fillId="0" borderId="5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/>
    </xf>
    <xf numFmtId="0" fontId="25" fillId="0" borderId="5" xfId="6" applyFont="1" applyBorder="1" applyAlignment="1">
      <alignment horizontal="left"/>
    </xf>
    <xf numFmtId="0" fontId="25" fillId="0" borderId="5" xfId="6" applyFont="1" applyBorder="1"/>
    <xf numFmtId="0" fontId="25" fillId="0" borderId="5" xfId="2" applyFont="1" applyBorder="1" applyAlignment="1">
      <alignment horizontal="center"/>
    </xf>
    <xf numFmtId="0" fontId="25" fillId="0" borderId="5" xfId="6" applyFont="1" applyBorder="1" applyAlignment="1">
      <alignment horizontal="center"/>
    </xf>
    <xf numFmtId="0" fontId="25" fillId="0" borderId="5" xfId="0" applyFont="1" applyBorder="1" applyAlignment="1">
      <alignment horizontal="left"/>
    </xf>
    <xf numFmtId="0" fontId="25" fillId="0" borderId="1" xfId="0" applyFont="1" applyBorder="1" applyAlignment="1">
      <alignment horizontal="center"/>
    </xf>
    <xf numFmtId="0" fontId="25" fillId="0" borderId="1" xfId="6" applyFont="1" applyBorder="1" applyAlignment="1">
      <alignment horizontal="left"/>
    </xf>
    <xf numFmtId="0" fontId="25" fillId="0" borderId="1" xfId="6" applyFont="1" applyBorder="1"/>
    <xf numFmtId="0" fontId="25" fillId="0" borderId="1" xfId="2" applyFont="1" applyBorder="1" applyAlignment="1">
      <alignment horizontal="center"/>
    </xf>
    <xf numFmtId="0" fontId="25" fillId="0" borderId="1" xfId="6" applyFont="1" applyBorder="1" applyAlignment="1">
      <alignment horizontal="center"/>
    </xf>
    <xf numFmtId="0" fontId="25" fillId="0" borderId="1" xfId="0" applyFont="1" applyBorder="1" applyAlignment="1">
      <alignment horizontal="left"/>
    </xf>
    <xf numFmtId="0" fontId="25" fillId="0" borderId="1" xfId="0" applyFont="1" applyBorder="1" applyAlignment="1">
      <alignment horizontal="center" vertical="center"/>
    </xf>
    <xf numFmtId="49" fontId="25" fillId="0" borderId="2" xfId="0" applyNumberFormat="1" applyFont="1" applyBorder="1" applyAlignment="1">
      <alignment horizontal="center"/>
    </xf>
    <xf numFmtId="0" fontId="25" fillId="0" borderId="2" xfId="8" applyFont="1" applyBorder="1" applyAlignment="1">
      <alignment horizontal="left"/>
    </xf>
    <xf numFmtId="49" fontId="25" fillId="0" borderId="2" xfId="6" applyNumberFormat="1" applyFont="1" applyBorder="1" applyAlignment="1">
      <alignment horizontal="left" vertical="center"/>
    </xf>
    <xf numFmtId="0" fontId="25" fillId="0" borderId="2" xfId="2" applyFont="1" applyBorder="1" applyAlignment="1">
      <alignment horizontal="center"/>
    </xf>
    <xf numFmtId="0" fontId="25" fillId="0" borderId="0" xfId="6" applyFont="1" applyAlignment="1">
      <alignment horizontal="center" vertical="center"/>
    </xf>
    <xf numFmtId="0" fontId="25" fillId="0" borderId="2" xfId="8" applyFont="1" applyBorder="1" applyAlignment="1">
      <alignment horizontal="center"/>
    </xf>
    <xf numFmtId="0" fontId="25" fillId="0" borderId="2" xfId="6" applyFont="1" applyBorder="1" applyAlignment="1">
      <alignment horizontal="center"/>
    </xf>
    <xf numFmtId="43" fontId="25" fillId="0" borderId="2" xfId="1" applyFont="1" applyFill="1" applyBorder="1"/>
    <xf numFmtId="43" fontId="25" fillId="0" borderId="2" xfId="12" applyFont="1" applyFill="1" applyBorder="1" applyAlignment="1">
      <alignment horizontal="left"/>
    </xf>
    <xf numFmtId="49" fontId="25" fillId="4" borderId="1" xfId="7" applyNumberFormat="1" applyFont="1" applyFill="1" applyBorder="1" applyAlignment="1">
      <alignment horizontal="center"/>
    </xf>
    <xf numFmtId="43" fontId="25" fillId="0" borderId="1" xfId="12" applyFont="1" applyFill="1" applyBorder="1" applyAlignment="1">
      <alignment horizontal="left"/>
    </xf>
    <xf numFmtId="49" fontId="25" fillId="0" borderId="1" xfId="7" applyNumberFormat="1" applyFont="1" applyBorder="1" applyAlignment="1">
      <alignment horizontal="center"/>
    </xf>
    <xf numFmtId="49" fontId="25" fillId="0" borderId="1" xfId="0" applyNumberFormat="1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25" fillId="0" borderId="0" xfId="2" applyFont="1" applyAlignment="1">
      <alignment horizontal="center"/>
    </xf>
    <xf numFmtId="0" fontId="25" fillId="0" borderId="0" xfId="6" applyFont="1" applyAlignment="1">
      <alignment horizontal="center"/>
    </xf>
    <xf numFmtId="43" fontId="25" fillId="0" borderId="0" xfId="1" applyFont="1" applyFill="1" applyBorder="1"/>
    <xf numFmtId="49" fontId="25" fillId="0" borderId="0" xfId="7" applyNumberFormat="1" applyFont="1" applyAlignment="1">
      <alignment horizontal="center"/>
    </xf>
    <xf numFmtId="0" fontId="25" fillId="0" borderId="0" xfId="6" applyFont="1" applyAlignment="1">
      <alignment horizontal="left"/>
    </xf>
    <xf numFmtId="0" fontId="25" fillId="0" borderId="0" xfId="6" applyFont="1" applyAlignment="1">
      <alignment horizontal="right"/>
    </xf>
    <xf numFmtId="0" fontId="25" fillId="0" borderId="0" xfId="6" applyFont="1" applyAlignment="1">
      <alignment horizontal="center"/>
    </xf>
    <xf numFmtId="0" fontId="25" fillId="0" borderId="0" xfId="6" applyFont="1"/>
    <xf numFmtId="49" fontId="25" fillId="0" borderId="5" xfId="7" applyNumberFormat="1" applyFont="1" applyBorder="1" applyAlignment="1">
      <alignment horizontal="center"/>
    </xf>
    <xf numFmtId="43" fontId="25" fillId="0" borderId="1" xfId="1" applyFont="1" applyFill="1" applyBorder="1" applyAlignment="1"/>
    <xf numFmtId="43" fontId="27" fillId="0" borderId="1" xfId="12" applyFont="1" applyFill="1" applyBorder="1" applyAlignment="1">
      <alignment horizontal="left"/>
    </xf>
    <xf numFmtId="0" fontId="25" fillId="0" borderId="1" xfId="2" quotePrefix="1" applyFont="1" applyBorder="1" applyAlignment="1">
      <alignment horizontal="center"/>
    </xf>
    <xf numFmtId="0" fontId="25" fillId="3" borderId="0" xfId="0" applyFont="1" applyFill="1"/>
    <xf numFmtId="0" fontId="25" fillId="0" borderId="2" xfId="0" applyFont="1" applyBorder="1" applyAlignment="1">
      <alignment horizontal="center"/>
    </xf>
    <xf numFmtId="0" fontId="25" fillId="0" borderId="2" xfId="6" applyFont="1" applyBorder="1" applyAlignment="1">
      <alignment horizontal="left"/>
    </xf>
    <xf numFmtId="0" fontId="25" fillId="0" borderId="2" xfId="6" applyFont="1" applyBorder="1"/>
    <xf numFmtId="164" fontId="25" fillId="0" borderId="1" xfId="0" applyNumberFormat="1" applyFont="1" applyBorder="1" applyAlignment="1">
      <alignment horizontal="center" vertical="top"/>
    </xf>
    <xf numFmtId="0" fontId="25" fillId="0" borderId="1" xfId="6" applyFont="1" applyBorder="1" applyAlignment="1">
      <alignment horizontal="left" vertical="top"/>
    </xf>
    <xf numFmtId="0" fontId="25" fillId="0" borderId="1" xfId="6" applyFont="1" applyBorder="1" applyAlignment="1">
      <alignment vertical="top" wrapText="1"/>
    </xf>
    <xf numFmtId="0" fontId="25" fillId="0" borderId="1" xfId="0" applyFont="1" applyBorder="1" applyAlignment="1">
      <alignment horizontal="center" vertical="top"/>
    </xf>
    <xf numFmtId="43" fontId="25" fillId="0" borderId="1" xfId="1" applyFont="1" applyFill="1" applyBorder="1" applyAlignment="1">
      <alignment vertical="top"/>
    </xf>
    <xf numFmtId="49" fontId="25" fillId="0" borderId="1" xfId="6" applyNumberFormat="1" applyFont="1" applyBorder="1" applyAlignment="1">
      <alignment horizontal="left"/>
    </xf>
    <xf numFmtId="43" fontId="25" fillId="0" borderId="1" xfId="12" applyFont="1" applyFill="1" applyBorder="1" applyAlignment="1"/>
    <xf numFmtId="0" fontId="25" fillId="0" borderId="1" xfId="8" applyFont="1" applyBorder="1" applyAlignment="1">
      <alignment horizontal="left"/>
    </xf>
    <xf numFmtId="0" fontId="25" fillId="0" borderId="1" xfId="8" applyFont="1" applyBorder="1"/>
    <xf numFmtId="0" fontId="25" fillId="0" borderId="1" xfId="5" applyFont="1" applyBorder="1" applyAlignment="1">
      <alignment horizontal="center"/>
    </xf>
    <xf numFmtId="43" fontId="25" fillId="0" borderId="3" xfId="6" applyNumberFormat="1" applyFont="1" applyBorder="1"/>
    <xf numFmtId="43" fontId="25" fillId="0" borderId="3" xfId="1" applyFont="1" applyFill="1" applyBorder="1" applyAlignment="1">
      <alignment horizontal="center"/>
    </xf>
    <xf numFmtId="43" fontId="25" fillId="0" borderId="1" xfId="6" applyNumberFormat="1" applyFont="1" applyBorder="1"/>
    <xf numFmtId="15" fontId="25" fillId="0" borderId="1" xfId="7" applyNumberFormat="1" applyFont="1" applyBorder="1" applyAlignment="1">
      <alignment horizontal="center"/>
    </xf>
    <xf numFmtId="0" fontId="25" fillId="0" borderId="1" xfId="6" applyFont="1" applyBorder="1" applyAlignment="1">
      <alignment horizontal="left" vertical="center"/>
    </xf>
    <xf numFmtId="49" fontId="25" fillId="0" borderId="5" xfId="0" applyNumberFormat="1" applyFont="1" applyBorder="1" applyAlignment="1">
      <alignment horizontal="center"/>
    </xf>
    <xf numFmtId="49" fontId="25" fillId="0" borderId="5" xfId="0" applyNumberFormat="1" applyFont="1" applyBorder="1" applyAlignment="1">
      <alignment horizontal="left"/>
    </xf>
    <xf numFmtId="49" fontId="25" fillId="0" borderId="5" xfId="0" applyNumberFormat="1" applyFont="1" applyBorder="1"/>
    <xf numFmtId="0" fontId="25" fillId="0" borderId="5" xfId="5" applyFont="1" applyBorder="1" applyAlignment="1">
      <alignment horizontal="center"/>
    </xf>
    <xf numFmtId="43" fontId="25" fillId="0" borderId="5" xfId="1" applyFont="1" applyFill="1" applyBorder="1" applyAlignment="1">
      <alignment horizontal="left"/>
    </xf>
    <xf numFmtId="49" fontId="25" fillId="0" borderId="1" xfId="0" applyNumberFormat="1" applyFont="1" applyBorder="1" applyAlignment="1">
      <alignment horizontal="left"/>
    </xf>
    <xf numFmtId="49" fontId="25" fillId="0" borderId="1" xfId="0" applyNumberFormat="1" applyFont="1" applyBorder="1"/>
    <xf numFmtId="43" fontId="25" fillId="0" borderId="1" xfId="1" applyFont="1" applyFill="1" applyBorder="1" applyAlignment="1">
      <alignment horizontal="left"/>
    </xf>
    <xf numFmtId="0" fontId="28" fillId="0" borderId="1" xfId="0" applyFont="1" applyBorder="1" applyAlignment="1">
      <alignment horizontal="left" vertical="center"/>
    </xf>
    <xf numFmtId="15" fontId="25" fillId="0" borderId="1" xfId="0" applyNumberFormat="1" applyFont="1" applyBorder="1" applyAlignment="1">
      <alignment horizontal="center"/>
    </xf>
    <xf numFmtId="0" fontId="25" fillId="0" borderId="7" xfId="6" applyFont="1" applyBorder="1" applyAlignment="1">
      <alignment horizontal="left" vertical="center"/>
    </xf>
    <xf numFmtId="49" fontId="25" fillId="0" borderId="1" xfId="13" applyNumberFormat="1" applyFont="1" applyBorder="1" applyAlignment="1">
      <alignment horizontal="center"/>
    </xf>
    <xf numFmtId="49" fontId="25" fillId="0" borderId="1" xfId="6" applyNumberFormat="1" applyFont="1" applyBorder="1"/>
    <xf numFmtId="49" fontId="25" fillId="0" borderId="1" xfId="0" applyNumberFormat="1" applyFont="1" applyBorder="1" applyAlignment="1">
      <alignment horizontal="left" vertical="top"/>
    </xf>
    <xf numFmtId="0" fontId="25" fillId="0" borderId="1" xfId="2" applyFont="1" applyBorder="1" applyAlignment="1">
      <alignment horizontal="center" vertical="top"/>
    </xf>
    <xf numFmtId="0" fontId="25" fillId="0" borderId="1" xfId="5" applyFont="1" applyBorder="1" applyAlignment="1">
      <alignment horizontal="center" vertical="top"/>
    </xf>
    <xf numFmtId="43" fontId="25" fillId="0" borderId="1" xfId="1" applyFont="1" applyFill="1" applyBorder="1" applyAlignment="1">
      <alignment horizontal="right" vertical="top"/>
    </xf>
    <xf numFmtId="49" fontId="25" fillId="0" borderId="1" xfId="0" applyNumberFormat="1" applyFont="1" applyBorder="1" applyAlignment="1">
      <alignment horizontal="left" vertical="center"/>
    </xf>
    <xf numFmtId="43" fontId="25" fillId="0" borderId="1" xfId="1" applyFont="1" applyFill="1" applyBorder="1" applyAlignment="1">
      <alignment horizontal="right"/>
    </xf>
    <xf numFmtId="165" fontId="25" fillId="0" borderId="1" xfId="0" applyNumberFormat="1" applyFont="1" applyBorder="1" applyAlignment="1">
      <alignment horizontal="left" vertical="top"/>
    </xf>
    <xf numFmtId="165" fontId="25" fillId="0" borderId="1" xfId="0" applyNumberFormat="1" applyFont="1" applyBorder="1" applyAlignment="1">
      <alignment vertical="top"/>
    </xf>
    <xf numFmtId="165" fontId="25" fillId="0" borderId="1" xfId="0" applyNumberFormat="1" applyFont="1" applyBorder="1" applyAlignment="1">
      <alignment horizontal="center" vertical="top"/>
    </xf>
    <xf numFmtId="0" fontId="25" fillId="0" borderId="5" xfId="6" applyFont="1" applyBorder="1" applyAlignment="1">
      <alignment horizontal="left" vertical="center"/>
    </xf>
    <xf numFmtId="49" fontId="25" fillId="0" borderId="1" xfId="8" applyNumberFormat="1" applyFont="1" applyBorder="1" applyAlignment="1">
      <alignment horizontal="left"/>
    </xf>
    <xf numFmtId="0" fontId="25" fillId="0" borderId="8" xfId="2" applyFont="1" applyBorder="1" applyAlignment="1">
      <alignment horizontal="center"/>
    </xf>
    <xf numFmtId="0" fontId="25" fillId="0" borderId="14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top" wrapText="1"/>
    </xf>
    <xf numFmtId="0" fontId="25" fillId="0" borderId="6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top" wrapText="1"/>
    </xf>
    <xf numFmtId="49" fontId="25" fillId="0" borderId="1" xfId="0" applyNumberFormat="1" applyFont="1" applyBorder="1" applyAlignment="1">
      <alignment horizontal="center" vertical="center"/>
    </xf>
    <xf numFmtId="0" fontId="25" fillId="0" borderId="1" xfId="6" applyFont="1" applyBorder="1" applyAlignment="1">
      <alignment vertical="center"/>
    </xf>
    <xf numFmtId="0" fontId="25" fillId="0" borderId="1" xfId="2" applyFont="1" applyBorder="1" applyAlignment="1">
      <alignment horizontal="center" vertical="center"/>
    </xf>
    <xf numFmtId="43" fontId="25" fillId="0" borderId="1" xfId="1" applyFont="1" applyFill="1" applyBorder="1" applyAlignment="1">
      <alignment vertical="center"/>
    </xf>
    <xf numFmtId="43" fontId="25" fillId="0" borderId="1" xfId="12" applyFont="1" applyFill="1" applyBorder="1" applyAlignment="1">
      <alignment horizontal="left" vertical="center"/>
    </xf>
    <xf numFmtId="0" fontId="25" fillId="0" borderId="0" xfId="0" applyFont="1" applyAlignment="1">
      <alignment vertical="center"/>
    </xf>
    <xf numFmtId="0" fontId="29" fillId="0" borderId="1" xfId="0" applyFont="1" applyBorder="1" applyAlignment="1">
      <alignment horizontal="center"/>
    </xf>
    <xf numFmtId="0" fontId="29" fillId="0" borderId="1" xfId="6" applyFont="1" applyBorder="1" applyAlignment="1">
      <alignment horizontal="left"/>
    </xf>
    <xf numFmtId="0" fontId="29" fillId="0" borderId="1" xfId="2" applyFont="1" applyBorder="1" applyAlignment="1">
      <alignment horizontal="center"/>
    </xf>
    <xf numFmtId="43" fontId="29" fillId="0" borderId="1" xfId="1" applyFont="1" applyFill="1" applyBorder="1"/>
    <xf numFmtId="0" fontId="29" fillId="0" borderId="1" xfId="6" applyFont="1" applyBorder="1"/>
    <xf numFmtId="49" fontId="29" fillId="0" borderId="1" xfId="6" applyNumberFormat="1" applyFont="1" applyBorder="1" applyAlignment="1">
      <alignment horizontal="left"/>
    </xf>
    <xf numFmtId="43" fontId="29" fillId="0" borderId="1" xfId="1" applyFont="1" applyFill="1" applyBorder="1" applyAlignment="1">
      <alignment horizontal="center"/>
    </xf>
    <xf numFmtId="0" fontId="29" fillId="0" borderId="5" xfId="2" applyFont="1" applyBorder="1" applyAlignment="1">
      <alignment horizontal="center"/>
    </xf>
    <xf numFmtId="43" fontId="25" fillId="0" borderId="3" xfId="1" applyFont="1" applyFill="1" applyBorder="1"/>
    <xf numFmtId="43" fontId="25" fillId="0" borderId="5" xfId="0" applyNumberFormat="1" applyFont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4" fontId="25" fillId="0" borderId="1" xfId="1" applyNumberFormat="1" applyFont="1" applyFill="1" applyBorder="1"/>
    <xf numFmtId="166" fontId="25" fillId="0" borderId="1" xfId="1" applyNumberFormat="1" applyFont="1" applyFill="1" applyBorder="1" applyAlignment="1">
      <alignment horizontal="right"/>
    </xf>
  </cellXfs>
  <cellStyles count="15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  <cellStyle name="ปานกลาง" xfId="14" builtinId="28"/>
  </cellStyles>
  <dxfs count="0"/>
  <tableStyles count="0" defaultTableStyle="TableStyleMedium2" defaultPivotStyle="PivotStyleLight16"/>
  <colors>
    <mruColors>
      <color rgb="FF2F75B5"/>
      <color rgb="FF0070C0"/>
      <color rgb="FFFF0066"/>
      <color rgb="FF993300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N710"/>
  <sheetViews>
    <sheetView tabSelected="1" topLeftCell="D61" zoomScaleNormal="100" workbookViewId="0">
      <selection activeCell="A66" sqref="A66:L66"/>
    </sheetView>
  </sheetViews>
  <sheetFormatPr defaultColWidth="9" defaultRowHeight="24" customHeight="1"/>
  <cols>
    <col min="1" max="1" width="5.42578125" style="131" customWidth="1"/>
    <col min="2" max="2" width="12.28515625" style="251" customWidth="1"/>
    <col min="3" max="3" width="32.42578125" style="252" customWidth="1"/>
    <col min="4" max="4" width="41.42578125" style="131" customWidth="1"/>
    <col min="5" max="5" width="7.7109375" style="131" customWidth="1"/>
    <col min="6" max="6" width="8.85546875" style="131" customWidth="1"/>
    <col min="7" max="7" width="6.140625" style="131" customWidth="1"/>
    <col min="8" max="8" width="6.28515625" style="131" customWidth="1"/>
    <col min="9" max="9" width="6.140625" style="131" customWidth="1"/>
    <col min="10" max="10" width="11" style="131" customWidth="1"/>
    <col min="11" max="11" width="14.28515625" style="131" customWidth="1"/>
    <col min="12" max="12" width="31.140625" style="251" customWidth="1"/>
    <col min="13" max="13" width="14.5703125" style="131" customWidth="1"/>
    <col min="14" max="16384" width="9" style="131"/>
  </cols>
  <sheetData>
    <row r="1" spans="1:13" ht="24" customHeight="1">
      <c r="A1" s="291"/>
      <c r="B1" s="253"/>
      <c r="C1" s="292"/>
      <c r="D1" s="291"/>
      <c r="E1" s="291"/>
      <c r="F1" s="291"/>
      <c r="G1" s="291"/>
      <c r="H1" s="291"/>
      <c r="I1" s="291"/>
      <c r="J1" s="291"/>
      <c r="K1" s="291"/>
      <c r="L1" s="253" t="s">
        <v>153</v>
      </c>
      <c r="M1" s="291"/>
    </row>
    <row r="2" spans="1:13" ht="24" customHeight="1">
      <c r="A2" s="265" t="s">
        <v>158</v>
      </c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91"/>
    </row>
    <row r="3" spans="1:13" ht="24" customHeight="1">
      <c r="A3" s="266" t="s">
        <v>160</v>
      </c>
      <c r="B3" s="266"/>
      <c r="C3" s="266"/>
      <c r="D3" s="266"/>
      <c r="E3" s="266"/>
      <c r="F3" s="266"/>
      <c r="G3" s="266"/>
      <c r="H3" s="266"/>
      <c r="I3" s="266"/>
      <c r="J3" s="266"/>
      <c r="K3" s="266"/>
      <c r="L3" s="266"/>
      <c r="M3" s="291"/>
    </row>
    <row r="4" spans="1:13" ht="24" customHeight="1" thickBot="1">
      <c r="A4" s="267" t="s">
        <v>161</v>
      </c>
      <c r="B4" s="267"/>
      <c r="C4" s="267"/>
      <c r="D4" s="267"/>
      <c r="E4" s="267"/>
      <c r="F4" s="267"/>
      <c r="G4" s="267"/>
      <c r="H4" s="267"/>
      <c r="I4" s="267"/>
      <c r="J4" s="267"/>
      <c r="K4" s="267"/>
      <c r="L4" s="267"/>
      <c r="M4" s="291"/>
    </row>
    <row r="5" spans="1:13" ht="24" customHeight="1" thickTop="1">
      <c r="A5" s="293" t="s">
        <v>103</v>
      </c>
      <c r="B5" s="293" t="s">
        <v>122</v>
      </c>
      <c r="C5" s="293" t="s">
        <v>124</v>
      </c>
      <c r="D5" s="294" t="s">
        <v>0</v>
      </c>
      <c r="E5" s="293" t="s">
        <v>109</v>
      </c>
      <c r="F5" s="293" t="s">
        <v>110</v>
      </c>
      <c r="G5" s="295" t="s">
        <v>111</v>
      </c>
      <c r="H5" s="296" t="s">
        <v>1</v>
      </c>
      <c r="I5" s="297"/>
      <c r="J5" s="293" t="s">
        <v>125</v>
      </c>
      <c r="K5" s="293" t="s">
        <v>104</v>
      </c>
      <c r="L5" s="293" t="s">
        <v>112</v>
      </c>
      <c r="M5" s="291"/>
    </row>
    <row r="6" spans="1:13" ht="48.75" customHeight="1" thickBot="1">
      <c r="A6" s="298"/>
      <c r="B6" s="298"/>
      <c r="C6" s="298"/>
      <c r="D6" s="299"/>
      <c r="E6" s="298"/>
      <c r="F6" s="298"/>
      <c r="G6" s="300"/>
      <c r="H6" s="301" t="s">
        <v>113</v>
      </c>
      <c r="I6" s="302" t="s">
        <v>114</v>
      </c>
      <c r="J6" s="298"/>
      <c r="K6" s="298"/>
      <c r="L6" s="298"/>
      <c r="M6" s="291"/>
    </row>
    <row r="7" spans="1:13" ht="24" customHeight="1" thickTop="1">
      <c r="A7" s="303">
        <v>1</v>
      </c>
      <c r="B7" s="304">
        <v>2548</v>
      </c>
      <c r="C7" s="305" t="s">
        <v>85</v>
      </c>
      <c r="D7" s="306" t="s">
        <v>86</v>
      </c>
      <c r="E7" s="304" t="s">
        <v>3</v>
      </c>
      <c r="F7" s="304">
        <v>17</v>
      </c>
      <c r="G7" s="307" t="s">
        <v>128</v>
      </c>
      <c r="H7" s="308">
        <v>3</v>
      </c>
      <c r="I7" s="308">
        <v>3</v>
      </c>
      <c r="J7" s="257">
        <v>3478</v>
      </c>
      <c r="K7" s="257">
        <f>SUM(H7*J7)</f>
        <v>10434</v>
      </c>
      <c r="L7" s="309" t="s">
        <v>116</v>
      </c>
      <c r="M7" s="291" t="s">
        <v>159</v>
      </c>
    </row>
    <row r="8" spans="1:13" ht="24" customHeight="1">
      <c r="A8" s="310">
        <v>2</v>
      </c>
      <c r="B8" s="310">
        <v>2548</v>
      </c>
      <c r="C8" s="311" t="s">
        <v>87</v>
      </c>
      <c r="D8" s="312" t="s">
        <v>88</v>
      </c>
      <c r="E8" s="310" t="s">
        <v>3</v>
      </c>
      <c r="F8" s="310">
        <v>17</v>
      </c>
      <c r="G8" s="313" t="s">
        <v>128</v>
      </c>
      <c r="H8" s="314">
        <v>6</v>
      </c>
      <c r="I8" s="314">
        <v>6</v>
      </c>
      <c r="J8" s="255">
        <v>1175</v>
      </c>
      <c r="K8" s="255">
        <f>SUM(H8*J8)</f>
        <v>7050</v>
      </c>
      <c r="L8" s="315" t="s">
        <v>213</v>
      </c>
      <c r="M8" s="291" t="s">
        <v>159</v>
      </c>
    </row>
    <row r="9" spans="1:13" ht="24" customHeight="1">
      <c r="A9" s="316">
        <v>3</v>
      </c>
      <c r="B9" s="317" t="s">
        <v>138</v>
      </c>
      <c r="C9" s="318" t="s">
        <v>145</v>
      </c>
      <c r="D9" s="319" t="s">
        <v>146</v>
      </c>
      <c r="E9" s="320" t="s">
        <v>2</v>
      </c>
      <c r="F9" s="321">
        <v>12</v>
      </c>
      <c r="G9" s="313" t="s">
        <v>128</v>
      </c>
      <c r="H9" s="322">
        <v>1</v>
      </c>
      <c r="I9" s="323">
        <v>1</v>
      </c>
      <c r="J9" s="324">
        <v>4000</v>
      </c>
      <c r="K9" s="255">
        <f t="shared" ref="K9:K16" si="0">SUM(I9*J9)</f>
        <v>4000</v>
      </c>
      <c r="L9" s="325" t="s">
        <v>147</v>
      </c>
      <c r="M9" s="291" t="s">
        <v>623</v>
      </c>
    </row>
    <row r="10" spans="1:13" ht="24" customHeight="1">
      <c r="A10" s="310">
        <v>4</v>
      </c>
      <c r="B10" s="326" t="s">
        <v>107</v>
      </c>
      <c r="C10" s="311" t="s">
        <v>215</v>
      </c>
      <c r="D10" s="312" t="s">
        <v>214</v>
      </c>
      <c r="E10" s="313" t="s">
        <v>3</v>
      </c>
      <c r="F10" s="313">
        <v>19</v>
      </c>
      <c r="G10" s="313" t="s">
        <v>128</v>
      </c>
      <c r="H10" s="314">
        <v>1</v>
      </c>
      <c r="I10" s="314">
        <v>1</v>
      </c>
      <c r="J10" s="255">
        <v>1400</v>
      </c>
      <c r="K10" s="255">
        <f t="shared" si="0"/>
        <v>1400</v>
      </c>
      <c r="L10" s="327" t="s">
        <v>213</v>
      </c>
      <c r="M10" s="291" t="s">
        <v>293</v>
      </c>
    </row>
    <row r="11" spans="1:13" ht="24" customHeight="1">
      <c r="A11" s="316">
        <v>5</v>
      </c>
      <c r="B11" s="328" t="s">
        <v>107</v>
      </c>
      <c r="C11" s="311" t="s">
        <v>212</v>
      </c>
      <c r="D11" s="312" t="s">
        <v>211</v>
      </c>
      <c r="E11" s="313" t="s">
        <v>3</v>
      </c>
      <c r="F11" s="313">
        <v>19</v>
      </c>
      <c r="G11" s="313" t="s">
        <v>128</v>
      </c>
      <c r="H11" s="314">
        <v>1</v>
      </c>
      <c r="I11" s="314">
        <v>1</v>
      </c>
      <c r="J11" s="255">
        <v>2400</v>
      </c>
      <c r="K11" s="255">
        <f t="shared" si="0"/>
        <v>2400</v>
      </c>
      <c r="L11" s="327" t="s">
        <v>210</v>
      </c>
      <c r="M11" s="291" t="s">
        <v>293</v>
      </c>
    </row>
    <row r="12" spans="1:13" ht="24" customHeight="1">
      <c r="A12" s="310">
        <v>6</v>
      </c>
      <c r="B12" s="328" t="s">
        <v>107</v>
      </c>
      <c r="C12" s="311" t="s">
        <v>237</v>
      </c>
      <c r="D12" s="312" t="s">
        <v>236</v>
      </c>
      <c r="E12" s="313" t="s">
        <v>3</v>
      </c>
      <c r="F12" s="313">
        <v>19</v>
      </c>
      <c r="G12" s="313" t="s">
        <v>128</v>
      </c>
      <c r="H12" s="314">
        <v>1</v>
      </c>
      <c r="I12" s="314">
        <v>1</v>
      </c>
      <c r="J12" s="255">
        <v>3400</v>
      </c>
      <c r="K12" s="255">
        <f t="shared" si="0"/>
        <v>3400</v>
      </c>
      <c r="L12" s="327" t="s">
        <v>1459</v>
      </c>
      <c r="M12" s="291" t="s">
        <v>293</v>
      </c>
    </row>
    <row r="13" spans="1:13" ht="24" customHeight="1">
      <c r="A13" s="316">
        <v>7</v>
      </c>
      <c r="B13" s="328" t="s">
        <v>222</v>
      </c>
      <c r="C13" s="311" t="s">
        <v>224</v>
      </c>
      <c r="D13" s="311" t="s">
        <v>223</v>
      </c>
      <c r="E13" s="313" t="s">
        <v>98</v>
      </c>
      <c r="F13" s="313">
        <v>18</v>
      </c>
      <c r="G13" s="313" t="s">
        <v>128</v>
      </c>
      <c r="H13" s="314">
        <v>1</v>
      </c>
      <c r="I13" s="314">
        <v>1</v>
      </c>
      <c r="J13" s="255">
        <v>3990</v>
      </c>
      <c r="K13" s="255">
        <f t="shared" si="0"/>
        <v>3990</v>
      </c>
      <c r="L13" s="327" t="s">
        <v>1460</v>
      </c>
      <c r="M13" s="291" t="s">
        <v>293</v>
      </c>
    </row>
    <row r="14" spans="1:13" ht="24" customHeight="1">
      <c r="A14" s="310">
        <v>8</v>
      </c>
      <c r="B14" s="328" t="s">
        <v>218</v>
      </c>
      <c r="C14" s="311" t="s">
        <v>217</v>
      </c>
      <c r="D14" s="312" t="s">
        <v>216</v>
      </c>
      <c r="E14" s="313" t="s">
        <v>98</v>
      </c>
      <c r="F14" s="313">
        <v>17</v>
      </c>
      <c r="G14" s="313" t="s">
        <v>128</v>
      </c>
      <c r="H14" s="314">
        <v>6</v>
      </c>
      <c r="I14" s="314">
        <v>6</v>
      </c>
      <c r="J14" s="255">
        <v>1333.33</v>
      </c>
      <c r="K14" s="255">
        <f t="shared" si="0"/>
        <v>7999.98</v>
      </c>
      <c r="L14" s="327" t="s">
        <v>1461</v>
      </c>
      <c r="M14" s="291" t="s">
        <v>293</v>
      </c>
    </row>
    <row r="15" spans="1:13" ht="24" customHeight="1">
      <c r="A15" s="316">
        <v>9</v>
      </c>
      <c r="B15" s="328" t="s">
        <v>218</v>
      </c>
      <c r="C15" s="311" t="s">
        <v>242</v>
      </c>
      <c r="D15" s="312" t="s">
        <v>241</v>
      </c>
      <c r="E15" s="313" t="s">
        <v>98</v>
      </c>
      <c r="F15" s="313">
        <v>17</v>
      </c>
      <c r="G15" s="313" t="s">
        <v>128</v>
      </c>
      <c r="H15" s="314">
        <v>10</v>
      </c>
      <c r="I15" s="314">
        <v>10</v>
      </c>
      <c r="J15" s="255">
        <v>1020</v>
      </c>
      <c r="K15" s="255">
        <f t="shared" si="0"/>
        <v>10200</v>
      </c>
      <c r="L15" s="327" t="s">
        <v>213</v>
      </c>
      <c r="M15" s="291" t="s">
        <v>293</v>
      </c>
    </row>
    <row r="16" spans="1:13" ht="24" customHeight="1">
      <c r="A16" s="310">
        <v>10</v>
      </c>
      <c r="B16" s="329" t="s">
        <v>249</v>
      </c>
      <c r="C16" s="311" t="s">
        <v>254</v>
      </c>
      <c r="D16" s="312" t="s">
        <v>255</v>
      </c>
      <c r="E16" s="310" t="s">
        <v>3</v>
      </c>
      <c r="F16" s="313">
        <v>16</v>
      </c>
      <c r="G16" s="313" t="s">
        <v>128</v>
      </c>
      <c r="H16" s="314">
        <v>5</v>
      </c>
      <c r="I16" s="314">
        <v>5</v>
      </c>
      <c r="J16" s="255">
        <v>1284</v>
      </c>
      <c r="K16" s="255">
        <f t="shared" si="0"/>
        <v>6420</v>
      </c>
      <c r="L16" s="327" t="s">
        <v>246</v>
      </c>
      <c r="M16" s="291" t="s">
        <v>293</v>
      </c>
    </row>
    <row r="17" spans="1:13" ht="24" customHeight="1">
      <c r="A17" s="330"/>
      <c r="B17" s="328"/>
      <c r="C17" s="311"/>
      <c r="D17" s="311"/>
      <c r="E17" s="310"/>
      <c r="F17" s="310"/>
      <c r="G17" s="313"/>
      <c r="H17" s="314"/>
      <c r="I17" s="314"/>
      <c r="J17" s="254" t="s">
        <v>129</v>
      </c>
      <c r="K17" s="255">
        <f>SUM(K7:K16)</f>
        <v>57293.979999999996</v>
      </c>
      <c r="L17" s="310"/>
      <c r="M17" s="291"/>
    </row>
    <row r="18" spans="1:13" ht="24" customHeight="1">
      <c r="A18" s="253"/>
      <c r="B18" s="331" t="s">
        <v>119</v>
      </c>
      <c r="C18" s="292" t="s">
        <v>120</v>
      </c>
      <c r="D18" s="291"/>
      <c r="E18" s="253"/>
      <c r="F18" s="253"/>
      <c r="G18" s="332"/>
      <c r="H18" s="333"/>
      <c r="I18" s="333"/>
      <c r="J18" s="334"/>
      <c r="K18" s="334"/>
      <c r="L18" s="253"/>
      <c r="M18" s="291"/>
    </row>
    <row r="19" spans="1:13" ht="24" customHeight="1">
      <c r="A19" s="253"/>
      <c r="B19" s="253"/>
      <c r="C19" s="292" t="s">
        <v>121</v>
      </c>
      <c r="D19" s="291"/>
      <c r="E19" s="253"/>
      <c r="F19" s="253"/>
      <c r="G19" s="332"/>
      <c r="H19" s="333"/>
      <c r="I19" s="333"/>
      <c r="J19" s="334"/>
      <c r="K19" s="334"/>
      <c r="L19" s="253"/>
      <c r="M19" s="291"/>
    </row>
    <row r="20" spans="1:13" ht="22.5" customHeight="1">
      <c r="A20" s="253"/>
      <c r="B20" s="335"/>
      <c r="C20" s="336"/>
      <c r="D20" s="336"/>
      <c r="E20" s="253"/>
      <c r="F20" s="291"/>
      <c r="G20" s="337" t="s">
        <v>148</v>
      </c>
      <c r="H20" s="338" t="s">
        <v>149</v>
      </c>
      <c r="I20" s="338"/>
      <c r="J20" s="338"/>
      <c r="K20" s="339" t="s">
        <v>150</v>
      </c>
      <c r="L20" s="339"/>
      <c r="M20" s="339"/>
    </row>
    <row r="21" spans="1:13" ht="21.75" customHeight="1">
      <c r="A21" s="253"/>
      <c r="B21" s="335"/>
      <c r="C21" s="336"/>
      <c r="D21" s="336"/>
      <c r="E21" s="253"/>
      <c r="F21" s="253"/>
      <c r="G21" s="339"/>
      <c r="H21" s="338" t="s">
        <v>1549</v>
      </c>
      <c r="I21" s="338"/>
      <c r="J21" s="338"/>
      <c r="K21" s="339"/>
      <c r="L21" s="339"/>
      <c r="M21" s="291"/>
    </row>
    <row r="22" spans="1:13" ht="31.5" customHeight="1">
      <c r="A22" s="253"/>
      <c r="B22" s="335"/>
      <c r="C22" s="336"/>
      <c r="D22" s="336"/>
      <c r="E22" s="253"/>
      <c r="F22" s="253"/>
      <c r="G22" s="337" t="s">
        <v>148</v>
      </c>
      <c r="H22" s="338" t="s">
        <v>149</v>
      </c>
      <c r="I22" s="338"/>
      <c r="J22" s="338"/>
      <c r="K22" s="339" t="s">
        <v>151</v>
      </c>
      <c r="L22" s="339"/>
      <c r="M22" s="291"/>
    </row>
    <row r="23" spans="1:13" ht="22.5" customHeight="1">
      <c r="A23" s="253"/>
      <c r="B23" s="335"/>
      <c r="C23" s="336"/>
      <c r="D23" s="336"/>
      <c r="E23" s="253"/>
      <c r="F23" s="253"/>
      <c r="G23" s="339"/>
      <c r="H23" s="338" t="s">
        <v>154</v>
      </c>
      <c r="I23" s="338"/>
      <c r="J23" s="338"/>
      <c r="K23" s="339"/>
      <c r="L23" s="339"/>
      <c r="M23" s="291"/>
    </row>
    <row r="24" spans="1:13" ht="34.5" customHeight="1">
      <c r="A24" s="253"/>
      <c r="B24" s="335"/>
      <c r="C24" s="336"/>
      <c r="D24" s="336"/>
      <c r="E24" s="253"/>
      <c r="F24" s="253"/>
      <c r="G24" s="337" t="s">
        <v>148</v>
      </c>
      <c r="H24" s="338" t="s">
        <v>149</v>
      </c>
      <c r="I24" s="338"/>
      <c r="J24" s="338"/>
      <c r="K24" s="339" t="s">
        <v>151</v>
      </c>
      <c r="L24" s="336"/>
      <c r="M24" s="291"/>
    </row>
    <row r="25" spans="1:13" ht="21" customHeight="1">
      <c r="A25" s="253"/>
      <c r="B25" s="335"/>
      <c r="C25" s="336"/>
      <c r="D25" s="336"/>
      <c r="E25" s="253"/>
      <c r="F25" s="253"/>
      <c r="G25" s="339"/>
      <c r="H25" s="338" t="s">
        <v>155</v>
      </c>
      <c r="I25" s="338"/>
      <c r="J25" s="338"/>
      <c r="K25" s="339"/>
      <c r="L25" s="336"/>
      <c r="M25" s="291"/>
    </row>
    <row r="26" spans="1:13" ht="20.25" customHeight="1">
      <c r="A26" s="253"/>
      <c r="B26" s="335"/>
      <c r="C26" s="336"/>
      <c r="D26" s="336"/>
      <c r="E26" s="253"/>
      <c r="F26" s="253"/>
      <c r="G26" s="336"/>
      <c r="H26" s="333"/>
      <c r="I26" s="333"/>
      <c r="J26" s="333"/>
      <c r="K26" s="336"/>
      <c r="L26" s="336"/>
      <c r="M26" s="291"/>
    </row>
    <row r="27" spans="1:13" ht="24" customHeight="1">
      <c r="A27" s="253"/>
      <c r="B27" s="335"/>
      <c r="C27" s="336"/>
      <c r="D27" s="336"/>
      <c r="E27" s="253"/>
      <c r="F27" s="253"/>
      <c r="G27" s="337" t="s">
        <v>148</v>
      </c>
      <c r="H27" s="338" t="s">
        <v>149</v>
      </c>
      <c r="I27" s="338"/>
      <c r="J27" s="338"/>
      <c r="K27" s="339" t="s">
        <v>151</v>
      </c>
      <c r="L27" s="336"/>
      <c r="M27" s="291"/>
    </row>
    <row r="28" spans="1:13" ht="24" customHeight="1">
      <c r="A28" s="253"/>
      <c r="B28" s="335"/>
      <c r="C28" s="336"/>
      <c r="D28" s="336"/>
      <c r="E28" s="253"/>
      <c r="F28" s="253"/>
      <c r="G28" s="339"/>
      <c r="H28" s="338" t="s">
        <v>156</v>
      </c>
      <c r="I28" s="338"/>
      <c r="J28" s="338"/>
      <c r="K28" s="339"/>
      <c r="L28" s="336"/>
      <c r="M28" s="291"/>
    </row>
    <row r="29" spans="1:13" ht="18.75" customHeight="1">
      <c r="A29" s="253"/>
      <c r="B29" s="335"/>
      <c r="C29" s="336"/>
      <c r="D29" s="336"/>
      <c r="E29" s="253"/>
      <c r="F29" s="253"/>
      <c r="G29" s="336"/>
      <c r="H29" s="333"/>
      <c r="I29" s="333"/>
      <c r="J29" s="333"/>
      <c r="K29" s="336"/>
      <c r="L29" s="336"/>
      <c r="M29" s="291"/>
    </row>
    <row r="30" spans="1:13" ht="24" customHeight="1">
      <c r="A30" s="253"/>
      <c r="B30" s="335"/>
      <c r="C30" s="336"/>
      <c r="D30" s="336"/>
      <c r="E30" s="253"/>
      <c r="F30" s="253"/>
      <c r="G30" s="337" t="s">
        <v>148</v>
      </c>
      <c r="H30" s="338" t="s">
        <v>149</v>
      </c>
      <c r="I30" s="338"/>
      <c r="J30" s="338"/>
      <c r="K30" s="336" t="s">
        <v>152</v>
      </c>
      <c r="L30" s="336"/>
      <c r="M30" s="291"/>
    </row>
    <row r="31" spans="1:13" ht="22.5" customHeight="1">
      <c r="A31" s="253"/>
      <c r="B31" s="335"/>
      <c r="C31" s="336"/>
      <c r="D31" s="336"/>
      <c r="E31" s="253"/>
      <c r="F31" s="253"/>
      <c r="G31" s="336"/>
      <c r="H31" s="338" t="s">
        <v>157</v>
      </c>
      <c r="I31" s="338"/>
      <c r="J31" s="338"/>
      <c r="K31" s="336"/>
      <c r="L31" s="336"/>
      <c r="M31" s="291"/>
    </row>
    <row r="32" spans="1:13" ht="22.5" customHeight="1">
      <c r="A32" s="253"/>
      <c r="B32" s="335"/>
      <c r="C32" s="336"/>
      <c r="D32" s="336"/>
      <c r="E32" s="253"/>
      <c r="F32" s="253"/>
      <c r="G32" s="336"/>
      <c r="H32" s="333"/>
      <c r="I32" s="333"/>
      <c r="J32" s="333"/>
      <c r="K32" s="336"/>
      <c r="L32" s="336"/>
      <c r="M32" s="291"/>
    </row>
    <row r="33" spans="1:13" ht="24" customHeight="1">
      <c r="A33" s="291"/>
      <c r="B33" s="253"/>
      <c r="C33" s="292"/>
      <c r="D33" s="291"/>
      <c r="E33" s="291"/>
      <c r="F33" s="291"/>
      <c r="G33" s="291"/>
      <c r="H33" s="291"/>
      <c r="I33" s="291"/>
      <c r="J33" s="291"/>
      <c r="K33" s="291"/>
      <c r="L33" s="253" t="s">
        <v>127</v>
      </c>
      <c r="M33" s="291"/>
    </row>
    <row r="34" spans="1:13" ht="24" customHeight="1">
      <c r="A34" s="265" t="s">
        <v>158</v>
      </c>
      <c r="B34" s="265"/>
      <c r="C34" s="265"/>
      <c r="D34" s="265"/>
      <c r="E34" s="265"/>
      <c r="F34" s="265"/>
      <c r="G34" s="265"/>
      <c r="H34" s="265"/>
      <c r="I34" s="265"/>
      <c r="J34" s="265"/>
      <c r="K34" s="265"/>
      <c r="L34" s="265"/>
      <c r="M34" s="291"/>
    </row>
    <row r="35" spans="1:13" ht="24" customHeight="1">
      <c r="A35" s="266" t="s">
        <v>160</v>
      </c>
      <c r="B35" s="266"/>
      <c r="C35" s="266"/>
      <c r="D35" s="266"/>
      <c r="E35" s="266"/>
      <c r="F35" s="266"/>
      <c r="G35" s="266"/>
      <c r="H35" s="266"/>
      <c r="I35" s="266"/>
      <c r="J35" s="266"/>
      <c r="K35" s="266"/>
      <c r="L35" s="266"/>
      <c r="M35" s="291"/>
    </row>
    <row r="36" spans="1:13" ht="24" customHeight="1" thickBot="1">
      <c r="A36" s="267" t="s">
        <v>161</v>
      </c>
      <c r="B36" s="267"/>
      <c r="C36" s="267"/>
      <c r="D36" s="267"/>
      <c r="E36" s="267"/>
      <c r="F36" s="267"/>
      <c r="G36" s="267"/>
      <c r="H36" s="267"/>
      <c r="I36" s="267"/>
      <c r="J36" s="267"/>
      <c r="K36" s="267"/>
      <c r="L36" s="267"/>
      <c r="M36" s="291"/>
    </row>
    <row r="37" spans="1:13" ht="24" customHeight="1" thickTop="1">
      <c r="A37" s="293" t="s">
        <v>103</v>
      </c>
      <c r="B37" s="293" t="s">
        <v>122</v>
      </c>
      <c r="C37" s="293" t="s">
        <v>124</v>
      </c>
      <c r="D37" s="294" t="s">
        <v>0</v>
      </c>
      <c r="E37" s="293" t="s">
        <v>109</v>
      </c>
      <c r="F37" s="293" t="s">
        <v>110</v>
      </c>
      <c r="G37" s="295" t="s">
        <v>111</v>
      </c>
      <c r="H37" s="296" t="s">
        <v>1</v>
      </c>
      <c r="I37" s="297"/>
      <c r="J37" s="293" t="s">
        <v>125</v>
      </c>
      <c r="K37" s="293" t="s">
        <v>104</v>
      </c>
      <c r="L37" s="293" t="s">
        <v>112</v>
      </c>
      <c r="M37" s="291"/>
    </row>
    <row r="38" spans="1:13" ht="43.5" customHeight="1" thickBot="1">
      <c r="A38" s="298"/>
      <c r="B38" s="298"/>
      <c r="C38" s="298"/>
      <c r="D38" s="299"/>
      <c r="E38" s="298"/>
      <c r="F38" s="298"/>
      <c r="G38" s="300"/>
      <c r="H38" s="301" t="s">
        <v>113</v>
      </c>
      <c r="I38" s="302" t="s">
        <v>114</v>
      </c>
      <c r="J38" s="298"/>
      <c r="K38" s="298"/>
      <c r="L38" s="298"/>
      <c r="M38" s="291"/>
    </row>
    <row r="39" spans="1:13" ht="24" customHeight="1" thickTop="1">
      <c r="A39" s="304"/>
      <c r="B39" s="340"/>
      <c r="C39" s="305"/>
      <c r="D39" s="305"/>
      <c r="E39" s="304"/>
      <c r="F39" s="304"/>
      <c r="G39" s="307"/>
      <c r="H39" s="308"/>
      <c r="I39" s="308"/>
      <c r="J39" s="256" t="s">
        <v>132</v>
      </c>
      <c r="K39" s="257">
        <f>SUM(K17)</f>
        <v>57293.979999999996</v>
      </c>
      <c r="L39" s="304"/>
      <c r="M39" s="291"/>
    </row>
    <row r="40" spans="1:13" ht="24" customHeight="1">
      <c r="A40" s="316">
        <v>11</v>
      </c>
      <c r="B40" s="329" t="s">
        <v>249</v>
      </c>
      <c r="C40" s="311" t="s">
        <v>254</v>
      </c>
      <c r="D40" s="312" t="s">
        <v>253</v>
      </c>
      <c r="E40" s="310" t="s">
        <v>3</v>
      </c>
      <c r="F40" s="313">
        <v>16</v>
      </c>
      <c r="G40" s="313" t="s">
        <v>128</v>
      </c>
      <c r="H40" s="314">
        <v>5</v>
      </c>
      <c r="I40" s="314">
        <v>5</v>
      </c>
      <c r="J40" s="255">
        <v>841.5</v>
      </c>
      <c r="K40" s="255">
        <f t="shared" ref="K40:K49" si="1">SUM(I40*J40)</f>
        <v>4207.5</v>
      </c>
      <c r="L40" s="327" t="s">
        <v>246</v>
      </c>
      <c r="M40" s="291" t="s">
        <v>293</v>
      </c>
    </row>
    <row r="41" spans="1:13" ht="24" customHeight="1">
      <c r="A41" s="316">
        <v>12</v>
      </c>
      <c r="B41" s="329" t="s">
        <v>245</v>
      </c>
      <c r="C41" s="311" t="s">
        <v>244</v>
      </c>
      <c r="D41" s="312" t="s">
        <v>211</v>
      </c>
      <c r="E41" s="310" t="s">
        <v>3</v>
      </c>
      <c r="F41" s="313">
        <v>15</v>
      </c>
      <c r="G41" s="313" t="s">
        <v>128</v>
      </c>
      <c r="H41" s="314">
        <v>1</v>
      </c>
      <c r="I41" s="314">
        <v>1</v>
      </c>
      <c r="J41" s="255">
        <v>1450</v>
      </c>
      <c r="K41" s="255">
        <f t="shared" si="1"/>
        <v>1450</v>
      </c>
      <c r="L41" s="327" t="s">
        <v>243</v>
      </c>
      <c r="M41" s="291" t="s">
        <v>293</v>
      </c>
    </row>
    <row r="42" spans="1:13" ht="24" customHeight="1">
      <c r="A42" s="316">
        <v>13</v>
      </c>
      <c r="B42" s="329" t="s">
        <v>245</v>
      </c>
      <c r="C42" s="311" t="s">
        <v>268</v>
      </c>
      <c r="D42" s="312" t="s">
        <v>267</v>
      </c>
      <c r="E42" s="310" t="s">
        <v>3</v>
      </c>
      <c r="F42" s="313">
        <v>15</v>
      </c>
      <c r="G42" s="313" t="s">
        <v>128</v>
      </c>
      <c r="H42" s="313">
        <v>1</v>
      </c>
      <c r="I42" s="313">
        <v>1</v>
      </c>
      <c r="J42" s="255">
        <v>2990</v>
      </c>
      <c r="K42" s="255">
        <f t="shared" si="1"/>
        <v>2990</v>
      </c>
      <c r="L42" s="327" t="s">
        <v>192</v>
      </c>
      <c r="M42" s="291" t="s">
        <v>293</v>
      </c>
    </row>
    <row r="43" spans="1:13" ht="24" customHeight="1">
      <c r="A43" s="316">
        <v>14</v>
      </c>
      <c r="B43" s="329" t="s">
        <v>245</v>
      </c>
      <c r="C43" s="311" t="s">
        <v>266</v>
      </c>
      <c r="D43" s="312" t="s">
        <v>265</v>
      </c>
      <c r="E43" s="313" t="s">
        <v>3</v>
      </c>
      <c r="F43" s="313">
        <v>15</v>
      </c>
      <c r="G43" s="313" t="s">
        <v>128</v>
      </c>
      <c r="H43" s="313">
        <v>1</v>
      </c>
      <c r="I43" s="313">
        <v>1</v>
      </c>
      <c r="J43" s="255">
        <v>1990</v>
      </c>
      <c r="K43" s="255">
        <f t="shared" si="1"/>
        <v>1990</v>
      </c>
      <c r="L43" s="315" t="s">
        <v>264</v>
      </c>
      <c r="M43" s="291" t="s">
        <v>293</v>
      </c>
    </row>
    <row r="44" spans="1:13" ht="24" customHeight="1">
      <c r="A44" s="316">
        <v>15</v>
      </c>
      <c r="B44" s="329" t="s">
        <v>138</v>
      </c>
      <c r="C44" s="311" t="s">
        <v>277</v>
      </c>
      <c r="D44" s="312" t="s">
        <v>276</v>
      </c>
      <c r="E44" s="313" t="s">
        <v>2</v>
      </c>
      <c r="F44" s="313">
        <v>12</v>
      </c>
      <c r="G44" s="313" t="s">
        <v>128</v>
      </c>
      <c r="H44" s="314">
        <v>17</v>
      </c>
      <c r="I44" s="314">
        <v>17</v>
      </c>
      <c r="J44" s="255">
        <v>1350</v>
      </c>
      <c r="K44" s="255">
        <f t="shared" si="1"/>
        <v>22950</v>
      </c>
      <c r="L44" s="327" t="s">
        <v>275</v>
      </c>
      <c r="M44" s="291" t="s">
        <v>293</v>
      </c>
    </row>
    <row r="45" spans="1:13" ht="24" customHeight="1">
      <c r="A45" s="316">
        <v>16</v>
      </c>
      <c r="B45" s="329" t="s">
        <v>138</v>
      </c>
      <c r="C45" s="311" t="s">
        <v>274</v>
      </c>
      <c r="D45" s="312" t="s">
        <v>273</v>
      </c>
      <c r="E45" s="313" t="s">
        <v>2</v>
      </c>
      <c r="F45" s="313">
        <v>12</v>
      </c>
      <c r="G45" s="313" t="s">
        <v>128</v>
      </c>
      <c r="H45" s="314">
        <v>50</v>
      </c>
      <c r="I45" s="314">
        <v>50</v>
      </c>
      <c r="J45" s="255">
        <v>230</v>
      </c>
      <c r="K45" s="255">
        <f t="shared" si="1"/>
        <v>11500</v>
      </c>
      <c r="L45" s="327" t="s">
        <v>272</v>
      </c>
      <c r="M45" s="291" t="s">
        <v>293</v>
      </c>
    </row>
    <row r="46" spans="1:13" ht="24" customHeight="1">
      <c r="A46" s="316">
        <v>17</v>
      </c>
      <c r="B46" s="329" t="s">
        <v>138</v>
      </c>
      <c r="C46" s="311" t="s">
        <v>271</v>
      </c>
      <c r="D46" s="312" t="s">
        <v>270</v>
      </c>
      <c r="E46" s="313" t="s">
        <v>2</v>
      </c>
      <c r="F46" s="313">
        <v>12</v>
      </c>
      <c r="G46" s="313" t="s">
        <v>128</v>
      </c>
      <c r="H46" s="314">
        <v>20</v>
      </c>
      <c r="I46" s="314">
        <v>20</v>
      </c>
      <c r="J46" s="255">
        <v>760</v>
      </c>
      <c r="K46" s="255">
        <f t="shared" si="1"/>
        <v>15200</v>
      </c>
      <c r="L46" s="327" t="s">
        <v>269</v>
      </c>
      <c r="M46" s="291" t="s">
        <v>293</v>
      </c>
    </row>
    <row r="47" spans="1:13" ht="24" customHeight="1">
      <c r="A47" s="316">
        <v>18</v>
      </c>
      <c r="B47" s="329" t="s">
        <v>105</v>
      </c>
      <c r="C47" s="305" t="s">
        <v>297</v>
      </c>
      <c r="D47" s="312" t="s">
        <v>296</v>
      </c>
      <c r="E47" s="313" t="s">
        <v>2</v>
      </c>
      <c r="F47" s="313">
        <v>26</v>
      </c>
      <c r="G47" s="313" t="s">
        <v>295</v>
      </c>
      <c r="H47" s="314">
        <v>10</v>
      </c>
      <c r="I47" s="314">
        <v>10</v>
      </c>
      <c r="J47" s="257">
        <v>3271.03</v>
      </c>
      <c r="K47" s="257">
        <f t="shared" si="1"/>
        <v>32710.300000000003</v>
      </c>
      <c r="L47" s="327" t="s">
        <v>1288</v>
      </c>
      <c r="M47" s="291" t="s">
        <v>294</v>
      </c>
    </row>
    <row r="48" spans="1:13" ht="24" customHeight="1">
      <c r="A48" s="316">
        <v>19</v>
      </c>
      <c r="B48" s="329" t="s">
        <v>105</v>
      </c>
      <c r="C48" s="311" t="s">
        <v>299</v>
      </c>
      <c r="D48" s="312" t="s">
        <v>298</v>
      </c>
      <c r="E48" s="313" t="s">
        <v>2</v>
      </c>
      <c r="F48" s="313">
        <v>26</v>
      </c>
      <c r="G48" s="313" t="s">
        <v>295</v>
      </c>
      <c r="H48" s="314">
        <v>20</v>
      </c>
      <c r="I48" s="314">
        <v>20</v>
      </c>
      <c r="J48" s="255">
        <v>1985</v>
      </c>
      <c r="K48" s="257">
        <f t="shared" si="1"/>
        <v>39700</v>
      </c>
      <c r="L48" s="327" t="s">
        <v>379</v>
      </c>
      <c r="M48" s="291" t="s">
        <v>294</v>
      </c>
    </row>
    <row r="49" spans="1:13" ht="24" customHeight="1">
      <c r="A49" s="316">
        <v>20</v>
      </c>
      <c r="B49" s="329" t="s">
        <v>105</v>
      </c>
      <c r="C49" s="305" t="s">
        <v>301</v>
      </c>
      <c r="D49" s="312" t="s">
        <v>300</v>
      </c>
      <c r="E49" s="313" t="s">
        <v>2</v>
      </c>
      <c r="F49" s="313">
        <v>26</v>
      </c>
      <c r="G49" s="313" t="s">
        <v>295</v>
      </c>
      <c r="H49" s="314">
        <v>10</v>
      </c>
      <c r="I49" s="314">
        <v>10</v>
      </c>
      <c r="J49" s="255">
        <v>4970</v>
      </c>
      <c r="K49" s="257">
        <f t="shared" si="1"/>
        <v>49700</v>
      </c>
      <c r="L49" s="327" t="s">
        <v>1462</v>
      </c>
      <c r="M49" s="291" t="s">
        <v>294</v>
      </c>
    </row>
    <row r="50" spans="1:13" ht="24" customHeight="1">
      <c r="A50" s="258"/>
      <c r="B50" s="258"/>
      <c r="C50" s="258"/>
      <c r="D50" s="258"/>
      <c r="E50" s="258"/>
      <c r="F50" s="258"/>
      <c r="G50" s="258"/>
      <c r="H50" s="258"/>
      <c r="I50" s="258"/>
      <c r="J50" s="254" t="s">
        <v>129</v>
      </c>
      <c r="K50" s="259">
        <f>SUM(K39:K49)</f>
        <v>239691.78</v>
      </c>
      <c r="L50" s="310"/>
      <c r="M50" s="291"/>
    </row>
    <row r="51" spans="1:13" ht="24" customHeight="1">
      <c r="A51" s="291"/>
      <c r="B51" s="331" t="s">
        <v>119</v>
      </c>
      <c r="C51" s="292" t="s">
        <v>120</v>
      </c>
      <c r="D51" s="291"/>
      <c r="E51" s="291"/>
      <c r="F51" s="291"/>
      <c r="G51" s="291"/>
      <c r="H51" s="332"/>
      <c r="I51" s="332"/>
      <c r="J51" s="291"/>
      <c r="K51" s="291"/>
      <c r="L51" s="253"/>
      <c r="M51" s="291"/>
    </row>
    <row r="52" spans="1:13" ht="24" customHeight="1">
      <c r="A52" s="291"/>
      <c r="B52" s="253"/>
      <c r="C52" s="292" t="s">
        <v>121</v>
      </c>
      <c r="D52" s="291"/>
      <c r="E52" s="291"/>
      <c r="F52" s="291"/>
      <c r="G52" s="291"/>
      <c r="H52" s="332"/>
      <c r="I52" s="332"/>
      <c r="J52" s="291"/>
      <c r="K52" s="291"/>
      <c r="L52" s="253"/>
      <c r="M52" s="291"/>
    </row>
    <row r="53" spans="1:13" ht="21.75" customHeight="1">
      <c r="A53" s="291"/>
      <c r="B53" s="253"/>
      <c r="C53" s="292"/>
      <c r="D53" s="291"/>
      <c r="E53" s="291"/>
      <c r="F53" s="291"/>
      <c r="G53" s="337" t="s">
        <v>148</v>
      </c>
      <c r="H53" s="338" t="s">
        <v>149</v>
      </c>
      <c r="I53" s="338"/>
      <c r="J53" s="338"/>
      <c r="K53" s="339" t="s">
        <v>150</v>
      </c>
      <c r="L53" s="339"/>
      <c r="M53" s="291"/>
    </row>
    <row r="54" spans="1:13" ht="24" customHeight="1">
      <c r="A54" s="291"/>
      <c r="B54" s="253"/>
      <c r="C54" s="292"/>
      <c r="D54" s="291"/>
      <c r="E54" s="291"/>
      <c r="F54" s="291"/>
      <c r="G54" s="339"/>
      <c r="H54" s="338" t="s">
        <v>1549</v>
      </c>
      <c r="I54" s="338"/>
      <c r="J54" s="338"/>
      <c r="K54" s="339"/>
      <c r="L54" s="339"/>
      <c r="M54" s="291"/>
    </row>
    <row r="55" spans="1:13" ht="33" customHeight="1">
      <c r="A55" s="291"/>
      <c r="B55" s="253"/>
      <c r="C55" s="292"/>
      <c r="D55" s="291"/>
      <c r="E55" s="291"/>
      <c r="F55" s="291"/>
      <c r="G55" s="337" t="s">
        <v>148</v>
      </c>
      <c r="H55" s="338" t="s">
        <v>149</v>
      </c>
      <c r="I55" s="338"/>
      <c r="J55" s="338"/>
      <c r="K55" s="339" t="s">
        <v>151</v>
      </c>
      <c r="L55" s="339"/>
      <c r="M55" s="291"/>
    </row>
    <row r="56" spans="1:13" ht="24" customHeight="1">
      <c r="A56" s="291"/>
      <c r="B56" s="253"/>
      <c r="C56" s="292"/>
      <c r="D56" s="291"/>
      <c r="E56" s="291"/>
      <c r="F56" s="291"/>
      <c r="G56" s="339"/>
      <c r="H56" s="338" t="s">
        <v>154</v>
      </c>
      <c r="I56" s="338"/>
      <c r="J56" s="338"/>
      <c r="K56" s="339"/>
      <c r="L56" s="339"/>
      <c r="M56" s="291"/>
    </row>
    <row r="57" spans="1:13" ht="32.25" customHeight="1">
      <c r="A57" s="291"/>
      <c r="B57" s="253"/>
      <c r="C57" s="292"/>
      <c r="D57" s="291"/>
      <c r="E57" s="291"/>
      <c r="F57" s="291"/>
      <c r="G57" s="337" t="s">
        <v>148</v>
      </c>
      <c r="H57" s="338" t="s">
        <v>149</v>
      </c>
      <c r="I57" s="338"/>
      <c r="J57" s="338"/>
      <c r="K57" s="339" t="s">
        <v>151</v>
      </c>
      <c r="L57" s="336"/>
      <c r="M57" s="291"/>
    </row>
    <row r="58" spans="1:13" ht="24" customHeight="1">
      <c r="A58" s="291"/>
      <c r="B58" s="253"/>
      <c r="C58" s="292"/>
      <c r="D58" s="291"/>
      <c r="E58" s="291"/>
      <c r="F58" s="291"/>
      <c r="G58" s="339"/>
      <c r="H58" s="338" t="s">
        <v>155</v>
      </c>
      <c r="I58" s="338"/>
      <c r="J58" s="338"/>
      <c r="K58" s="339"/>
      <c r="L58" s="336"/>
      <c r="M58" s="291"/>
    </row>
    <row r="59" spans="1:13" ht="31.5" customHeight="1">
      <c r="A59" s="291"/>
      <c r="B59" s="253"/>
      <c r="C59" s="292"/>
      <c r="D59" s="291"/>
      <c r="E59" s="291"/>
      <c r="F59" s="291"/>
      <c r="G59" s="337" t="s">
        <v>148</v>
      </c>
      <c r="H59" s="338" t="s">
        <v>149</v>
      </c>
      <c r="I59" s="338"/>
      <c r="J59" s="338"/>
      <c r="K59" s="339" t="s">
        <v>151</v>
      </c>
      <c r="L59" s="336"/>
      <c r="M59" s="291"/>
    </row>
    <row r="60" spans="1:13" ht="24" customHeight="1">
      <c r="A60" s="291"/>
      <c r="B60" s="253"/>
      <c r="C60" s="292"/>
      <c r="D60" s="291"/>
      <c r="E60" s="291"/>
      <c r="F60" s="291"/>
      <c r="G60" s="339"/>
      <c r="H60" s="338" t="s">
        <v>156</v>
      </c>
      <c r="I60" s="338"/>
      <c r="J60" s="338"/>
      <c r="K60" s="339"/>
      <c r="L60" s="336"/>
      <c r="M60" s="291"/>
    </row>
    <row r="61" spans="1:13" ht="30.75" customHeight="1">
      <c r="A61" s="291"/>
      <c r="B61" s="253"/>
      <c r="C61" s="292"/>
      <c r="D61" s="291"/>
      <c r="E61" s="291"/>
      <c r="F61" s="291"/>
      <c r="G61" s="337" t="s">
        <v>148</v>
      </c>
      <c r="H61" s="338" t="s">
        <v>149</v>
      </c>
      <c r="I61" s="338"/>
      <c r="J61" s="338"/>
      <c r="K61" s="336" t="s">
        <v>152</v>
      </c>
      <c r="L61" s="336"/>
      <c r="M61" s="291"/>
    </row>
    <row r="62" spans="1:13" ht="24" customHeight="1">
      <c r="A62" s="291"/>
      <c r="B62" s="253"/>
      <c r="C62" s="292"/>
      <c r="D62" s="291"/>
      <c r="E62" s="291"/>
      <c r="F62" s="291"/>
      <c r="G62" s="336"/>
      <c r="H62" s="338" t="s">
        <v>157</v>
      </c>
      <c r="I62" s="338"/>
      <c r="J62" s="338"/>
      <c r="K62" s="336"/>
      <c r="L62" s="336"/>
      <c r="M62" s="291"/>
    </row>
    <row r="63" spans="1:13" ht="24" customHeight="1">
      <c r="A63" s="291"/>
      <c r="B63" s="253"/>
      <c r="C63" s="292"/>
      <c r="D63" s="291"/>
      <c r="E63" s="291"/>
      <c r="F63" s="291"/>
      <c r="G63" s="336"/>
      <c r="H63" s="333"/>
      <c r="I63" s="333"/>
      <c r="J63" s="333"/>
      <c r="K63" s="336"/>
      <c r="L63" s="336"/>
      <c r="M63" s="291"/>
    </row>
    <row r="64" spans="1:13" ht="24" customHeight="1">
      <c r="A64" s="291"/>
      <c r="B64" s="253"/>
      <c r="C64" s="292"/>
      <c r="D64" s="291"/>
      <c r="E64" s="291"/>
      <c r="F64" s="291"/>
      <c r="G64" s="291"/>
      <c r="H64" s="291"/>
      <c r="I64" s="291"/>
      <c r="J64" s="291"/>
      <c r="K64" s="291"/>
      <c r="L64" s="253" t="s">
        <v>131</v>
      </c>
      <c r="M64" s="291"/>
    </row>
    <row r="65" spans="1:13" ht="24" customHeight="1">
      <c r="A65" s="265" t="s">
        <v>158</v>
      </c>
      <c r="B65" s="265"/>
      <c r="C65" s="265"/>
      <c r="D65" s="265"/>
      <c r="E65" s="265"/>
      <c r="F65" s="265"/>
      <c r="G65" s="265"/>
      <c r="H65" s="265"/>
      <c r="I65" s="265"/>
      <c r="J65" s="265"/>
      <c r="K65" s="265"/>
      <c r="L65" s="265"/>
      <c r="M65" s="291"/>
    </row>
    <row r="66" spans="1:13" ht="24" customHeight="1">
      <c r="A66" s="266" t="s">
        <v>160</v>
      </c>
      <c r="B66" s="266"/>
      <c r="C66" s="266"/>
      <c r="D66" s="266"/>
      <c r="E66" s="266"/>
      <c r="F66" s="266"/>
      <c r="G66" s="266"/>
      <c r="H66" s="266"/>
      <c r="I66" s="266"/>
      <c r="J66" s="266"/>
      <c r="K66" s="266"/>
      <c r="L66" s="266"/>
      <c r="M66" s="291"/>
    </row>
    <row r="67" spans="1:13" ht="24" customHeight="1" thickBot="1">
      <c r="A67" s="267" t="s">
        <v>161</v>
      </c>
      <c r="B67" s="267"/>
      <c r="C67" s="267"/>
      <c r="D67" s="267"/>
      <c r="E67" s="267"/>
      <c r="F67" s="267"/>
      <c r="G67" s="267"/>
      <c r="H67" s="267"/>
      <c r="I67" s="267"/>
      <c r="J67" s="267"/>
      <c r="K67" s="267"/>
      <c r="L67" s="267"/>
      <c r="M67" s="291"/>
    </row>
    <row r="68" spans="1:13" ht="24" customHeight="1" thickTop="1">
      <c r="A68" s="293" t="s">
        <v>103</v>
      </c>
      <c r="B68" s="293" t="s">
        <v>122</v>
      </c>
      <c r="C68" s="293" t="s">
        <v>124</v>
      </c>
      <c r="D68" s="294" t="s">
        <v>0</v>
      </c>
      <c r="E68" s="293" t="s">
        <v>109</v>
      </c>
      <c r="F68" s="293" t="s">
        <v>110</v>
      </c>
      <c r="G68" s="295" t="s">
        <v>111</v>
      </c>
      <c r="H68" s="296" t="s">
        <v>1</v>
      </c>
      <c r="I68" s="297"/>
      <c r="J68" s="293" t="s">
        <v>125</v>
      </c>
      <c r="K68" s="293" t="s">
        <v>104</v>
      </c>
      <c r="L68" s="293" t="s">
        <v>112</v>
      </c>
      <c r="M68" s="291"/>
    </row>
    <row r="69" spans="1:13" ht="43.5" customHeight="1" thickBot="1">
      <c r="A69" s="298"/>
      <c r="B69" s="298"/>
      <c r="C69" s="298"/>
      <c r="D69" s="299"/>
      <c r="E69" s="298"/>
      <c r="F69" s="298"/>
      <c r="G69" s="300"/>
      <c r="H69" s="301" t="s">
        <v>113</v>
      </c>
      <c r="I69" s="302" t="s">
        <v>114</v>
      </c>
      <c r="J69" s="298"/>
      <c r="K69" s="298"/>
      <c r="L69" s="298"/>
      <c r="M69" s="291"/>
    </row>
    <row r="70" spans="1:13" ht="24" customHeight="1" thickTop="1">
      <c r="A70" s="304"/>
      <c r="B70" s="340"/>
      <c r="C70" s="305"/>
      <c r="D70" s="305"/>
      <c r="E70" s="304"/>
      <c r="F70" s="304"/>
      <c r="G70" s="307"/>
      <c r="H70" s="308"/>
      <c r="I70" s="308"/>
      <c r="J70" s="256" t="s">
        <v>132</v>
      </c>
      <c r="K70" s="257">
        <f>SUM(K50)</f>
        <v>239691.78</v>
      </c>
      <c r="L70" s="304"/>
      <c r="M70" s="291"/>
    </row>
    <row r="71" spans="1:13" ht="24" customHeight="1">
      <c r="A71" s="310">
        <v>21</v>
      </c>
      <c r="B71" s="329" t="s">
        <v>105</v>
      </c>
      <c r="C71" s="311" t="s">
        <v>303</v>
      </c>
      <c r="D71" s="311" t="s">
        <v>302</v>
      </c>
      <c r="E71" s="313" t="s">
        <v>2</v>
      </c>
      <c r="F71" s="313">
        <v>26</v>
      </c>
      <c r="G71" s="313" t="s">
        <v>295</v>
      </c>
      <c r="H71" s="314">
        <v>2</v>
      </c>
      <c r="I71" s="314">
        <v>2</v>
      </c>
      <c r="J71" s="255">
        <v>2985</v>
      </c>
      <c r="K71" s="257">
        <f>SUM(I71*J71)</f>
        <v>5970</v>
      </c>
      <c r="L71" s="327" t="s">
        <v>1463</v>
      </c>
      <c r="M71" s="291" t="s">
        <v>294</v>
      </c>
    </row>
    <row r="72" spans="1:13" ht="24" customHeight="1">
      <c r="A72" s="310">
        <v>22</v>
      </c>
      <c r="B72" s="310">
        <v>2545</v>
      </c>
      <c r="C72" s="311" t="s">
        <v>305</v>
      </c>
      <c r="D72" s="312" t="s">
        <v>304</v>
      </c>
      <c r="E72" s="313" t="s">
        <v>2</v>
      </c>
      <c r="F72" s="310">
        <v>20</v>
      </c>
      <c r="G72" s="313" t="s">
        <v>128</v>
      </c>
      <c r="H72" s="314">
        <v>10</v>
      </c>
      <c r="I72" s="314">
        <v>10</v>
      </c>
      <c r="J72" s="341">
        <v>1605</v>
      </c>
      <c r="K72" s="257">
        <f>SUM(I72*J72)</f>
        <v>16050</v>
      </c>
      <c r="L72" s="315" t="s">
        <v>1280</v>
      </c>
      <c r="M72" s="291" t="s">
        <v>294</v>
      </c>
    </row>
    <row r="73" spans="1:13" ht="24" customHeight="1">
      <c r="A73" s="310">
        <v>23</v>
      </c>
      <c r="B73" s="310">
        <v>2539</v>
      </c>
      <c r="C73" s="311" t="s">
        <v>401</v>
      </c>
      <c r="D73" s="312" t="s">
        <v>400</v>
      </c>
      <c r="E73" s="313" t="s">
        <v>2</v>
      </c>
      <c r="F73" s="313">
        <v>26</v>
      </c>
      <c r="G73" s="313">
        <v>3</v>
      </c>
      <c r="H73" s="313">
        <v>10</v>
      </c>
      <c r="I73" s="314">
        <v>10</v>
      </c>
      <c r="J73" s="255">
        <v>3000</v>
      </c>
      <c r="K73" s="255">
        <v>30000</v>
      </c>
      <c r="L73" s="327" t="s">
        <v>1464</v>
      </c>
      <c r="M73" s="291" t="s">
        <v>402</v>
      </c>
    </row>
    <row r="74" spans="1:13" ht="24" customHeight="1">
      <c r="A74" s="310">
        <v>24</v>
      </c>
      <c r="B74" s="310">
        <v>2539</v>
      </c>
      <c r="C74" s="311" t="s">
        <v>399</v>
      </c>
      <c r="D74" s="312" t="s">
        <v>398</v>
      </c>
      <c r="E74" s="313" t="s">
        <v>2</v>
      </c>
      <c r="F74" s="313">
        <v>26</v>
      </c>
      <c r="G74" s="313">
        <v>4</v>
      </c>
      <c r="H74" s="313">
        <v>10</v>
      </c>
      <c r="I74" s="314">
        <v>10</v>
      </c>
      <c r="J74" s="255">
        <v>3000</v>
      </c>
      <c r="K74" s="255">
        <v>30000</v>
      </c>
      <c r="L74" s="327" t="s">
        <v>1464</v>
      </c>
      <c r="M74" s="291" t="s">
        <v>402</v>
      </c>
    </row>
    <row r="75" spans="1:13" ht="24" customHeight="1">
      <c r="A75" s="310">
        <v>25</v>
      </c>
      <c r="B75" s="310">
        <v>2539</v>
      </c>
      <c r="C75" s="311" t="s">
        <v>407</v>
      </c>
      <c r="D75" s="312" t="s">
        <v>406</v>
      </c>
      <c r="E75" s="313" t="s">
        <v>2</v>
      </c>
      <c r="F75" s="313">
        <v>26</v>
      </c>
      <c r="G75" s="313" t="s">
        <v>295</v>
      </c>
      <c r="H75" s="313">
        <v>5</v>
      </c>
      <c r="I75" s="314">
        <v>5</v>
      </c>
      <c r="J75" s="255">
        <v>4494</v>
      </c>
      <c r="K75" s="255">
        <v>22470</v>
      </c>
      <c r="L75" s="342" t="s">
        <v>405</v>
      </c>
      <c r="M75" s="291" t="s">
        <v>402</v>
      </c>
    </row>
    <row r="76" spans="1:13" ht="24" customHeight="1">
      <c r="A76" s="310">
        <v>26</v>
      </c>
      <c r="B76" s="310">
        <v>2539</v>
      </c>
      <c r="C76" s="311" t="s">
        <v>404</v>
      </c>
      <c r="D76" s="312" t="s">
        <v>403</v>
      </c>
      <c r="E76" s="313" t="s">
        <v>2</v>
      </c>
      <c r="F76" s="313">
        <v>26</v>
      </c>
      <c r="G76" s="313" t="s">
        <v>295</v>
      </c>
      <c r="H76" s="313">
        <v>1</v>
      </c>
      <c r="I76" s="314">
        <v>1</v>
      </c>
      <c r="J76" s="255">
        <v>2461</v>
      </c>
      <c r="K76" s="255">
        <v>2461</v>
      </c>
      <c r="L76" s="327" t="s">
        <v>1465</v>
      </c>
      <c r="M76" s="291" t="s">
        <v>402</v>
      </c>
    </row>
    <row r="77" spans="1:13">
      <c r="A77" s="310">
        <v>27</v>
      </c>
      <c r="B77" s="310">
        <v>2539</v>
      </c>
      <c r="C77" s="311" t="s">
        <v>425</v>
      </c>
      <c r="D77" s="312" t="s">
        <v>424</v>
      </c>
      <c r="E77" s="313" t="s">
        <v>2</v>
      </c>
      <c r="F77" s="313">
        <v>26</v>
      </c>
      <c r="G77" s="313" t="s">
        <v>383</v>
      </c>
      <c r="H77" s="313">
        <v>4</v>
      </c>
      <c r="I77" s="314">
        <v>2</v>
      </c>
      <c r="J77" s="255">
        <v>3000</v>
      </c>
      <c r="K77" s="255">
        <f>SUM(I77*J77)</f>
        <v>6000</v>
      </c>
      <c r="L77" s="327" t="s">
        <v>1298</v>
      </c>
      <c r="M77" s="291" t="s">
        <v>1552</v>
      </c>
    </row>
    <row r="78" spans="1:13">
      <c r="A78" s="310">
        <v>28</v>
      </c>
      <c r="B78" s="310">
        <v>2539</v>
      </c>
      <c r="C78" s="311" t="s">
        <v>427</v>
      </c>
      <c r="D78" s="312" t="s">
        <v>426</v>
      </c>
      <c r="E78" s="343" t="s">
        <v>2</v>
      </c>
      <c r="F78" s="313">
        <v>26</v>
      </c>
      <c r="G78" s="313" t="s">
        <v>383</v>
      </c>
      <c r="H78" s="313">
        <v>1</v>
      </c>
      <c r="I78" s="314">
        <v>1</v>
      </c>
      <c r="J78" s="255">
        <v>2300</v>
      </c>
      <c r="K78" s="255">
        <f>SUM(I78*J78)</f>
        <v>2300</v>
      </c>
      <c r="L78" s="327" t="s">
        <v>1299</v>
      </c>
      <c r="M78" s="291" t="s">
        <v>1552</v>
      </c>
    </row>
    <row r="79" spans="1:13">
      <c r="A79" s="310">
        <v>29</v>
      </c>
      <c r="B79" s="329" t="s">
        <v>218</v>
      </c>
      <c r="C79" s="311" t="s">
        <v>431</v>
      </c>
      <c r="D79" s="312" t="s">
        <v>430</v>
      </c>
      <c r="E79" s="313" t="s">
        <v>3</v>
      </c>
      <c r="F79" s="313">
        <v>17</v>
      </c>
      <c r="G79" s="313" t="s">
        <v>383</v>
      </c>
      <c r="H79" s="313">
        <v>6</v>
      </c>
      <c r="I79" s="314">
        <v>6</v>
      </c>
      <c r="J79" s="255">
        <v>1448.6</v>
      </c>
      <c r="K79" s="255">
        <f>SUM(I79*J79)</f>
        <v>8691.5999999999985</v>
      </c>
      <c r="L79" s="327" t="s">
        <v>1300</v>
      </c>
      <c r="M79" s="291" t="s">
        <v>1552</v>
      </c>
    </row>
    <row r="80" spans="1:13">
      <c r="A80" s="310">
        <v>30</v>
      </c>
      <c r="B80" s="328" t="s">
        <v>218</v>
      </c>
      <c r="C80" s="311" t="s">
        <v>429</v>
      </c>
      <c r="D80" s="311" t="s">
        <v>428</v>
      </c>
      <c r="E80" s="313" t="s">
        <v>3</v>
      </c>
      <c r="F80" s="313">
        <v>17</v>
      </c>
      <c r="G80" s="313" t="s">
        <v>383</v>
      </c>
      <c r="H80" s="313">
        <v>6</v>
      </c>
      <c r="I80" s="314">
        <v>6</v>
      </c>
      <c r="J80" s="255">
        <v>1635.51</v>
      </c>
      <c r="K80" s="255">
        <f>SUM(I80*J80)</f>
        <v>9813.06</v>
      </c>
      <c r="L80" s="315" t="s">
        <v>1466</v>
      </c>
      <c r="M80" s="291" t="s">
        <v>1552</v>
      </c>
    </row>
    <row r="81" spans="1:13" ht="24" customHeight="1">
      <c r="A81" s="258"/>
      <c r="B81" s="258"/>
      <c r="C81" s="258"/>
      <c r="D81" s="258"/>
      <c r="E81" s="258"/>
      <c r="F81" s="258"/>
      <c r="G81" s="258"/>
      <c r="H81" s="258"/>
      <c r="I81" s="258"/>
      <c r="J81" s="254" t="s">
        <v>129</v>
      </c>
      <c r="K81" s="259">
        <f>SUM(K70:K80)</f>
        <v>373447.44</v>
      </c>
      <c r="L81" s="310"/>
      <c r="M81" s="291"/>
    </row>
    <row r="82" spans="1:13" ht="24" customHeight="1">
      <c r="A82" s="291"/>
      <c r="B82" s="331" t="s">
        <v>119</v>
      </c>
      <c r="C82" s="292" t="s">
        <v>120</v>
      </c>
      <c r="D82" s="291"/>
      <c r="E82" s="291"/>
      <c r="F82" s="291"/>
      <c r="G82" s="291"/>
      <c r="H82" s="332"/>
      <c r="I82" s="332"/>
      <c r="J82" s="291"/>
      <c r="K82" s="291"/>
      <c r="L82" s="253"/>
      <c r="M82" s="291"/>
    </row>
    <row r="83" spans="1:13" ht="24" customHeight="1">
      <c r="A83" s="291"/>
      <c r="B83" s="253"/>
      <c r="C83" s="292" t="s">
        <v>121</v>
      </c>
      <c r="D83" s="291"/>
      <c r="E83" s="291"/>
      <c r="F83" s="291"/>
      <c r="G83" s="291"/>
      <c r="H83" s="332"/>
      <c r="I83" s="332"/>
      <c r="J83" s="291"/>
      <c r="K83" s="291"/>
      <c r="L83" s="253"/>
      <c r="M83" s="291"/>
    </row>
    <row r="84" spans="1:13" ht="24" customHeight="1">
      <c r="A84" s="291"/>
      <c r="B84" s="253"/>
      <c r="C84" s="292"/>
      <c r="D84" s="291"/>
      <c r="E84" s="291"/>
      <c r="F84" s="291"/>
      <c r="G84" s="337" t="s">
        <v>148</v>
      </c>
      <c r="H84" s="338" t="s">
        <v>149</v>
      </c>
      <c r="I84" s="338"/>
      <c r="J84" s="338"/>
      <c r="K84" s="339" t="s">
        <v>150</v>
      </c>
      <c r="L84" s="339"/>
      <c r="M84" s="291"/>
    </row>
    <row r="85" spans="1:13" ht="19.5" customHeight="1">
      <c r="A85" s="291"/>
      <c r="B85" s="253"/>
      <c r="C85" s="292"/>
      <c r="D85" s="291"/>
      <c r="E85" s="291"/>
      <c r="F85" s="291"/>
      <c r="G85" s="339"/>
      <c r="H85" s="338" t="s">
        <v>1549</v>
      </c>
      <c r="I85" s="338"/>
      <c r="J85" s="338"/>
      <c r="K85" s="339"/>
      <c r="L85" s="339"/>
      <c r="M85" s="291"/>
    </row>
    <row r="86" spans="1:13" ht="29.25" customHeight="1">
      <c r="A86" s="291"/>
      <c r="B86" s="253"/>
      <c r="C86" s="292"/>
      <c r="D86" s="291"/>
      <c r="E86" s="291"/>
      <c r="F86" s="291"/>
      <c r="G86" s="337" t="s">
        <v>148</v>
      </c>
      <c r="H86" s="338" t="s">
        <v>149</v>
      </c>
      <c r="I86" s="338"/>
      <c r="J86" s="338"/>
      <c r="K86" s="339" t="s">
        <v>151</v>
      </c>
      <c r="L86" s="339"/>
      <c r="M86" s="291"/>
    </row>
    <row r="87" spans="1:13" ht="22.5" customHeight="1">
      <c r="A87" s="291"/>
      <c r="B87" s="253"/>
      <c r="C87" s="292"/>
      <c r="D87" s="291"/>
      <c r="E87" s="291"/>
      <c r="F87" s="291"/>
      <c r="G87" s="339"/>
      <c r="H87" s="338" t="s">
        <v>154</v>
      </c>
      <c r="I87" s="338"/>
      <c r="J87" s="338"/>
      <c r="K87" s="339"/>
      <c r="L87" s="339"/>
      <c r="M87" s="291"/>
    </row>
    <row r="88" spans="1:13" ht="33" customHeight="1">
      <c r="A88" s="291"/>
      <c r="B88" s="253"/>
      <c r="C88" s="292"/>
      <c r="D88" s="291"/>
      <c r="E88" s="291"/>
      <c r="F88" s="291"/>
      <c r="G88" s="337" t="s">
        <v>148</v>
      </c>
      <c r="H88" s="338" t="s">
        <v>149</v>
      </c>
      <c r="I88" s="338"/>
      <c r="J88" s="338"/>
      <c r="K88" s="339" t="s">
        <v>151</v>
      </c>
      <c r="L88" s="336"/>
      <c r="M88" s="291"/>
    </row>
    <row r="89" spans="1:13" ht="22.5" customHeight="1">
      <c r="A89" s="291"/>
      <c r="B89" s="253"/>
      <c r="C89" s="292"/>
      <c r="D89" s="291"/>
      <c r="E89" s="291"/>
      <c r="F89" s="291"/>
      <c r="G89" s="339"/>
      <c r="H89" s="338" t="s">
        <v>155</v>
      </c>
      <c r="I89" s="338"/>
      <c r="J89" s="338"/>
      <c r="K89" s="339"/>
      <c r="L89" s="336"/>
      <c r="M89" s="291"/>
    </row>
    <row r="90" spans="1:13" ht="36" customHeight="1">
      <c r="A90" s="291"/>
      <c r="B90" s="253"/>
      <c r="C90" s="292"/>
      <c r="D90" s="291"/>
      <c r="E90" s="291"/>
      <c r="F90" s="291"/>
      <c r="G90" s="337" t="s">
        <v>148</v>
      </c>
      <c r="H90" s="338" t="s">
        <v>149</v>
      </c>
      <c r="I90" s="338"/>
      <c r="J90" s="338"/>
      <c r="K90" s="339" t="s">
        <v>151</v>
      </c>
      <c r="L90" s="336"/>
      <c r="M90" s="291"/>
    </row>
    <row r="91" spans="1:13" ht="21" customHeight="1">
      <c r="A91" s="291"/>
      <c r="B91" s="253"/>
      <c r="C91" s="292"/>
      <c r="D91" s="291"/>
      <c r="E91" s="291"/>
      <c r="F91" s="291"/>
      <c r="G91" s="339"/>
      <c r="H91" s="338" t="s">
        <v>156</v>
      </c>
      <c r="I91" s="338"/>
      <c r="J91" s="338"/>
      <c r="K91" s="339"/>
      <c r="L91" s="336"/>
      <c r="M91" s="291"/>
    </row>
    <row r="92" spans="1:13" ht="35.25" customHeight="1">
      <c r="A92" s="291"/>
      <c r="B92" s="253"/>
      <c r="C92" s="292"/>
      <c r="D92" s="291"/>
      <c r="E92" s="291"/>
      <c r="F92" s="291"/>
      <c r="G92" s="337" t="s">
        <v>148</v>
      </c>
      <c r="H92" s="338" t="s">
        <v>149</v>
      </c>
      <c r="I92" s="338"/>
      <c r="J92" s="338"/>
      <c r="K92" s="336" t="s">
        <v>152</v>
      </c>
      <c r="L92" s="336"/>
      <c r="M92" s="291"/>
    </row>
    <row r="93" spans="1:13" ht="23.25" customHeight="1">
      <c r="A93" s="291"/>
      <c r="B93" s="253"/>
      <c r="C93" s="292"/>
      <c r="D93" s="291"/>
      <c r="E93" s="291"/>
      <c r="F93" s="291"/>
      <c r="G93" s="336"/>
      <c r="H93" s="338" t="s">
        <v>157</v>
      </c>
      <c r="I93" s="338"/>
      <c r="J93" s="338"/>
      <c r="K93" s="336"/>
      <c r="L93" s="336"/>
      <c r="M93" s="291"/>
    </row>
    <row r="94" spans="1:13" ht="23.25" customHeight="1">
      <c r="A94" s="291"/>
      <c r="B94" s="253"/>
      <c r="C94" s="292"/>
      <c r="D94" s="291"/>
      <c r="E94" s="291"/>
      <c r="F94" s="291"/>
      <c r="G94" s="336"/>
      <c r="H94" s="333"/>
      <c r="I94" s="333"/>
      <c r="J94" s="333"/>
      <c r="K94" s="336"/>
      <c r="L94" s="336"/>
      <c r="M94" s="291"/>
    </row>
    <row r="95" spans="1:13" ht="24" customHeight="1">
      <c r="A95" s="291"/>
      <c r="B95" s="253"/>
      <c r="C95" s="292"/>
      <c r="D95" s="291"/>
      <c r="E95" s="291"/>
      <c r="F95" s="291"/>
      <c r="G95" s="291"/>
      <c r="H95" s="291"/>
      <c r="I95" s="291"/>
      <c r="J95" s="291"/>
      <c r="K95" s="291"/>
      <c r="L95" s="253" t="s">
        <v>306</v>
      </c>
      <c r="M95" s="291"/>
    </row>
    <row r="96" spans="1:13" ht="24" customHeight="1">
      <c r="A96" s="265" t="s">
        <v>158</v>
      </c>
      <c r="B96" s="265"/>
      <c r="C96" s="265"/>
      <c r="D96" s="265"/>
      <c r="E96" s="265"/>
      <c r="F96" s="265"/>
      <c r="G96" s="265"/>
      <c r="H96" s="265"/>
      <c r="I96" s="265"/>
      <c r="J96" s="265"/>
      <c r="K96" s="265"/>
      <c r="L96" s="265"/>
      <c r="M96" s="291"/>
    </row>
    <row r="97" spans="1:14" ht="24" customHeight="1">
      <c r="A97" s="266" t="s">
        <v>160</v>
      </c>
      <c r="B97" s="266"/>
      <c r="C97" s="266"/>
      <c r="D97" s="266"/>
      <c r="E97" s="266"/>
      <c r="F97" s="266"/>
      <c r="G97" s="266"/>
      <c r="H97" s="266"/>
      <c r="I97" s="266"/>
      <c r="J97" s="266"/>
      <c r="K97" s="266"/>
      <c r="L97" s="266"/>
      <c r="M97" s="291"/>
    </row>
    <row r="98" spans="1:14" ht="24" customHeight="1" thickBot="1">
      <c r="A98" s="267" t="s">
        <v>161</v>
      </c>
      <c r="B98" s="267"/>
      <c r="C98" s="267"/>
      <c r="D98" s="267"/>
      <c r="E98" s="267"/>
      <c r="F98" s="267"/>
      <c r="G98" s="267"/>
      <c r="H98" s="267"/>
      <c r="I98" s="267"/>
      <c r="J98" s="267"/>
      <c r="K98" s="267"/>
      <c r="L98" s="267"/>
      <c r="M98" s="291"/>
    </row>
    <row r="99" spans="1:14" ht="24" customHeight="1" thickTop="1">
      <c r="A99" s="293" t="s">
        <v>103</v>
      </c>
      <c r="B99" s="293" t="s">
        <v>122</v>
      </c>
      <c r="C99" s="293" t="s">
        <v>124</v>
      </c>
      <c r="D99" s="294" t="s">
        <v>0</v>
      </c>
      <c r="E99" s="293" t="s">
        <v>109</v>
      </c>
      <c r="F99" s="293" t="s">
        <v>110</v>
      </c>
      <c r="G99" s="295" t="s">
        <v>111</v>
      </c>
      <c r="H99" s="296" t="s">
        <v>1</v>
      </c>
      <c r="I99" s="297"/>
      <c r="J99" s="293" t="s">
        <v>125</v>
      </c>
      <c r="K99" s="293" t="s">
        <v>104</v>
      </c>
      <c r="L99" s="293" t="s">
        <v>112</v>
      </c>
      <c r="M99" s="291"/>
    </row>
    <row r="100" spans="1:14" ht="46.5" customHeight="1" thickBot="1">
      <c r="A100" s="298"/>
      <c r="B100" s="298"/>
      <c r="C100" s="298"/>
      <c r="D100" s="299"/>
      <c r="E100" s="298"/>
      <c r="F100" s="298"/>
      <c r="G100" s="300"/>
      <c r="H100" s="301" t="s">
        <v>113</v>
      </c>
      <c r="I100" s="302" t="s">
        <v>114</v>
      </c>
      <c r="J100" s="298"/>
      <c r="K100" s="298"/>
      <c r="L100" s="298"/>
      <c r="M100" s="291"/>
    </row>
    <row r="101" spans="1:14" ht="24" customHeight="1" thickTop="1">
      <c r="A101" s="304"/>
      <c r="B101" s="340"/>
      <c r="C101" s="305"/>
      <c r="D101" s="305"/>
      <c r="E101" s="304"/>
      <c r="F101" s="304"/>
      <c r="G101" s="307"/>
      <c r="H101" s="308"/>
      <c r="I101" s="308"/>
      <c r="J101" s="256" t="s">
        <v>132</v>
      </c>
      <c r="K101" s="257">
        <f>SUM(K81)</f>
        <v>373447.44</v>
      </c>
      <c r="L101" s="304"/>
      <c r="M101" s="291"/>
    </row>
    <row r="102" spans="1:14">
      <c r="A102" s="316">
        <v>31</v>
      </c>
      <c r="B102" s="329" t="s">
        <v>218</v>
      </c>
      <c r="C102" s="311" t="s">
        <v>433</v>
      </c>
      <c r="D102" s="312" t="s">
        <v>432</v>
      </c>
      <c r="E102" s="313" t="s">
        <v>3</v>
      </c>
      <c r="F102" s="313">
        <v>17</v>
      </c>
      <c r="G102" s="313" t="s">
        <v>383</v>
      </c>
      <c r="H102" s="313">
        <v>4</v>
      </c>
      <c r="I102" s="314">
        <v>4</v>
      </c>
      <c r="J102" s="255">
        <v>1722</v>
      </c>
      <c r="K102" s="255">
        <f t="shared" ref="K102:K111" si="2">SUM(I102*J102)</f>
        <v>6888</v>
      </c>
      <c r="L102" s="327" t="s">
        <v>1301</v>
      </c>
      <c r="M102" s="291" t="s">
        <v>1552</v>
      </c>
    </row>
    <row r="103" spans="1:14" ht="24" customHeight="1">
      <c r="A103" s="310">
        <v>32</v>
      </c>
      <c r="B103" s="310">
        <v>2551</v>
      </c>
      <c r="C103" s="311" t="s">
        <v>448</v>
      </c>
      <c r="D103" s="312" t="s">
        <v>447</v>
      </c>
      <c r="E103" s="313" t="s">
        <v>3</v>
      </c>
      <c r="F103" s="313">
        <v>14</v>
      </c>
      <c r="G103" s="313" t="s">
        <v>128</v>
      </c>
      <c r="H103" s="314">
        <v>80</v>
      </c>
      <c r="I103" s="314">
        <v>80</v>
      </c>
      <c r="J103" s="254">
        <v>800</v>
      </c>
      <c r="K103" s="254">
        <f t="shared" si="2"/>
        <v>64000</v>
      </c>
      <c r="L103" s="327" t="s">
        <v>1481</v>
      </c>
      <c r="M103" s="291" t="s">
        <v>1548</v>
      </c>
    </row>
    <row r="104" spans="1:14" ht="24" customHeight="1">
      <c r="A104" s="316">
        <v>33</v>
      </c>
      <c r="B104" s="310">
        <v>2551</v>
      </c>
      <c r="C104" s="311" t="s">
        <v>446</v>
      </c>
      <c r="D104" s="312" t="s">
        <v>445</v>
      </c>
      <c r="E104" s="313" t="s">
        <v>3</v>
      </c>
      <c r="F104" s="313">
        <v>14</v>
      </c>
      <c r="G104" s="313" t="s">
        <v>128</v>
      </c>
      <c r="H104" s="314">
        <v>80</v>
      </c>
      <c r="I104" s="314">
        <v>80</v>
      </c>
      <c r="J104" s="254">
        <v>536</v>
      </c>
      <c r="K104" s="254">
        <f t="shared" si="2"/>
        <v>42880</v>
      </c>
      <c r="L104" s="327" t="s">
        <v>1481</v>
      </c>
      <c r="M104" s="291" t="s">
        <v>1548</v>
      </c>
    </row>
    <row r="105" spans="1:14">
      <c r="A105" s="310">
        <v>34</v>
      </c>
      <c r="B105" s="310">
        <v>2553</v>
      </c>
      <c r="C105" s="311" t="s">
        <v>450</v>
      </c>
      <c r="D105" s="312" t="s">
        <v>449</v>
      </c>
      <c r="E105" s="313" t="s">
        <v>2</v>
      </c>
      <c r="F105" s="313">
        <v>12</v>
      </c>
      <c r="G105" s="313" t="s">
        <v>128</v>
      </c>
      <c r="H105" s="314">
        <v>2</v>
      </c>
      <c r="I105" s="314">
        <v>2</v>
      </c>
      <c r="J105" s="254">
        <v>2500</v>
      </c>
      <c r="K105" s="254">
        <f t="shared" si="2"/>
        <v>5000</v>
      </c>
      <c r="L105" s="315" t="s">
        <v>1277</v>
      </c>
      <c r="M105" s="291" t="s">
        <v>1548</v>
      </c>
      <c r="N105" s="260"/>
    </row>
    <row r="106" spans="1:14">
      <c r="A106" s="316">
        <v>35</v>
      </c>
      <c r="B106" s="310">
        <v>2553</v>
      </c>
      <c r="C106" s="311" t="s">
        <v>452</v>
      </c>
      <c r="D106" s="312" t="s">
        <v>453</v>
      </c>
      <c r="E106" s="313" t="s">
        <v>2</v>
      </c>
      <c r="F106" s="313">
        <v>12</v>
      </c>
      <c r="G106" s="313" t="s">
        <v>128</v>
      </c>
      <c r="H106" s="314">
        <v>1</v>
      </c>
      <c r="I106" s="314">
        <v>1</v>
      </c>
      <c r="J106" s="254">
        <v>2000</v>
      </c>
      <c r="K106" s="254">
        <f t="shared" si="2"/>
        <v>2000</v>
      </c>
      <c r="L106" s="315" t="s">
        <v>1482</v>
      </c>
      <c r="M106" s="291" t="s">
        <v>1548</v>
      </c>
      <c r="N106" s="260"/>
    </row>
    <row r="107" spans="1:14">
      <c r="A107" s="310">
        <v>36</v>
      </c>
      <c r="B107" s="310">
        <v>2553</v>
      </c>
      <c r="C107" s="311" t="s">
        <v>452</v>
      </c>
      <c r="D107" s="312" t="s">
        <v>451</v>
      </c>
      <c r="E107" s="310" t="s">
        <v>2</v>
      </c>
      <c r="F107" s="310">
        <v>12</v>
      </c>
      <c r="G107" s="313" t="s">
        <v>128</v>
      </c>
      <c r="H107" s="314">
        <v>1</v>
      </c>
      <c r="I107" s="314">
        <v>1</v>
      </c>
      <c r="J107" s="254">
        <v>500</v>
      </c>
      <c r="K107" s="254">
        <f t="shared" si="2"/>
        <v>500</v>
      </c>
      <c r="L107" s="315" t="s">
        <v>1483</v>
      </c>
      <c r="M107" s="291" t="s">
        <v>1548</v>
      </c>
      <c r="N107" s="260"/>
    </row>
    <row r="108" spans="1:14">
      <c r="A108" s="316">
        <v>37</v>
      </c>
      <c r="B108" s="329" t="s">
        <v>105</v>
      </c>
      <c r="C108" s="311" t="s">
        <v>475</v>
      </c>
      <c r="D108" s="312" t="s">
        <v>474</v>
      </c>
      <c r="E108" s="313" t="s">
        <v>2</v>
      </c>
      <c r="F108" s="313">
        <v>26</v>
      </c>
      <c r="G108" s="313" t="s">
        <v>383</v>
      </c>
      <c r="H108" s="313">
        <v>15</v>
      </c>
      <c r="I108" s="314">
        <v>15</v>
      </c>
      <c r="J108" s="255">
        <v>2500</v>
      </c>
      <c r="K108" s="255">
        <f t="shared" si="2"/>
        <v>37500</v>
      </c>
      <c r="L108" s="327" t="s">
        <v>1284</v>
      </c>
      <c r="M108" s="344" t="s">
        <v>473</v>
      </c>
    </row>
    <row r="109" spans="1:14">
      <c r="A109" s="310">
        <v>38</v>
      </c>
      <c r="B109" s="310">
        <v>2539</v>
      </c>
      <c r="C109" s="311" t="s">
        <v>478</v>
      </c>
      <c r="D109" s="312" t="s">
        <v>447</v>
      </c>
      <c r="E109" s="313" t="s">
        <v>2</v>
      </c>
      <c r="F109" s="313">
        <v>26</v>
      </c>
      <c r="G109" s="313" t="s">
        <v>383</v>
      </c>
      <c r="H109" s="313">
        <v>42</v>
      </c>
      <c r="I109" s="314">
        <v>42</v>
      </c>
      <c r="J109" s="255">
        <v>1600</v>
      </c>
      <c r="K109" s="255">
        <f t="shared" si="2"/>
        <v>67200</v>
      </c>
      <c r="L109" s="327" t="s">
        <v>1280</v>
      </c>
      <c r="M109" s="291" t="s">
        <v>473</v>
      </c>
    </row>
    <row r="110" spans="1:14">
      <c r="A110" s="316">
        <v>39</v>
      </c>
      <c r="B110" s="310">
        <v>2539</v>
      </c>
      <c r="C110" s="311" t="s">
        <v>477</v>
      </c>
      <c r="D110" s="312" t="s">
        <v>476</v>
      </c>
      <c r="E110" s="313" t="s">
        <v>2</v>
      </c>
      <c r="F110" s="313">
        <v>26</v>
      </c>
      <c r="G110" s="313" t="s">
        <v>383</v>
      </c>
      <c r="H110" s="313">
        <v>35</v>
      </c>
      <c r="I110" s="314">
        <v>2</v>
      </c>
      <c r="J110" s="255">
        <v>2400</v>
      </c>
      <c r="K110" s="255">
        <f t="shared" si="2"/>
        <v>4800</v>
      </c>
      <c r="L110" s="327" t="s">
        <v>1280</v>
      </c>
      <c r="M110" s="291" t="s">
        <v>473</v>
      </c>
    </row>
    <row r="111" spans="1:14">
      <c r="A111" s="310">
        <v>40</v>
      </c>
      <c r="B111" s="328" t="s">
        <v>105</v>
      </c>
      <c r="C111" s="311" t="s">
        <v>480</v>
      </c>
      <c r="D111" s="311" t="s">
        <v>479</v>
      </c>
      <c r="E111" s="313" t="s">
        <v>2</v>
      </c>
      <c r="F111" s="313">
        <v>26</v>
      </c>
      <c r="G111" s="313" t="s">
        <v>383</v>
      </c>
      <c r="H111" s="313">
        <v>2</v>
      </c>
      <c r="I111" s="314">
        <v>2</v>
      </c>
      <c r="J111" s="255">
        <v>2000</v>
      </c>
      <c r="K111" s="255">
        <f t="shared" si="2"/>
        <v>4000</v>
      </c>
      <c r="L111" s="327" t="s">
        <v>1285</v>
      </c>
      <c r="M111" s="291" t="s">
        <v>473</v>
      </c>
    </row>
    <row r="112" spans="1:14" ht="24" customHeight="1">
      <c r="A112" s="258"/>
      <c r="B112" s="258"/>
      <c r="C112" s="258"/>
      <c r="D112" s="258"/>
      <c r="E112" s="258"/>
      <c r="F112" s="258"/>
      <c r="G112" s="258"/>
      <c r="H112" s="258"/>
      <c r="I112" s="258"/>
      <c r="J112" s="254" t="s">
        <v>129</v>
      </c>
      <c r="K112" s="259">
        <f>SUM(K101:K111)</f>
        <v>608215.43999999994</v>
      </c>
      <c r="L112" s="310"/>
      <c r="M112" s="291"/>
    </row>
    <row r="113" spans="1:13" ht="24" customHeight="1">
      <c r="A113" s="291"/>
      <c r="B113" s="331" t="s">
        <v>119</v>
      </c>
      <c r="C113" s="292" t="s">
        <v>120</v>
      </c>
      <c r="D113" s="291"/>
      <c r="E113" s="291"/>
      <c r="F113" s="291"/>
      <c r="G113" s="291"/>
      <c r="H113" s="332"/>
      <c r="I113" s="332"/>
      <c r="J113" s="291"/>
      <c r="K113" s="291"/>
      <c r="L113" s="253"/>
      <c r="M113" s="291"/>
    </row>
    <row r="114" spans="1:13" ht="24" customHeight="1">
      <c r="A114" s="291"/>
      <c r="B114" s="253"/>
      <c r="C114" s="292" t="s">
        <v>121</v>
      </c>
      <c r="D114" s="291"/>
      <c r="E114" s="291"/>
      <c r="F114" s="291"/>
      <c r="G114" s="291"/>
      <c r="H114" s="332"/>
      <c r="I114" s="332"/>
      <c r="J114" s="291"/>
      <c r="K114" s="291"/>
      <c r="L114" s="253"/>
      <c r="M114" s="291"/>
    </row>
    <row r="115" spans="1:13" ht="24" customHeight="1">
      <c r="A115" s="291"/>
      <c r="B115" s="253"/>
      <c r="C115" s="292"/>
      <c r="D115" s="291"/>
      <c r="E115" s="291"/>
      <c r="F115" s="291"/>
      <c r="G115" s="337" t="s">
        <v>148</v>
      </c>
      <c r="H115" s="338" t="s">
        <v>149</v>
      </c>
      <c r="I115" s="338"/>
      <c r="J115" s="338"/>
      <c r="K115" s="339" t="s">
        <v>150</v>
      </c>
      <c r="L115" s="339"/>
      <c r="M115" s="291"/>
    </row>
    <row r="116" spans="1:13" ht="21.75" customHeight="1">
      <c r="A116" s="291"/>
      <c r="B116" s="253"/>
      <c r="C116" s="292"/>
      <c r="D116" s="291"/>
      <c r="E116" s="291"/>
      <c r="F116" s="291"/>
      <c r="G116" s="339"/>
      <c r="H116" s="338" t="s">
        <v>1549</v>
      </c>
      <c r="I116" s="338"/>
      <c r="J116" s="338"/>
      <c r="K116" s="339"/>
      <c r="L116" s="339"/>
      <c r="M116" s="291"/>
    </row>
    <row r="117" spans="1:13" ht="33" customHeight="1">
      <c r="A117" s="291"/>
      <c r="B117" s="253"/>
      <c r="C117" s="292"/>
      <c r="D117" s="291"/>
      <c r="E117" s="291"/>
      <c r="F117" s="291"/>
      <c r="G117" s="337" t="s">
        <v>148</v>
      </c>
      <c r="H117" s="338" t="s">
        <v>149</v>
      </c>
      <c r="I117" s="338"/>
      <c r="J117" s="338"/>
      <c r="K117" s="339" t="s">
        <v>151</v>
      </c>
      <c r="L117" s="339"/>
      <c r="M117" s="291"/>
    </row>
    <row r="118" spans="1:13" ht="22.5" customHeight="1">
      <c r="A118" s="291"/>
      <c r="B118" s="253"/>
      <c r="C118" s="292"/>
      <c r="D118" s="291"/>
      <c r="E118" s="291"/>
      <c r="F118" s="291"/>
      <c r="G118" s="339"/>
      <c r="H118" s="338" t="s">
        <v>154</v>
      </c>
      <c r="I118" s="338"/>
      <c r="J118" s="338"/>
      <c r="K118" s="339"/>
      <c r="L118" s="339"/>
      <c r="M118" s="291"/>
    </row>
    <row r="119" spans="1:13" ht="28.5" customHeight="1">
      <c r="A119" s="291"/>
      <c r="B119" s="253"/>
      <c r="C119" s="292"/>
      <c r="D119" s="291"/>
      <c r="E119" s="291"/>
      <c r="F119" s="291"/>
      <c r="G119" s="337" t="s">
        <v>148</v>
      </c>
      <c r="H119" s="338" t="s">
        <v>149</v>
      </c>
      <c r="I119" s="338"/>
      <c r="J119" s="338"/>
      <c r="K119" s="339" t="s">
        <v>151</v>
      </c>
      <c r="L119" s="336"/>
      <c r="M119" s="291"/>
    </row>
    <row r="120" spans="1:13" ht="22.5" customHeight="1">
      <c r="A120" s="291"/>
      <c r="B120" s="253"/>
      <c r="C120" s="292"/>
      <c r="D120" s="291"/>
      <c r="E120" s="291"/>
      <c r="F120" s="291"/>
      <c r="G120" s="339"/>
      <c r="H120" s="338" t="s">
        <v>155</v>
      </c>
      <c r="I120" s="338"/>
      <c r="J120" s="338"/>
      <c r="K120" s="339"/>
      <c r="L120" s="336"/>
      <c r="M120" s="291"/>
    </row>
    <row r="121" spans="1:13" ht="36" customHeight="1">
      <c r="A121" s="291"/>
      <c r="B121" s="253"/>
      <c r="C121" s="292"/>
      <c r="D121" s="291"/>
      <c r="E121" s="291"/>
      <c r="F121" s="291"/>
      <c r="G121" s="337" t="s">
        <v>148</v>
      </c>
      <c r="H121" s="338" t="s">
        <v>149</v>
      </c>
      <c r="I121" s="338"/>
      <c r="J121" s="338"/>
      <c r="K121" s="339" t="s">
        <v>151</v>
      </c>
      <c r="L121" s="336"/>
      <c r="M121" s="291"/>
    </row>
    <row r="122" spans="1:13" ht="21.75" customHeight="1">
      <c r="A122" s="291"/>
      <c r="B122" s="253"/>
      <c r="C122" s="292"/>
      <c r="D122" s="291"/>
      <c r="E122" s="291"/>
      <c r="F122" s="291"/>
      <c r="G122" s="339"/>
      <c r="H122" s="338" t="s">
        <v>156</v>
      </c>
      <c r="I122" s="338"/>
      <c r="J122" s="338"/>
      <c r="K122" s="339"/>
      <c r="L122" s="336"/>
      <c r="M122" s="291"/>
    </row>
    <row r="123" spans="1:13" ht="33" customHeight="1">
      <c r="A123" s="291"/>
      <c r="B123" s="253"/>
      <c r="C123" s="292"/>
      <c r="D123" s="291"/>
      <c r="E123" s="291"/>
      <c r="F123" s="291"/>
      <c r="G123" s="337" t="s">
        <v>148</v>
      </c>
      <c r="H123" s="338" t="s">
        <v>149</v>
      </c>
      <c r="I123" s="338"/>
      <c r="J123" s="338"/>
      <c r="K123" s="336" t="s">
        <v>152</v>
      </c>
      <c r="L123" s="336"/>
      <c r="M123" s="291"/>
    </row>
    <row r="124" spans="1:13" ht="22.5" customHeight="1">
      <c r="A124" s="291"/>
      <c r="B124" s="253"/>
      <c r="C124" s="292"/>
      <c r="D124" s="291"/>
      <c r="E124" s="291"/>
      <c r="F124" s="291"/>
      <c r="G124" s="336"/>
      <c r="H124" s="338" t="s">
        <v>157</v>
      </c>
      <c r="I124" s="338"/>
      <c r="J124" s="338"/>
      <c r="K124" s="336"/>
      <c r="L124" s="336"/>
      <c r="M124" s="291"/>
    </row>
    <row r="125" spans="1:13" ht="22.5" customHeight="1">
      <c r="A125" s="291"/>
      <c r="B125" s="253"/>
      <c r="C125" s="292"/>
      <c r="D125" s="291"/>
      <c r="E125" s="291"/>
      <c r="F125" s="291"/>
      <c r="G125" s="336"/>
      <c r="H125" s="333"/>
      <c r="I125" s="333"/>
      <c r="J125" s="333"/>
      <c r="K125" s="336"/>
      <c r="L125" s="336"/>
      <c r="M125" s="291"/>
    </row>
    <row r="126" spans="1:13" ht="24" customHeight="1">
      <c r="A126" s="291"/>
      <c r="B126" s="253"/>
      <c r="C126" s="292"/>
      <c r="D126" s="291"/>
      <c r="E126" s="291"/>
      <c r="F126" s="291"/>
      <c r="G126" s="291"/>
      <c r="H126" s="291"/>
      <c r="I126" s="291"/>
      <c r="J126" s="291"/>
      <c r="K126" s="291"/>
      <c r="L126" s="253" t="s">
        <v>481</v>
      </c>
      <c r="M126" s="291"/>
    </row>
    <row r="127" spans="1:13" ht="24" customHeight="1">
      <c r="A127" s="265" t="s">
        <v>158</v>
      </c>
      <c r="B127" s="265"/>
      <c r="C127" s="265"/>
      <c r="D127" s="265"/>
      <c r="E127" s="265"/>
      <c r="F127" s="265"/>
      <c r="G127" s="265"/>
      <c r="H127" s="265"/>
      <c r="I127" s="265"/>
      <c r="J127" s="265"/>
      <c r="K127" s="265"/>
      <c r="L127" s="265"/>
      <c r="M127" s="291"/>
    </row>
    <row r="128" spans="1:13" ht="24" customHeight="1">
      <c r="A128" s="266" t="s">
        <v>160</v>
      </c>
      <c r="B128" s="266"/>
      <c r="C128" s="266"/>
      <c r="D128" s="266"/>
      <c r="E128" s="266"/>
      <c r="F128" s="266"/>
      <c r="G128" s="266"/>
      <c r="H128" s="266"/>
      <c r="I128" s="266"/>
      <c r="J128" s="266"/>
      <c r="K128" s="266"/>
      <c r="L128" s="266"/>
      <c r="M128" s="291"/>
    </row>
    <row r="129" spans="1:14" ht="24" customHeight="1" thickBot="1">
      <c r="A129" s="267" t="s">
        <v>161</v>
      </c>
      <c r="B129" s="267"/>
      <c r="C129" s="267"/>
      <c r="D129" s="267"/>
      <c r="E129" s="267"/>
      <c r="F129" s="267"/>
      <c r="G129" s="267"/>
      <c r="H129" s="267"/>
      <c r="I129" s="267"/>
      <c r="J129" s="267"/>
      <c r="K129" s="267"/>
      <c r="L129" s="267"/>
      <c r="M129" s="291"/>
    </row>
    <row r="130" spans="1:14" ht="24" customHeight="1" thickTop="1">
      <c r="A130" s="293" t="s">
        <v>103</v>
      </c>
      <c r="B130" s="293" t="s">
        <v>122</v>
      </c>
      <c r="C130" s="293" t="s">
        <v>124</v>
      </c>
      <c r="D130" s="294" t="s">
        <v>0</v>
      </c>
      <c r="E130" s="293" t="s">
        <v>109</v>
      </c>
      <c r="F130" s="293" t="s">
        <v>110</v>
      </c>
      <c r="G130" s="295" t="s">
        <v>111</v>
      </c>
      <c r="H130" s="296" t="s">
        <v>1</v>
      </c>
      <c r="I130" s="297"/>
      <c r="J130" s="293" t="s">
        <v>125</v>
      </c>
      <c r="K130" s="293" t="s">
        <v>104</v>
      </c>
      <c r="L130" s="293" t="s">
        <v>112</v>
      </c>
      <c r="M130" s="291"/>
    </row>
    <row r="131" spans="1:14" ht="45.75" customHeight="1" thickBot="1">
      <c r="A131" s="298"/>
      <c r="B131" s="298"/>
      <c r="C131" s="298"/>
      <c r="D131" s="299"/>
      <c r="E131" s="298"/>
      <c r="F131" s="298"/>
      <c r="G131" s="300"/>
      <c r="H131" s="301" t="s">
        <v>113</v>
      </c>
      <c r="I131" s="302" t="s">
        <v>114</v>
      </c>
      <c r="J131" s="298"/>
      <c r="K131" s="298"/>
      <c r="L131" s="298"/>
      <c r="M131" s="291"/>
    </row>
    <row r="132" spans="1:14" ht="24" customHeight="1" thickTop="1">
      <c r="A132" s="304"/>
      <c r="B132" s="340"/>
      <c r="C132" s="305"/>
      <c r="D132" s="305"/>
      <c r="E132" s="304"/>
      <c r="F132" s="304"/>
      <c r="G132" s="307"/>
      <c r="H132" s="308"/>
      <c r="I132" s="308"/>
      <c r="J132" s="256" t="s">
        <v>132</v>
      </c>
      <c r="K132" s="257">
        <f>SUM(K112)</f>
        <v>608215.43999999994</v>
      </c>
      <c r="L132" s="304"/>
      <c r="M132" s="291"/>
    </row>
    <row r="133" spans="1:14">
      <c r="A133" s="316">
        <v>41</v>
      </c>
      <c r="B133" s="329" t="s">
        <v>106</v>
      </c>
      <c r="C133" s="311" t="s">
        <v>485</v>
      </c>
      <c r="D133" s="312" t="s">
        <v>447</v>
      </c>
      <c r="E133" s="313" t="s">
        <v>2</v>
      </c>
      <c r="F133" s="313">
        <v>25</v>
      </c>
      <c r="G133" s="313" t="s">
        <v>383</v>
      </c>
      <c r="H133" s="313">
        <v>90</v>
      </c>
      <c r="I133" s="314">
        <v>28</v>
      </c>
      <c r="J133" s="255">
        <v>1600</v>
      </c>
      <c r="K133" s="255">
        <f t="shared" ref="K133:K142" si="3">SUM(I133*J133)</f>
        <v>44800</v>
      </c>
      <c r="L133" s="327" t="s">
        <v>1280</v>
      </c>
      <c r="M133" s="291" t="s">
        <v>473</v>
      </c>
    </row>
    <row r="134" spans="1:14">
      <c r="A134" s="316">
        <v>42</v>
      </c>
      <c r="B134" s="310">
        <v>2540</v>
      </c>
      <c r="C134" s="311" t="s">
        <v>484</v>
      </c>
      <c r="D134" s="312" t="s">
        <v>483</v>
      </c>
      <c r="E134" s="313" t="s">
        <v>2</v>
      </c>
      <c r="F134" s="313">
        <v>25</v>
      </c>
      <c r="G134" s="313" t="s">
        <v>383</v>
      </c>
      <c r="H134" s="313">
        <v>46</v>
      </c>
      <c r="I134" s="314">
        <v>46</v>
      </c>
      <c r="J134" s="255">
        <v>2500</v>
      </c>
      <c r="K134" s="255">
        <f t="shared" si="3"/>
        <v>115000</v>
      </c>
      <c r="L134" s="327" t="s">
        <v>1286</v>
      </c>
      <c r="M134" s="291" t="s">
        <v>473</v>
      </c>
    </row>
    <row r="135" spans="1:14">
      <c r="A135" s="316">
        <v>43</v>
      </c>
      <c r="B135" s="310">
        <v>2548</v>
      </c>
      <c r="C135" s="311" t="s">
        <v>487</v>
      </c>
      <c r="D135" s="312" t="s">
        <v>486</v>
      </c>
      <c r="E135" s="313" t="s">
        <v>3</v>
      </c>
      <c r="F135" s="313">
        <v>17</v>
      </c>
      <c r="G135" s="313" t="s">
        <v>383</v>
      </c>
      <c r="H135" s="313">
        <v>2</v>
      </c>
      <c r="I135" s="314">
        <v>2</v>
      </c>
      <c r="J135" s="255">
        <v>1175</v>
      </c>
      <c r="K135" s="255">
        <f t="shared" si="3"/>
        <v>2350</v>
      </c>
      <c r="L135" s="327" t="s">
        <v>213</v>
      </c>
      <c r="M135" s="291" t="s">
        <v>473</v>
      </c>
    </row>
    <row r="136" spans="1:14">
      <c r="A136" s="316">
        <v>44</v>
      </c>
      <c r="B136" s="345">
        <v>2553</v>
      </c>
      <c r="C136" s="346" t="s">
        <v>489</v>
      </c>
      <c r="D136" s="347" t="s">
        <v>488</v>
      </c>
      <c r="E136" s="320" t="s">
        <v>2</v>
      </c>
      <c r="F136" s="320">
        <v>12</v>
      </c>
      <c r="G136" s="320" t="s">
        <v>383</v>
      </c>
      <c r="H136" s="320">
        <v>30</v>
      </c>
      <c r="I136" s="323">
        <v>30</v>
      </c>
      <c r="J136" s="324">
        <v>400</v>
      </c>
      <c r="K136" s="324">
        <f t="shared" si="3"/>
        <v>12000</v>
      </c>
      <c r="L136" s="325" t="s">
        <v>1287</v>
      </c>
      <c r="M136" s="291" t="s">
        <v>473</v>
      </c>
    </row>
    <row r="137" spans="1:14" ht="24" customHeight="1">
      <c r="A137" s="316">
        <v>45</v>
      </c>
      <c r="B137" s="310" t="s">
        <v>106</v>
      </c>
      <c r="C137" s="311" t="s">
        <v>518</v>
      </c>
      <c r="D137" s="312" t="s">
        <v>517</v>
      </c>
      <c r="E137" s="313" t="s">
        <v>2</v>
      </c>
      <c r="F137" s="313">
        <v>25</v>
      </c>
      <c r="G137" s="313" t="s">
        <v>383</v>
      </c>
      <c r="H137" s="314">
        <v>4</v>
      </c>
      <c r="I137" s="314">
        <v>4</v>
      </c>
      <c r="J137" s="254">
        <v>2500</v>
      </c>
      <c r="K137" s="254">
        <f t="shared" si="3"/>
        <v>10000</v>
      </c>
      <c r="L137" s="327" t="s">
        <v>516</v>
      </c>
      <c r="M137" s="291" t="s">
        <v>519</v>
      </c>
      <c r="N137" s="260"/>
    </row>
    <row r="138" spans="1:14" ht="24" customHeight="1">
      <c r="A138" s="316">
        <v>46</v>
      </c>
      <c r="B138" s="310" t="s">
        <v>106</v>
      </c>
      <c r="C138" s="311" t="s">
        <v>515</v>
      </c>
      <c r="D138" s="312" t="s">
        <v>514</v>
      </c>
      <c r="E138" s="313" t="s">
        <v>2</v>
      </c>
      <c r="F138" s="313">
        <v>25</v>
      </c>
      <c r="G138" s="313" t="s">
        <v>383</v>
      </c>
      <c r="H138" s="314">
        <v>20</v>
      </c>
      <c r="I138" s="314">
        <v>20</v>
      </c>
      <c r="J138" s="254">
        <v>2600</v>
      </c>
      <c r="K138" s="254">
        <f t="shared" si="3"/>
        <v>52000</v>
      </c>
      <c r="L138" s="327" t="s">
        <v>513</v>
      </c>
      <c r="M138" s="291" t="s">
        <v>519</v>
      </c>
      <c r="N138" s="260"/>
    </row>
    <row r="139" spans="1:14" ht="24" customHeight="1">
      <c r="A139" s="316">
        <v>47</v>
      </c>
      <c r="B139" s="310" t="s">
        <v>106</v>
      </c>
      <c r="C139" s="311" t="s">
        <v>512</v>
      </c>
      <c r="D139" s="312" t="s">
        <v>511</v>
      </c>
      <c r="E139" s="313" t="s">
        <v>2</v>
      </c>
      <c r="F139" s="313">
        <v>25</v>
      </c>
      <c r="G139" s="313" t="s">
        <v>383</v>
      </c>
      <c r="H139" s="314">
        <v>20</v>
      </c>
      <c r="I139" s="314">
        <v>20</v>
      </c>
      <c r="J139" s="254">
        <v>1200</v>
      </c>
      <c r="K139" s="254">
        <f t="shared" si="3"/>
        <v>24000</v>
      </c>
      <c r="L139" s="315" t="s">
        <v>510</v>
      </c>
      <c r="M139" s="291" t="s">
        <v>519</v>
      </c>
      <c r="N139" s="260"/>
    </row>
    <row r="140" spans="1:14" ht="24" customHeight="1">
      <c r="A140" s="316">
        <v>48</v>
      </c>
      <c r="B140" s="310">
        <v>2542</v>
      </c>
      <c r="C140" s="311" t="s">
        <v>523</v>
      </c>
      <c r="D140" s="312" t="s">
        <v>517</v>
      </c>
      <c r="E140" s="313" t="s">
        <v>2</v>
      </c>
      <c r="F140" s="313">
        <v>23</v>
      </c>
      <c r="G140" s="313" t="s">
        <v>383</v>
      </c>
      <c r="H140" s="314">
        <v>2</v>
      </c>
      <c r="I140" s="314">
        <v>2</v>
      </c>
      <c r="J140" s="254">
        <v>2500</v>
      </c>
      <c r="K140" s="254">
        <f t="shared" si="3"/>
        <v>5000</v>
      </c>
      <c r="L140" s="327" t="s">
        <v>516</v>
      </c>
      <c r="M140" s="291" t="s">
        <v>519</v>
      </c>
      <c r="N140" s="260"/>
    </row>
    <row r="141" spans="1:14" ht="24" customHeight="1">
      <c r="A141" s="316">
        <v>49</v>
      </c>
      <c r="B141" s="310">
        <v>2542</v>
      </c>
      <c r="C141" s="311" t="s">
        <v>522</v>
      </c>
      <c r="D141" s="312" t="s">
        <v>514</v>
      </c>
      <c r="E141" s="313" t="s">
        <v>2</v>
      </c>
      <c r="F141" s="313">
        <v>23</v>
      </c>
      <c r="G141" s="313" t="s">
        <v>383</v>
      </c>
      <c r="H141" s="314">
        <v>10</v>
      </c>
      <c r="I141" s="314">
        <v>10</v>
      </c>
      <c r="J141" s="254">
        <v>2500</v>
      </c>
      <c r="K141" s="254">
        <f t="shared" si="3"/>
        <v>25000</v>
      </c>
      <c r="L141" s="327" t="s">
        <v>516</v>
      </c>
      <c r="M141" s="291" t="s">
        <v>519</v>
      </c>
      <c r="N141" s="260"/>
    </row>
    <row r="142" spans="1:14" ht="24" customHeight="1">
      <c r="A142" s="316">
        <v>50</v>
      </c>
      <c r="B142" s="310">
        <v>2542</v>
      </c>
      <c r="C142" s="311" t="s">
        <v>521</v>
      </c>
      <c r="D142" s="312" t="s">
        <v>511</v>
      </c>
      <c r="E142" s="313" t="s">
        <v>2</v>
      </c>
      <c r="F142" s="313">
        <v>23</v>
      </c>
      <c r="G142" s="313" t="s">
        <v>383</v>
      </c>
      <c r="H142" s="314">
        <v>20</v>
      </c>
      <c r="I142" s="314">
        <v>20</v>
      </c>
      <c r="J142" s="254">
        <v>1200</v>
      </c>
      <c r="K142" s="254">
        <f t="shared" si="3"/>
        <v>24000</v>
      </c>
      <c r="L142" s="315" t="s">
        <v>520</v>
      </c>
      <c r="M142" s="291" t="s">
        <v>519</v>
      </c>
      <c r="N142" s="260"/>
    </row>
    <row r="143" spans="1:14" ht="24" customHeight="1">
      <c r="A143" s="258"/>
      <c r="B143" s="258"/>
      <c r="C143" s="258"/>
      <c r="D143" s="258"/>
      <c r="E143" s="258"/>
      <c r="F143" s="258"/>
      <c r="G143" s="258"/>
      <c r="H143" s="258"/>
      <c r="I143" s="258"/>
      <c r="J143" s="254" t="s">
        <v>129</v>
      </c>
      <c r="K143" s="259">
        <f>SUM(K132:K142)</f>
        <v>922365.43999999994</v>
      </c>
      <c r="L143" s="310"/>
      <c r="M143" s="291"/>
    </row>
    <row r="144" spans="1:14" ht="24" customHeight="1">
      <c r="A144" s="291"/>
      <c r="B144" s="331" t="s">
        <v>119</v>
      </c>
      <c r="C144" s="292" t="s">
        <v>120</v>
      </c>
      <c r="D144" s="291"/>
      <c r="E144" s="291"/>
      <c r="F144" s="291"/>
      <c r="G144" s="291"/>
      <c r="H144" s="332"/>
      <c r="I144" s="332"/>
      <c r="J144" s="291"/>
      <c r="K144" s="291"/>
      <c r="L144" s="253"/>
      <c r="M144" s="291"/>
    </row>
    <row r="145" spans="1:13" ht="24" customHeight="1">
      <c r="A145" s="291"/>
      <c r="B145" s="253"/>
      <c r="C145" s="292" t="s">
        <v>121</v>
      </c>
      <c r="D145" s="291"/>
      <c r="E145" s="291"/>
      <c r="F145" s="291"/>
      <c r="G145" s="291"/>
      <c r="H145" s="332"/>
      <c r="I145" s="332"/>
      <c r="J145" s="291"/>
      <c r="K145" s="291"/>
      <c r="L145" s="253"/>
      <c r="M145" s="291"/>
    </row>
    <row r="146" spans="1:13" ht="24" customHeight="1">
      <c r="A146" s="291"/>
      <c r="B146" s="253"/>
      <c r="C146" s="292"/>
      <c r="D146" s="291"/>
      <c r="E146" s="291"/>
      <c r="F146" s="291"/>
      <c r="G146" s="337" t="s">
        <v>148</v>
      </c>
      <c r="H146" s="338" t="s">
        <v>149</v>
      </c>
      <c r="I146" s="338"/>
      <c r="J146" s="338"/>
      <c r="K146" s="339" t="s">
        <v>150</v>
      </c>
      <c r="L146" s="339"/>
      <c r="M146" s="291"/>
    </row>
    <row r="147" spans="1:13" ht="21.75" customHeight="1">
      <c r="A147" s="291"/>
      <c r="B147" s="253"/>
      <c r="C147" s="292"/>
      <c r="D147" s="291"/>
      <c r="E147" s="291"/>
      <c r="F147" s="291"/>
      <c r="G147" s="339"/>
      <c r="H147" s="338" t="s">
        <v>1549</v>
      </c>
      <c r="I147" s="338"/>
      <c r="J147" s="338"/>
      <c r="K147" s="339"/>
      <c r="L147" s="339"/>
      <c r="M147" s="291"/>
    </row>
    <row r="148" spans="1:13" ht="32.25" customHeight="1">
      <c r="A148" s="291"/>
      <c r="B148" s="253"/>
      <c r="C148" s="292"/>
      <c r="D148" s="291"/>
      <c r="E148" s="291"/>
      <c r="F148" s="291"/>
      <c r="G148" s="337" t="s">
        <v>148</v>
      </c>
      <c r="H148" s="338" t="s">
        <v>149</v>
      </c>
      <c r="I148" s="338"/>
      <c r="J148" s="338"/>
      <c r="K148" s="339" t="s">
        <v>151</v>
      </c>
      <c r="L148" s="339"/>
      <c r="M148" s="291"/>
    </row>
    <row r="149" spans="1:13" ht="21.75" customHeight="1">
      <c r="A149" s="291"/>
      <c r="B149" s="253"/>
      <c r="C149" s="292"/>
      <c r="D149" s="291"/>
      <c r="E149" s="291"/>
      <c r="F149" s="291"/>
      <c r="G149" s="339"/>
      <c r="H149" s="338" t="s">
        <v>154</v>
      </c>
      <c r="I149" s="338"/>
      <c r="J149" s="338"/>
      <c r="K149" s="339"/>
      <c r="L149" s="339"/>
      <c r="M149" s="291"/>
    </row>
    <row r="150" spans="1:13" ht="33" customHeight="1">
      <c r="A150" s="291"/>
      <c r="B150" s="253"/>
      <c r="C150" s="292"/>
      <c r="D150" s="291"/>
      <c r="E150" s="291"/>
      <c r="F150" s="291"/>
      <c r="G150" s="337" t="s">
        <v>148</v>
      </c>
      <c r="H150" s="338" t="s">
        <v>149</v>
      </c>
      <c r="I150" s="338"/>
      <c r="J150" s="338"/>
      <c r="K150" s="339" t="s">
        <v>151</v>
      </c>
      <c r="L150" s="336"/>
      <c r="M150" s="291"/>
    </row>
    <row r="151" spans="1:13" ht="21.75" customHeight="1">
      <c r="A151" s="291"/>
      <c r="B151" s="253"/>
      <c r="C151" s="292"/>
      <c r="D151" s="291"/>
      <c r="E151" s="291"/>
      <c r="F151" s="291"/>
      <c r="G151" s="339"/>
      <c r="H151" s="338" t="s">
        <v>155</v>
      </c>
      <c r="I151" s="338"/>
      <c r="J151" s="338"/>
      <c r="K151" s="339"/>
      <c r="L151" s="336"/>
      <c r="M151" s="291"/>
    </row>
    <row r="152" spans="1:13" ht="35.25" customHeight="1">
      <c r="A152" s="291"/>
      <c r="B152" s="253"/>
      <c r="C152" s="292"/>
      <c r="D152" s="291"/>
      <c r="E152" s="291"/>
      <c r="F152" s="291"/>
      <c r="G152" s="337" t="s">
        <v>148</v>
      </c>
      <c r="H152" s="338" t="s">
        <v>149</v>
      </c>
      <c r="I152" s="338"/>
      <c r="J152" s="338"/>
      <c r="K152" s="339" t="s">
        <v>151</v>
      </c>
      <c r="L152" s="336"/>
      <c r="M152" s="291"/>
    </row>
    <row r="153" spans="1:13" ht="21.75" customHeight="1">
      <c r="A153" s="291"/>
      <c r="B153" s="253"/>
      <c r="C153" s="292"/>
      <c r="D153" s="291"/>
      <c r="E153" s="291"/>
      <c r="F153" s="291"/>
      <c r="G153" s="339"/>
      <c r="H153" s="338" t="s">
        <v>156</v>
      </c>
      <c r="I153" s="338"/>
      <c r="J153" s="338"/>
      <c r="K153" s="339"/>
      <c r="L153" s="336"/>
      <c r="M153" s="291"/>
    </row>
    <row r="154" spans="1:13" ht="31.5" customHeight="1">
      <c r="A154" s="291"/>
      <c r="B154" s="253"/>
      <c r="C154" s="292"/>
      <c r="D154" s="291"/>
      <c r="E154" s="291"/>
      <c r="F154" s="291"/>
      <c r="G154" s="337" t="s">
        <v>148</v>
      </c>
      <c r="H154" s="338" t="s">
        <v>149</v>
      </c>
      <c r="I154" s="338"/>
      <c r="J154" s="338"/>
      <c r="K154" s="336" t="s">
        <v>152</v>
      </c>
      <c r="L154" s="336"/>
      <c r="M154" s="291"/>
    </row>
    <row r="155" spans="1:13" ht="24" customHeight="1">
      <c r="A155" s="291"/>
      <c r="B155" s="253"/>
      <c r="C155" s="292"/>
      <c r="D155" s="291"/>
      <c r="E155" s="291"/>
      <c r="F155" s="291"/>
      <c r="G155" s="336"/>
      <c r="H155" s="338" t="s">
        <v>157</v>
      </c>
      <c r="I155" s="338"/>
      <c r="J155" s="338"/>
      <c r="K155" s="336"/>
      <c r="L155" s="336"/>
      <c r="M155" s="291"/>
    </row>
    <row r="156" spans="1:13" ht="24" customHeight="1">
      <c r="A156" s="291"/>
      <c r="B156" s="253"/>
      <c r="C156" s="292"/>
      <c r="D156" s="291"/>
      <c r="E156" s="291"/>
      <c r="F156" s="291"/>
      <c r="G156" s="336"/>
      <c r="H156" s="333"/>
      <c r="I156" s="333"/>
      <c r="J156" s="333"/>
      <c r="K156" s="336"/>
      <c r="L156" s="336"/>
      <c r="M156" s="291"/>
    </row>
    <row r="157" spans="1:13" ht="24" customHeight="1">
      <c r="A157" s="291"/>
      <c r="B157" s="253"/>
      <c r="C157" s="292"/>
      <c r="D157" s="291"/>
      <c r="E157" s="291"/>
      <c r="F157" s="291"/>
      <c r="G157" s="291"/>
      <c r="H157" s="291"/>
      <c r="I157" s="291"/>
      <c r="J157" s="291"/>
      <c r="K157" s="291"/>
      <c r="L157" s="253" t="s">
        <v>482</v>
      </c>
      <c r="M157" s="291"/>
    </row>
    <row r="158" spans="1:13" ht="24" customHeight="1">
      <c r="A158" s="265" t="s">
        <v>158</v>
      </c>
      <c r="B158" s="265"/>
      <c r="C158" s="265"/>
      <c r="D158" s="265"/>
      <c r="E158" s="265"/>
      <c r="F158" s="265"/>
      <c r="G158" s="265"/>
      <c r="H158" s="265"/>
      <c r="I158" s="265"/>
      <c r="J158" s="265"/>
      <c r="K158" s="265"/>
      <c r="L158" s="265"/>
      <c r="M158" s="291"/>
    </row>
    <row r="159" spans="1:13" ht="24" customHeight="1">
      <c r="A159" s="266" t="s">
        <v>160</v>
      </c>
      <c r="B159" s="266"/>
      <c r="C159" s="266"/>
      <c r="D159" s="266"/>
      <c r="E159" s="266"/>
      <c r="F159" s="266"/>
      <c r="G159" s="266"/>
      <c r="H159" s="266"/>
      <c r="I159" s="266"/>
      <c r="J159" s="266"/>
      <c r="K159" s="266"/>
      <c r="L159" s="266"/>
      <c r="M159" s="291"/>
    </row>
    <row r="160" spans="1:13" ht="24" customHeight="1" thickBot="1">
      <c r="A160" s="267" t="s">
        <v>161</v>
      </c>
      <c r="B160" s="267"/>
      <c r="C160" s="267"/>
      <c r="D160" s="267"/>
      <c r="E160" s="267"/>
      <c r="F160" s="267"/>
      <c r="G160" s="267"/>
      <c r="H160" s="267"/>
      <c r="I160" s="267"/>
      <c r="J160" s="267"/>
      <c r="K160" s="267"/>
      <c r="L160" s="267"/>
      <c r="M160" s="291"/>
    </row>
    <row r="161" spans="1:14" ht="24" customHeight="1" thickTop="1">
      <c r="A161" s="293" t="s">
        <v>103</v>
      </c>
      <c r="B161" s="293" t="s">
        <v>122</v>
      </c>
      <c r="C161" s="293" t="s">
        <v>124</v>
      </c>
      <c r="D161" s="294" t="s">
        <v>0</v>
      </c>
      <c r="E161" s="293" t="s">
        <v>109</v>
      </c>
      <c r="F161" s="293" t="s">
        <v>110</v>
      </c>
      <c r="G161" s="295" t="s">
        <v>111</v>
      </c>
      <c r="H161" s="296" t="s">
        <v>1</v>
      </c>
      <c r="I161" s="297"/>
      <c r="J161" s="293" t="s">
        <v>125</v>
      </c>
      <c r="K161" s="293" t="s">
        <v>104</v>
      </c>
      <c r="L161" s="293" t="s">
        <v>112</v>
      </c>
      <c r="M161" s="291"/>
    </row>
    <row r="162" spans="1:14" ht="44.25" customHeight="1" thickBot="1">
      <c r="A162" s="298"/>
      <c r="B162" s="298"/>
      <c r="C162" s="298"/>
      <c r="D162" s="299"/>
      <c r="E162" s="298"/>
      <c r="F162" s="298"/>
      <c r="G162" s="300"/>
      <c r="H162" s="301" t="s">
        <v>113</v>
      </c>
      <c r="I162" s="302" t="s">
        <v>114</v>
      </c>
      <c r="J162" s="298"/>
      <c r="K162" s="298"/>
      <c r="L162" s="298"/>
      <c r="M162" s="291"/>
    </row>
    <row r="163" spans="1:14" ht="24" customHeight="1" thickTop="1">
      <c r="A163" s="304"/>
      <c r="B163" s="340"/>
      <c r="C163" s="305"/>
      <c r="D163" s="305"/>
      <c r="E163" s="304"/>
      <c r="F163" s="304"/>
      <c r="G163" s="307"/>
      <c r="H163" s="308"/>
      <c r="I163" s="308"/>
      <c r="J163" s="256" t="s">
        <v>132</v>
      </c>
      <c r="K163" s="257">
        <f>SUM(K143)</f>
        <v>922365.43999999994</v>
      </c>
      <c r="L163" s="304"/>
      <c r="M163" s="291"/>
    </row>
    <row r="164" spans="1:14" ht="24" customHeight="1">
      <c r="A164" s="310">
        <v>51</v>
      </c>
      <c r="B164" s="310" t="s">
        <v>527</v>
      </c>
      <c r="C164" s="311" t="s">
        <v>530</v>
      </c>
      <c r="D164" s="312" t="s">
        <v>517</v>
      </c>
      <c r="E164" s="310" t="s">
        <v>2</v>
      </c>
      <c r="F164" s="313">
        <v>22</v>
      </c>
      <c r="G164" s="313" t="s">
        <v>383</v>
      </c>
      <c r="H164" s="314">
        <v>2</v>
      </c>
      <c r="I164" s="314">
        <v>2</v>
      </c>
      <c r="J164" s="254">
        <v>2500</v>
      </c>
      <c r="K164" s="254">
        <f t="shared" ref="K164:K173" si="4">SUM(I164*J164)</f>
        <v>5000</v>
      </c>
      <c r="L164" s="327" t="s">
        <v>528</v>
      </c>
      <c r="M164" s="291" t="s">
        <v>519</v>
      </c>
      <c r="N164" s="260"/>
    </row>
    <row r="165" spans="1:14" ht="24" customHeight="1">
      <c r="A165" s="310">
        <v>52</v>
      </c>
      <c r="B165" s="310" t="s">
        <v>527</v>
      </c>
      <c r="C165" s="311" t="s">
        <v>529</v>
      </c>
      <c r="D165" s="312" t="s">
        <v>514</v>
      </c>
      <c r="E165" s="310" t="s">
        <v>2</v>
      </c>
      <c r="F165" s="313">
        <v>22</v>
      </c>
      <c r="G165" s="313" t="s">
        <v>383</v>
      </c>
      <c r="H165" s="314">
        <v>5</v>
      </c>
      <c r="I165" s="314">
        <v>5</v>
      </c>
      <c r="J165" s="254">
        <v>2500</v>
      </c>
      <c r="K165" s="254">
        <f t="shared" si="4"/>
        <v>12500</v>
      </c>
      <c r="L165" s="327" t="s">
        <v>528</v>
      </c>
      <c r="M165" s="291" t="s">
        <v>519</v>
      </c>
      <c r="N165" s="260"/>
    </row>
    <row r="166" spans="1:14" ht="24" customHeight="1">
      <c r="A166" s="310">
        <v>53</v>
      </c>
      <c r="B166" s="348" t="s">
        <v>527</v>
      </c>
      <c r="C166" s="349" t="s">
        <v>526</v>
      </c>
      <c r="D166" s="350" t="s">
        <v>511</v>
      </c>
      <c r="E166" s="351" t="s">
        <v>2</v>
      </c>
      <c r="F166" s="313">
        <v>22</v>
      </c>
      <c r="G166" s="313" t="s">
        <v>383</v>
      </c>
      <c r="H166" s="314">
        <v>5</v>
      </c>
      <c r="I166" s="314">
        <v>5</v>
      </c>
      <c r="J166" s="352">
        <v>1200</v>
      </c>
      <c r="K166" s="254">
        <f t="shared" si="4"/>
        <v>6000</v>
      </c>
      <c r="L166" s="315" t="s">
        <v>510</v>
      </c>
      <c r="M166" s="291" t="s">
        <v>519</v>
      </c>
    </row>
    <row r="167" spans="1:14" ht="24" customHeight="1">
      <c r="A167" s="310">
        <v>54</v>
      </c>
      <c r="B167" s="310">
        <v>2548</v>
      </c>
      <c r="C167" s="311" t="s">
        <v>534</v>
      </c>
      <c r="D167" s="311" t="s">
        <v>533</v>
      </c>
      <c r="E167" s="310" t="s">
        <v>3</v>
      </c>
      <c r="F167" s="313">
        <v>17</v>
      </c>
      <c r="G167" s="313" t="s">
        <v>383</v>
      </c>
      <c r="H167" s="314">
        <v>3</v>
      </c>
      <c r="I167" s="314">
        <v>3</v>
      </c>
      <c r="J167" s="255">
        <v>1100</v>
      </c>
      <c r="K167" s="255">
        <f t="shared" si="4"/>
        <v>3300</v>
      </c>
      <c r="L167" s="315" t="s">
        <v>532</v>
      </c>
      <c r="M167" s="291" t="s">
        <v>519</v>
      </c>
    </row>
    <row r="168" spans="1:14" ht="24" customHeight="1">
      <c r="A168" s="310">
        <v>55</v>
      </c>
      <c r="B168" s="310">
        <v>2548</v>
      </c>
      <c r="C168" s="311" t="s">
        <v>531</v>
      </c>
      <c r="D168" s="353" t="s">
        <v>241</v>
      </c>
      <c r="E168" s="310" t="s">
        <v>3</v>
      </c>
      <c r="F168" s="313">
        <v>17</v>
      </c>
      <c r="G168" s="313" t="s">
        <v>383</v>
      </c>
      <c r="H168" s="314">
        <v>6</v>
      </c>
      <c r="I168" s="314">
        <v>6</v>
      </c>
      <c r="J168" s="254">
        <v>1200</v>
      </c>
      <c r="K168" s="255">
        <f t="shared" si="4"/>
        <v>7200</v>
      </c>
      <c r="L168" s="315" t="s">
        <v>213</v>
      </c>
      <c r="M168" s="291" t="s">
        <v>519</v>
      </c>
    </row>
    <row r="169" spans="1:14" ht="24" customHeight="1">
      <c r="A169" s="310">
        <v>56</v>
      </c>
      <c r="B169" s="310" t="s">
        <v>249</v>
      </c>
      <c r="C169" s="311" t="s">
        <v>537</v>
      </c>
      <c r="D169" s="312" t="s">
        <v>536</v>
      </c>
      <c r="E169" s="313" t="s">
        <v>3</v>
      </c>
      <c r="F169" s="313">
        <v>16</v>
      </c>
      <c r="G169" s="313" t="s">
        <v>383</v>
      </c>
      <c r="H169" s="314">
        <v>1</v>
      </c>
      <c r="I169" s="314">
        <v>1</v>
      </c>
      <c r="J169" s="255">
        <v>695.5</v>
      </c>
      <c r="K169" s="255">
        <f t="shared" si="4"/>
        <v>695.5</v>
      </c>
      <c r="L169" s="327" t="s">
        <v>535</v>
      </c>
      <c r="M169" s="291" t="s">
        <v>519</v>
      </c>
    </row>
    <row r="170" spans="1:14" ht="24" customHeight="1">
      <c r="A170" s="310">
        <v>57</v>
      </c>
      <c r="B170" s="310" t="s">
        <v>245</v>
      </c>
      <c r="C170" s="311" t="s">
        <v>542</v>
      </c>
      <c r="D170" s="312" t="s">
        <v>541</v>
      </c>
      <c r="E170" s="313" t="s">
        <v>3</v>
      </c>
      <c r="F170" s="313">
        <v>15</v>
      </c>
      <c r="G170" s="313" t="s">
        <v>383</v>
      </c>
      <c r="H170" s="314">
        <v>1</v>
      </c>
      <c r="I170" s="314">
        <v>1</v>
      </c>
      <c r="J170" s="255">
        <v>3600</v>
      </c>
      <c r="K170" s="255">
        <f t="shared" si="4"/>
        <v>3600</v>
      </c>
      <c r="L170" s="315" t="s">
        <v>532</v>
      </c>
      <c r="M170" s="291" t="s">
        <v>519</v>
      </c>
    </row>
    <row r="171" spans="1:14" ht="24" customHeight="1">
      <c r="A171" s="310">
        <v>58</v>
      </c>
      <c r="B171" s="310" t="s">
        <v>245</v>
      </c>
      <c r="C171" s="311" t="s">
        <v>540</v>
      </c>
      <c r="D171" s="312" t="s">
        <v>539</v>
      </c>
      <c r="E171" s="313" t="s">
        <v>2</v>
      </c>
      <c r="F171" s="313">
        <v>15</v>
      </c>
      <c r="G171" s="313" t="s">
        <v>383</v>
      </c>
      <c r="H171" s="314">
        <v>3</v>
      </c>
      <c r="I171" s="314">
        <v>3</v>
      </c>
      <c r="J171" s="255">
        <v>3400</v>
      </c>
      <c r="K171" s="255">
        <f t="shared" si="4"/>
        <v>10200</v>
      </c>
      <c r="L171" s="315" t="s">
        <v>538</v>
      </c>
      <c r="M171" s="291" t="s">
        <v>519</v>
      </c>
    </row>
    <row r="172" spans="1:14" ht="24" customHeight="1">
      <c r="A172" s="310">
        <v>59</v>
      </c>
      <c r="B172" s="310" t="s">
        <v>245</v>
      </c>
      <c r="C172" s="311" t="s">
        <v>544</v>
      </c>
      <c r="D172" s="312" t="s">
        <v>543</v>
      </c>
      <c r="E172" s="313" t="s">
        <v>2</v>
      </c>
      <c r="F172" s="313">
        <v>15</v>
      </c>
      <c r="G172" s="313" t="s">
        <v>383</v>
      </c>
      <c r="H172" s="314">
        <v>2</v>
      </c>
      <c r="I172" s="314">
        <v>2</v>
      </c>
      <c r="J172" s="324">
        <v>2200</v>
      </c>
      <c r="K172" s="255">
        <f t="shared" si="4"/>
        <v>4400</v>
      </c>
      <c r="L172" s="315" t="s">
        <v>538</v>
      </c>
      <c r="M172" s="291" t="s">
        <v>519</v>
      </c>
    </row>
    <row r="173" spans="1:14" ht="24" customHeight="1">
      <c r="A173" s="310">
        <v>60</v>
      </c>
      <c r="B173" s="310" t="s">
        <v>286</v>
      </c>
      <c r="C173" s="311" t="s">
        <v>546</v>
      </c>
      <c r="D173" s="312" t="s">
        <v>545</v>
      </c>
      <c r="E173" s="313" t="s">
        <v>3</v>
      </c>
      <c r="F173" s="313">
        <v>14</v>
      </c>
      <c r="G173" s="313" t="s">
        <v>383</v>
      </c>
      <c r="H173" s="314">
        <v>1</v>
      </c>
      <c r="I173" s="314">
        <v>1</v>
      </c>
      <c r="J173" s="255">
        <v>1006.25</v>
      </c>
      <c r="K173" s="254">
        <f t="shared" si="4"/>
        <v>1006.25</v>
      </c>
      <c r="L173" s="315" t="s">
        <v>510</v>
      </c>
      <c r="M173" s="291" t="s">
        <v>519</v>
      </c>
    </row>
    <row r="174" spans="1:14" ht="24" customHeight="1">
      <c r="A174" s="258"/>
      <c r="B174" s="258"/>
      <c r="C174" s="258"/>
      <c r="D174" s="258"/>
      <c r="E174" s="258"/>
      <c r="F174" s="258"/>
      <c r="G174" s="258"/>
      <c r="H174" s="258"/>
      <c r="I174" s="258"/>
      <c r="J174" s="254" t="s">
        <v>129</v>
      </c>
      <c r="K174" s="259">
        <f>SUM(K163:K173)</f>
        <v>976267.19</v>
      </c>
      <c r="L174" s="310"/>
      <c r="M174" s="291"/>
    </row>
    <row r="175" spans="1:14" ht="24" customHeight="1">
      <c r="A175" s="291"/>
      <c r="B175" s="331" t="s">
        <v>119</v>
      </c>
      <c r="C175" s="292" t="s">
        <v>120</v>
      </c>
      <c r="D175" s="291"/>
      <c r="E175" s="291"/>
      <c r="F175" s="291"/>
      <c r="G175" s="291"/>
      <c r="H175" s="332"/>
      <c r="I175" s="332"/>
      <c r="J175" s="291"/>
      <c r="K175" s="291"/>
      <c r="L175" s="253"/>
      <c r="M175" s="291"/>
    </row>
    <row r="176" spans="1:14" ht="24" customHeight="1">
      <c r="A176" s="291"/>
      <c r="B176" s="253"/>
      <c r="C176" s="292" t="s">
        <v>121</v>
      </c>
      <c r="D176" s="291"/>
      <c r="E176" s="291"/>
      <c r="F176" s="291"/>
      <c r="G176" s="291"/>
      <c r="H176" s="332"/>
      <c r="I176" s="332"/>
      <c r="J176" s="291"/>
      <c r="K176" s="291"/>
      <c r="L176" s="253"/>
      <c r="M176" s="291"/>
    </row>
    <row r="177" spans="1:13" ht="24" customHeight="1">
      <c r="A177" s="291"/>
      <c r="B177" s="253"/>
      <c r="C177" s="292"/>
      <c r="D177" s="291"/>
      <c r="E177" s="291"/>
      <c r="F177" s="291"/>
      <c r="G177" s="337" t="s">
        <v>148</v>
      </c>
      <c r="H177" s="338" t="s">
        <v>149</v>
      </c>
      <c r="I177" s="338"/>
      <c r="J177" s="338"/>
      <c r="K177" s="339" t="s">
        <v>150</v>
      </c>
      <c r="L177" s="339"/>
      <c r="M177" s="291"/>
    </row>
    <row r="178" spans="1:13" ht="21.75" customHeight="1">
      <c r="A178" s="291"/>
      <c r="B178" s="253"/>
      <c r="C178" s="292"/>
      <c r="D178" s="291"/>
      <c r="E178" s="291"/>
      <c r="F178" s="291"/>
      <c r="G178" s="339"/>
      <c r="H178" s="338" t="s">
        <v>1549</v>
      </c>
      <c r="I178" s="338"/>
      <c r="J178" s="338"/>
      <c r="K178" s="339"/>
      <c r="L178" s="339"/>
      <c r="M178" s="291"/>
    </row>
    <row r="179" spans="1:13" ht="32.25" customHeight="1">
      <c r="A179" s="291"/>
      <c r="B179" s="253"/>
      <c r="C179" s="292"/>
      <c r="D179" s="291"/>
      <c r="E179" s="291"/>
      <c r="F179" s="291"/>
      <c r="G179" s="337" t="s">
        <v>148</v>
      </c>
      <c r="H179" s="338" t="s">
        <v>149</v>
      </c>
      <c r="I179" s="338"/>
      <c r="J179" s="338"/>
      <c r="K179" s="339" t="s">
        <v>151</v>
      </c>
      <c r="L179" s="339"/>
      <c r="M179" s="291"/>
    </row>
    <row r="180" spans="1:13" ht="24" customHeight="1">
      <c r="A180" s="291"/>
      <c r="B180" s="253"/>
      <c r="C180" s="292"/>
      <c r="D180" s="291"/>
      <c r="E180" s="291"/>
      <c r="F180" s="291"/>
      <c r="G180" s="339"/>
      <c r="H180" s="338" t="s">
        <v>154</v>
      </c>
      <c r="I180" s="338"/>
      <c r="J180" s="338"/>
      <c r="K180" s="339"/>
      <c r="L180" s="339"/>
      <c r="M180" s="291"/>
    </row>
    <row r="181" spans="1:13" ht="33.75" customHeight="1">
      <c r="A181" s="291"/>
      <c r="B181" s="253"/>
      <c r="C181" s="292"/>
      <c r="D181" s="291"/>
      <c r="E181" s="291"/>
      <c r="F181" s="291"/>
      <c r="G181" s="337" t="s">
        <v>148</v>
      </c>
      <c r="H181" s="338" t="s">
        <v>149</v>
      </c>
      <c r="I181" s="338"/>
      <c r="J181" s="338"/>
      <c r="K181" s="339" t="s">
        <v>151</v>
      </c>
      <c r="L181" s="336"/>
      <c r="M181" s="291"/>
    </row>
    <row r="182" spans="1:13" ht="24" customHeight="1">
      <c r="A182" s="291"/>
      <c r="B182" s="253"/>
      <c r="C182" s="292"/>
      <c r="D182" s="291"/>
      <c r="E182" s="291"/>
      <c r="F182" s="291"/>
      <c r="G182" s="339"/>
      <c r="H182" s="338" t="s">
        <v>155</v>
      </c>
      <c r="I182" s="338"/>
      <c r="J182" s="338"/>
      <c r="K182" s="339"/>
      <c r="L182" s="336"/>
      <c r="M182" s="291"/>
    </row>
    <row r="183" spans="1:13" ht="33" customHeight="1">
      <c r="A183" s="291"/>
      <c r="B183" s="253"/>
      <c r="C183" s="292"/>
      <c r="D183" s="291"/>
      <c r="E183" s="291"/>
      <c r="F183" s="291"/>
      <c r="G183" s="337" t="s">
        <v>148</v>
      </c>
      <c r="H183" s="338" t="s">
        <v>149</v>
      </c>
      <c r="I183" s="338"/>
      <c r="J183" s="338"/>
      <c r="K183" s="339" t="s">
        <v>151</v>
      </c>
      <c r="L183" s="336"/>
      <c r="M183" s="291"/>
    </row>
    <row r="184" spans="1:13" ht="21" customHeight="1">
      <c r="A184" s="291"/>
      <c r="B184" s="253"/>
      <c r="C184" s="292"/>
      <c r="D184" s="291"/>
      <c r="E184" s="291"/>
      <c r="F184" s="291"/>
      <c r="G184" s="339"/>
      <c r="H184" s="338" t="s">
        <v>156</v>
      </c>
      <c r="I184" s="338"/>
      <c r="J184" s="338"/>
      <c r="K184" s="339"/>
      <c r="L184" s="336"/>
      <c r="M184" s="291"/>
    </row>
    <row r="185" spans="1:13" ht="30" customHeight="1">
      <c r="A185" s="291"/>
      <c r="B185" s="253"/>
      <c r="C185" s="292"/>
      <c r="D185" s="291"/>
      <c r="E185" s="291"/>
      <c r="F185" s="291"/>
      <c r="G185" s="337" t="s">
        <v>148</v>
      </c>
      <c r="H185" s="338" t="s">
        <v>149</v>
      </c>
      <c r="I185" s="338"/>
      <c r="J185" s="338"/>
      <c r="K185" s="336" t="s">
        <v>152</v>
      </c>
      <c r="L185" s="336"/>
      <c r="M185" s="291"/>
    </row>
    <row r="186" spans="1:13" ht="24" customHeight="1">
      <c r="A186" s="291"/>
      <c r="B186" s="253"/>
      <c r="C186" s="292"/>
      <c r="D186" s="291"/>
      <c r="E186" s="291"/>
      <c r="F186" s="291"/>
      <c r="G186" s="336"/>
      <c r="H186" s="338" t="s">
        <v>157</v>
      </c>
      <c r="I186" s="338"/>
      <c r="J186" s="338"/>
      <c r="K186" s="336"/>
      <c r="L186" s="336"/>
      <c r="M186" s="291"/>
    </row>
    <row r="187" spans="1:13" ht="24" customHeight="1">
      <c r="A187" s="291"/>
      <c r="B187" s="253"/>
      <c r="C187" s="292"/>
      <c r="D187" s="291"/>
      <c r="E187" s="291"/>
      <c r="F187" s="291"/>
      <c r="G187" s="336"/>
      <c r="H187" s="333"/>
      <c r="I187" s="333"/>
      <c r="J187" s="333"/>
      <c r="K187" s="336"/>
      <c r="L187" s="336"/>
      <c r="M187" s="291"/>
    </row>
    <row r="188" spans="1:13" ht="24" customHeight="1">
      <c r="A188" s="291"/>
      <c r="B188" s="253"/>
      <c r="C188" s="292"/>
      <c r="D188" s="291"/>
      <c r="E188" s="291"/>
      <c r="F188" s="291"/>
      <c r="G188" s="291"/>
      <c r="H188" s="291"/>
      <c r="I188" s="291"/>
      <c r="J188" s="291"/>
      <c r="K188" s="291"/>
      <c r="L188" s="253" t="s">
        <v>524</v>
      </c>
      <c r="M188" s="291"/>
    </row>
    <row r="189" spans="1:13" ht="24" customHeight="1">
      <c r="A189" s="265" t="s">
        <v>158</v>
      </c>
      <c r="B189" s="265"/>
      <c r="C189" s="265"/>
      <c r="D189" s="265"/>
      <c r="E189" s="265"/>
      <c r="F189" s="265"/>
      <c r="G189" s="265"/>
      <c r="H189" s="265"/>
      <c r="I189" s="265"/>
      <c r="J189" s="265"/>
      <c r="K189" s="265"/>
      <c r="L189" s="265"/>
      <c r="M189" s="291"/>
    </row>
    <row r="190" spans="1:13" ht="24" customHeight="1">
      <c r="A190" s="266" t="s">
        <v>160</v>
      </c>
      <c r="B190" s="266"/>
      <c r="C190" s="266"/>
      <c r="D190" s="266"/>
      <c r="E190" s="266"/>
      <c r="F190" s="266"/>
      <c r="G190" s="266"/>
      <c r="H190" s="266"/>
      <c r="I190" s="266"/>
      <c r="J190" s="266"/>
      <c r="K190" s="266"/>
      <c r="L190" s="266"/>
      <c r="M190" s="291"/>
    </row>
    <row r="191" spans="1:13" ht="24" customHeight="1" thickBot="1">
      <c r="A191" s="267" t="s">
        <v>161</v>
      </c>
      <c r="B191" s="267"/>
      <c r="C191" s="267"/>
      <c r="D191" s="267"/>
      <c r="E191" s="267"/>
      <c r="F191" s="267"/>
      <c r="G191" s="267"/>
      <c r="H191" s="267"/>
      <c r="I191" s="267"/>
      <c r="J191" s="267"/>
      <c r="K191" s="267"/>
      <c r="L191" s="267"/>
      <c r="M191" s="291"/>
    </row>
    <row r="192" spans="1:13" ht="24" customHeight="1" thickTop="1">
      <c r="A192" s="293" t="s">
        <v>103</v>
      </c>
      <c r="B192" s="293" t="s">
        <v>122</v>
      </c>
      <c r="C192" s="293" t="s">
        <v>124</v>
      </c>
      <c r="D192" s="294" t="s">
        <v>0</v>
      </c>
      <c r="E192" s="293" t="s">
        <v>109</v>
      </c>
      <c r="F192" s="293" t="s">
        <v>110</v>
      </c>
      <c r="G192" s="295" t="s">
        <v>111</v>
      </c>
      <c r="H192" s="296" t="s">
        <v>1</v>
      </c>
      <c r="I192" s="297"/>
      <c r="J192" s="293" t="s">
        <v>125</v>
      </c>
      <c r="K192" s="293" t="s">
        <v>104</v>
      </c>
      <c r="L192" s="293" t="s">
        <v>112</v>
      </c>
      <c r="M192" s="291"/>
    </row>
    <row r="193" spans="1:13" ht="45.75" customHeight="1" thickBot="1">
      <c r="A193" s="298"/>
      <c r="B193" s="298"/>
      <c r="C193" s="298"/>
      <c r="D193" s="299"/>
      <c r="E193" s="298"/>
      <c r="F193" s="298"/>
      <c r="G193" s="300"/>
      <c r="H193" s="301" t="s">
        <v>113</v>
      </c>
      <c r="I193" s="302" t="s">
        <v>114</v>
      </c>
      <c r="J193" s="298"/>
      <c r="K193" s="298"/>
      <c r="L193" s="298"/>
      <c r="M193" s="291"/>
    </row>
    <row r="194" spans="1:13" ht="24" customHeight="1" thickTop="1">
      <c r="A194" s="304"/>
      <c r="B194" s="340"/>
      <c r="C194" s="305"/>
      <c r="D194" s="305"/>
      <c r="E194" s="304"/>
      <c r="F194" s="304"/>
      <c r="G194" s="307"/>
      <c r="H194" s="308"/>
      <c r="I194" s="308"/>
      <c r="J194" s="256" t="s">
        <v>132</v>
      </c>
      <c r="K194" s="257">
        <f>SUM(K174)</f>
        <v>976267.19</v>
      </c>
      <c r="L194" s="304"/>
      <c r="M194" s="291"/>
    </row>
    <row r="195" spans="1:13" ht="24" customHeight="1">
      <c r="A195" s="310">
        <v>61</v>
      </c>
      <c r="B195" s="310">
        <v>2553</v>
      </c>
      <c r="C195" s="311" t="s">
        <v>549</v>
      </c>
      <c r="D195" s="312" t="s">
        <v>548</v>
      </c>
      <c r="E195" s="313" t="s">
        <v>2</v>
      </c>
      <c r="F195" s="313">
        <v>12</v>
      </c>
      <c r="G195" s="313" t="s">
        <v>383</v>
      </c>
      <c r="H195" s="314">
        <v>4</v>
      </c>
      <c r="I195" s="314">
        <v>4</v>
      </c>
      <c r="J195" s="255">
        <v>3000</v>
      </c>
      <c r="K195" s="254">
        <f t="shared" ref="K195:K204" si="5">SUM(I195*J195)</f>
        <v>12000</v>
      </c>
      <c r="L195" s="315" t="s">
        <v>547</v>
      </c>
      <c r="M195" s="291" t="s">
        <v>519</v>
      </c>
    </row>
    <row r="196" spans="1:13" ht="24" customHeight="1">
      <c r="A196" s="310">
        <v>62</v>
      </c>
      <c r="B196" s="310">
        <v>2553</v>
      </c>
      <c r="C196" s="311" t="s">
        <v>551</v>
      </c>
      <c r="D196" s="312" t="s">
        <v>550</v>
      </c>
      <c r="E196" s="313" t="s">
        <v>2</v>
      </c>
      <c r="F196" s="313">
        <v>12</v>
      </c>
      <c r="G196" s="313" t="s">
        <v>383</v>
      </c>
      <c r="H196" s="314">
        <v>160</v>
      </c>
      <c r="I196" s="314">
        <v>160</v>
      </c>
      <c r="J196" s="255">
        <v>400</v>
      </c>
      <c r="K196" s="254">
        <f t="shared" si="5"/>
        <v>64000</v>
      </c>
      <c r="L196" s="315" t="s">
        <v>520</v>
      </c>
      <c r="M196" s="291" t="s">
        <v>519</v>
      </c>
    </row>
    <row r="197" spans="1:13">
      <c r="A197" s="310">
        <v>63</v>
      </c>
      <c r="B197" s="310">
        <v>2546</v>
      </c>
      <c r="C197" s="346" t="s">
        <v>607</v>
      </c>
      <c r="D197" s="347" t="s">
        <v>606</v>
      </c>
      <c r="E197" s="313" t="s">
        <v>98</v>
      </c>
      <c r="F197" s="313">
        <v>19</v>
      </c>
      <c r="G197" s="313" t="s">
        <v>383</v>
      </c>
      <c r="H197" s="313">
        <v>5</v>
      </c>
      <c r="I197" s="314">
        <v>5</v>
      </c>
      <c r="J197" s="255">
        <v>3970</v>
      </c>
      <c r="K197" s="257">
        <f t="shared" si="5"/>
        <v>19850</v>
      </c>
      <c r="L197" s="354" t="s">
        <v>605</v>
      </c>
      <c r="M197" s="291" t="s">
        <v>1458</v>
      </c>
    </row>
    <row r="198" spans="1:13">
      <c r="A198" s="310">
        <v>64</v>
      </c>
      <c r="B198" s="310">
        <v>2548</v>
      </c>
      <c r="C198" s="311" t="s">
        <v>604</v>
      </c>
      <c r="D198" s="312" t="s">
        <v>603</v>
      </c>
      <c r="E198" s="313" t="s">
        <v>3</v>
      </c>
      <c r="F198" s="313">
        <v>17</v>
      </c>
      <c r="G198" s="313" t="s">
        <v>383</v>
      </c>
      <c r="H198" s="313">
        <v>1</v>
      </c>
      <c r="I198" s="314">
        <v>1</v>
      </c>
      <c r="J198" s="255">
        <v>690</v>
      </c>
      <c r="K198" s="257">
        <f t="shared" si="5"/>
        <v>690</v>
      </c>
      <c r="L198" s="354" t="s">
        <v>213</v>
      </c>
      <c r="M198" s="291" t="s">
        <v>1458</v>
      </c>
    </row>
    <row r="199" spans="1:13">
      <c r="A199" s="310">
        <v>65</v>
      </c>
      <c r="B199" s="310">
        <v>2550</v>
      </c>
      <c r="C199" s="311" t="s">
        <v>610</v>
      </c>
      <c r="D199" s="312" t="s">
        <v>609</v>
      </c>
      <c r="E199" s="313" t="s">
        <v>2</v>
      </c>
      <c r="F199" s="313">
        <v>15</v>
      </c>
      <c r="G199" s="313" t="s">
        <v>383</v>
      </c>
      <c r="H199" s="313">
        <v>1</v>
      </c>
      <c r="I199" s="314">
        <v>1</v>
      </c>
      <c r="J199" s="255">
        <v>3350</v>
      </c>
      <c r="K199" s="257">
        <f t="shared" si="5"/>
        <v>3350</v>
      </c>
      <c r="L199" s="354" t="s">
        <v>608</v>
      </c>
      <c r="M199" s="291" t="s">
        <v>1458</v>
      </c>
    </row>
    <row r="200" spans="1:13">
      <c r="A200" s="310">
        <v>66</v>
      </c>
      <c r="B200" s="310">
        <v>2553</v>
      </c>
      <c r="C200" s="355" t="s">
        <v>612</v>
      </c>
      <c r="D200" s="356" t="s">
        <v>611</v>
      </c>
      <c r="E200" s="313" t="s">
        <v>2</v>
      </c>
      <c r="F200" s="313">
        <v>12</v>
      </c>
      <c r="G200" s="313" t="s">
        <v>383</v>
      </c>
      <c r="H200" s="313">
        <v>2</v>
      </c>
      <c r="I200" s="314">
        <v>2</v>
      </c>
      <c r="J200" s="255">
        <v>1950</v>
      </c>
      <c r="K200" s="257">
        <f t="shared" si="5"/>
        <v>3900</v>
      </c>
      <c r="L200" s="354" t="s">
        <v>608</v>
      </c>
      <c r="M200" s="291" t="s">
        <v>1458</v>
      </c>
    </row>
    <row r="201" spans="1:13">
      <c r="A201" s="310">
        <v>67</v>
      </c>
      <c r="B201" s="310">
        <v>2551</v>
      </c>
      <c r="C201" s="311" t="s">
        <v>629</v>
      </c>
      <c r="D201" s="312" t="s">
        <v>628</v>
      </c>
      <c r="E201" s="313" t="s">
        <v>98</v>
      </c>
      <c r="F201" s="313">
        <v>14</v>
      </c>
      <c r="G201" s="313" t="s">
        <v>383</v>
      </c>
      <c r="H201" s="313">
        <v>1</v>
      </c>
      <c r="I201" s="314">
        <v>1</v>
      </c>
      <c r="J201" s="255">
        <v>4800</v>
      </c>
      <c r="K201" s="255">
        <f t="shared" si="5"/>
        <v>4800</v>
      </c>
      <c r="L201" s="327" t="s">
        <v>627</v>
      </c>
      <c r="M201" s="291" t="s">
        <v>1039</v>
      </c>
    </row>
    <row r="202" spans="1:13">
      <c r="A202" s="310">
        <v>68</v>
      </c>
      <c r="B202" s="310">
        <v>2553</v>
      </c>
      <c r="C202" s="311" t="s">
        <v>626</v>
      </c>
      <c r="D202" s="312" t="s">
        <v>625</v>
      </c>
      <c r="E202" s="313" t="s">
        <v>2</v>
      </c>
      <c r="F202" s="313">
        <v>12</v>
      </c>
      <c r="G202" s="313" t="s">
        <v>383</v>
      </c>
      <c r="H202" s="313">
        <v>1</v>
      </c>
      <c r="I202" s="314">
        <v>1</v>
      </c>
      <c r="J202" s="255">
        <v>3950</v>
      </c>
      <c r="K202" s="255">
        <f t="shared" si="5"/>
        <v>3950</v>
      </c>
      <c r="L202" s="327" t="s">
        <v>624</v>
      </c>
      <c r="M202" s="291" t="s">
        <v>1039</v>
      </c>
    </row>
    <row r="203" spans="1:13">
      <c r="A203" s="310">
        <v>69</v>
      </c>
      <c r="B203" s="310">
        <v>2550</v>
      </c>
      <c r="C203" s="314" t="s">
        <v>650</v>
      </c>
      <c r="D203" s="312" t="s">
        <v>536</v>
      </c>
      <c r="E203" s="313" t="s">
        <v>2</v>
      </c>
      <c r="F203" s="313">
        <v>15</v>
      </c>
      <c r="G203" s="313" t="s">
        <v>383</v>
      </c>
      <c r="H203" s="357">
        <v>1</v>
      </c>
      <c r="I203" s="357">
        <v>1</v>
      </c>
      <c r="J203" s="358">
        <v>800</v>
      </c>
      <c r="K203" s="359">
        <f t="shared" si="5"/>
        <v>800</v>
      </c>
      <c r="L203" s="327" t="s">
        <v>1338</v>
      </c>
      <c r="M203" s="291" t="s">
        <v>1040</v>
      </c>
    </row>
    <row r="204" spans="1:13">
      <c r="A204" s="310">
        <v>70</v>
      </c>
      <c r="B204" s="310">
        <v>2550</v>
      </c>
      <c r="C204" s="314" t="s">
        <v>649</v>
      </c>
      <c r="D204" s="312" t="s">
        <v>648</v>
      </c>
      <c r="E204" s="313" t="s">
        <v>3</v>
      </c>
      <c r="F204" s="313">
        <v>15</v>
      </c>
      <c r="G204" s="313" t="s">
        <v>383</v>
      </c>
      <c r="H204" s="357">
        <v>1</v>
      </c>
      <c r="I204" s="357">
        <v>1</v>
      </c>
      <c r="J204" s="358">
        <v>3300</v>
      </c>
      <c r="K204" s="359">
        <f t="shared" si="5"/>
        <v>3300</v>
      </c>
      <c r="L204" s="327" t="s">
        <v>535</v>
      </c>
      <c r="M204" s="291" t="s">
        <v>1040</v>
      </c>
    </row>
    <row r="205" spans="1:13" ht="24" customHeight="1">
      <c r="A205" s="258"/>
      <c r="B205" s="258"/>
      <c r="C205" s="258"/>
      <c r="D205" s="258"/>
      <c r="E205" s="258"/>
      <c r="F205" s="258"/>
      <c r="G205" s="258"/>
      <c r="H205" s="258"/>
      <c r="I205" s="258"/>
      <c r="J205" s="254" t="s">
        <v>129</v>
      </c>
      <c r="K205" s="259">
        <f>SUM(K194:K204)</f>
        <v>1092907.19</v>
      </c>
      <c r="L205" s="310"/>
      <c r="M205" s="291"/>
    </row>
    <row r="206" spans="1:13" ht="24" customHeight="1">
      <c r="A206" s="291"/>
      <c r="B206" s="331" t="s">
        <v>119</v>
      </c>
      <c r="C206" s="292" t="s">
        <v>120</v>
      </c>
      <c r="D206" s="291"/>
      <c r="E206" s="291"/>
      <c r="F206" s="291"/>
      <c r="G206" s="291"/>
      <c r="H206" s="332"/>
      <c r="I206" s="332"/>
      <c r="J206" s="291"/>
      <c r="K206" s="291"/>
      <c r="L206" s="253"/>
      <c r="M206" s="291"/>
    </row>
    <row r="207" spans="1:13" ht="24" customHeight="1">
      <c r="A207" s="291"/>
      <c r="B207" s="253"/>
      <c r="C207" s="292" t="s">
        <v>121</v>
      </c>
      <c r="D207" s="291"/>
      <c r="E207" s="291"/>
      <c r="F207" s="291"/>
      <c r="G207" s="291"/>
      <c r="H207" s="332"/>
      <c r="I207" s="332"/>
      <c r="J207" s="291"/>
      <c r="K207" s="291"/>
      <c r="L207" s="253"/>
      <c r="M207" s="291"/>
    </row>
    <row r="208" spans="1:13" ht="24" customHeight="1">
      <c r="A208" s="291"/>
      <c r="B208" s="253"/>
      <c r="C208" s="292"/>
      <c r="D208" s="291"/>
      <c r="E208" s="291"/>
      <c r="F208" s="291"/>
      <c r="G208" s="337" t="s">
        <v>148</v>
      </c>
      <c r="H208" s="338" t="s">
        <v>149</v>
      </c>
      <c r="I208" s="338"/>
      <c r="J208" s="338"/>
      <c r="K208" s="339" t="s">
        <v>150</v>
      </c>
      <c r="L208" s="339"/>
      <c r="M208" s="291"/>
    </row>
    <row r="209" spans="1:13" ht="21.75" customHeight="1">
      <c r="A209" s="291"/>
      <c r="B209" s="253"/>
      <c r="C209" s="292"/>
      <c r="D209" s="291"/>
      <c r="E209" s="291"/>
      <c r="F209" s="291"/>
      <c r="G209" s="339"/>
      <c r="H209" s="338" t="s">
        <v>1549</v>
      </c>
      <c r="I209" s="338"/>
      <c r="J209" s="338"/>
      <c r="K209" s="339"/>
      <c r="L209" s="339"/>
      <c r="M209" s="291"/>
    </row>
    <row r="210" spans="1:13" ht="33.75" customHeight="1">
      <c r="A210" s="291"/>
      <c r="B210" s="253"/>
      <c r="C210" s="292"/>
      <c r="D210" s="291"/>
      <c r="E210" s="291"/>
      <c r="F210" s="291"/>
      <c r="G210" s="337" t="s">
        <v>148</v>
      </c>
      <c r="H210" s="338" t="s">
        <v>149</v>
      </c>
      <c r="I210" s="338"/>
      <c r="J210" s="338"/>
      <c r="K210" s="339" t="s">
        <v>151</v>
      </c>
      <c r="L210" s="339"/>
      <c r="M210" s="291"/>
    </row>
    <row r="211" spans="1:13" ht="22.5" customHeight="1">
      <c r="A211" s="291"/>
      <c r="B211" s="253"/>
      <c r="C211" s="292"/>
      <c r="D211" s="291"/>
      <c r="E211" s="291"/>
      <c r="F211" s="291"/>
      <c r="G211" s="339"/>
      <c r="H211" s="338" t="s">
        <v>154</v>
      </c>
      <c r="I211" s="338"/>
      <c r="J211" s="338"/>
      <c r="K211" s="339"/>
      <c r="L211" s="339"/>
      <c r="M211" s="291"/>
    </row>
    <row r="212" spans="1:13" ht="32.25" customHeight="1">
      <c r="A212" s="291"/>
      <c r="B212" s="253"/>
      <c r="C212" s="292"/>
      <c r="D212" s="291"/>
      <c r="E212" s="291"/>
      <c r="F212" s="291"/>
      <c r="G212" s="337" t="s">
        <v>148</v>
      </c>
      <c r="H212" s="338" t="s">
        <v>149</v>
      </c>
      <c r="I212" s="338"/>
      <c r="J212" s="338"/>
      <c r="K212" s="339" t="s">
        <v>151</v>
      </c>
      <c r="L212" s="336"/>
      <c r="M212" s="291"/>
    </row>
    <row r="213" spans="1:13" ht="20.25" customHeight="1">
      <c r="A213" s="291"/>
      <c r="B213" s="253"/>
      <c r="C213" s="292"/>
      <c r="D213" s="291"/>
      <c r="E213" s="291"/>
      <c r="F213" s="291"/>
      <c r="G213" s="339"/>
      <c r="H213" s="338" t="s">
        <v>155</v>
      </c>
      <c r="I213" s="338"/>
      <c r="J213" s="338"/>
      <c r="K213" s="339"/>
      <c r="L213" s="336"/>
      <c r="M213" s="291"/>
    </row>
    <row r="214" spans="1:13" ht="37.5" customHeight="1">
      <c r="A214" s="291"/>
      <c r="B214" s="253"/>
      <c r="C214" s="292"/>
      <c r="D214" s="291"/>
      <c r="E214" s="291"/>
      <c r="F214" s="291"/>
      <c r="G214" s="337" t="s">
        <v>148</v>
      </c>
      <c r="H214" s="338" t="s">
        <v>149</v>
      </c>
      <c r="I214" s="338"/>
      <c r="J214" s="338"/>
      <c r="K214" s="339" t="s">
        <v>151</v>
      </c>
      <c r="L214" s="336"/>
      <c r="M214" s="291"/>
    </row>
    <row r="215" spans="1:13" ht="20.25" customHeight="1">
      <c r="A215" s="291"/>
      <c r="B215" s="253"/>
      <c r="C215" s="292"/>
      <c r="D215" s="291"/>
      <c r="E215" s="291"/>
      <c r="F215" s="291"/>
      <c r="G215" s="339"/>
      <c r="H215" s="338" t="s">
        <v>156</v>
      </c>
      <c r="I215" s="338"/>
      <c r="J215" s="338"/>
      <c r="K215" s="339"/>
      <c r="L215" s="336"/>
      <c r="M215" s="291"/>
    </row>
    <row r="216" spans="1:13" ht="33" customHeight="1">
      <c r="A216" s="291"/>
      <c r="B216" s="253"/>
      <c r="C216" s="292"/>
      <c r="D216" s="291"/>
      <c r="E216" s="291"/>
      <c r="F216" s="291"/>
      <c r="G216" s="337" t="s">
        <v>148</v>
      </c>
      <c r="H216" s="338" t="s">
        <v>149</v>
      </c>
      <c r="I216" s="338"/>
      <c r="J216" s="338"/>
      <c r="K216" s="336" t="s">
        <v>152</v>
      </c>
      <c r="L216" s="336"/>
      <c r="M216" s="291"/>
    </row>
    <row r="217" spans="1:13" ht="21.75" customHeight="1">
      <c r="A217" s="291"/>
      <c r="B217" s="253"/>
      <c r="C217" s="292"/>
      <c r="D217" s="291"/>
      <c r="E217" s="291"/>
      <c r="F217" s="291"/>
      <c r="G217" s="336"/>
      <c r="H217" s="338" t="s">
        <v>157</v>
      </c>
      <c r="I217" s="338"/>
      <c r="J217" s="338"/>
      <c r="K217" s="336"/>
      <c r="L217" s="336"/>
      <c r="M217" s="291"/>
    </row>
    <row r="218" spans="1:13" ht="21.75" customHeight="1">
      <c r="A218" s="291"/>
      <c r="B218" s="253"/>
      <c r="C218" s="292"/>
      <c r="D218" s="291"/>
      <c r="E218" s="291"/>
      <c r="F218" s="291"/>
      <c r="G218" s="336"/>
      <c r="H218" s="333"/>
      <c r="I218" s="333"/>
      <c r="J218" s="333"/>
      <c r="K218" s="336"/>
      <c r="L218" s="336"/>
      <c r="M218" s="291"/>
    </row>
    <row r="219" spans="1:13" ht="24" customHeight="1">
      <c r="A219" s="291"/>
      <c r="B219" s="253"/>
      <c r="C219" s="292"/>
      <c r="D219" s="291"/>
      <c r="E219" s="291"/>
      <c r="F219" s="291"/>
      <c r="G219" s="291"/>
      <c r="H219" s="291"/>
      <c r="I219" s="291"/>
      <c r="J219" s="291"/>
      <c r="K219" s="291"/>
      <c r="L219" s="253" t="s">
        <v>525</v>
      </c>
      <c r="M219" s="291"/>
    </row>
    <row r="220" spans="1:13" ht="24" customHeight="1">
      <c r="A220" s="265" t="s">
        <v>158</v>
      </c>
      <c r="B220" s="265"/>
      <c r="C220" s="265"/>
      <c r="D220" s="265"/>
      <c r="E220" s="265"/>
      <c r="F220" s="265"/>
      <c r="G220" s="265"/>
      <c r="H220" s="265"/>
      <c r="I220" s="265"/>
      <c r="J220" s="265"/>
      <c r="K220" s="265"/>
      <c r="L220" s="265"/>
      <c r="M220" s="291"/>
    </row>
    <row r="221" spans="1:13" ht="24" customHeight="1">
      <c r="A221" s="266" t="s">
        <v>160</v>
      </c>
      <c r="B221" s="266"/>
      <c r="C221" s="266"/>
      <c r="D221" s="266"/>
      <c r="E221" s="266"/>
      <c r="F221" s="266"/>
      <c r="G221" s="266"/>
      <c r="H221" s="266"/>
      <c r="I221" s="266"/>
      <c r="J221" s="266"/>
      <c r="K221" s="266"/>
      <c r="L221" s="266"/>
      <c r="M221" s="291"/>
    </row>
    <row r="222" spans="1:13" ht="24" customHeight="1" thickBot="1">
      <c r="A222" s="267" t="s">
        <v>161</v>
      </c>
      <c r="B222" s="267"/>
      <c r="C222" s="267"/>
      <c r="D222" s="267"/>
      <c r="E222" s="267"/>
      <c r="F222" s="267"/>
      <c r="G222" s="267"/>
      <c r="H222" s="267"/>
      <c r="I222" s="267"/>
      <c r="J222" s="267"/>
      <c r="K222" s="267"/>
      <c r="L222" s="267"/>
      <c r="M222" s="291"/>
    </row>
    <row r="223" spans="1:13" ht="24" customHeight="1" thickTop="1">
      <c r="A223" s="293" t="s">
        <v>103</v>
      </c>
      <c r="B223" s="293" t="s">
        <v>122</v>
      </c>
      <c r="C223" s="293" t="s">
        <v>124</v>
      </c>
      <c r="D223" s="294" t="s">
        <v>0</v>
      </c>
      <c r="E223" s="293" t="s">
        <v>109</v>
      </c>
      <c r="F223" s="293" t="s">
        <v>110</v>
      </c>
      <c r="G223" s="295" t="s">
        <v>111</v>
      </c>
      <c r="H223" s="296" t="s">
        <v>1</v>
      </c>
      <c r="I223" s="297"/>
      <c r="J223" s="293" t="s">
        <v>125</v>
      </c>
      <c r="K223" s="293" t="s">
        <v>104</v>
      </c>
      <c r="L223" s="293" t="s">
        <v>112</v>
      </c>
      <c r="M223" s="291"/>
    </row>
    <row r="224" spans="1:13" ht="45.75" customHeight="1" thickBot="1">
      <c r="A224" s="298"/>
      <c r="B224" s="298"/>
      <c r="C224" s="298"/>
      <c r="D224" s="299"/>
      <c r="E224" s="298"/>
      <c r="F224" s="298"/>
      <c r="G224" s="300"/>
      <c r="H224" s="301" t="s">
        <v>113</v>
      </c>
      <c r="I224" s="302" t="s">
        <v>114</v>
      </c>
      <c r="J224" s="298"/>
      <c r="K224" s="298"/>
      <c r="L224" s="298"/>
      <c r="M224" s="291"/>
    </row>
    <row r="225" spans="1:13" ht="24" customHeight="1" thickTop="1">
      <c r="A225" s="304"/>
      <c r="B225" s="340"/>
      <c r="C225" s="305"/>
      <c r="D225" s="305"/>
      <c r="E225" s="304"/>
      <c r="F225" s="304"/>
      <c r="G225" s="307"/>
      <c r="H225" s="308"/>
      <c r="I225" s="308"/>
      <c r="J225" s="256" t="s">
        <v>132</v>
      </c>
      <c r="K225" s="257">
        <f>SUM(K205)</f>
        <v>1092907.19</v>
      </c>
      <c r="L225" s="304"/>
      <c r="M225" s="291"/>
    </row>
    <row r="226" spans="1:13">
      <c r="A226" s="316">
        <v>71</v>
      </c>
      <c r="B226" s="310">
        <v>2553</v>
      </c>
      <c r="C226" s="311" t="s">
        <v>652</v>
      </c>
      <c r="D226" s="312" t="s">
        <v>651</v>
      </c>
      <c r="E226" s="313" t="s">
        <v>2</v>
      </c>
      <c r="F226" s="313">
        <v>12</v>
      </c>
      <c r="G226" s="313" t="s">
        <v>383</v>
      </c>
      <c r="H226" s="357">
        <v>1</v>
      </c>
      <c r="I226" s="357">
        <v>1</v>
      </c>
      <c r="J226" s="360">
        <v>3950</v>
      </c>
      <c r="K226" s="359">
        <f t="shared" ref="K226:K235" si="6">SUM(I226*J226)</f>
        <v>3950</v>
      </c>
      <c r="L226" s="327" t="s">
        <v>1339</v>
      </c>
      <c r="M226" s="291" t="s">
        <v>1040</v>
      </c>
    </row>
    <row r="227" spans="1:13">
      <c r="A227" s="316">
        <v>72</v>
      </c>
      <c r="B227" s="310">
        <v>2553</v>
      </c>
      <c r="C227" s="311" t="s">
        <v>706</v>
      </c>
      <c r="D227" s="312" t="s">
        <v>653</v>
      </c>
      <c r="E227" s="313" t="s">
        <v>2</v>
      </c>
      <c r="F227" s="313">
        <v>12</v>
      </c>
      <c r="G227" s="313" t="s">
        <v>383</v>
      </c>
      <c r="H227" s="357">
        <v>1</v>
      </c>
      <c r="I227" s="357">
        <v>1</v>
      </c>
      <c r="J227" s="255">
        <v>4750</v>
      </c>
      <c r="K227" s="359">
        <f t="shared" si="6"/>
        <v>4750</v>
      </c>
      <c r="L227" s="327" t="s">
        <v>1340</v>
      </c>
      <c r="M227" s="291" t="s">
        <v>1040</v>
      </c>
    </row>
    <row r="228" spans="1:13">
      <c r="A228" s="316">
        <v>73</v>
      </c>
      <c r="B228" s="361" t="s">
        <v>656</v>
      </c>
      <c r="C228" s="362" t="s">
        <v>705</v>
      </c>
      <c r="D228" s="362" t="s">
        <v>655</v>
      </c>
      <c r="E228" s="313" t="s">
        <v>654</v>
      </c>
      <c r="F228" s="313">
        <v>5</v>
      </c>
      <c r="G228" s="313" t="s">
        <v>383</v>
      </c>
      <c r="H228" s="357">
        <v>4</v>
      </c>
      <c r="I228" s="357">
        <v>4</v>
      </c>
      <c r="J228" s="254">
        <v>2568</v>
      </c>
      <c r="K228" s="359">
        <f t="shared" si="6"/>
        <v>10272</v>
      </c>
      <c r="L228" s="327" t="s">
        <v>1339</v>
      </c>
      <c r="M228" s="291" t="s">
        <v>1040</v>
      </c>
    </row>
    <row r="229" spans="1:13">
      <c r="A229" s="316">
        <v>74</v>
      </c>
      <c r="B229" s="363" t="s">
        <v>105</v>
      </c>
      <c r="C229" s="364" t="s">
        <v>671</v>
      </c>
      <c r="D229" s="365" t="s">
        <v>447</v>
      </c>
      <c r="E229" s="307" t="s">
        <v>2</v>
      </c>
      <c r="F229" s="366">
        <v>26</v>
      </c>
      <c r="G229" s="304" t="s">
        <v>128</v>
      </c>
      <c r="H229" s="366">
        <v>2</v>
      </c>
      <c r="I229" s="304">
        <v>2</v>
      </c>
      <c r="J229" s="257">
        <v>1495.33</v>
      </c>
      <c r="K229" s="257">
        <f t="shared" si="6"/>
        <v>2990.66</v>
      </c>
      <c r="L229" s="367" t="s">
        <v>670</v>
      </c>
      <c r="M229" s="291" t="s">
        <v>1038</v>
      </c>
    </row>
    <row r="230" spans="1:13">
      <c r="A230" s="316">
        <v>75</v>
      </c>
      <c r="B230" s="363" t="s">
        <v>105</v>
      </c>
      <c r="C230" s="368" t="s">
        <v>683</v>
      </c>
      <c r="D230" s="369" t="s">
        <v>682</v>
      </c>
      <c r="E230" s="313" t="s">
        <v>2</v>
      </c>
      <c r="F230" s="366">
        <v>26</v>
      </c>
      <c r="G230" s="310" t="s">
        <v>128</v>
      </c>
      <c r="H230" s="357">
        <v>1</v>
      </c>
      <c r="I230" s="357">
        <v>1</v>
      </c>
      <c r="J230" s="255">
        <v>2500</v>
      </c>
      <c r="K230" s="257">
        <f t="shared" si="6"/>
        <v>2500</v>
      </c>
      <c r="L230" s="370" t="s">
        <v>681</v>
      </c>
      <c r="M230" s="291" t="s">
        <v>1038</v>
      </c>
    </row>
    <row r="231" spans="1:13">
      <c r="A231" s="316">
        <v>76</v>
      </c>
      <c r="B231" s="310">
        <v>2540</v>
      </c>
      <c r="C231" s="368" t="s">
        <v>680</v>
      </c>
      <c r="D231" s="369" t="s">
        <v>679</v>
      </c>
      <c r="E231" s="313" t="s">
        <v>2</v>
      </c>
      <c r="F231" s="357">
        <v>25</v>
      </c>
      <c r="G231" s="310" t="s">
        <v>128</v>
      </c>
      <c r="H231" s="357">
        <v>1</v>
      </c>
      <c r="I231" s="357">
        <v>1</v>
      </c>
      <c r="J231" s="255">
        <v>3800</v>
      </c>
      <c r="K231" s="257">
        <f t="shared" si="6"/>
        <v>3800</v>
      </c>
      <c r="L231" s="370" t="s">
        <v>678</v>
      </c>
      <c r="M231" s="291" t="s">
        <v>1038</v>
      </c>
    </row>
    <row r="232" spans="1:13">
      <c r="A232" s="316">
        <v>77</v>
      </c>
      <c r="B232" s="310">
        <v>2540</v>
      </c>
      <c r="C232" s="368" t="s">
        <v>677</v>
      </c>
      <c r="D232" s="369" t="s">
        <v>676</v>
      </c>
      <c r="E232" s="313" t="s">
        <v>2</v>
      </c>
      <c r="F232" s="357">
        <v>25</v>
      </c>
      <c r="G232" s="310" t="s">
        <v>128</v>
      </c>
      <c r="H232" s="357">
        <v>1</v>
      </c>
      <c r="I232" s="357">
        <v>1</v>
      </c>
      <c r="J232" s="255">
        <v>2600</v>
      </c>
      <c r="K232" s="257">
        <f t="shared" si="6"/>
        <v>2600</v>
      </c>
      <c r="L232" s="370" t="s">
        <v>675</v>
      </c>
      <c r="M232" s="291" t="s">
        <v>1038</v>
      </c>
    </row>
    <row r="233" spans="1:13">
      <c r="A233" s="316">
        <v>78</v>
      </c>
      <c r="B233" s="310">
        <v>2544</v>
      </c>
      <c r="C233" s="368" t="s">
        <v>674</v>
      </c>
      <c r="D233" s="369" t="s">
        <v>673</v>
      </c>
      <c r="E233" s="313" t="s">
        <v>3</v>
      </c>
      <c r="F233" s="357">
        <v>21</v>
      </c>
      <c r="G233" s="310" t="s">
        <v>128</v>
      </c>
      <c r="H233" s="357">
        <v>1</v>
      </c>
      <c r="I233" s="357">
        <v>1</v>
      </c>
      <c r="J233" s="255">
        <v>750</v>
      </c>
      <c r="K233" s="257">
        <f t="shared" si="6"/>
        <v>750</v>
      </c>
      <c r="L233" s="370" t="s">
        <v>672</v>
      </c>
      <c r="M233" s="291" t="s">
        <v>1038</v>
      </c>
    </row>
    <row r="234" spans="1:13">
      <c r="A234" s="316">
        <v>79</v>
      </c>
      <c r="B234" s="310">
        <v>2548</v>
      </c>
      <c r="C234" s="368" t="s">
        <v>685</v>
      </c>
      <c r="D234" s="369" t="s">
        <v>684</v>
      </c>
      <c r="E234" s="310" t="s">
        <v>98</v>
      </c>
      <c r="F234" s="357">
        <v>17</v>
      </c>
      <c r="G234" s="310" t="s">
        <v>128</v>
      </c>
      <c r="H234" s="357">
        <v>1</v>
      </c>
      <c r="I234" s="357">
        <v>1</v>
      </c>
      <c r="J234" s="255">
        <v>700</v>
      </c>
      <c r="K234" s="257">
        <f t="shared" si="6"/>
        <v>700</v>
      </c>
      <c r="L234" s="370" t="s">
        <v>213</v>
      </c>
      <c r="M234" s="291" t="s">
        <v>1038</v>
      </c>
    </row>
    <row r="235" spans="1:13">
      <c r="A235" s="316">
        <v>80</v>
      </c>
      <c r="B235" s="310">
        <v>2549</v>
      </c>
      <c r="C235" s="368" t="s">
        <v>689</v>
      </c>
      <c r="D235" s="369" t="s">
        <v>688</v>
      </c>
      <c r="E235" s="313" t="s">
        <v>98</v>
      </c>
      <c r="F235" s="357">
        <v>16</v>
      </c>
      <c r="G235" s="310" t="s">
        <v>128</v>
      </c>
      <c r="H235" s="357">
        <v>1</v>
      </c>
      <c r="I235" s="357">
        <v>1</v>
      </c>
      <c r="J235" s="255">
        <v>1370</v>
      </c>
      <c r="K235" s="257">
        <f t="shared" si="6"/>
        <v>1370</v>
      </c>
      <c r="L235" s="370" t="s">
        <v>213</v>
      </c>
      <c r="M235" s="291" t="s">
        <v>1038</v>
      </c>
    </row>
    <row r="236" spans="1:13" ht="24" customHeight="1">
      <c r="A236" s="258"/>
      <c r="B236" s="258"/>
      <c r="C236" s="258"/>
      <c r="D236" s="258"/>
      <c r="E236" s="258"/>
      <c r="F236" s="258"/>
      <c r="G236" s="258"/>
      <c r="H236" s="258"/>
      <c r="I236" s="258"/>
      <c r="J236" s="254" t="s">
        <v>129</v>
      </c>
      <c r="K236" s="259">
        <f>SUM(K225:K235)</f>
        <v>1126589.8499999999</v>
      </c>
      <c r="L236" s="310"/>
      <c r="M236" s="291"/>
    </row>
    <row r="237" spans="1:13" ht="24" customHeight="1">
      <c r="A237" s="291"/>
      <c r="B237" s="331" t="s">
        <v>119</v>
      </c>
      <c r="C237" s="292" t="s">
        <v>120</v>
      </c>
      <c r="D237" s="291"/>
      <c r="E237" s="291"/>
      <c r="F237" s="291"/>
      <c r="G237" s="291"/>
      <c r="H237" s="332"/>
      <c r="I237" s="332"/>
      <c r="J237" s="291"/>
      <c r="K237" s="291"/>
      <c r="L237" s="253"/>
      <c r="M237" s="291"/>
    </row>
    <row r="238" spans="1:13" ht="24" customHeight="1">
      <c r="A238" s="291"/>
      <c r="B238" s="253"/>
      <c r="C238" s="292" t="s">
        <v>121</v>
      </c>
      <c r="D238" s="291"/>
      <c r="E238" s="291"/>
      <c r="F238" s="291"/>
      <c r="G238" s="291"/>
      <c r="H238" s="332"/>
      <c r="I238" s="332"/>
      <c r="J238" s="291"/>
      <c r="K238" s="291"/>
      <c r="L238" s="253"/>
      <c r="M238" s="291"/>
    </row>
    <row r="239" spans="1:13" ht="24" customHeight="1">
      <c r="A239" s="291"/>
      <c r="B239" s="253"/>
      <c r="C239" s="292"/>
      <c r="D239" s="291"/>
      <c r="E239" s="291"/>
      <c r="F239" s="291"/>
      <c r="G239" s="337" t="s">
        <v>148</v>
      </c>
      <c r="H239" s="338" t="s">
        <v>149</v>
      </c>
      <c r="I239" s="338"/>
      <c r="J239" s="338"/>
      <c r="K239" s="339" t="s">
        <v>150</v>
      </c>
      <c r="L239" s="339"/>
      <c r="M239" s="291"/>
    </row>
    <row r="240" spans="1:13" ht="21.75" customHeight="1">
      <c r="A240" s="291"/>
      <c r="B240" s="253"/>
      <c r="C240" s="292"/>
      <c r="D240" s="291"/>
      <c r="E240" s="291"/>
      <c r="F240" s="291"/>
      <c r="G240" s="339"/>
      <c r="H240" s="338" t="s">
        <v>1549</v>
      </c>
      <c r="I240" s="338"/>
      <c r="J240" s="338"/>
      <c r="K240" s="339"/>
      <c r="L240" s="339"/>
      <c r="M240" s="291"/>
    </row>
    <row r="241" spans="1:13" ht="33.75" customHeight="1">
      <c r="A241" s="291"/>
      <c r="B241" s="253"/>
      <c r="C241" s="292"/>
      <c r="D241" s="291"/>
      <c r="E241" s="291"/>
      <c r="F241" s="291"/>
      <c r="G241" s="337" t="s">
        <v>148</v>
      </c>
      <c r="H241" s="338" t="s">
        <v>149</v>
      </c>
      <c r="I241" s="338"/>
      <c r="J241" s="338"/>
      <c r="K241" s="339" t="s">
        <v>151</v>
      </c>
      <c r="L241" s="339"/>
      <c r="M241" s="291"/>
    </row>
    <row r="242" spans="1:13" ht="21" customHeight="1">
      <c r="A242" s="291"/>
      <c r="B242" s="253"/>
      <c r="C242" s="292"/>
      <c r="D242" s="291"/>
      <c r="E242" s="291"/>
      <c r="F242" s="291"/>
      <c r="G242" s="339"/>
      <c r="H242" s="338" t="s">
        <v>154</v>
      </c>
      <c r="I242" s="338"/>
      <c r="J242" s="338"/>
      <c r="K242" s="339"/>
      <c r="L242" s="339"/>
      <c r="M242" s="291"/>
    </row>
    <row r="243" spans="1:13" ht="33" customHeight="1">
      <c r="A243" s="291"/>
      <c r="B243" s="253"/>
      <c r="C243" s="292"/>
      <c r="D243" s="291"/>
      <c r="E243" s="291"/>
      <c r="F243" s="291"/>
      <c r="G243" s="337" t="s">
        <v>148</v>
      </c>
      <c r="H243" s="338" t="s">
        <v>149</v>
      </c>
      <c r="I243" s="338"/>
      <c r="J243" s="338"/>
      <c r="K243" s="339" t="s">
        <v>151</v>
      </c>
      <c r="L243" s="336"/>
      <c r="M243" s="291"/>
    </row>
    <row r="244" spans="1:13" ht="19.5" customHeight="1">
      <c r="A244" s="291"/>
      <c r="B244" s="253"/>
      <c r="C244" s="292"/>
      <c r="D244" s="291"/>
      <c r="E244" s="291"/>
      <c r="F244" s="291"/>
      <c r="G244" s="339"/>
      <c r="H244" s="338" t="s">
        <v>155</v>
      </c>
      <c r="I244" s="338"/>
      <c r="J244" s="338"/>
      <c r="K244" s="339"/>
      <c r="L244" s="336"/>
      <c r="M244" s="291"/>
    </row>
    <row r="245" spans="1:13" ht="33.75" customHeight="1">
      <c r="A245" s="291"/>
      <c r="B245" s="253"/>
      <c r="C245" s="292"/>
      <c r="D245" s="291"/>
      <c r="E245" s="291"/>
      <c r="F245" s="291"/>
      <c r="G245" s="337" t="s">
        <v>148</v>
      </c>
      <c r="H245" s="338" t="s">
        <v>149</v>
      </c>
      <c r="I245" s="338"/>
      <c r="J245" s="338"/>
      <c r="K245" s="339" t="s">
        <v>151</v>
      </c>
      <c r="L245" s="336"/>
      <c r="M245" s="291"/>
    </row>
    <row r="246" spans="1:13" ht="21.75" customHeight="1">
      <c r="A246" s="291"/>
      <c r="B246" s="253"/>
      <c r="C246" s="292"/>
      <c r="D246" s="291"/>
      <c r="E246" s="291"/>
      <c r="F246" s="291"/>
      <c r="G246" s="339"/>
      <c r="H246" s="338" t="s">
        <v>156</v>
      </c>
      <c r="I246" s="338"/>
      <c r="J246" s="338"/>
      <c r="K246" s="339"/>
      <c r="L246" s="336"/>
      <c r="M246" s="291"/>
    </row>
    <row r="247" spans="1:13" ht="35.25" customHeight="1">
      <c r="A247" s="291"/>
      <c r="B247" s="253"/>
      <c r="C247" s="292"/>
      <c r="D247" s="291"/>
      <c r="E247" s="291"/>
      <c r="F247" s="291"/>
      <c r="G247" s="337" t="s">
        <v>148</v>
      </c>
      <c r="H247" s="338" t="s">
        <v>149</v>
      </c>
      <c r="I247" s="338"/>
      <c r="J247" s="338"/>
      <c r="K247" s="336" t="s">
        <v>152</v>
      </c>
      <c r="L247" s="336"/>
      <c r="M247" s="291"/>
    </row>
    <row r="248" spans="1:13" ht="24" customHeight="1">
      <c r="A248" s="291"/>
      <c r="B248" s="253"/>
      <c r="C248" s="292"/>
      <c r="D248" s="291"/>
      <c r="E248" s="291"/>
      <c r="F248" s="291"/>
      <c r="G248" s="336"/>
      <c r="H248" s="338" t="s">
        <v>157</v>
      </c>
      <c r="I248" s="338"/>
      <c r="J248" s="338"/>
      <c r="K248" s="336"/>
      <c r="L248" s="336"/>
      <c r="M248" s="291"/>
    </row>
    <row r="249" spans="1:13" ht="24" customHeight="1">
      <c r="A249" s="291"/>
      <c r="B249" s="253"/>
      <c r="C249" s="292"/>
      <c r="D249" s="291"/>
      <c r="E249" s="291"/>
      <c r="F249" s="291"/>
      <c r="G249" s="336"/>
      <c r="H249" s="333"/>
      <c r="I249" s="333"/>
      <c r="J249" s="333"/>
      <c r="K249" s="336"/>
      <c r="L249" s="336"/>
      <c r="M249" s="291"/>
    </row>
    <row r="250" spans="1:13" ht="24" customHeight="1">
      <c r="A250" s="291"/>
      <c r="B250" s="253"/>
      <c r="C250" s="292"/>
      <c r="D250" s="291"/>
      <c r="E250" s="291"/>
      <c r="F250" s="291"/>
      <c r="G250" s="291"/>
      <c r="H250" s="291"/>
      <c r="I250" s="291"/>
      <c r="J250" s="291"/>
      <c r="K250" s="291"/>
      <c r="L250" s="253" t="s">
        <v>690</v>
      </c>
      <c r="M250" s="291"/>
    </row>
    <row r="251" spans="1:13" ht="24" customHeight="1">
      <c r="A251" s="265" t="s">
        <v>158</v>
      </c>
      <c r="B251" s="265"/>
      <c r="C251" s="265"/>
      <c r="D251" s="265"/>
      <c r="E251" s="265"/>
      <c r="F251" s="265"/>
      <c r="G251" s="265"/>
      <c r="H251" s="265"/>
      <c r="I251" s="265"/>
      <c r="J251" s="265"/>
      <c r="K251" s="265"/>
      <c r="L251" s="265"/>
      <c r="M251" s="291"/>
    </row>
    <row r="252" spans="1:13" ht="24" customHeight="1">
      <c r="A252" s="266" t="s">
        <v>160</v>
      </c>
      <c r="B252" s="266"/>
      <c r="C252" s="266"/>
      <c r="D252" s="266"/>
      <c r="E252" s="266"/>
      <c r="F252" s="266"/>
      <c r="G252" s="266"/>
      <c r="H252" s="266"/>
      <c r="I252" s="266"/>
      <c r="J252" s="266"/>
      <c r="K252" s="266"/>
      <c r="L252" s="266"/>
      <c r="M252" s="291"/>
    </row>
    <row r="253" spans="1:13" ht="24" customHeight="1" thickBot="1">
      <c r="A253" s="267" t="s">
        <v>161</v>
      </c>
      <c r="B253" s="267"/>
      <c r="C253" s="267"/>
      <c r="D253" s="267"/>
      <c r="E253" s="267"/>
      <c r="F253" s="267"/>
      <c r="G253" s="267"/>
      <c r="H253" s="267"/>
      <c r="I253" s="267"/>
      <c r="J253" s="267"/>
      <c r="K253" s="267"/>
      <c r="L253" s="267"/>
      <c r="M253" s="291"/>
    </row>
    <row r="254" spans="1:13" ht="24" customHeight="1" thickTop="1">
      <c r="A254" s="293" t="s">
        <v>103</v>
      </c>
      <c r="B254" s="293" t="s">
        <v>122</v>
      </c>
      <c r="C254" s="293" t="s">
        <v>124</v>
      </c>
      <c r="D254" s="294" t="s">
        <v>0</v>
      </c>
      <c r="E254" s="293" t="s">
        <v>109</v>
      </c>
      <c r="F254" s="293" t="s">
        <v>110</v>
      </c>
      <c r="G254" s="295" t="s">
        <v>111</v>
      </c>
      <c r="H254" s="296" t="s">
        <v>1</v>
      </c>
      <c r="I254" s="297"/>
      <c r="J254" s="293" t="s">
        <v>125</v>
      </c>
      <c r="K254" s="293" t="s">
        <v>104</v>
      </c>
      <c r="L254" s="293" t="s">
        <v>112</v>
      </c>
      <c r="M254" s="291"/>
    </row>
    <row r="255" spans="1:13" ht="45.75" customHeight="1" thickBot="1">
      <c r="A255" s="298"/>
      <c r="B255" s="298"/>
      <c r="C255" s="298"/>
      <c r="D255" s="299"/>
      <c r="E255" s="298"/>
      <c r="F255" s="298"/>
      <c r="G255" s="300"/>
      <c r="H255" s="301" t="s">
        <v>113</v>
      </c>
      <c r="I255" s="302" t="s">
        <v>114</v>
      </c>
      <c r="J255" s="298"/>
      <c r="K255" s="298"/>
      <c r="L255" s="298"/>
      <c r="M255" s="291"/>
    </row>
    <row r="256" spans="1:13" ht="24" customHeight="1" thickTop="1">
      <c r="A256" s="304"/>
      <c r="B256" s="340"/>
      <c r="C256" s="305"/>
      <c r="D256" s="305"/>
      <c r="E256" s="304"/>
      <c r="F256" s="304"/>
      <c r="G256" s="307"/>
      <c r="H256" s="308"/>
      <c r="I256" s="308"/>
      <c r="J256" s="256" t="s">
        <v>132</v>
      </c>
      <c r="K256" s="257">
        <f>SUM(K236)</f>
        <v>1126589.8499999999</v>
      </c>
      <c r="L256" s="304"/>
      <c r="M256" s="291"/>
    </row>
    <row r="257" spans="1:14">
      <c r="A257" s="316">
        <v>81</v>
      </c>
      <c r="B257" s="310">
        <v>2549</v>
      </c>
      <c r="C257" s="368" t="s">
        <v>687</v>
      </c>
      <c r="D257" s="369" t="s">
        <v>686</v>
      </c>
      <c r="E257" s="313" t="s">
        <v>98</v>
      </c>
      <c r="F257" s="357">
        <v>16</v>
      </c>
      <c r="G257" s="310" t="s">
        <v>128</v>
      </c>
      <c r="H257" s="357">
        <v>1</v>
      </c>
      <c r="I257" s="357">
        <v>1</v>
      </c>
      <c r="J257" s="255">
        <v>600</v>
      </c>
      <c r="K257" s="257">
        <f t="shared" ref="K257:K266" si="7">SUM(I257*J257)</f>
        <v>600</v>
      </c>
      <c r="L257" s="370" t="s">
        <v>213</v>
      </c>
      <c r="M257" s="291" t="s">
        <v>1038</v>
      </c>
    </row>
    <row r="258" spans="1:14">
      <c r="A258" s="316">
        <v>82</v>
      </c>
      <c r="B258" s="328" t="s">
        <v>245</v>
      </c>
      <c r="C258" s="368" t="s">
        <v>699</v>
      </c>
      <c r="D258" s="369" t="s">
        <v>698</v>
      </c>
      <c r="E258" s="310" t="s">
        <v>3</v>
      </c>
      <c r="F258" s="357">
        <v>15</v>
      </c>
      <c r="G258" s="310" t="s">
        <v>128</v>
      </c>
      <c r="H258" s="357">
        <v>2</v>
      </c>
      <c r="I258" s="357">
        <v>2</v>
      </c>
      <c r="J258" s="255">
        <v>1700</v>
      </c>
      <c r="K258" s="257">
        <f t="shared" si="7"/>
        <v>3400</v>
      </c>
      <c r="L258" s="370" t="s">
        <v>697</v>
      </c>
      <c r="M258" s="291" t="s">
        <v>1038</v>
      </c>
    </row>
    <row r="259" spans="1:14">
      <c r="A259" s="316">
        <v>83</v>
      </c>
      <c r="B259" s="328" t="s">
        <v>245</v>
      </c>
      <c r="C259" s="368" t="s">
        <v>704</v>
      </c>
      <c r="D259" s="368" t="s">
        <v>703</v>
      </c>
      <c r="E259" s="310" t="s">
        <v>3</v>
      </c>
      <c r="F259" s="357">
        <v>15</v>
      </c>
      <c r="G259" s="310" t="s">
        <v>128</v>
      </c>
      <c r="H259" s="357">
        <v>1</v>
      </c>
      <c r="I259" s="357">
        <v>1</v>
      </c>
      <c r="J259" s="254">
        <v>1100</v>
      </c>
      <c r="K259" s="257">
        <f t="shared" si="7"/>
        <v>1100</v>
      </c>
      <c r="L259" s="370" t="s">
        <v>1351</v>
      </c>
      <c r="M259" s="291" t="s">
        <v>1038</v>
      </c>
    </row>
    <row r="260" spans="1:14">
      <c r="A260" s="316">
        <v>84</v>
      </c>
      <c r="B260" s="328" t="s">
        <v>138</v>
      </c>
      <c r="C260" s="368" t="s">
        <v>696</v>
      </c>
      <c r="D260" s="368" t="s">
        <v>695</v>
      </c>
      <c r="E260" s="313" t="s">
        <v>2</v>
      </c>
      <c r="F260" s="357">
        <v>12</v>
      </c>
      <c r="G260" s="310" t="s">
        <v>128</v>
      </c>
      <c r="H260" s="357">
        <v>1</v>
      </c>
      <c r="I260" s="357">
        <v>1</v>
      </c>
      <c r="J260" s="254">
        <v>1100</v>
      </c>
      <c r="K260" s="255">
        <f t="shared" si="7"/>
        <v>1100</v>
      </c>
      <c r="L260" s="370" t="s">
        <v>694</v>
      </c>
      <c r="M260" s="291" t="s">
        <v>1038</v>
      </c>
    </row>
    <row r="261" spans="1:14" ht="24" customHeight="1">
      <c r="A261" s="316">
        <v>85</v>
      </c>
      <c r="B261" s="328" t="s">
        <v>138</v>
      </c>
      <c r="C261" s="368" t="s">
        <v>702</v>
      </c>
      <c r="D261" s="368" t="s">
        <v>701</v>
      </c>
      <c r="E261" s="313" t="s">
        <v>2</v>
      </c>
      <c r="F261" s="357">
        <v>12</v>
      </c>
      <c r="G261" s="310" t="s">
        <v>128</v>
      </c>
      <c r="H261" s="357">
        <v>1</v>
      </c>
      <c r="I261" s="357">
        <v>1</v>
      </c>
      <c r="J261" s="254">
        <v>2590</v>
      </c>
      <c r="K261" s="255">
        <f t="shared" si="7"/>
        <v>2590</v>
      </c>
      <c r="L261" s="370" t="s">
        <v>700</v>
      </c>
      <c r="M261" s="291" t="s">
        <v>1038</v>
      </c>
    </row>
    <row r="262" spans="1:14">
      <c r="A262" s="316">
        <v>86</v>
      </c>
      <c r="B262" s="310">
        <v>2553</v>
      </c>
      <c r="C262" s="311" t="s">
        <v>737</v>
      </c>
      <c r="D262" s="312" t="s">
        <v>736</v>
      </c>
      <c r="E262" s="313" t="s">
        <v>2</v>
      </c>
      <c r="F262" s="313">
        <v>12</v>
      </c>
      <c r="G262" s="313" t="s">
        <v>383</v>
      </c>
      <c r="H262" s="313">
        <v>1</v>
      </c>
      <c r="I262" s="314">
        <v>1</v>
      </c>
      <c r="J262" s="255">
        <v>1150</v>
      </c>
      <c r="K262" s="255">
        <f t="shared" si="7"/>
        <v>1150</v>
      </c>
      <c r="L262" s="327" t="s">
        <v>735</v>
      </c>
      <c r="M262" s="291" t="s">
        <v>1036</v>
      </c>
    </row>
    <row r="263" spans="1:14">
      <c r="A263" s="316">
        <v>87</v>
      </c>
      <c r="B263" s="310">
        <v>2553</v>
      </c>
      <c r="C263" s="311" t="s">
        <v>734</v>
      </c>
      <c r="D263" s="312" t="s">
        <v>265</v>
      </c>
      <c r="E263" s="313" t="s">
        <v>2</v>
      </c>
      <c r="F263" s="313">
        <v>12</v>
      </c>
      <c r="G263" s="313" t="s">
        <v>383</v>
      </c>
      <c r="H263" s="313">
        <v>1</v>
      </c>
      <c r="I263" s="314">
        <v>1</v>
      </c>
      <c r="J263" s="255">
        <v>2590</v>
      </c>
      <c r="K263" s="255">
        <f t="shared" si="7"/>
        <v>2590</v>
      </c>
      <c r="L263" s="371" t="s">
        <v>733</v>
      </c>
      <c r="M263" s="291" t="s">
        <v>1036</v>
      </c>
    </row>
    <row r="264" spans="1:14" ht="24" customHeight="1">
      <c r="A264" s="316">
        <v>88</v>
      </c>
      <c r="B264" s="310">
        <v>2549</v>
      </c>
      <c r="C264" s="311" t="s">
        <v>758</v>
      </c>
      <c r="D264" s="312" t="s">
        <v>757</v>
      </c>
      <c r="E264" s="313" t="s">
        <v>750</v>
      </c>
      <c r="F264" s="313">
        <v>16</v>
      </c>
      <c r="G264" s="313" t="s">
        <v>383</v>
      </c>
      <c r="H264" s="314">
        <v>1</v>
      </c>
      <c r="I264" s="314">
        <v>1</v>
      </c>
      <c r="J264" s="254">
        <v>900</v>
      </c>
      <c r="K264" s="254">
        <f t="shared" si="7"/>
        <v>900</v>
      </c>
      <c r="L264" s="327" t="s">
        <v>192</v>
      </c>
      <c r="M264" s="291" t="s">
        <v>1037</v>
      </c>
      <c r="N264" s="260"/>
    </row>
    <row r="265" spans="1:14" ht="24" customHeight="1">
      <c r="A265" s="316">
        <v>89</v>
      </c>
      <c r="B265" s="310">
        <v>2549</v>
      </c>
      <c r="C265" s="311" t="s">
        <v>756</v>
      </c>
      <c r="D265" s="312" t="s">
        <v>755</v>
      </c>
      <c r="E265" s="313" t="s">
        <v>750</v>
      </c>
      <c r="F265" s="313">
        <v>16</v>
      </c>
      <c r="G265" s="313" t="s">
        <v>383</v>
      </c>
      <c r="H265" s="314">
        <v>1</v>
      </c>
      <c r="I265" s="314">
        <v>1</v>
      </c>
      <c r="J265" s="254">
        <v>1200</v>
      </c>
      <c r="K265" s="254">
        <f t="shared" si="7"/>
        <v>1200</v>
      </c>
      <c r="L265" s="327" t="s">
        <v>192</v>
      </c>
      <c r="M265" s="291" t="s">
        <v>1037</v>
      </c>
      <c r="N265" s="260"/>
    </row>
    <row r="266" spans="1:14" ht="24" customHeight="1">
      <c r="A266" s="316">
        <v>90</v>
      </c>
      <c r="B266" s="310">
        <v>2549</v>
      </c>
      <c r="C266" s="311" t="s">
        <v>754</v>
      </c>
      <c r="D266" s="312" t="s">
        <v>753</v>
      </c>
      <c r="E266" s="313" t="s">
        <v>750</v>
      </c>
      <c r="F266" s="313">
        <v>16</v>
      </c>
      <c r="G266" s="313" t="s">
        <v>383</v>
      </c>
      <c r="H266" s="314">
        <v>1</v>
      </c>
      <c r="I266" s="314">
        <v>1</v>
      </c>
      <c r="J266" s="254">
        <v>2900</v>
      </c>
      <c r="K266" s="254">
        <f t="shared" si="7"/>
        <v>2900</v>
      </c>
      <c r="L266" s="327" t="s">
        <v>192</v>
      </c>
      <c r="M266" s="291" t="s">
        <v>1037</v>
      </c>
      <c r="N266" s="260"/>
    </row>
    <row r="267" spans="1:14" ht="24" customHeight="1">
      <c r="A267" s="258"/>
      <c r="B267" s="258"/>
      <c r="C267" s="258"/>
      <c r="D267" s="258"/>
      <c r="E267" s="258"/>
      <c r="F267" s="258"/>
      <c r="G267" s="258"/>
      <c r="H267" s="258"/>
      <c r="I267" s="258"/>
      <c r="J267" s="254" t="s">
        <v>129</v>
      </c>
      <c r="K267" s="259">
        <f>SUM(K256:K266)</f>
        <v>1144119.8499999999</v>
      </c>
      <c r="L267" s="310"/>
      <c r="M267" s="291"/>
    </row>
    <row r="268" spans="1:14" ht="24" customHeight="1">
      <c r="A268" s="291"/>
      <c r="B268" s="331" t="s">
        <v>119</v>
      </c>
      <c r="C268" s="292" t="s">
        <v>120</v>
      </c>
      <c r="D268" s="291"/>
      <c r="E268" s="291"/>
      <c r="F268" s="291"/>
      <c r="G268" s="291"/>
      <c r="H268" s="332"/>
      <c r="I268" s="332"/>
      <c r="J268" s="291"/>
      <c r="K268" s="291"/>
      <c r="L268" s="253"/>
      <c r="M268" s="291"/>
    </row>
    <row r="269" spans="1:14" ht="24" customHeight="1">
      <c r="A269" s="291"/>
      <c r="B269" s="253"/>
      <c r="C269" s="292" t="s">
        <v>121</v>
      </c>
      <c r="D269" s="291"/>
      <c r="E269" s="291"/>
      <c r="F269" s="291"/>
      <c r="G269" s="291"/>
      <c r="H269" s="332"/>
      <c r="I269" s="332"/>
      <c r="J269" s="291"/>
      <c r="K269" s="291"/>
      <c r="L269" s="253"/>
      <c r="M269" s="291"/>
    </row>
    <row r="270" spans="1:14" ht="24" customHeight="1">
      <c r="A270" s="291"/>
      <c r="B270" s="253"/>
      <c r="C270" s="292"/>
      <c r="D270" s="291"/>
      <c r="E270" s="291"/>
      <c r="F270" s="291"/>
      <c r="G270" s="337" t="s">
        <v>148</v>
      </c>
      <c r="H270" s="338" t="s">
        <v>149</v>
      </c>
      <c r="I270" s="338"/>
      <c r="J270" s="338"/>
      <c r="K270" s="339" t="s">
        <v>150</v>
      </c>
      <c r="L270" s="339"/>
      <c r="M270" s="291"/>
    </row>
    <row r="271" spans="1:14" ht="21" customHeight="1">
      <c r="A271" s="291"/>
      <c r="B271" s="253"/>
      <c r="C271" s="292"/>
      <c r="D271" s="291"/>
      <c r="E271" s="291"/>
      <c r="F271" s="291"/>
      <c r="G271" s="339"/>
      <c r="H271" s="338" t="s">
        <v>1549</v>
      </c>
      <c r="I271" s="338"/>
      <c r="J271" s="338"/>
      <c r="K271" s="339"/>
      <c r="L271" s="339"/>
      <c r="M271" s="291"/>
    </row>
    <row r="272" spans="1:14" ht="33.75" customHeight="1">
      <c r="A272" s="291"/>
      <c r="B272" s="253"/>
      <c r="C272" s="292"/>
      <c r="D272" s="291"/>
      <c r="E272" s="291"/>
      <c r="F272" s="291"/>
      <c r="G272" s="337" t="s">
        <v>148</v>
      </c>
      <c r="H272" s="338" t="s">
        <v>149</v>
      </c>
      <c r="I272" s="338"/>
      <c r="J272" s="338"/>
      <c r="K272" s="339" t="s">
        <v>151</v>
      </c>
      <c r="L272" s="339"/>
      <c r="M272" s="291"/>
    </row>
    <row r="273" spans="1:14" ht="20.25" customHeight="1">
      <c r="A273" s="291"/>
      <c r="B273" s="253"/>
      <c r="C273" s="292"/>
      <c r="D273" s="291"/>
      <c r="E273" s="291"/>
      <c r="F273" s="291"/>
      <c r="G273" s="339"/>
      <c r="H273" s="338" t="s">
        <v>154</v>
      </c>
      <c r="I273" s="338"/>
      <c r="J273" s="338"/>
      <c r="K273" s="339"/>
      <c r="L273" s="339"/>
      <c r="M273" s="291"/>
    </row>
    <row r="274" spans="1:14" ht="36" customHeight="1">
      <c r="A274" s="291"/>
      <c r="B274" s="253"/>
      <c r="C274" s="292"/>
      <c r="D274" s="291"/>
      <c r="E274" s="291"/>
      <c r="F274" s="291"/>
      <c r="G274" s="337" t="s">
        <v>148</v>
      </c>
      <c r="H274" s="338" t="s">
        <v>149</v>
      </c>
      <c r="I274" s="338"/>
      <c r="J274" s="338"/>
      <c r="K274" s="339" t="s">
        <v>151</v>
      </c>
      <c r="L274" s="336"/>
      <c r="M274" s="291"/>
    </row>
    <row r="275" spans="1:14" ht="21" customHeight="1">
      <c r="A275" s="291"/>
      <c r="B275" s="253"/>
      <c r="C275" s="292"/>
      <c r="D275" s="291"/>
      <c r="E275" s="291"/>
      <c r="F275" s="291"/>
      <c r="G275" s="339"/>
      <c r="H275" s="338" t="s">
        <v>155</v>
      </c>
      <c r="I275" s="338"/>
      <c r="J275" s="338"/>
      <c r="K275" s="339"/>
      <c r="L275" s="336"/>
      <c r="M275" s="291"/>
    </row>
    <row r="276" spans="1:14" ht="33.75" customHeight="1">
      <c r="A276" s="291"/>
      <c r="B276" s="253"/>
      <c r="C276" s="292"/>
      <c r="D276" s="291"/>
      <c r="E276" s="291"/>
      <c r="F276" s="291"/>
      <c r="G276" s="337" t="s">
        <v>148</v>
      </c>
      <c r="H276" s="338" t="s">
        <v>149</v>
      </c>
      <c r="I276" s="338"/>
      <c r="J276" s="338"/>
      <c r="K276" s="339" t="s">
        <v>151</v>
      </c>
      <c r="L276" s="336"/>
      <c r="M276" s="291"/>
    </row>
    <row r="277" spans="1:14" ht="21" customHeight="1">
      <c r="A277" s="291"/>
      <c r="B277" s="253"/>
      <c r="C277" s="292"/>
      <c r="D277" s="291"/>
      <c r="E277" s="291"/>
      <c r="F277" s="291"/>
      <c r="G277" s="339"/>
      <c r="H277" s="338" t="s">
        <v>156</v>
      </c>
      <c r="I277" s="338"/>
      <c r="J277" s="338"/>
      <c r="K277" s="339"/>
      <c r="L277" s="336"/>
      <c r="M277" s="291"/>
    </row>
    <row r="278" spans="1:14" ht="32.25" customHeight="1">
      <c r="A278" s="291"/>
      <c r="B278" s="253"/>
      <c r="C278" s="292"/>
      <c r="D278" s="291"/>
      <c r="E278" s="291"/>
      <c r="F278" s="291"/>
      <c r="G278" s="337" t="s">
        <v>148</v>
      </c>
      <c r="H278" s="338" t="s">
        <v>149</v>
      </c>
      <c r="I278" s="338"/>
      <c r="J278" s="338"/>
      <c r="K278" s="336" t="s">
        <v>152</v>
      </c>
      <c r="L278" s="336"/>
      <c r="M278" s="291"/>
    </row>
    <row r="279" spans="1:14" ht="24" customHeight="1">
      <c r="A279" s="291"/>
      <c r="B279" s="253"/>
      <c r="C279" s="292"/>
      <c r="D279" s="291"/>
      <c r="E279" s="291"/>
      <c r="F279" s="291"/>
      <c r="G279" s="336"/>
      <c r="H279" s="338" t="s">
        <v>157</v>
      </c>
      <c r="I279" s="338"/>
      <c r="J279" s="338"/>
      <c r="K279" s="336"/>
      <c r="L279" s="336"/>
      <c r="M279" s="291"/>
    </row>
    <row r="280" spans="1:14" ht="24" customHeight="1">
      <c r="A280" s="291"/>
      <c r="B280" s="253"/>
      <c r="C280" s="292"/>
      <c r="D280" s="291"/>
      <c r="E280" s="291"/>
      <c r="F280" s="291"/>
      <c r="G280" s="336"/>
      <c r="H280" s="333"/>
      <c r="I280" s="333"/>
      <c r="J280" s="333"/>
      <c r="K280" s="336"/>
      <c r="L280" s="336"/>
      <c r="M280" s="291"/>
    </row>
    <row r="281" spans="1:14" ht="24" customHeight="1">
      <c r="A281" s="291"/>
      <c r="B281" s="253"/>
      <c r="C281" s="292"/>
      <c r="D281" s="291"/>
      <c r="E281" s="291"/>
      <c r="F281" s="291"/>
      <c r="G281" s="291"/>
      <c r="H281" s="291"/>
      <c r="I281" s="291"/>
      <c r="J281" s="291"/>
      <c r="K281" s="291"/>
      <c r="L281" s="253" t="s">
        <v>691</v>
      </c>
      <c r="M281" s="291"/>
    </row>
    <row r="282" spans="1:14" ht="24" customHeight="1">
      <c r="A282" s="265" t="s">
        <v>158</v>
      </c>
      <c r="B282" s="265"/>
      <c r="C282" s="265"/>
      <c r="D282" s="265"/>
      <c r="E282" s="265"/>
      <c r="F282" s="265"/>
      <c r="G282" s="265"/>
      <c r="H282" s="265"/>
      <c r="I282" s="265"/>
      <c r="J282" s="265"/>
      <c r="K282" s="265"/>
      <c r="L282" s="265"/>
      <c r="M282" s="291"/>
    </row>
    <row r="283" spans="1:14" ht="24" customHeight="1">
      <c r="A283" s="266" t="s">
        <v>160</v>
      </c>
      <c r="B283" s="266"/>
      <c r="C283" s="266"/>
      <c r="D283" s="266"/>
      <c r="E283" s="266"/>
      <c r="F283" s="266"/>
      <c r="G283" s="266"/>
      <c r="H283" s="266"/>
      <c r="I283" s="266"/>
      <c r="J283" s="266"/>
      <c r="K283" s="266"/>
      <c r="L283" s="266"/>
      <c r="M283" s="291"/>
    </row>
    <row r="284" spans="1:14" ht="24" customHeight="1" thickBot="1">
      <c r="A284" s="267" t="s">
        <v>161</v>
      </c>
      <c r="B284" s="267"/>
      <c r="C284" s="267"/>
      <c r="D284" s="267"/>
      <c r="E284" s="267"/>
      <c r="F284" s="267"/>
      <c r="G284" s="267"/>
      <c r="H284" s="267"/>
      <c r="I284" s="267"/>
      <c r="J284" s="267"/>
      <c r="K284" s="267"/>
      <c r="L284" s="267"/>
      <c r="M284" s="291"/>
    </row>
    <row r="285" spans="1:14" ht="24" customHeight="1" thickTop="1">
      <c r="A285" s="293" t="s">
        <v>103</v>
      </c>
      <c r="B285" s="293" t="s">
        <v>122</v>
      </c>
      <c r="C285" s="293" t="s">
        <v>124</v>
      </c>
      <c r="D285" s="294" t="s">
        <v>0</v>
      </c>
      <c r="E285" s="293" t="s">
        <v>109</v>
      </c>
      <c r="F285" s="293" t="s">
        <v>110</v>
      </c>
      <c r="G285" s="295" t="s">
        <v>111</v>
      </c>
      <c r="H285" s="296" t="s">
        <v>1</v>
      </c>
      <c r="I285" s="297"/>
      <c r="J285" s="293" t="s">
        <v>125</v>
      </c>
      <c r="K285" s="293" t="s">
        <v>104</v>
      </c>
      <c r="L285" s="293" t="s">
        <v>112</v>
      </c>
      <c r="M285" s="291"/>
    </row>
    <row r="286" spans="1:14" ht="45.75" customHeight="1" thickBot="1">
      <c r="A286" s="298"/>
      <c r="B286" s="298"/>
      <c r="C286" s="298"/>
      <c r="D286" s="299"/>
      <c r="E286" s="298"/>
      <c r="F286" s="298"/>
      <c r="G286" s="300"/>
      <c r="H286" s="301" t="s">
        <v>113</v>
      </c>
      <c r="I286" s="302" t="s">
        <v>114</v>
      </c>
      <c r="J286" s="298"/>
      <c r="K286" s="298"/>
      <c r="L286" s="298"/>
      <c r="M286" s="291"/>
    </row>
    <row r="287" spans="1:14" ht="24" customHeight="1" thickTop="1">
      <c r="A287" s="304"/>
      <c r="B287" s="340"/>
      <c r="C287" s="305"/>
      <c r="D287" s="305"/>
      <c r="E287" s="304"/>
      <c r="F287" s="304"/>
      <c r="G287" s="307"/>
      <c r="H287" s="308"/>
      <c r="I287" s="308"/>
      <c r="J287" s="256" t="s">
        <v>132</v>
      </c>
      <c r="K287" s="257">
        <f>SUM(K267)</f>
        <v>1144119.8499999999</v>
      </c>
      <c r="L287" s="304"/>
      <c r="M287" s="291"/>
    </row>
    <row r="288" spans="1:14" ht="24" customHeight="1">
      <c r="A288" s="310">
        <v>91</v>
      </c>
      <c r="B288" s="310">
        <v>2549</v>
      </c>
      <c r="C288" s="311" t="s">
        <v>769</v>
      </c>
      <c r="D288" s="312" t="s">
        <v>768</v>
      </c>
      <c r="E288" s="313" t="s">
        <v>750</v>
      </c>
      <c r="F288" s="313">
        <v>16</v>
      </c>
      <c r="G288" s="313" t="s">
        <v>383</v>
      </c>
      <c r="H288" s="314">
        <v>1</v>
      </c>
      <c r="I288" s="314">
        <v>1</v>
      </c>
      <c r="J288" s="254">
        <v>1200</v>
      </c>
      <c r="K288" s="254">
        <f t="shared" ref="K288:K296" si="8">SUM(I288*J288)</f>
        <v>1200</v>
      </c>
      <c r="L288" s="315" t="s">
        <v>1355</v>
      </c>
      <c r="M288" s="291" t="s">
        <v>1037</v>
      </c>
      <c r="N288" s="260"/>
    </row>
    <row r="289" spans="1:14" ht="24" customHeight="1">
      <c r="A289" s="310">
        <v>92</v>
      </c>
      <c r="B289" s="310">
        <v>2549</v>
      </c>
      <c r="C289" s="311" t="s">
        <v>767</v>
      </c>
      <c r="D289" s="312" t="s">
        <v>766</v>
      </c>
      <c r="E289" s="313" t="s">
        <v>750</v>
      </c>
      <c r="F289" s="313">
        <v>16</v>
      </c>
      <c r="G289" s="313" t="s">
        <v>383</v>
      </c>
      <c r="H289" s="314">
        <v>1</v>
      </c>
      <c r="I289" s="314">
        <v>1</v>
      </c>
      <c r="J289" s="254">
        <v>250</v>
      </c>
      <c r="K289" s="254">
        <f t="shared" si="8"/>
        <v>250</v>
      </c>
      <c r="L289" s="315" t="s">
        <v>1356</v>
      </c>
      <c r="M289" s="291" t="s">
        <v>1037</v>
      </c>
      <c r="N289" s="260"/>
    </row>
    <row r="290" spans="1:14" ht="24" customHeight="1">
      <c r="A290" s="310">
        <v>93</v>
      </c>
      <c r="B290" s="310">
        <v>2549</v>
      </c>
      <c r="C290" s="311" t="s">
        <v>765</v>
      </c>
      <c r="D290" s="312" t="s">
        <v>764</v>
      </c>
      <c r="E290" s="313" t="s">
        <v>759</v>
      </c>
      <c r="F290" s="313">
        <v>16</v>
      </c>
      <c r="G290" s="313" t="s">
        <v>383</v>
      </c>
      <c r="H290" s="314">
        <v>6</v>
      </c>
      <c r="I290" s="314">
        <v>6</v>
      </c>
      <c r="J290" s="254">
        <v>500</v>
      </c>
      <c r="K290" s="254">
        <f t="shared" si="8"/>
        <v>3000</v>
      </c>
      <c r="L290" s="315" t="s">
        <v>1356</v>
      </c>
      <c r="M290" s="291" t="s">
        <v>1037</v>
      </c>
      <c r="N290" s="260"/>
    </row>
    <row r="291" spans="1:14" ht="24" customHeight="1">
      <c r="A291" s="310">
        <v>94</v>
      </c>
      <c r="B291" s="310">
        <v>2549</v>
      </c>
      <c r="C291" s="311" t="s">
        <v>761</v>
      </c>
      <c r="D291" s="312" t="s">
        <v>763</v>
      </c>
      <c r="E291" s="313" t="s">
        <v>759</v>
      </c>
      <c r="F291" s="313">
        <v>16</v>
      </c>
      <c r="G291" s="313" t="s">
        <v>383</v>
      </c>
      <c r="H291" s="314">
        <v>1</v>
      </c>
      <c r="I291" s="314">
        <v>1</v>
      </c>
      <c r="J291" s="254">
        <v>600</v>
      </c>
      <c r="K291" s="254">
        <f t="shared" si="8"/>
        <v>600</v>
      </c>
      <c r="L291" s="315" t="s">
        <v>1356</v>
      </c>
      <c r="M291" s="291" t="s">
        <v>1037</v>
      </c>
      <c r="N291" s="260"/>
    </row>
    <row r="292" spans="1:14" ht="24" customHeight="1">
      <c r="A292" s="310">
        <v>95</v>
      </c>
      <c r="B292" s="310">
        <v>2549</v>
      </c>
      <c r="C292" s="311" t="s">
        <v>761</v>
      </c>
      <c r="D292" s="312" t="s">
        <v>762</v>
      </c>
      <c r="E292" s="313" t="s">
        <v>759</v>
      </c>
      <c r="F292" s="313">
        <v>16</v>
      </c>
      <c r="G292" s="313" t="s">
        <v>383</v>
      </c>
      <c r="H292" s="314">
        <v>1</v>
      </c>
      <c r="I292" s="314">
        <v>1</v>
      </c>
      <c r="J292" s="254">
        <v>500</v>
      </c>
      <c r="K292" s="254">
        <f t="shared" si="8"/>
        <v>500</v>
      </c>
      <c r="L292" s="315" t="s">
        <v>1356</v>
      </c>
      <c r="M292" s="291" t="s">
        <v>1037</v>
      </c>
      <c r="N292" s="260"/>
    </row>
    <row r="293" spans="1:14" ht="24" customHeight="1">
      <c r="A293" s="310">
        <v>96</v>
      </c>
      <c r="B293" s="310">
        <v>2549</v>
      </c>
      <c r="C293" s="311" t="s">
        <v>761</v>
      </c>
      <c r="D293" s="312" t="s">
        <v>772</v>
      </c>
      <c r="E293" s="313" t="s">
        <v>759</v>
      </c>
      <c r="F293" s="313">
        <v>16</v>
      </c>
      <c r="G293" s="313" t="s">
        <v>383</v>
      </c>
      <c r="H293" s="314">
        <v>1</v>
      </c>
      <c r="I293" s="314">
        <v>1</v>
      </c>
      <c r="J293" s="254">
        <v>500</v>
      </c>
      <c r="K293" s="254">
        <f>SUM(I293*J293)</f>
        <v>500</v>
      </c>
      <c r="L293" s="315" t="s">
        <v>1356</v>
      </c>
      <c r="M293" s="291" t="s">
        <v>1037</v>
      </c>
      <c r="N293" s="260"/>
    </row>
    <row r="294" spans="1:14" ht="24" customHeight="1">
      <c r="A294" s="310">
        <v>97</v>
      </c>
      <c r="B294" s="310">
        <v>2549</v>
      </c>
      <c r="C294" s="311" t="s">
        <v>761</v>
      </c>
      <c r="D294" s="312" t="s">
        <v>760</v>
      </c>
      <c r="E294" s="313" t="s">
        <v>759</v>
      </c>
      <c r="F294" s="313">
        <v>16</v>
      </c>
      <c r="G294" s="313" t="s">
        <v>383</v>
      </c>
      <c r="H294" s="314">
        <v>1</v>
      </c>
      <c r="I294" s="314">
        <v>1</v>
      </c>
      <c r="J294" s="254">
        <v>400</v>
      </c>
      <c r="K294" s="254">
        <f t="shared" si="8"/>
        <v>400</v>
      </c>
      <c r="L294" s="315" t="s">
        <v>1356</v>
      </c>
      <c r="M294" s="291" t="s">
        <v>1037</v>
      </c>
      <c r="N294" s="260"/>
    </row>
    <row r="295" spans="1:14" ht="24" customHeight="1">
      <c r="A295" s="310">
        <v>98</v>
      </c>
      <c r="B295" s="310">
        <v>2553</v>
      </c>
      <c r="C295" s="311" t="s">
        <v>771</v>
      </c>
      <c r="D295" s="312" t="s">
        <v>770</v>
      </c>
      <c r="E295" s="313" t="s">
        <v>759</v>
      </c>
      <c r="F295" s="313">
        <v>12</v>
      </c>
      <c r="G295" s="313" t="s">
        <v>383</v>
      </c>
      <c r="H295" s="314">
        <v>1</v>
      </c>
      <c r="I295" s="314">
        <v>1</v>
      </c>
      <c r="J295" s="254">
        <v>1100</v>
      </c>
      <c r="K295" s="254">
        <f t="shared" si="8"/>
        <v>1100</v>
      </c>
      <c r="L295" s="315" t="s">
        <v>1357</v>
      </c>
      <c r="M295" s="291" t="s">
        <v>1037</v>
      </c>
      <c r="N295" s="260"/>
    </row>
    <row r="296" spans="1:14" ht="24" customHeight="1">
      <c r="A296" s="310">
        <v>99</v>
      </c>
      <c r="B296" s="372" t="s">
        <v>775</v>
      </c>
      <c r="C296" s="311" t="s">
        <v>774</v>
      </c>
      <c r="D296" s="312" t="s">
        <v>773</v>
      </c>
      <c r="E296" s="313" t="s">
        <v>750</v>
      </c>
      <c r="F296" s="313">
        <v>5</v>
      </c>
      <c r="G296" s="313" t="s">
        <v>383</v>
      </c>
      <c r="H296" s="314">
        <v>1</v>
      </c>
      <c r="I296" s="314">
        <v>1</v>
      </c>
      <c r="J296" s="254">
        <v>3900</v>
      </c>
      <c r="K296" s="254">
        <f t="shared" si="8"/>
        <v>3900</v>
      </c>
      <c r="L296" s="315" t="s">
        <v>1358</v>
      </c>
      <c r="M296" s="291" t="s">
        <v>1037</v>
      </c>
      <c r="N296" s="260"/>
    </row>
    <row r="297" spans="1:14">
      <c r="A297" s="310">
        <v>100</v>
      </c>
      <c r="B297" s="329" t="s">
        <v>105</v>
      </c>
      <c r="C297" s="311" t="s">
        <v>783</v>
      </c>
      <c r="D297" s="362" t="s">
        <v>782</v>
      </c>
      <c r="E297" s="313" t="s">
        <v>2</v>
      </c>
      <c r="F297" s="313">
        <v>26</v>
      </c>
      <c r="G297" s="313" t="s">
        <v>383</v>
      </c>
      <c r="H297" s="313">
        <v>331</v>
      </c>
      <c r="I297" s="313">
        <v>331</v>
      </c>
      <c r="J297" s="255">
        <v>500</v>
      </c>
      <c r="K297" s="255">
        <f>SUM(I297*J297)</f>
        <v>165500</v>
      </c>
      <c r="L297" s="327" t="s">
        <v>1280</v>
      </c>
      <c r="M297" s="291" t="s">
        <v>1034</v>
      </c>
    </row>
    <row r="298" spans="1:14" ht="24" customHeight="1">
      <c r="A298" s="258"/>
      <c r="B298" s="258"/>
      <c r="C298" s="258"/>
      <c r="D298" s="258"/>
      <c r="E298" s="258"/>
      <c r="F298" s="258"/>
      <c r="G298" s="258"/>
      <c r="H298" s="258"/>
      <c r="I298" s="258"/>
      <c r="J298" s="254" t="s">
        <v>129</v>
      </c>
      <c r="K298" s="259">
        <f>SUM(K287:K297)</f>
        <v>1321069.8499999999</v>
      </c>
      <c r="L298" s="310"/>
      <c r="M298" s="291"/>
    </row>
    <row r="299" spans="1:14" ht="24" customHeight="1">
      <c r="A299" s="291"/>
      <c r="B299" s="331" t="s">
        <v>119</v>
      </c>
      <c r="C299" s="292" t="s">
        <v>120</v>
      </c>
      <c r="D299" s="291"/>
      <c r="E299" s="291"/>
      <c r="F299" s="291"/>
      <c r="G299" s="291"/>
      <c r="H299" s="332"/>
      <c r="I299" s="332"/>
      <c r="J299" s="291"/>
      <c r="K299" s="291"/>
      <c r="L299" s="253"/>
      <c r="M299" s="291"/>
    </row>
    <row r="300" spans="1:14" ht="24" customHeight="1">
      <c r="A300" s="291"/>
      <c r="B300" s="253"/>
      <c r="C300" s="292" t="s">
        <v>121</v>
      </c>
      <c r="D300" s="291"/>
      <c r="E300" s="291"/>
      <c r="F300" s="291"/>
      <c r="G300" s="291"/>
      <c r="H300" s="332"/>
      <c r="I300" s="332"/>
      <c r="J300" s="291"/>
      <c r="K300" s="291"/>
      <c r="L300" s="253"/>
      <c r="M300" s="291"/>
    </row>
    <row r="301" spans="1:14" ht="24" customHeight="1">
      <c r="A301" s="291"/>
      <c r="B301" s="253"/>
      <c r="C301" s="292"/>
      <c r="D301" s="291"/>
      <c r="E301" s="291"/>
      <c r="F301" s="291"/>
      <c r="G301" s="337" t="s">
        <v>148</v>
      </c>
      <c r="H301" s="338" t="s">
        <v>149</v>
      </c>
      <c r="I301" s="338"/>
      <c r="J301" s="338"/>
      <c r="K301" s="339" t="s">
        <v>150</v>
      </c>
      <c r="L301" s="339"/>
      <c r="M301" s="291"/>
    </row>
    <row r="302" spans="1:14" ht="23.25" customHeight="1">
      <c r="A302" s="291"/>
      <c r="B302" s="253"/>
      <c r="C302" s="292"/>
      <c r="D302" s="291"/>
      <c r="E302" s="291"/>
      <c r="F302" s="291"/>
      <c r="G302" s="339"/>
      <c r="H302" s="338" t="s">
        <v>1549</v>
      </c>
      <c r="I302" s="338"/>
      <c r="J302" s="338"/>
      <c r="K302" s="339"/>
      <c r="L302" s="339"/>
      <c r="M302" s="291"/>
    </row>
    <row r="303" spans="1:14" ht="35.25" customHeight="1">
      <c r="A303" s="291"/>
      <c r="B303" s="253"/>
      <c r="C303" s="292"/>
      <c r="D303" s="291"/>
      <c r="E303" s="291"/>
      <c r="F303" s="291"/>
      <c r="G303" s="337" t="s">
        <v>148</v>
      </c>
      <c r="H303" s="338" t="s">
        <v>149</v>
      </c>
      <c r="I303" s="338"/>
      <c r="J303" s="338"/>
      <c r="K303" s="339" t="s">
        <v>151</v>
      </c>
      <c r="L303" s="339"/>
      <c r="M303" s="291"/>
    </row>
    <row r="304" spans="1:14" ht="20.25" customHeight="1">
      <c r="A304" s="291"/>
      <c r="B304" s="253"/>
      <c r="C304" s="292"/>
      <c r="D304" s="291"/>
      <c r="E304" s="291"/>
      <c r="F304" s="291"/>
      <c r="G304" s="339"/>
      <c r="H304" s="338" t="s">
        <v>154</v>
      </c>
      <c r="I304" s="338"/>
      <c r="J304" s="338"/>
      <c r="K304" s="339"/>
      <c r="L304" s="339"/>
      <c r="M304" s="291"/>
    </row>
    <row r="305" spans="1:13" ht="33.75" customHeight="1">
      <c r="A305" s="291"/>
      <c r="B305" s="253"/>
      <c r="C305" s="292"/>
      <c r="D305" s="291"/>
      <c r="E305" s="291"/>
      <c r="F305" s="291"/>
      <c r="G305" s="337" t="s">
        <v>148</v>
      </c>
      <c r="H305" s="338" t="s">
        <v>149</v>
      </c>
      <c r="I305" s="338"/>
      <c r="J305" s="338"/>
      <c r="K305" s="339" t="s">
        <v>151</v>
      </c>
      <c r="L305" s="336"/>
      <c r="M305" s="291"/>
    </row>
    <row r="306" spans="1:13" ht="21" customHeight="1">
      <c r="A306" s="291"/>
      <c r="B306" s="253"/>
      <c r="C306" s="292"/>
      <c r="D306" s="291"/>
      <c r="E306" s="291"/>
      <c r="F306" s="291"/>
      <c r="G306" s="339"/>
      <c r="H306" s="338" t="s">
        <v>155</v>
      </c>
      <c r="I306" s="338"/>
      <c r="J306" s="338"/>
      <c r="K306" s="339"/>
      <c r="L306" s="336"/>
      <c r="M306" s="291"/>
    </row>
    <row r="307" spans="1:13" ht="33" customHeight="1">
      <c r="A307" s="291"/>
      <c r="B307" s="253"/>
      <c r="C307" s="292"/>
      <c r="D307" s="291"/>
      <c r="E307" s="291"/>
      <c r="F307" s="291"/>
      <c r="G307" s="337" t="s">
        <v>148</v>
      </c>
      <c r="H307" s="338" t="s">
        <v>149</v>
      </c>
      <c r="I307" s="338"/>
      <c r="J307" s="338"/>
      <c r="K307" s="339" t="s">
        <v>151</v>
      </c>
      <c r="L307" s="336"/>
      <c r="M307" s="291"/>
    </row>
    <row r="308" spans="1:13" ht="21" customHeight="1">
      <c r="A308" s="291"/>
      <c r="B308" s="253"/>
      <c r="C308" s="292"/>
      <c r="D308" s="291"/>
      <c r="E308" s="291"/>
      <c r="F308" s="291"/>
      <c r="G308" s="339"/>
      <c r="H308" s="338" t="s">
        <v>156</v>
      </c>
      <c r="I308" s="338"/>
      <c r="J308" s="338"/>
      <c r="K308" s="339"/>
      <c r="L308" s="336"/>
      <c r="M308" s="291"/>
    </row>
    <row r="309" spans="1:13" ht="31.5" customHeight="1">
      <c r="A309" s="291"/>
      <c r="B309" s="253"/>
      <c r="C309" s="292"/>
      <c r="D309" s="291"/>
      <c r="E309" s="291"/>
      <c r="F309" s="291"/>
      <c r="G309" s="337" t="s">
        <v>148</v>
      </c>
      <c r="H309" s="338" t="s">
        <v>149</v>
      </c>
      <c r="I309" s="338"/>
      <c r="J309" s="338"/>
      <c r="K309" s="336" t="s">
        <v>152</v>
      </c>
      <c r="L309" s="336"/>
      <c r="M309" s="291"/>
    </row>
    <row r="310" spans="1:13" ht="24" customHeight="1">
      <c r="A310" s="291"/>
      <c r="B310" s="253"/>
      <c r="C310" s="292"/>
      <c r="D310" s="291"/>
      <c r="E310" s="291"/>
      <c r="F310" s="291"/>
      <c r="G310" s="336"/>
      <c r="H310" s="338" t="s">
        <v>157</v>
      </c>
      <c r="I310" s="338"/>
      <c r="J310" s="338"/>
      <c r="K310" s="336"/>
      <c r="L310" s="336"/>
      <c r="M310" s="291"/>
    </row>
    <row r="311" spans="1:13" ht="24" customHeight="1">
      <c r="A311" s="291"/>
      <c r="B311" s="253"/>
      <c r="C311" s="292"/>
      <c r="D311" s="291"/>
      <c r="E311" s="291"/>
      <c r="F311" s="291"/>
      <c r="G311" s="336"/>
      <c r="H311" s="333"/>
      <c r="I311" s="333"/>
      <c r="J311" s="333"/>
      <c r="K311" s="336"/>
      <c r="L311" s="336"/>
      <c r="M311" s="291"/>
    </row>
    <row r="312" spans="1:13" ht="24" customHeight="1">
      <c r="A312" s="291"/>
      <c r="B312" s="253"/>
      <c r="C312" s="292"/>
      <c r="D312" s="291"/>
      <c r="E312" s="291"/>
      <c r="F312" s="291"/>
      <c r="G312" s="291"/>
      <c r="H312" s="291"/>
      <c r="I312" s="291"/>
      <c r="J312" s="291"/>
      <c r="K312" s="291"/>
      <c r="L312" s="253" t="s">
        <v>692</v>
      </c>
      <c r="M312" s="291"/>
    </row>
    <row r="313" spans="1:13" ht="24" customHeight="1">
      <c r="A313" s="265" t="s">
        <v>158</v>
      </c>
      <c r="B313" s="265"/>
      <c r="C313" s="265"/>
      <c r="D313" s="265"/>
      <c r="E313" s="265"/>
      <c r="F313" s="265"/>
      <c r="G313" s="265"/>
      <c r="H313" s="265"/>
      <c r="I313" s="265"/>
      <c r="J313" s="265"/>
      <c r="K313" s="265"/>
      <c r="L313" s="265"/>
      <c r="M313" s="291"/>
    </row>
    <row r="314" spans="1:13" ht="24" customHeight="1">
      <c r="A314" s="266" t="s">
        <v>160</v>
      </c>
      <c r="B314" s="266"/>
      <c r="C314" s="266"/>
      <c r="D314" s="266"/>
      <c r="E314" s="266"/>
      <c r="F314" s="266"/>
      <c r="G314" s="266"/>
      <c r="H314" s="266"/>
      <c r="I314" s="266"/>
      <c r="J314" s="266"/>
      <c r="K314" s="266"/>
      <c r="L314" s="266"/>
      <c r="M314" s="291"/>
    </row>
    <row r="315" spans="1:13" ht="24" customHeight="1" thickBot="1">
      <c r="A315" s="267" t="s">
        <v>161</v>
      </c>
      <c r="B315" s="267"/>
      <c r="C315" s="267"/>
      <c r="D315" s="267"/>
      <c r="E315" s="267"/>
      <c r="F315" s="267"/>
      <c r="G315" s="267"/>
      <c r="H315" s="267"/>
      <c r="I315" s="267"/>
      <c r="J315" s="267"/>
      <c r="K315" s="267"/>
      <c r="L315" s="267"/>
      <c r="M315" s="291"/>
    </row>
    <row r="316" spans="1:13" ht="24" customHeight="1" thickTop="1">
      <c r="A316" s="293" t="s">
        <v>103</v>
      </c>
      <c r="B316" s="293" t="s">
        <v>122</v>
      </c>
      <c r="C316" s="293" t="s">
        <v>124</v>
      </c>
      <c r="D316" s="294" t="s">
        <v>0</v>
      </c>
      <c r="E316" s="293" t="s">
        <v>109</v>
      </c>
      <c r="F316" s="293" t="s">
        <v>110</v>
      </c>
      <c r="G316" s="295" t="s">
        <v>111</v>
      </c>
      <c r="H316" s="296" t="s">
        <v>1</v>
      </c>
      <c r="I316" s="297"/>
      <c r="J316" s="293" t="s">
        <v>125</v>
      </c>
      <c r="K316" s="293" t="s">
        <v>104</v>
      </c>
      <c r="L316" s="293" t="s">
        <v>112</v>
      </c>
      <c r="M316" s="291"/>
    </row>
    <row r="317" spans="1:13" ht="45.75" customHeight="1" thickBot="1">
      <c r="A317" s="298"/>
      <c r="B317" s="298"/>
      <c r="C317" s="298"/>
      <c r="D317" s="299"/>
      <c r="E317" s="298"/>
      <c r="F317" s="298"/>
      <c r="G317" s="300"/>
      <c r="H317" s="301" t="s">
        <v>113</v>
      </c>
      <c r="I317" s="302" t="s">
        <v>114</v>
      </c>
      <c r="J317" s="298"/>
      <c r="K317" s="298"/>
      <c r="L317" s="298"/>
      <c r="M317" s="291"/>
    </row>
    <row r="318" spans="1:13" ht="24" customHeight="1" thickTop="1">
      <c r="A318" s="304"/>
      <c r="B318" s="340"/>
      <c r="C318" s="305"/>
      <c r="D318" s="305"/>
      <c r="E318" s="304"/>
      <c r="F318" s="304"/>
      <c r="G318" s="307"/>
      <c r="H318" s="308"/>
      <c r="I318" s="308"/>
      <c r="J318" s="256" t="s">
        <v>132</v>
      </c>
      <c r="K318" s="257">
        <f>SUM(K298)</f>
        <v>1321069.8499999999</v>
      </c>
      <c r="L318" s="304"/>
      <c r="M318" s="291"/>
    </row>
    <row r="319" spans="1:13">
      <c r="A319" s="316">
        <v>101</v>
      </c>
      <c r="B319" s="329" t="s">
        <v>105</v>
      </c>
      <c r="C319" s="305" t="s">
        <v>786</v>
      </c>
      <c r="D319" s="373" t="s">
        <v>784</v>
      </c>
      <c r="E319" s="313" t="s">
        <v>2</v>
      </c>
      <c r="F319" s="313">
        <v>26</v>
      </c>
      <c r="G319" s="313" t="s">
        <v>383</v>
      </c>
      <c r="H319" s="313">
        <v>83</v>
      </c>
      <c r="I319" s="313">
        <v>83</v>
      </c>
      <c r="J319" s="256">
        <v>600</v>
      </c>
      <c r="K319" s="255">
        <f t="shared" ref="K319:K328" si="9">SUM(I319*J319)</f>
        <v>49800</v>
      </c>
      <c r="L319" s="327" t="s">
        <v>1280</v>
      </c>
      <c r="M319" s="291" t="s">
        <v>1034</v>
      </c>
    </row>
    <row r="320" spans="1:13">
      <c r="A320" s="310">
        <v>102</v>
      </c>
      <c r="B320" s="329" t="s">
        <v>105</v>
      </c>
      <c r="C320" s="311" t="s">
        <v>785</v>
      </c>
      <c r="D320" s="312" t="s">
        <v>784</v>
      </c>
      <c r="E320" s="313" t="s">
        <v>3</v>
      </c>
      <c r="F320" s="313">
        <v>26</v>
      </c>
      <c r="G320" s="313" t="s">
        <v>383</v>
      </c>
      <c r="H320" s="313">
        <v>27</v>
      </c>
      <c r="I320" s="313">
        <v>27</v>
      </c>
      <c r="J320" s="254">
        <v>600</v>
      </c>
      <c r="K320" s="255">
        <f t="shared" si="9"/>
        <v>16200</v>
      </c>
      <c r="L320" s="327" t="s">
        <v>1280</v>
      </c>
      <c r="M320" s="291" t="s">
        <v>1034</v>
      </c>
    </row>
    <row r="321" spans="1:13">
      <c r="A321" s="316">
        <v>103</v>
      </c>
      <c r="B321" s="329" t="s">
        <v>105</v>
      </c>
      <c r="C321" s="311" t="s">
        <v>793</v>
      </c>
      <c r="D321" s="311" t="s">
        <v>792</v>
      </c>
      <c r="E321" s="313" t="s">
        <v>2</v>
      </c>
      <c r="F321" s="313">
        <v>26</v>
      </c>
      <c r="G321" s="313" t="s">
        <v>383</v>
      </c>
      <c r="H321" s="313">
        <v>2</v>
      </c>
      <c r="I321" s="313">
        <v>2</v>
      </c>
      <c r="J321" s="254">
        <v>2350</v>
      </c>
      <c r="K321" s="255">
        <f t="shared" si="9"/>
        <v>4700</v>
      </c>
      <c r="L321" s="327" t="s">
        <v>1359</v>
      </c>
      <c r="M321" s="291" t="s">
        <v>1034</v>
      </c>
    </row>
    <row r="322" spans="1:13">
      <c r="A322" s="310">
        <v>104</v>
      </c>
      <c r="B322" s="329" t="s">
        <v>105</v>
      </c>
      <c r="C322" s="311" t="s">
        <v>791</v>
      </c>
      <c r="D322" s="311" t="s">
        <v>790</v>
      </c>
      <c r="E322" s="313" t="s">
        <v>2</v>
      </c>
      <c r="F322" s="313">
        <v>26</v>
      </c>
      <c r="G322" s="313" t="s">
        <v>383</v>
      </c>
      <c r="H322" s="313">
        <v>15</v>
      </c>
      <c r="I322" s="313">
        <v>15</v>
      </c>
      <c r="J322" s="254">
        <v>2250</v>
      </c>
      <c r="K322" s="255">
        <f t="shared" si="9"/>
        <v>33750</v>
      </c>
      <c r="L322" s="327" t="s">
        <v>1360</v>
      </c>
      <c r="M322" s="291" t="s">
        <v>1034</v>
      </c>
    </row>
    <row r="323" spans="1:13">
      <c r="A323" s="316">
        <v>105</v>
      </c>
      <c r="B323" s="329" t="s">
        <v>105</v>
      </c>
      <c r="C323" s="311" t="s">
        <v>789</v>
      </c>
      <c r="D323" s="311" t="s">
        <v>788</v>
      </c>
      <c r="E323" s="313" t="s">
        <v>2</v>
      </c>
      <c r="F323" s="313">
        <v>26</v>
      </c>
      <c r="G323" s="313" t="s">
        <v>383</v>
      </c>
      <c r="H323" s="313">
        <v>1</v>
      </c>
      <c r="I323" s="313">
        <v>1</v>
      </c>
      <c r="J323" s="254">
        <v>3800</v>
      </c>
      <c r="K323" s="255">
        <f t="shared" si="9"/>
        <v>3800</v>
      </c>
      <c r="L323" s="327" t="s">
        <v>1360</v>
      </c>
      <c r="M323" s="291" t="s">
        <v>1034</v>
      </c>
    </row>
    <row r="324" spans="1:13">
      <c r="A324" s="310">
        <v>106</v>
      </c>
      <c r="B324" s="329" t="s">
        <v>106</v>
      </c>
      <c r="C324" s="311" t="s">
        <v>787</v>
      </c>
      <c r="D324" s="312" t="s">
        <v>784</v>
      </c>
      <c r="E324" s="313" t="s">
        <v>2</v>
      </c>
      <c r="F324" s="313">
        <v>25</v>
      </c>
      <c r="G324" s="313" t="s">
        <v>383</v>
      </c>
      <c r="H324" s="313">
        <v>156</v>
      </c>
      <c r="I324" s="313">
        <v>156</v>
      </c>
      <c r="J324" s="254">
        <v>600</v>
      </c>
      <c r="K324" s="255">
        <f t="shared" si="9"/>
        <v>93600</v>
      </c>
      <c r="L324" s="327" t="s">
        <v>1280</v>
      </c>
      <c r="M324" s="291" t="s">
        <v>1034</v>
      </c>
    </row>
    <row r="325" spans="1:13">
      <c r="A325" s="316">
        <v>107</v>
      </c>
      <c r="B325" s="329" t="s">
        <v>106</v>
      </c>
      <c r="C325" s="311" t="s">
        <v>798</v>
      </c>
      <c r="D325" s="311" t="s">
        <v>796</v>
      </c>
      <c r="E325" s="313" t="s">
        <v>98</v>
      </c>
      <c r="F325" s="313">
        <v>25</v>
      </c>
      <c r="G325" s="313" t="s">
        <v>383</v>
      </c>
      <c r="H325" s="314">
        <v>1</v>
      </c>
      <c r="I325" s="314">
        <v>1</v>
      </c>
      <c r="J325" s="254">
        <v>3000</v>
      </c>
      <c r="K325" s="255">
        <f t="shared" si="9"/>
        <v>3000</v>
      </c>
      <c r="L325" s="327" t="s">
        <v>1280</v>
      </c>
      <c r="M325" s="291" t="s">
        <v>1034</v>
      </c>
    </row>
    <row r="326" spans="1:13">
      <c r="A326" s="310">
        <v>108</v>
      </c>
      <c r="B326" s="329" t="s">
        <v>106</v>
      </c>
      <c r="C326" s="311" t="s">
        <v>797</v>
      </c>
      <c r="D326" s="311" t="s">
        <v>796</v>
      </c>
      <c r="E326" s="313" t="s">
        <v>98</v>
      </c>
      <c r="F326" s="313">
        <v>25</v>
      </c>
      <c r="G326" s="313" t="s">
        <v>383</v>
      </c>
      <c r="H326" s="314">
        <v>1</v>
      </c>
      <c r="I326" s="314">
        <v>1</v>
      </c>
      <c r="J326" s="254">
        <v>2500</v>
      </c>
      <c r="K326" s="255">
        <f t="shared" si="9"/>
        <v>2500</v>
      </c>
      <c r="L326" s="327" t="s">
        <v>1361</v>
      </c>
      <c r="M326" s="291" t="s">
        <v>1034</v>
      </c>
    </row>
    <row r="327" spans="1:13">
      <c r="A327" s="316">
        <v>109</v>
      </c>
      <c r="B327" s="329" t="s">
        <v>106</v>
      </c>
      <c r="C327" s="311" t="s">
        <v>795</v>
      </c>
      <c r="D327" s="311" t="s">
        <v>790</v>
      </c>
      <c r="E327" s="313" t="s">
        <v>98</v>
      </c>
      <c r="F327" s="313">
        <v>25</v>
      </c>
      <c r="G327" s="313" t="s">
        <v>383</v>
      </c>
      <c r="H327" s="314">
        <v>1</v>
      </c>
      <c r="I327" s="314">
        <v>1</v>
      </c>
      <c r="J327" s="254">
        <v>2100</v>
      </c>
      <c r="K327" s="255">
        <f t="shared" si="9"/>
        <v>2100</v>
      </c>
      <c r="L327" s="327" t="s">
        <v>1362</v>
      </c>
      <c r="M327" s="291" t="s">
        <v>1034</v>
      </c>
    </row>
    <row r="328" spans="1:13">
      <c r="A328" s="310">
        <v>110</v>
      </c>
      <c r="B328" s="329" t="s">
        <v>106</v>
      </c>
      <c r="C328" s="311" t="s">
        <v>794</v>
      </c>
      <c r="D328" s="311" t="s">
        <v>788</v>
      </c>
      <c r="E328" s="313" t="s">
        <v>98</v>
      </c>
      <c r="F328" s="313">
        <v>25</v>
      </c>
      <c r="G328" s="313" t="s">
        <v>383</v>
      </c>
      <c r="H328" s="314">
        <v>2</v>
      </c>
      <c r="I328" s="314">
        <v>2</v>
      </c>
      <c r="J328" s="254">
        <v>3500</v>
      </c>
      <c r="K328" s="255">
        <f t="shared" si="9"/>
        <v>7000</v>
      </c>
      <c r="L328" s="327" t="s">
        <v>1362</v>
      </c>
      <c r="M328" s="291" t="s">
        <v>1034</v>
      </c>
    </row>
    <row r="329" spans="1:13" ht="24" customHeight="1">
      <c r="A329" s="258"/>
      <c r="B329" s="258"/>
      <c r="C329" s="258"/>
      <c r="D329" s="258"/>
      <c r="E329" s="258"/>
      <c r="F329" s="258"/>
      <c r="G329" s="258"/>
      <c r="H329" s="258"/>
      <c r="I329" s="258"/>
      <c r="J329" s="254" t="s">
        <v>129</v>
      </c>
      <c r="K329" s="259">
        <f>SUM(K318:K328)</f>
        <v>1537519.8499999999</v>
      </c>
      <c r="L329" s="310"/>
      <c r="M329" s="291"/>
    </row>
    <row r="330" spans="1:13" ht="24" customHeight="1">
      <c r="A330" s="291"/>
      <c r="B330" s="331" t="s">
        <v>119</v>
      </c>
      <c r="C330" s="292" t="s">
        <v>120</v>
      </c>
      <c r="D330" s="291"/>
      <c r="E330" s="291"/>
      <c r="F330" s="291"/>
      <c r="G330" s="291"/>
      <c r="H330" s="332"/>
      <c r="I330" s="332"/>
      <c r="J330" s="291"/>
      <c r="K330" s="291"/>
      <c r="L330" s="253"/>
      <c r="M330" s="291"/>
    </row>
    <row r="331" spans="1:13" ht="24" customHeight="1">
      <c r="A331" s="291"/>
      <c r="B331" s="253"/>
      <c r="C331" s="292" t="s">
        <v>121</v>
      </c>
      <c r="D331" s="291"/>
      <c r="E331" s="291"/>
      <c r="F331" s="291"/>
      <c r="G331" s="291"/>
      <c r="H331" s="332"/>
      <c r="I331" s="332"/>
      <c r="J331" s="291"/>
      <c r="K331" s="291"/>
      <c r="L331" s="253"/>
      <c r="M331" s="291"/>
    </row>
    <row r="332" spans="1:13" ht="24" customHeight="1">
      <c r="A332" s="291"/>
      <c r="B332" s="253"/>
      <c r="C332" s="292"/>
      <c r="D332" s="291"/>
      <c r="E332" s="291"/>
      <c r="F332" s="291"/>
      <c r="G332" s="337" t="s">
        <v>148</v>
      </c>
      <c r="H332" s="338" t="s">
        <v>149</v>
      </c>
      <c r="I332" s="338"/>
      <c r="J332" s="338"/>
      <c r="K332" s="339" t="s">
        <v>150</v>
      </c>
      <c r="L332" s="339"/>
      <c r="M332" s="291"/>
    </row>
    <row r="333" spans="1:13" ht="21" customHeight="1">
      <c r="A333" s="291"/>
      <c r="B333" s="253"/>
      <c r="C333" s="292"/>
      <c r="D333" s="291"/>
      <c r="E333" s="291"/>
      <c r="F333" s="291"/>
      <c r="G333" s="339"/>
      <c r="H333" s="338" t="s">
        <v>1549</v>
      </c>
      <c r="I333" s="338"/>
      <c r="J333" s="338"/>
      <c r="K333" s="339"/>
      <c r="L333" s="339"/>
      <c r="M333" s="291"/>
    </row>
    <row r="334" spans="1:13" ht="35.25" customHeight="1">
      <c r="A334" s="291"/>
      <c r="B334" s="253"/>
      <c r="C334" s="292"/>
      <c r="D334" s="291"/>
      <c r="E334" s="291"/>
      <c r="F334" s="291"/>
      <c r="G334" s="337" t="s">
        <v>148</v>
      </c>
      <c r="H334" s="338" t="s">
        <v>149</v>
      </c>
      <c r="I334" s="338"/>
      <c r="J334" s="338"/>
      <c r="K334" s="339" t="s">
        <v>151</v>
      </c>
      <c r="L334" s="339"/>
      <c r="M334" s="291"/>
    </row>
    <row r="335" spans="1:13" ht="20.25" customHeight="1">
      <c r="A335" s="291"/>
      <c r="B335" s="253"/>
      <c r="C335" s="292"/>
      <c r="D335" s="291"/>
      <c r="E335" s="291"/>
      <c r="F335" s="291"/>
      <c r="G335" s="339"/>
      <c r="H335" s="338" t="s">
        <v>154</v>
      </c>
      <c r="I335" s="338"/>
      <c r="J335" s="338"/>
      <c r="K335" s="339"/>
      <c r="L335" s="339"/>
      <c r="M335" s="291"/>
    </row>
    <row r="336" spans="1:13" ht="33.75" customHeight="1">
      <c r="A336" s="291"/>
      <c r="B336" s="253"/>
      <c r="C336" s="292"/>
      <c r="D336" s="291"/>
      <c r="E336" s="291"/>
      <c r="F336" s="291"/>
      <c r="G336" s="337" t="s">
        <v>148</v>
      </c>
      <c r="H336" s="338" t="s">
        <v>149</v>
      </c>
      <c r="I336" s="338"/>
      <c r="J336" s="338"/>
      <c r="K336" s="339" t="s">
        <v>151</v>
      </c>
      <c r="L336" s="336"/>
      <c r="M336" s="291"/>
    </row>
    <row r="337" spans="1:13" ht="21" customHeight="1">
      <c r="A337" s="291"/>
      <c r="B337" s="253"/>
      <c r="C337" s="292"/>
      <c r="D337" s="291"/>
      <c r="E337" s="291"/>
      <c r="F337" s="291"/>
      <c r="G337" s="339"/>
      <c r="H337" s="338" t="s">
        <v>155</v>
      </c>
      <c r="I337" s="338"/>
      <c r="J337" s="338"/>
      <c r="K337" s="339"/>
      <c r="L337" s="336"/>
      <c r="M337" s="291"/>
    </row>
    <row r="338" spans="1:13" ht="33.75" customHeight="1">
      <c r="A338" s="291"/>
      <c r="B338" s="253"/>
      <c r="C338" s="292"/>
      <c r="D338" s="291"/>
      <c r="E338" s="291"/>
      <c r="F338" s="291"/>
      <c r="G338" s="337" t="s">
        <v>148</v>
      </c>
      <c r="H338" s="338" t="s">
        <v>149</v>
      </c>
      <c r="I338" s="338"/>
      <c r="J338" s="338"/>
      <c r="K338" s="339" t="s">
        <v>151</v>
      </c>
      <c r="L338" s="336"/>
      <c r="M338" s="291"/>
    </row>
    <row r="339" spans="1:13" ht="21" customHeight="1">
      <c r="A339" s="291"/>
      <c r="B339" s="253"/>
      <c r="C339" s="292"/>
      <c r="D339" s="291"/>
      <c r="E339" s="291"/>
      <c r="F339" s="291"/>
      <c r="G339" s="339"/>
      <c r="H339" s="338" t="s">
        <v>156</v>
      </c>
      <c r="I339" s="338"/>
      <c r="J339" s="338"/>
      <c r="K339" s="339"/>
      <c r="L339" s="336"/>
      <c r="M339" s="291"/>
    </row>
    <row r="340" spans="1:13" ht="33" customHeight="1">
      <c r="A340" s="291"/>
      <c r="B340" s="253"/>
      <c r="C340" s="292"/>
      <c r="D340" s="291"/>
      <c r="E340" s="291"/>
      <c r="F340" s="291"/>
      <c r="G340" s="337" t="s">
        <v>148</v>
      </c>
      <c r="H340" s="338" t="s">
        <v>149</v>
      </c>
      <c r="I340" s="338"/>
      <c r="J340" s="338"/>
      <c r="K340" s="336" t="s">
        <v>152</v>
      </c>
      <c r="L340" s="336"/>
      <c r="M340" s="291"/>
    </row>
    <row r="341" spans="1:13" ht="24" customHeight="1">
      <c r="A341" s="291"/>
      <c r="B341" s="253"/>
      <c r="C341" s="292"/>
      <c r="D341" s="291"/>
      <c r="E341" s="291"/>
      <c r="F341" s="291"/>
      <c r="G341" s="336"/>
      <c r="H341" s="338" t="s">
        <v>157</v>
      </c>
      <c r="I341" s="338"/>
      <c r="J341" s="338"/>
      <c r="K341" s="336"/>
      <c r="L341" s="336"/>
      <c r="M341" s="291"/>
    </row>
    <row r="342" spans="1:13" ht="24" customHeight="1">
      <c r="A342" s="291"/>
      <c r="B342" s="253"/>
      <c r="C342" s="292"/>
      <c r="D342" s="291"/>
      <c r="E342" s="291"/>
      <c r="F342" s="291"/>
      <c r="G342" s="336"/>
      <c r="H342" s="333"/>
      <c r="I342" s="333"/>
      <c r="J342" s="333"/>
      <c r="K342" s="336"/>
      <c r="L342" s="336"/>
      <c r="M342" s="291"/>
    </row>
    <row r="343" spans="1:13" ht="24" customHeight="1">
      <c r="A343" s="291"/>
      <c r="B343" s="253"/>
      <c r="C343" s="292"/>
      <c r="D343" s="291"/>
      <c r="E343" s="291"/>
      <c r="F343" s="291"/>
      <c r="G343" s="291"/>
      <c r="H343" s="291"/>
      <c r="I343" s="291"/>
      <c r="J343" s="291"/>
      <c r="K343" s="291"/>
      <c r="L343" s="253" t="s">
        <v>693</v>
      </c>
      <c r="M343" s="291"/>
    </row>
    <row r="344" spans="1:13" ht="24" customHeight="1">
      <c r="A344" s="265" t="s">
        <v>158</v>
      </c>
      <c r="B344" s="265"/>
      <c r="C344" s="265"/>
      <c r="D344" s="265"/>
      <c r="E344" s="265"/>
      <c r="F344" s="265"/>
      <c r="G344" s="265"/>
      <c r="H344" s="265"/>
      <c r="I344" s="265"/>
      <c r="J344" s="265"/>
      <c r="K344" s="265"/>
      <c r="L344" s="265"/>
      <c r="M344" s="291"/>
    </row>
    <row r="345" spans="1:13" ht="24" customHeight="1">
      <c r="A345" s="266" t="s">
        <v>160</v>
      </c>
      <c r="B345" s="266"/>
      <c r="C345" s="266"/>
      <c r="D345" s="266"/>
      <c r="E345" s="266"/>
      <c r="F345" s="266"/>
      <c r="G345" s="266"/>
      <c r="H345" s="266"/>
      <c r="I345" s="266"/>
      <c r="J345" s="266"/>
      <c r="K345" s="266"/>
      <c r="L345" s="266"/>
      <c r="M345" s="291"/>
    </row>
    <row r="346" spans="1:13" ht="24" customHeight="1" thickBot="1">
      <c r="A346" s="267" t="s">
        <v>161</v>
      </c>
      <c r="B346" s="267"/>
      <c r="C346" s="267"/>
      <c r="D346" s="267"/>
      <c r="E346" s="267"/>
      <c r="F346" s="267"/>
      <c r="G346" s="267"/>
      <c r="H346" s="267"/>
      <c r="I346" s="267"/>
      <c r="J346" s="267"/>
      <c r="K346" s="267"/>
      <c r="L346" s="267"/>
      <c r="M346" s="291"/>
    </row>
    <row r="347" spans="1:13" ht="24" customHeight="1" thickTop="1">
      <c r="A347" s="293" t="s">
        <v>103</v>
      </c>
      <c r="B347" s="293" t="s">
        <v>122</v>
      </c>
      <c r="C347" s="293" t="s">
        <v>124</v>
      </c>
      <c r="D347" s="294" t="s">
        <v>0</v>
      </c>
      <c r="E347" s="293" t="s">
        <v>109</v>
      </c>
      <c r="F347" s="293" t="s">
        <v>110</v>
      </c>
      <c r="G347" s="295" t="s">
        <v>111</v>
      </c>
      <c r="H347" s="296" t="s">
        <v>1</v>
      </c>
      <c r="I347" s="297"/>
      <c r="J347" s="293" t="s">
        <v>125</v>
      </c>
      <c r="K347" s="293" t="s">
        <v>104</v>
      </c>
      <c r="L347" s="293" t="s">
        <v>112</v>
      </c>
      <c r="M347" s="291"/>
    </row>
    <row r="348" spans="1:13" ht="45.75" customHeight="1" thickBot="1">
      <c r="A348" s="298"/>
      <c r="B348" s="298"/>
      <c r="C348" s="298"/>
      <c r="D348" s="299"/>
      <c r="E348" s="298"/>
      <c r="F348" s="298"/>
      <c r="G348" s="300"/>
      <c r="H348" s="301" t="s">
        <v>113</v>
      </c>
      <c r="I348" s="302" t="s">
        <v>114</v>
      </c>
      <c r="J348" s="298"/>
      <c r="K348" s="298"/>
      <c r="L348" s="298"/>
      <c r="M348" s="291"/>
    </row>
    <row r="349" spans="1:13" ht="24" customHeight="1" thickTop="1">
      <c r="A349" s="304"/>
      <c r="B349" s="340"/>
      <c r="C349" s="305"/>
      <c r="D349" s="305"/>
      <c r="E349" s="304"/>
      <c r="F349" s="304"/>
      <c r="G349" s="307"/>
      <c r="H349" s="308"/>
      <c r="I349" s="308"/>
      <c r="J349" s="256" t="s">
        <v>132</v>
      </c>
      <c r="K349" s="257">
        <f>SUM(K329)</f>
        <v>1537519.8499999999</v>
      </c>
      <c r="L349" s="304"/>
      <c r="M349" s="291"/>
    </row>
    <row r="350" spans="1:13">
      <c r="A350" s="310">
        <v>111</v>
      </c>
      <c r="B350" s="328" t="s">
        <v>188</v>
      </c>
      <c r="C350" s="311" t="s">
        <v>800</v>
      </c>
      <c r="D350" s="311" t="s">
        <v>799</v>
      </c>
      <c r="E350" s="313" t="s">
        <v>3</v>
      </c>
      <c r="F350" s="313">
        <v>24</v>
      </c>
      <c r="G350" s="313" t="s">
        <v>383</v>
      </c>
      <c r="H350" s="314">
        <v>1</v>
      </c>
      <c r="I350" s="314">
        <v>1</v>
      </c>
      <c r="J350" s="254">
        <v>3500</v>
      </c>
      <c r="K350" s="255">
        <f t="shared" ref="K350:K359" si="10">SUM(I350*J350)</f>
        <v>3500</v>
      </c>
      <c r="L350" s="327" t="s">
        <v>1363</v>
      </c>
      <c r="M350" s="291" t="s">
        <v>1034</v>
      </c>
    </row>
    <row r="351" spans="1:13">
      <c r="A351" s="316">
        <v>112</v>
      </c>
      <c r="B351" s="328" t="s">
        <v>365</v>
      </c>
      <c r="C351" s="311" t="s">
        <v>814</v>
      </c>
      <c r="D351" s="311" t="s">
        <v>813</v>
      </c>
      <c r="E351" s="313" t="s">
        <v>3</v>
      </c>
      <c r="F351" s="313">
        <v>23</v>
      </c>
      <c r="G351" s="313" t="s">
        <v>383</v>
      </c>
      <c r="H351" s="314">
        <v>1</v>
      </c>
      <c r="I351" s="314">
        <v>1</v>
      </c>
      <c r="J351" s="254">
        <v>1100</v>
      </c>
      <c r="K351" s="255">
        <f t="shared" si="10"/>
        <v>1100</v>
      </c>
      <c r="L351" s="327" t="s">
        <v>1280</v>
      </c>
      <c r="M351" s="291" t="s">
        <v>1034</v>
      </c>
    </row>
    <row r="352" spans="1:13">
      <c r="A352" s="310">
        <v>113</v>
      </c>
      <c r="B352" s="328" t="s">
        <v>365</v>
      </c>
      <c r="C352" s="311" t="s">
        <v>812</v>
      </c>
      <c r="D352" s="311" t="s">
        <v>811</v>
      </c>
      <c r="E352" s="313" t="s">
        <v>803</v>
      </c>
      <c r="F352" s="313">
        <v>23</v>
      </c>
      <c r="G352" s="313" t="s">
        <v>383</v>
      </c>
      <c r="H352" s="314">
        <v>72</v>
      </c>
      <c r="I352" s="314">
        <v>72</v>
      </c>
      <c r="J352" s="254">
        <v>300</v>
      </c>
      <c r="K352" s="255">
        <f t="shared" si="10"/>
        <v>21600</v>
      </c>
      <c r="L352" s="327" t="s">
        <v>1364</v>
      </c>
      <c r="M352" s="291" t="s">
        <v>1034</v>
      </c>
    </row>
    <row r="353" spans="1:13">
      <c r="A353" s="316">
        <v>114</v>
      </c>
      <c r="B353" s="328" t="s">
        <v>365</v>
      </c>
      <c r="C353" s="311" t="s">
        <v>810</v>
      </c>
      <c r="D353" s="311" t="s">
        <v>809</v>
      </c>
      <c r="E353" s="313" t="s">
        <v>803</v>
      </c>
      <c r="F353" s="313">
        <v>23</v>
      </c>
      <c r="G353" s="313" t="s">
        <v>383</v>
      </c>
      <c r="H353" s="314">
        <v>36</v>
      </c>
      <c r="I353" s="314">
        <v>36</v>
      </c>
      <c r="J353" s="254">
        <v>1100</v>
      </c>
      <c r="K353" s="255">
        <f t="shared" si="10"/>
        <v>39600</v>
      </c>
      <c r="L353" s="327" t="s">
        <v>1362</v>
      </c>
      <c r="M353" s="291" t="s">
        <v>1034</v>
      </c>
    </row>
    <row r="354" spans="1:13">
      <c r="A354" s="310">
        <v>115</v>
      </c>
      <c r="B354" s="328" t="s">
        <v>365</v>
      </c>
      <c r="C354" s="311" t="s">
        <v>808</v>
      </c>
      <c r="D354" s="311" t="s">
        <v>807</v>
      </c>
      <c r="E354" s="313" t="s">
        <v>803</v>
      </c>
      <c r="F354" s="313">
        <v>23</v>
      </c>
      <c r="G354" s="313" t="s">
        <v>383</v>
      </c>
      <c r="H354" s="314">
        <v>20</v>
      </c>
      <c r="I354" s="314">
        <v>20</v>
      </c>
      <c r="J354" s="254">
        <v>180</v>
      </c>
      <c r="K354" s="255">
        <f t="shared" si="10"/>
        <v>3600</v>
      </c>
      <c r="L354" s="327" t="s">
        <v>1365</v>
      </c>
      <c r="M354" s="291" t="s">
        <v>1034</v>
      </c>
    </row>
    <row r="355" spans="1:13">
      <c r="A355" s="316">
        <v>116</v>
      </c>
      <c r="B355" s="310">
        <v>2543</v>
      </c>
      <c r="C355" s="311" t="s">
        <v>806</v>
      </c>
      <c r="D355" s="311" t="s">
        <v>804</v>
      </c>
      <c r="E355" s="310" t="s">
        <v>3</v>
      </c>
      <c r="F355" s="313">
        <v>22</v>
      </c>
      <c r="G355" s="313" t="s">
        <v>383</v>
      </c>
      <c r="H355" s="313">
        <v>15</v>
      </c>
      <c r="I355" s="313">
        <v>15</v>
      </c>
      <c r="J355" s="254">
        <v>1800</v>
      </c>
      <c r="K355" s="255">
        <f t="shared" si="10"/>
        <v>27000</v>
      </c>
      <c r="L355" s="327" t="s">
        <v>1362</v>
      </c>
      <c r="M355" s="291" t="s">
        <v>1034</v>
      </c>
    </row>
    <row r="356" spans="1:13">
      <c r="A356" s="310">
        <v>117</v>
      </c>
      <c r="B356" s="310">
        <v>2543</v>
      </c>
      <c r="C356" s="311" t="s">
        <v>805</v>
      </c>
      <c r="D356" s="311" t="s">
        <v>804</v>
      </c>
      <c r="E356" s="313" t="s">
        <v>803</v>
      </c>
      <c r="F356" s="313">
        <v>22</v>
      </c>
      <c r="G356" s="313" t="s">
        <v>383</v>
      </c>
      <c r="H356" s="313">
        <v>15</v>
      </c>
      <c r="I356" s="313">
        <v>15</v>
      </c>
      <c r="J356" s="254">
        <v>1800</v>
      </c>
      <c r="K356" s="255">
        <f t="shared" si="10"/>
        <v>27000</v>
      </c>
      <c r="L356" s="327" t="s">
        <v>1362</v>
      </c>
      <c r="M356" s="291" t="s">
        <v>1034</v>
      </c>
    </row>
    <row r="357" spans="1:13">
      <c r="A357" s="316">
        <v>118</v>
      </c>
      <c r="B357" s="310">
        <v>2543</v>
      </c>
      <c r="C357" s="311" t="s">
        <v>802</v>
      </c>
      <c r="D357" s="312" t="s">
        <v>784</v>
      </c>
      <c r="E357" s="310" t="s">
        <v>3</v>
      </c>
      <c r="F357" s="313">
        <v>22</v>
      </c>
      <c r="G357" s="313" t="s">
        <v>383</v>
      </c>
      <c r="H357" s="313">
        <v>45</v>
      </c>
      <c r="I357" s="313">
        <v>45</v>
      </c>
      <c r="J357" s="254">
        <v>580</v>
      </c>
      <c r="K357" s="255">
        <f t="shared" si="10"/>
        <v>26100</v>
      </c>
      <c r="L357" s="327" t="s">
        <v>1280</v>
      </c>
      <c r="M357" s="291" t="s">
        <v>1034</v>
      </c>
    </row>
    <row r="358" spans="1:13">
      <c r="A358" s="310">
        <v>119</v>
      </c>
      <c r="B358" s="310">
        <v>2543</v>
      </c>
      <c r="C358" s="311" t="s">
        <v>801</v>
      </c>
      <c r="D358" s="312" t="s">
        <v>784</v>
      </c>
      <c r="E358" s="310" t="s">
        <v>3</v>
      </c>
      <c r="F358" s="313">
        <v>22</v>
      </c>
      <c r="G358" s="313" t="s">
        <v>383</v>
      </c>
      <c r="H358" s="313">
        <v>80</v>
      </c>
      <c r="I358" s="313">
        <v>80</v>
      </c>
      <c r="J358" s="254">
        <v>580</v>
      </c>
      <c r="K358" s="255">
        <f t="shared" si="10"/>
        <v>46400</v>
      </c>
      <c r="L358" s="327" t="s">
        <v>1280</v>
      </c>
      <c r="M358" s="291" t="s">
        <v>1034</v>
      </c>
    </row>
    <row r="359" spans="1:13">
      <c r="A359" s="316">
        <v>120</v>
      </c>
      <c r="B359" s="310">
        <v>2543</v>
      </c>
      <c r="C359" s="311" t="s">
        <v>815</v>
      </c>
      <c r="D359" s="311" t="s">
        <v>796</v>
      </c>
      <c r="E359" s="310" t="s">
        <v>3</v>
      </c>
      <c r="F359" s="313">
        <v>22</v>
      </c>
      <c r="G359" s="313" t="s">
        <v>383</v>
      </c>
      <c r="H359" s="313">
        <v>1</v>
      </c>
      <c r="I359" s="314">
        <v>1</v>
      </c>
      <c r="J359" s="254">
        <v>2500</v>
      </c>
      <c r="K359" s="255">
        <f t="shared" si="10"/>
        <v>2500</v>
      </c>
      <c r="L359" s="315" t="s">
        <v>1364</v>
      </c>
      <c r="M359" s="291" t="s">
        <v>1034</v>
      </c>
    </row>
    <row r="360" spans="1:13" ht="24" customHeight="1">
      <c r="A360" s="258"/>
      <c r="B360" s="258"/>
      <c r="C360" s="258"/>
      <c r="D360" s="258"/>
      <c r="E360" s="258"/>
      <c r="F360" s="258"/>
      <c r="G360" s="258"/>
      <c r="H360" s="258"/>
      <c r="I360" s="258"/>
      <c r="J360" s="254" t="s">
        <v>129</v>
      </c>
      <c r="K360" s="259">
        <f>SUM(K349:K359)</f>
        <v>1735919.8499999999</v>
      </c>
      <c r="L360" s="310"/>
      <c r="M360" s="291"/>
    </row>
    <row r="361" spans="1:13" ht="24" customHeight="1">
      <c r="A361" s="291"/>
      <c r="B361" s="331" t="s">
        <v>119</v>
      </c>
      <c r="C361" s="292" t="s">
        <v>120</v>
      </c>
      <c r="D361" s="291"/>
      <c r="E361" s="291"/>
      <c r="F361" s="291"/>
      <c r="G361" s="291"/>
      <c r="H361" s="332"/>
      <c r="I361" s="332"/>
      <c r="J361" s="291"/>
      <c r="K361" s="291"/>
      <c r="L361" s="253"/>
      <c r="M361" s="291"/>
    </row>
    <row r="362" spans="1:13" ht="24" customHeight="1">
      <c r="A362" s="291"/>
      <c r="B362" s="253"/>
      <c r="C362" s="292" t="s">
        <v>121</v>
      </c>
      <c r="D362" s="291"/>
      <c r="E362" s="291"/>
      <c r="F362" s="291"/>
      <c r="G362" s="291"/>
      <c r="H362" s="332"/>
      <c r="I362" s="332"/>
      <c r="J362" s="291"/>
      <c r="K362" s="291"/>
      <c r="L362" s="253"/>
      <c r="M362" s="291"/>
    </row>
    <row r="363" spans="1:13" ht="24" customHeight="1">
      <c r="A363" s="291"/>
      <c r="B363" s="253"/>
      <c r="C363" s="292"/>
      <c r="D363" s="291"/>
      <c r="E363" s="291"/>
      <c r="F363" s="291"/>
      <c r="G363" s="337" t="s">
        <v>148</v>
      </c>
      <c r="H363" s="338" t="s">
        <v>149</v>
      </c>
      <c r="I363" s="338"/>
      <c r="J363" s="338"/>
      <c r="K363" s="339" t="s">
        <v>150</v>
      </c>
      <c r="L363" s="339"/>
      <c r="M363" s="291"/>
    </row>
    <row r="364" spans="1:13" ht="21" customHeight="1">
      <c r="A364" s="291"/>
      <c r="B364" s="253"/>
      <c r="C364" s="292"/>
      <c r="D364" s="291"/>
      <c r="E364" s="291"/>
      <c r="F364" s="291"/>
      <c r="G364" s="339"/>
      <c r="H364" s="338" t="s">
        <v>1549</v>
      </c>
      <c r="I364" s="338"/>
      <c r="J364" s="338"/>
      <c r="K364" s="339"/>
      <c r="L364" s="339"/>
      <c r="M364" s="291"/>
    </row>
    <row r="365" spans="1:13" ht="34.5" customHeight="1">
      <c r="A365" s="291"/>
      <c r="B365" s="253"/>
      <c r="C365" s="292"/>
      <c r="D365" s="291"/>
      <c r="E365" s="291"/>
      <c r="F365" s="291"/>
      <c r="G365" s="337" t="s">
        <v>148</v>
      </c>
      <c r="H365" s="338" t="s">
        <v>149</v>
      </c>
      <c r="I365" s="338"/>
      <c r="J365" s="338"/>
      <c r="K365" s="339" t="s">
        <v>151</v>
      </c>
      <c r="L365" s="339"/>
      <c r="M365" s="291"/>
    </row>
    <row r="366" spans="1:13" ht="20.25" customHeight="1">
      <c r="A366" s="291"/>
      <c r="B366" s="253"/>
      <c r="C366" s="292"/>
      <c r="D366" s="291"/>
      <c r="E366" s="291"/>
      <c r="F366" s="291"/>
      <c r="G366" s="339"/>
      <c r="H366" s="338" t="s">
        <v>154</v>
      </c>
      <c r="I366" s="338"/>
      <c r="J366" s="338"/>
      <c r="K366" s="339"/>
      <c r="L366" s="339"/>
      <c r="M366" s="291"/>
    </row>
    <row r="367" spans="1:13" ht="34.5" customHeight="1">
      <c r="A367" s="291"/>
      <c r="B367" s="253"/>
      <c r="C367" s="292"/>
      <c r="D367" s="291"/>
      <c r="E367" s="291"/>
      <c r="F367" s="291"/>
      <c r="G367" s="337" t="s">
        <v>148</v>
      </c>
      <c r="H367" s="338" t="s">
        <v>149</v>
      </c>
      <c r="I367" s="338"/>
      <c r="J367" s="338"/>
      <c r="K367" s="339" t="s">
        <v>151</v>
      </c>
      <c r="L367" s="336"/>
      <c r="M367" s="291"/>
    </row>
    <row r="368" spans="1:13" ht="21" customHeight="1">
      <c r="A368" s="291"/>
      <c r="B368" s="253"/>
      <c r="C368" s="292"/>
      <c r="D368" s="291"/>
      <c r="E368" s="291"/>
      <c r="F368" s="291"/>
      <c r="G368" s="339"/>
      <c r="H368" s="338" t="s">
        <v>155</v>
      </c>
      <c r="I368" s="338"/>
      <c r="J368" s="338"/>
      <c r="K368" s="339"/>
      <c r="L368" s="336"/>
      <c r="M368" s="291"/>
    </row>
    <row r="369" spans="1:13" ht="30" customHeight="1">
      <c r="A369" s="291"/>
      <c r="B369" s="253"/>
      <c r="C369" s="292"/>
      <c r="D369" s="291"/>
      <c r="E369" s="291"/>
      <c r="F369" s="291"/>
      <c r="G369" s="337" t="s">
        <v>148</v>
      </c>
      <c r="H369" s="338" t="s">
        <v>149</v>
      </c>
      <c r="I369" s="338"/>
      <c r="J369" s="338"/>
      <c r="K369" s="339" t="s">
        <v>151</v>
      </c>
      <c r="L369" s="336"/>
      <c r="M369" s="291"/>
    </row>
    <row r="370" spans="1:13" ht="21" customHeight="1">
      <c r="A370" s="291"/>
      <c r="B370" s="253"/>
      <c r="C370" s="292"/>
      <c r="D370" s="291"/>
      <c r="E370" s="291"/>
      <c r="F370" s="291"/>
      <c r="G370" s="339"/>
      <c r="H370" s="338" t="s">
        <v>156</v>
      </c>
      <c r="I370" s="338"/>
      <c r="J370" s="338"/>
      <c r="K370" s="339"/>
      <c r="L370" s="336"/>
      <c r="M370" s="291"/>
    </row>
    <row r="371" spans="1:13" ht="35.25" customHeight="1">
      <c r="A371" s="291"/>
      <c r="B371" s="253"/>
      <c r="C371" s="292"/>
      <c r="D371" s="291"/>
      <c r="E371" s="291"/>
      <c r="F371" s="291"/>
      <c r="G371" s="337" t="s">
        <v>148</v>
      </c>
      <c r="H371" s="338" t="s">
        <v>149</v>
      </c>
      <c r="I371" s="338"/>
      <c r="J371" s="338"/>
      <c r="K371" s="336" t="s">
        <v>152</v>
      </c>
      <c r="L371" s="336"/>
      <c r="M371" s="291"/>
    </row>
    <row r="372" spans="1:13" ht="24" customHeight="1">
      <c r="A372" s="291"/>
      <c r="B372" s="253"/>
      <c r="C372" s="292"/>
      <c r="D372" s="291"/>
      <c r="E372" s="291"/>
      <c r="F372" s="291"/>
      <c r="G372" s="336"/>
      <c r="H372" s="338" t="s">
        <v>157</v>
      </c>
      <c r="I372" s="338"/>
      <c r="J372" s="338"/>
      <c r="K372" s="336"/>
      <c r="L372" s="336"/>
      <c r="M372" s="291"/>
    </row>
    <row r="373" spans="1:13" ht="24" customHeight="1">
      <c r="A373" s="291"/>
      <c r="B373" s="253"/>
      <c r="C373" s="292"/>
      <c r="D373" s="291"/>
      <c r="E373" s="291"/>
      <c r="F373" s="291"/>
      <c r="G373" s="336"/>
      <c r="H373" s="333"/>
      <c r="I373" s="333"/>
      <c r="J373" s="333"/>
      <c r="K373" s="336"/>
      <c r="L373" s="336"/>
      <c r="M373" s="291"/>
    </row>
    <row r="374" spans="1:13" ht="24" customHeight="1">
      <c r="A374" s="291"/>
      <c r="B374" s="253"/>
      <c r="C374" s="292"/>
      <c r="D374" s="291"/>
      <c r="E374" s="291"/>
      <c r="F374" s="291"/>
      <c r="G374" s="291"/>
      <c r="H374" s="291"/>
      <c r="I374" s="291"/>
      <c r="J374" s="291"/>
      <c r="K374" s="291"/>
      <c r="L374" s="253" t="s">
        <v>816</v>
      </c>
      <c r="M374" s="291"/>
    </row>
    <row r="375" spans="1:13" ht="24" customHeight="1">
      <c r="A375" s="265" t="s">
        <v>158</v>
      </c>
      <c r="B375" s="265"/>
      <c r="C375" s="265"/>
      <c r="D375" s="265"/>
      <c r="E375" s="265"/>
      <c r="F375" s="265"/>
      <c r="G375" s="265"/>
      <c r="H375" s="265"/>
      <c r="I375" s="265"/>
      <c r="J375" s="265"/>
      <c r="K375" s="265"/>
      <c r="L375" s="265"/>
      <c r="M375" s="291"/>
    </row>
    <row r="376" spans="1:13" ht="24" customHeight="1">
      <c r="A376" s="266" t="s">
        <v>160</v>
      </c>
      <c r="B376" s="266"/>
      <c r="C376" s="266"/>
      <c r="D376" s="266"/>
      <c r="E376" s="266"/>
      <c r="F376" s="266"/>
      <c r="G376" s="266"/>
      <c r="H376" s="266"/>
      <c r="I376" s="266"/>
      <c r="J376" s="266"/>
      <c r="K376" s="266"/>
      <c r="L376" s="266"/>
      <c r="M376" s="291"/>
    </row>
    <row r="377" spans="1:13" ht="24" customHeight="1" thickBot="1">
      <c r="A377" s="267" t="s">
        <v>161</v>
      </c>
      <c r="B377" s="267"/>
      <c r="C377" s="267"/>
      <c r="D377" s="267"/>
      <c r="E377" s="267"/>
      <c r="F377" s="267"/>
      <c r="G377" s="267"/>
      <c r="H377" s="267"/>
      <c r="I377" s="267"/>
      <c r="J377" s="267"/>
      <c r="K377" s="267"/>
      <c r="L377" s="267"/>
      <c r="M377" s="291"/>
    </row>
    <row r="378" spans="1:13" ht="24" customHeight="1" thickTop="1">
      <c r="A378" s="293" t="s">
        <v>103</v>
      </c>
      <c r="B378" s="293" t="s">
        <v>122</v>
      </c>
      <c r="C378" s="293" t="s">
        <v>124</v>
      </c>
      <c r="D378" s="294" t="s">
        <v>0</v>
      </c>
      <c r="E378" s="293" t="s">
        <v>109</v>
      </c>
      <c r="F378" s="293" t="s">
        <v>110</v>
      </c>
      <c r="G378" s="295" t="s">
        <v>111</v>
      </c>
      <c r="H378" s="296" t="s">
        <v>1</v>
      </c>
      <c r="I378" s="297"/>
      <c r="J378" s="293" t="s">
        <v>125</v>
      </c>
      <c r="K378" s="293" t="s">
        <v>104</v>
      </c>
      <c r="L378" s="293" t="s">
        <v>112</v>
      </c>
      <c r="M378" s="291"/>
    </row>
    <row r="379" spans="1:13" ht="45.75" customHeight="1" thickBot="1">
      <c r="A379" s="298"/>
      <c r="B379" s="298"/>
      <c r="C379" s="298"/>
      <c r="D379" s="299"/>
      <c r="E379" s="298"/>
      <c r="F379" s="298"/>
      <c r="G379" s="300"/>
      <c r="H379" s="301" t="s">
        <v>113</v>
      </c>
      <c r="I379" s="302" t="s">
        <v>114</v>
      </c>
      <c r="J379" s="298"/>
      <c r="K379" s="298"/>
      <c r="L379" s="298"/>
      <c r="M379" s="291"/>
    </row>
    <row r="380" spans="1:13" ht="24" customHeight="1" thickTop="1">
      <c r="A380" s="304"/>
      <c r="B380" s="340"/>
      <c r="C380" s="305"/>
      <c r="D380" s="305"/>
      <c r="E380" s="304"/>
      <c r="F380" s="304"/>
      <c r="G380" s="307"/>
      <c r="H380" s="308"/>
      <c r="I380" s="308"/>
      <c r="J380" s="256" t="s">
        <v>132</v>
      </c>
      <c r="K380" s="257">
        <f>SUM(K360)</f>
        <v>1735919.8499999999</v>
      </c>
      <c r="L380" s="304"/>
      <c r="M380" s="291"/>
    </row>
    <row r="381" spans="1:13">
      <c r="A381" s="316">
        <v>121</v>
      </c>
      <c r="B381" s="310">
        <v>2543</v>
      </c>
      <c r="C381" s="311" t="s">
        <v>826</v>
      </c>
      <c r="D381" s="311" t="s">
        <v>792</v>
      </c>
      <c r="E381" s="313" t="s">
        <v>98</v>
      </c>
      <c r="F381" s="313">
        <v>22</v>
      </c>
      <c r="G381" s="313" t="s">
        <v>383</v>
      </c>
      <c r="H381" s="313">
        <v>4</v>
      </c>
      <c r="I381" s="313">
        <v>4</v>
      </c>
      <c r="J381" s="254">
        <v>3000</v>
      </c>
      <c r="K381" s="255">
        <f t="shared" ref="K381:K390" si="11">SUM(I381*J381)</f>
        <v>12000</v>
      </c>
      <c r="L381" s="315" t="s">
        <v>1366</v>
      </c>
      <c r="M381" s="291" t="s">
        <v>1034</v>
      </c>
    </row>
    <row r="382" spans="1:13">
      <c r="A382" s="310">
        <v>122</v>
      </c>
      <c r="B382" s="310">
        <v>2543</v>
      </c>
      <c r="C382" s="311" t="s">
        <v>825</v>
      </c>
      <c r="D382" s="311" t="s">
        <v>824</v>
      </c>
      <c r="E382" s="310" t="s">
        <v>3</v>
      </c>
      <c r="F382" s="313">
        <v>22</v>
      </c>
      <c r="G382" s="313" t="s">
        <v>383</v>
      </c>
      <c r="H382" s="313">
        <v>2</v>
      </c>
      <c r="I382" s="313">
        <v>2</v>
      </c>
      <c r="J382" s="254">
        <v>3424</v>
      </c>
      <c r="K382" s="255">
        <f t="shared" si="11"/>
        <v>6848</v>
      </c>
      <c r="L382" s="315" t="s">
        <v>1467</v>
      </c>
      <c r="M382" s="291" t="s">
        <v>1034</v>
      </c>
    </row>
    <row r="383" spans="1:13">
      <c r="A383" s="316">
        <v>123</v>
      </c>
      <c r="B383" s="329" t="s">
        <v>829</v>
      </c>
      <c r="C383" s="311" t="s">
        <v>831</v>
      </c>
      <c r="D383" s="312" t="s">
        <v>784</v>
      </c>
      <c r="E383" s="313" t="s">
        <v>2</v>
      </c>
      <c r="F383" s="313">
        <v>21</v>
      </c>
      <c r="G383" s="313" t="s">
        <v>383</v>
      </c>
      <c r="H383" s="314">
        <v>80</v>
      </c>
      <c r="I383" s="314">
        <v>80</v>
      </c>
      <c r="J383" s="255">
        <v>580</v>
      </c>
      <c r="K383" s="255">
        <f t="shared" si="11"/>
        <v>46400</v>
      </c>
      <c r="L383" s="327" t="s">
        <v>1364</v>
      </c>
      <c r="M383" s="291" t="s">
        <v>1034</v>
      </c>
    </row>
    <row r="384" spans="1:13">
      <c r="A384" s="310">
        <v>124</v>
      </c>
      <c r="B384" s="329" t="s">
        <v>829</v>
      </c>
      <c r="C384" s="311" t="s">
        <v>830</v>
      </c>
      <c r="D384" s="311" t="s">
        <v>241</v>
      </c>
      <c r="E384" s="313" t="s">
        <v>3</v>
      </c>
      <c r="F384" s="313">
        <v>21</v>
      </c>
      <c r="G384" s="313" t="s">
        <v>383</v>
      </c>
      <c r="H384" s="314">
        <v>1</v>
      </c>
      <c r="I384" s="314">
        <v>1</v>
      </c>
      <c r="J384" s="255">
        <v>1400</v>
      </c>
      <c r="K384" s="255">
        <f t="shared" si="11"/>
        <v>1400</v>
      </c>
      <c r="L384" s="327" t="s">
        <v>1468</v>
      </c>
      <c r="M384" s="291" t="s">
        <v>1034</v>
      </c>
    </row>
    <row r="385" spans="1:13">
      <c r="A385" s="316">
        <v>125</v>
      </c>
      <c r="B385" s="329" t="s">
        <v>829</v>
      </c>
      <c r="C385" s="311" t="s">
        <v>828</v>
      </c>
      <c r="D385" s="312" t="s">
        <v>827</v>
      </c>
      <c r="E385" s="313" t="s">
        <v>3</v>
      </c>
      <c r="F385" s="313">
        <v>21</v>
      </c>
      <c r="G385" s="313" t="s">
        <v>383</v>
      </c>
      <c r="H385" s="314">
        <v>1</v>
      </c>
      <c r="I385" s="314">
        <v>1</v>
      </c>
      <c r="J385" s="255">
        <v>2920</v>
      </c>
      <c r="K385" s="255">
        <f t="shared" si="11"/>
        <v>2920</v>
      </c>
      <c r="L385" s="327" t="s">
        <v>1367</v>
      </c>
      <c r="M385" s="291" t="s">
        <v>1034</v>
      </c>
    </row>
    <row r="386" spans="1:13">
      <c r="A386" s="310">
        <v>126</v>
      </c>
      <c r="B386" s="374" t="s">
        <v>107</v>
      </c>
      <c r="C386" s="311" t="s">
        <v>835</v>
      </c>
      <c r="D386" s="311" t="s">
        <v>834</v>
      </c>
      <c r="E386" s="313" t="s">
        <v>3</v>
      </c>
      <c r="F386" s="313">
        <v>19</v>
      </c>
      <c r="G386" s="313" t="s">
        <v>383</v>
      </c>
      <c r="H386" s="313">
        <v>4</v>
      </c>
      <c r="I386" s="314">
        <v>4</v>
      </c>
      <c r="J386" s="255">
        <v>1600</v>
      </c>
      <c r="K386" s="255">
        <f t="shared" si="11"/>
        <v>6400</v>
      </c>
      <c r="L386" s="315" t="s">
        <v>1362</v>
      </c>
      <c r="M386" s="291" t="s">
        <v>1034</v>
      </c>
    </row>
    <row r="387" spans="1:13">
      <c r="A387" s="316">
        <v>127</v>
      </c>
      <c r="B387" s="374" t="s">
        <v>107</v>
      </c>
      <c r="C387" s="311" t="s">
        <v>833</v>
      </c>
      <c r="D387" s="312" t="s">
        <v>784</v>
      </c>
      <c r="E387" s="313" t="s">
        <v>3</v>
      </c>
      <c r="F387" s="313">
        <v>19</v>
      </c>
      <c r="G387" s="313" t="s">
        <v>383</v>
      </c>
      <c r="H387" s="313">
        <v>80</v>
      </c>
      <c r="I387" s="314">
        <v>80</v>
      </c>
      <c r="J387" s="255">
        <v>460</v>
      </c>
      <c r="K387" s="255">
        <f t="shared" si="11"/>
        <v>36800</v>
      </c>
      <c r="L387" s="327" t="s">
        <v>1364</v>
      </c>
      <c r="M387" s="291" t="s">
        <v>1034</v>
      </c>
    </row>
    <row r="388" spans="1:13">
      <c r="A388" s="310">
        <v>128</v>
      </c>
      <c r="B388" s="374" t="s">
        <v>107</v>
      </c>
      <c r="C388" s="311" t="s">
        <v>832</v>
      </c>
      <c r="D388" s="311" t="s">
        <v>790</v>
      </c>
      <c r="E388" s="313" t="s">
        <v>3</v>
      </c>
      <c r="F388" s="313">
        <v>19</v>
      </c>
      <c r="G388" s="313" t="s">
        <v>383</v>
      </c>
      <c r="H388" s="313">
        <v>2</v>
      </c>
      <c r="I388" s="314">
        <v>2</v>
      </c>
      <c r="J388" s="255">
        <v>2950</v>
      </c>
      <c r="K388" s="255">
        <f t="shared" si="11"/>
        <v>5900</v>
      </c>
      <c r="L388" s="327" t="s">
        <v>1362</v>
      </c>
      <c r="M388" s="291" t="s">
        <v>1034</v>
      </c>
    </row>
    <row r="389" spans="1:13">
      <c r="A389" s="316">
        <v>129</v>
      </c>
      <c r="B389" s="374" t="s">
        <v>107</v>
      </c>
      <c r="C389" s="311" t="s">
        <v>837</v>
      </c>
      <c r="D389" s="311" t="s">
        <v>241</v>
      </c>
      <c r="E389" s="313" t="s">
        <v>98</v>
      </c>
      <c r="F389" s="313">
        <v>19</v>
      </c>
      <c r="G389" s="313" t="s">
        <v>383</v>
      </c>
      <c r="H389" s="313">
        <v>2</v>
      </c>
      <c r="I389" s="314">
        <v>2</v>
      </c>
      <c r="J389" s="255">
        <v>300</v>
      </c>
      <c r="K389" s="255">
        <f t="shared" si="11"/>
        <v>600</v>
      </c>
      <c r="L389" s="327" t="s">
        <v>1197</v>
      </c>
      <c r="M389" s="291" t="s">
        <v>1034</v>
      </c>
    </row>
    <row r="390" spans="1:13">
      <c r="A390" s="310">
        <v>130</v>
      </c>
      <c r="B390" s="374" t="s">
        <v>107</v>
      </c>
      <c r="C390" s="311" t="s">
        <v>836</v>
      </c>
      <c r="D390" s="311" t="s">
        <v>241</v>
      </c>
      <c r="E390" s="313" t="s">
        <v>98</v>
      </c>
      <c r="F390" s="313">
        <v>19</v>
      </c>
      <c r="G390" s="313" t="s">
        <v>383</v>
      </c>
      <c r="H390" s="313">
        <v>16</v>
      </c>
      <c r="I390" s="314">
        <v>16</v>
      </c>
      <c r="J390" s="255">
        <v>1000</v>
      </c>
      <c r="K390" s="255">
        <f t="shared" si="11"/>
        <v>16000</v>
      </c>
      <c r="L390" s="327" t="s">
        <v>1469</v>
      </c>
      <c r="M390" s="291" t="s">
        <v>1034</v>
      </c>
    </row>
    <row r="391" spans="1:13" ht="24" customHeight="1">
      <c r="A391" s="258"/>
      <c r="B391" s="258"/>
      <c r="C391" s="258"/>
      <c r="D391" s="258"/>
      <c r="E391" s="258"/>
      <c r="F391" s="258"/>
      <c r="G391" s="258"/>
      <c r="H391" s="258"/>
      <c r="I391" s="258"/>
      <c r="J391" s="254" t="s">
        <v>129</v>
      </c>
      <c r="K391" s="259">
        <f>SUM(K380:K390)</f>
        <v>1871187.8499999999</v>
      </c>
      <c r="L391" s="310"/>
      <c r="M391" s="291"/>
    </row>
    <row r="392" spans="1:13" ht="24" customHeight="1">
      <c r="A392" s="291"/>
      <c r="B392" s="331" t="s">
        <v>119</v>
      </c>
      <c r="C392" s="292" t="s">
        <v>120</v>
      </c>
      <c r="D392" s="291"/>
      <c r="E392" s="291"/>
      <c r="F392" s="291"/>
      <c r="G392" s="291"/>
      <c r="H392" s="332"/>
      <c r="I392" s="332"/>
      <c r="J392" s="291"/>
      <c r="K392" s="291"/>
      <c r="L392" s="253"/>
      <c r="M392" s="291"/>
    </row>
    <row r="393" spans="1:13" ht="24" customHeight="1">
      <c r="A393" s="291"/>
      <c r="B393" s="253"/>
      <c r="C393" s="292" t="s">
        <v>121</v>
      </c>
      <c r="D393" s="291"/>
      <c r="E393" s="291"/>
      <c r="F393" s="291"/>
      <c r="G393" s="291"/>
      <c r="H393" s="332"/>
      <c r="I393" s="332"/>
      <c r="J393" s="291"/>
      <c r="K393" s="291"/>
      <c r="L393" s="253"/>
      <c r="M393" s="291"/>
    </row>
    <row r="394" spans="1:13" ht="24" customHeight="1">
      <c r="A394" s="291"/>
      <c r="B394" s="253"/>
      <c r="C394" s="292"/>
      <c r="D394" s="291"/>
      <c r="E394" s="291"/>
      <c r="F394" s="291"/>
      <c r="G394" s="337" t="s">
        <v>148</v>
      </c>
      <c r="H394" s="338" t="s">
        <v>149</v>
      </c>
      <c r="I394" s="338"/>
      <c r="J394" s="338"/>
      <c r="K394" s="339" t="s">
        <v>150</v>
      </c>
      <c r="L394" s="339"/>
      <c r="M394" s="291"/>
    </row>
    <row r="395" spans="1:13" ht="21" customHeight="1">
      <c r="A395" s="291"/>
      <c r="B395" s="253"/>
      <c r="C395" s="292"/>
      <c r="D395" s="291"/>
      <c r="E395" s="291"/>
      <c r="F395" s="291"/>
      <c r="G395" s="339"/>
      <c r="H395" s="338" t="s">
        <v>1549</v>
      </c>
      <c r="I395" s="338"/>
      <c r="J395" s="338"/>
      <c r="K395" s="339"/>
      <c r="L395" s="339"/>
      <c r="M395" s="291"/>
    </row>
    <row r="396" spans="1:13" ht="37.5" customHeight="1">
      <c r="A396" s="291"/>
      <c r="B396" s="253"/>
      <c r="C396" s="292"/>
      <c r="D396" s="291"/>
      <c r="E396" s="291"/>
      <c r="F396" s="291"/>
      <c r="G396" s="337" t="s">
        <v>148</v>
      </c>
      <c r="H396" s="338" t="s">
        <v>149</v>
      </c>
      <c r="I396" s="338"/>
      <c r="J396" s="338"/>
      <c r="K396" s="339" t="s">
        <v>151</v>
      </c>
      <c r="L396" s="339"/>
      <c r="M396" s="291"/>
    </row>
    <row r="397" spans="1:13" ht="20.25" customHeight="1">
      <c r="A397" s="291"/>
      <c r="B397" s="253"/>
      <c r="C397" s="292"/>
      <c r="D397" s="291"/>
      <c r="E397" s="291"/>
      <c r="F397" s="291"/>
      <c r="G397" s="339"/>
      <c r="H397" s="338" t="s">
        <v>154</v>
      </c>
      <c r="I397" s="338"/>
      <c r="J397" s="338"/>
      <c r="K397" s="339"/>
      <c r="L397" s="339"/>
      <c r="M397" s="291"/>
    </row>
    <row r="398" spans="1:13" ht="30" customHeight="1">
      <c r="A398" s="291"/>
      <c r="B398" s="253"/>
      <c r="C398" s="292"/>
      <c r="D398" s="291"/>
      <c r="E398" s="291"/>
      <c r="F398" s="291"/>
      <c r="G398" s="337" t="s">
        <v>148</v>
      </c>
      <c r="H398" s="338" t="s">
        <v>149</v>
      </c>
      <c r="I398" s="338"/>
      <c r="J398" s="338"/>
      <c r="K398" s="339" t="s">
        <v>151</v>
      </c>
      <c r="L398" s="336"/>
      <c r="M398" s="291"/>
    </row>
    <row r="399" spans="1:13" ht="21" customHeight="1">
      <c r="A399" s="291"/>
      <c r="B399" s="253"/>
      <c r="C399" s="292"/>
      <c r="D399" s="291"/>
      <c r="E399" s="291"/>
      <c r="F399" s="291"/>
      <c r="G399" s="339"/>
      <c r="H399" s="338" t="s">
        <v>155</v>
      </c>
      <c r="I399" s="338"/>
      <c r="J399" s="338"/>
      <c r="K399" s="339"/>
      <c r="L399" s="336"/>
      <c r="M399" s="291"/>
    </row>
    <row r="400" spans="1:13" ht="33" customHeight="1">
      <c r="A400" s="291"/>
      <c r="B400" s="253"/>
      <c r="C400" s="292"/>
      <c r="D400" s="291"/>
      <c r="E400" s="291"/>
      <c r="F400" s="291"/>
      <c r="G400" s="337" t="s">
        <v>148</v>
      </c>
      <c r="H400" s="338" t="s">
        <v>149</v>
      </c>
      <c r="I400" s="338"/>
      <c r="J400" s="338"/>
      <c r="K400" s="339" t="s">
        <v>151</v>
      </c>
      <c r="L400" s="336"/>
      <c r="M400" s="291"/>
    </row>
    <row r="401" spans="1:13" ht="21" customHeight="1">
      <c r="A401" s="291"/>
      <c r="B401" s="253"/>
      <c r="C401" s="292"/>
      <c r="D401" s="291"/>
      <c r="E401" s="291"/>
      <c r="F401" s="291"/>
      <c r="G401" s="339"/>
      <c r="H401" s="338" t="s">
        <v>156</v>
      </c>
      <c r="I401" s="338"/>
      <c r="J401" s="338"/>
      <c r="K401" s="339"/>
      <c r="L401" s="336"/>
      <c r="M401" s="291"/>
    </row>
    <row r="402" spans="1:13" ht="32.25" customHeight="1">
      <c r="A402" s="291"/>
      <c r="B402" s="253"/>
      <c r="C402" s="292"/>
      <c r="D402" s="291"/>
      <c r="E402" s="291"/>
      <c r="F402" s="291"/>
      <c r="G402" s="337" t="s">
        <v>148</v>
      </c>
      <c r="H402" s="338" t="s">
        <v>149</v>
      </c>
      <c r="I402" s="338"/>
      <c r="J402" s="338"/>
      <c r="K402" s="336" t="s">
        <v>152</v>
      </c>
      <c r="L402" s="336"/>
      <c r="M402" s="291"/>
    </row>
    <row r="403" spans="1:13" ht="24" customHeight="1">
      <c r="A403" s="291"/>
      <c r="B403" s="253"/>
      <c r="C403" s="292"/>
      <c r="D403" s="291"/>
      <c r="E403" s="291"/>
      <c r="F403" s="291"/>
      <c r="G403" s="336"/>
      <c r="H403" s="338" t="s">
        <v>157</v>
      </c>
      <c r="I403" s="338"/>
      <c r="J403" s="338"/>
      <c r="K403" s="336"/>
      <c r="L403" s="336"/>
      <c r="M403" s="291"/>
    </row>
    <row r="404" spans="1:13" ht="24" customHeight="1">
      <c r="A404" s="291"/>
      <c r="B404" s="253"/>
      <c r="C404" s="292"/>
      <c r="D404" s="291"/>
      <c r="E404" s="291"/>
      <c r="F404" s="291"/>
      <c r="G404" s="336"/>
      <c r="H404" s="333"/>
      <c r="I404" s="333"/>
      <c r="J404" s="333"/>
      <c r="K404" s="336"/>
      <c r="L404" s="336"/>
      <c r="M404" s="291"/>
    </row>
    <row r="405" spans="1:13" ht="24" customHeight="1">
      <c r="A405" s="291"/>
      <c r="B405" s="253"/>
      <c r="C405" s="292"/>
      <c r="D405" s="291"/>
      <c r="E405" s="291"/>
      <c r="F405" s="291"/>
      <c r="G405" s="291"/>
      <c r="H405" s="291"/>
      <c r="I405" s="291"/>
      <c r="J405" s="291"/>
      <c r="K405" s="291"/>
      <c r="L405" s="253" t="s">
        <v>817</v>
      </c>
      <c r="M405" s="291"/>
    </row>
    <row r="406" spans="1:13" ht="24" customHeight="1">
      <c r="A406" s="265" t="s">
        <v>158</v>
      </c>
      <c r="B406" s="265"/>
      <c r="C406" s="265"/>
      <c r="D406" s="265"/>
      <c r="E406" s="265"/>
      <c r="F406" s="265"/>
      <c r="G406" s="265"/>
      <c r="H406" s="265"/>
      <c r="I406" s="265"/>
      <c r="J406" s="265"/>
      <c r="K406" s="265"/>
      <c r="L406" s="265"/>
      <c r="M406" s="291"/>
    </row>
    <row r="407" spans="1:13" ht="24" customHeight="1">
      <c r="A407" s="266" t="s">
        <v>160</v>
      </c>
      <c r="B407" s="266"/>
      <c r="C407" s="266"/>
      <c r="D407" s="266"/>
      <c r="E407" s="266"/>
      <c r="F407" s="266"/>
      <c r="G407" s="266"/>
      <c r="H407" s="266"/>
      <c r="I407" s="266"/>
      <c r="J407" s="266"/>
      <c r="K407" s="266"/>
      <c r="L407" s="266"/>
      <c r="M407" s="291"/>
    </row>
    <row r="408" spans="1:13" ht="24" customHeight="1" thickBot="1">
      <c r="A408" s="267" t="s">
        <v>161</v>
      </c>
      <c r="B408" s="267"/>
      <c r="C408" s="267"/>
      <c r="D408" s="267"/>
      <c r="E408" s="267"/>
      <c r="F408" s="267"/>
      <c r="G408" s="267"/>
      <c r="H408" s="267"/>
      <c r="I408" s="267"/>
      <c r="J408" s="267"/>
      <c r="K408" s="267"/>
      <c r="L408" s="267"/>
      <c r="M408" s="291"/>
    </row>
    <row r="409" spans="1:13" ht="24" customHeight="1" thickTop="1">
      <c r="A409" s="293" t="s">
        <v>103</v>
      </c>
      <c r="B409" s="293" t="s">
        <v>122</v>
      </c>
      <c r="C409" s="293" t="s">
        <v>124</v>
      </c>
      <c r="D409" s="294" t="s">
        <v>0</v>
      </c>
      <c r="E409" s="293" t="s">
        <v>109</v>
      </c>
      <c r="F409" s="293" t="s">
        <v>110</v>
      </c>
      <c r="G409" s="295" t="s">
        <v>111</v>
      </c>
      <c r="H409" s="296" t="s">
        <v>1</v>
      </c>
      <c r="I409" s="297"/>
      <c r="J409" s="293" t="s">
        <v>125</v>
      </c>
      <c r="K409" s="293" t="s">
        <v>104</v>
      </c>
      <c r="L409" s="293" t="s">
        <v>112</v>
      </c>
      <c r="M409" s="291"/>
    </row>
    <row r="410" spans="1:13" ht="45.75" customHeight="1" thickBot="1">
      <c r="A410" s="298"/>
      <c r="B410" s="298"/>
      <c r="C410" s="298"/>
      <c r="D410" s="299"/>
      <c r="E410" s="298"/>
      <c r="F410" s="298"/>
      <c r="G410" s="300"/>
      <c r="H410" s="301" t="s">
        <v>113</v>
      </c>
      <c r="I410" s="302" t="s">
        <v>114</v>
      </c>
      <c r="J410" s="298"/>
      <c r="K410" s="298"/>
      <c r="L410" s="298"/>
      <c r="M410" s="291"/>
    </row>
    <row r="411" spans="1:13" ht="24" customHeight="1" thickTop="1">
      <c r="A411" s="304"/>
      <c r="B411" s="340"/>
      <c r="C411" s="305"/>
      <c r="D411" s="305"/>
      <c r="E411" s="304"/>
      <c r="F411" s="304"/>
      <c r="G411" s="307"/>
      <c r="H411" s="308"/>
      <c r="I411" s="308"/>
      <c r="J411" s="256" t="s">
        <v>132</v>
      </c>
      <c r="K411" s="257">
        <f>SUM(K391)</f>
        <v>1871187.8499999999</v>
      </c>
      <c r="L411" s="304"/>
      <c r="M411" s="291"/>
    </row>
    <row r="412" spans="1:13">
      <c r="A412" s="316">
        <v>131</v>
      </c>
      <c r="B412" s="310">
        <v>2547</v>
      </c>
      <c r="C412" s="311" t="s">
        <v>839</v>
      </c>
      <c r="D412" s="311" t="s">
        <v>834</v>
      </c>
      <c r="E412" s="310" t="s">
        <v>3</v>
      </c>
      <c r="F412" s="314">
        <v>18</v>
      </c>
      <c r="G412" s="313" t="s">
        <v>383</v>
      </c>
      <c r="H412" s="314">
        <v>3</v>
      </c>
      <c r="I412" s="314">
        <v>3</v>
      </c>
      <c r="J412" s="255">
        <v>1600</v>
      </c>
      <c r="K412" s="255">
        <f t="shared" ref="K412:K421" si="12">SUM(I412*J412)</f>
        <v>4800</v>
      </c>
      <c r="L412" s="327" t="s">
        <v>1362</v>
      </c>
      <c r="M412" s="291" t="s">
        <v>1034</v>
      </c>
    </row>
    <row r="413" spans="1:13">
      <c r="A413" s="310">
        <v>132</v>
      </c>
      <c r="B413" s="310">
        <v>2547</v>
      </c>
      <c r="C413" s="311" t="s">
        <v>838</v>
      </c>
      <c r="D413" s="311" t="s">
        <v>834</v>
      </c>
      <c r="E413" s="310" t="s">
        <v>3</v>
      </c>
      <c r="F413" s="314">
        <v>18</v>
      </c>
      <c r="G413" s="313" t="s">
        <v>383</v>
      </c>
      <c r="H413" s="314">
        <v>9</v>
      </c>
      <c r="I413" s="314">
        <v>9</v>
      </c>
      <c r="J413" s="255">
        <v>1600</v>
      </c>
      <c r="K413" s="255">
        <f t="shared" si="12"/>
        <v>14400</v>
      </c>
      <c r="L413" s="327" t="s">
        <v>1362</v>
      </c>
      <c r="M413" s="291" t="s">
        <v>1034</v>
      </c>
    </row>
    <row r="414" spans="1:13">
      <c r="A414" s="316">
        <v>133</v>
      </c>
      <c r="B414" s="310">
        <v>2548</v>
      </c>
      <c r="C414" s="311" t="s">
        <v>844</v>
      </c>
      <c r="D414" s="311" t="s">
        <v>834</v>
      </c>
      <c r="E414" s="310" t="s">
        <v>2</v>
      </c>
      <c r="F414" s="313">
        <v>17</v>
      </c>
      <c r="G414" s="313" t="s">
        <v>383</v>
      </c>
      <c r="H414" s="314">
        <v>5</v>
      </c>
      <c r="I414" s="314">
        <v>5</v>
      </c>
      <c r="J414" s="255">
        <v>1600</v>
      </c>
      <c r="K414" s="255">
        <f t="shared" si="12"/>
        <v>8000</v>
      </c>
      <c r="L414" s="327" t="s">
        <v>1362</v>
      </c>
      <c r="M414" s="291" t="s">
        <v>1034</v>
      </c>
    </row>
    <row r="415" spans="1:13">
      <c r="A415" s="310">
        <v>134</v>
      </c>
      <c r="B415" s="310">
        <v>2548</v>
      </c>
      <c r="C415" s="311" t="s">
        <v>843</v>
      </c>
      <c r="D415" s="311" t="s">
        <v>842</v>
      </c>
      <c r="E415" s="313" t="s">
        <v>2</v>
      </c>
      <c r="F415" s="313">
        <v>17</v>
      </c>
      <c r="G415" s="313" t="s">
        <v>383</v>
      </c>
      <c r="H415" s="314">
        <v>280</v>
      </c>
      <c r="I415" s="314">
        <v>280</v>
      </c>
      <c r="J415" s="255">
        <v>200</v>
      </c>
      <c r="K415" s="255">
        <f t="shared" si="12"/>
        <v>56000</v>
      </c>
      <c r="L415" s="327" t="s">
        <v>1368</v>
      </c>
      <c r="M415" s="291" t="s">
        <v>1034</v>
      </c>
    </row>
    <row r="416" spans="1:13">
      <c r="A416" s="316">
        <v>135</v>
      </c>
      <c r="B416" s="310">
        <v>2548</v>
      </c>
      <c r="C416" s="311" t="s">
        <v>841</v>
      </c>
      <c r="D416" s="311" t="s">
        <v>840</v>
      </c>
      <c r="E416" s="313" t="s">
        <v>2</v>
      </c>
      <c r="F416" s="313">
        <v>17</v>
      </c>
      <c r="G416" s="313" t="s">
        <v>383</v>
      </c>
      <c r="H416" s="314">
        <v>1</v>
      </c>
      <c r="I416" s="314">
        <v>1</v>
      </c>
      <c r="J416" s="255">
        <v>4534</v>
      </c>
      <c r="K416" s="255">
        <f t="shared" si="12"/>
        <v>4534</v>
      </c>
      <c r="L416" s="327" t="s">
        <v>1369</v>
      </c>
      <c r="M416" s="291" t="s">
        <v>1034</v>
      </c>
    </row>
    <row r="417" spans="1:13">
      <c r="A417" s="310">
        <v>136</v>
      </c>
      <c r="B417" s="329" t="s">
        <v>249</v>
      </c>
      <c r="C417" s="311" t="s">
        <v>846</v>
      </c>
      <c r="D417" s="311" t="s">
        <v>834</v>
      </c>
      <c r="E417" s="313" t="s">
        <v>3</v>
      </c>
      <c r="F417" s="313">
        <v>16</v>
      </c>
      <c r="G417" s="313" t="s">
        <v>383</v>
      </c>
      <c r="H417" s="314">
        <v>20</v>
      </c>
      <c r="I417" s="314">
        <v>20</v>
      </c>
      <c r="J417" s="255">
        <v>1800</v>
      </c>
      <c r="K417" s="255">
        <f t="shared" si="12"/>
        <v>36000</v>
      </c>
      <c r="L417" s="327" t="s">
        <v>1369</v>
      </c>
      <c r="M417" s="291" t="s">
        <v>1034</v>
      </c>
    </row>
    <row r="418" spans="1:13">
      <c r="A418" s="316">
        <v>137</v>
      </c>
      <c r="B418" s="317" t="s">
        <v>249</v>
      </c>
      <c r="C418" s="346" t="s">
        <v>845</v>
      </c>
      <c r="D418" s="347" t="s">
        <v>784</v>
      </c>
      <c r="E418" s="320" t="s">
        <v>3</v>
      </c>
      <c r="F418" s="313">
        <v>16</v>
      </c>
      <c r="G418" s="320" t="s">
        <v>383</v>
      </c>
      <c r="H418" s="323">
        <v>420</v>
      </c>
      <c r="I418" s="323">
        <v>420</v>
      </c>
      <c r="J418" s="324">
        <v>750</v>
      </c>
      <c r="K418" s="324">
        <f t="shared" si="12"/>
        <v>315000</v>
      </c>
      <c r="L418" s="325" t="s">
        <v>1280</v>
      </c>
      <c r="M418" s="291" t="s">
        <v>1034</v>
      </c>
    </row>
    <row r="419" spans="1:13">
      <c r="A419" s="310">
        <v>138</v>
      </c>
      <c r="B419" s="374" t="s">
        <v>245</v>
      </c>
      <c r="C419" s="311" t="s">
        <v>849</v>
      </c>
      <c r="D419" s="312" t="s">
        <v>784</v>
      </c>
      <c r="E419" s="313" t="s">
        <v>803</v>
      </c>
      <c r="F419" s="313">
        <v>15</v>
      </c>
      <c r="G419" s="313" t="s">
        <v>383</v>
      </c>
      <c r="H419" s="314">
        <v>120</v>
      </c>
      <c r="I419" s="314">
        <v>120</v>
      </c>
      <c r="J419" s="255">
        <v>750</v>
      </c>
      <c r="K419" s="255">
        <f t="shared" si="12"/>
        <v>90000</v>
      </c>
      <c r="L419" s="325" t="s">
        <v>1280</v>
      </c>
      <c r="M419" s="291" t="s">
        <v>1034</v>
      </c>
    </row>
    <row r="420" spans="1:13">
      <c r="A420" s="316">
        <v>139</v>
      </c>
      <c r="B420" s="374" t="s">
        <v>245</v>
      </c>
      <c r="C420" s="311" t="s">
        <v>848</v>
      </c>
      <c r="D420" s="311" t="s">
        <v>847</v>
      </c>
      <c r="E420" s="313" t="s">
        <v>3</v>
      </c>
      <c r="F420" s="313">
        <v>15</v>
      </c>
      <c r="G420" s="313" t="s">
        <v>383</v>
      </c>
      <c r="H420" s="314">
        <v>1</v>
      </c>
      <c r="I420" s="314">
        <v>1</v>
      </c>
      <c r="J420" s="255">
        <v>1980</v>
      </c>
      <c r="K420" s="255">
        <f t="shared" si="12"/>
        <v>1980</v>
      </c>
      <c r="L420" s="315" t="s">
        <v>1197</v>
      </c>
      <c r="M420" s="291" t="s">
        <v>1034</v>
      </c>
    </row>
    <row r="421" spans="1:13">
      <c r="A421" s="310">
        <v>140</v>
      </c>
      <c r="B421" s="374" t="s">
        <v>245</v>
      </c>
      <c r="C421" s="311" t="s">
        <v>851</v>
      </c>
      <c r="D421" s="311" t="s">
        <v>850</v>
      </c>
      <c r="E421" s="310" t="s">
        <v>3</v>
      </c>
      <c r="F421" s="313">
        <v>15</v>
      </c>
      <c r="G421" s="313" t="s">
        <v>383</v>
      </c>
      <c r="H421" s="314">
        <v>1</v>
      </c>
      <c r="I421" s="314">
        <v>1</v>
      </c>
      <c r="J421" s="256">
        <v>1700</v>
      </c>
      <c r="K421" s="255">
        <f t="shared" si="12"/>
        <v>1700</v>
      </c>
      <c r="L421" s="315" t="s">
        <v>1553</v>
      </c>
      <c r="M421" s="291" t="s">
        <v>1034</v>
      </c>
    </row>
    <row r="422" spans="1:13" ht="24" customHeight="1">
      <c r="A422" s="258"/>
      <c r="B422" s="258"/>
      <c r="C422" s="258"/>
      <c r="D422" s="258"/>
      <c r="E422" s="258"/>
      <c r="F422" s="258"/>
      <c r="G422" s="258"/>
      <c r="H422" s="258"/>
      <c r="I422" s="258"/>
      <c r="J422" s="254" t="s">
        <v>129</v>
      </c>
      <c r="K422" s="259">
        <f>SUM(K411:K421)</f>
        <v>2403601.8499999996</v>
      </c>
      <c r="L422" s="310"/>
      <c r="M422" s="291"/>
    </row>
    <row r="423" spans="1:13" ht="24" customHeight="1">
      <c r="A423" s="291"/>
      <c r="B423" s="331" t="s">
        <v>119</v>
      </c>
      <c r="C423" s="292" t="s">
        <v>120</v>
      </c>
      <c r="D423" s="291"/>
      <c r="E423" s="291"/>
      <c r="F423" s="291"/>
      <c r="G423" s="291"/>
      <c r="H423" s="332"/>
      <c r="I423" s="332"/>
      <c r="J423" s="291"/>
      <c r="K423" s="291"/>
      <c r="L423" s="253"/>
      <c r="M423" s="291"/>
    </row>
    <row r="424" spans="1:13" ht="24" customHeight="1">
      <c r="A424" s="291"/>
      <c r="B424" s="253"/>
      <c r="C424" s="292" t="s">
        <v>121</v>
      </c>
      <c r="D424" s="291"/>
      <c r="E424" s="291"/>
      <c r="F424" s="291"/>
      <c r="G424" s="291"/>
      <c r="H424" s="332"/>
      <c r="I424" s="332"/>
      <c r="J424" s="291"/>
      <c r="K424" s="291"/>
      <c r="L424" s="253"/>
      <c r="M424" s="291"/>
    </row>
    <row r="425" spans="1:13" ht="24" customHeight="1">
      <c r="A425" s="291"/>
      <c r="B425" s="253"/>
      <c r="C425" s="292"/>
      <c r="D425" s="291"/>
      <c r="E425" s="291"/>
      <c r="F425" s="291"/>
      <c r="G425" s="337" t="s">
        <v>148</v>
      </c>
      <c r="H425" s="338" t="s">
        <v>149</v>
      </c>
      <c r="I425" s="338"/>
      <c r="J425" s="338"/>
      <c r="K425" s="339" t="s">
        <v>150</v>
      </c>
      <c r="L425" s="339"/>
      <c r="M425" s="291"/>
    </row>
    <row r="426" spans="1:13" ht="21" customHeight="1">
      <c r="A426" s="291"/>
      <c r="B426" s="253"/>
      <c r="C426" s="292"/>
      <c r="D426" s="291"/>
      <c r="E426" s="291"/>
      <c r="F426" s="291"/>
      <c r="G426" s="339"/>
      <c r="H426" s="338" t="s">
        <v>1549</v>
      </c>
      <c r="I426" s="338"/>
      <c r="J426" s="338"/>
      <c r="K426" s="339"/>
      <c r="L426" s="339"/>
      <c r="M426" s="291"/>
    </row>
    <row r="427" spans="1:13" ht="33" customHeight="1">
      <c r="A427" s="291"/>
      <c r="B427" s="253"/>
      <c r="C427" s="292"/>
      <c r="D427" s="291"/>
      <c r="E427" s="291"/>
      <c r="F427" s="291"/>
      <c r="G427" s="337" t="s">
        <v>148</v>
      </c>
      <c r="H427" s="338" t="s">
        <v>149</v>
      </c>
      <c r="I427" s="338"/>
      <c r="J427" s="338"/>
      <c r="K427" s="339" t="s">
        <v>151</v>
      </c>
      <c r="L427" s="339"/>
      <c r="M427" s="291"/>
    </row>
    <row r="428" spans="1:13" ht="20.25" customHeight="1">
      <c r="A428" s="291"/>
      <c r="B428" s="253"/>
      <c r="C428" s="292"/>
      <c r="D428" s="291"/>
      <c r="E428" s="291"/>
      <c r="F428" s="291"/>
      <c r="G428" s="339"/>
      <c r="H428" s="338" t="s">
        <v>154</v>
      </c>
      <c r="I428" s="338"/>
      <c r="J428" s="338"/>
      <c r="K428" s="339"/>
      <c r="L428" s="339"/>
      <c r="M428" s="291"/>
    </row>
    <row r="429" spans="1:13" ht="33.75" customHeight="1">
      <c r="A429" s="291"/>
      <c r="B429" s="253"/>
      <c r="C429" s="292"/>
      <c r="D429" s="291"/>
      <c r="E429" s="291"/>
      <c r="F429" s="291"/>
      <c r="G429" s="337" t="s">
        <v>148</v>
      </c>
      <c r="H429" s="338" t="s">
        <v>149</v>
      </c>
      <c r="I429" s="338"/>
      <c r="J429" s="338"/>
      <c r="K429" s="339" t="s">
        <v>151</v>
      </c>
      <c r="L429" s="336"/>
      <c r="M429" s="291"/>
    </row>
    <row r="430" spans="1:13" ht="21" customHeight="1">
      <c r="A430" s="291"/>
      <c r="B430" s="253"/>
      <c r="C430" s="292"/>
      <c r="D430" s="291"/>
      <c r="E430" s="291"/>
      <c r="F430" s="291"/>
      <c r="G430" s="339"/>
      <c r="H430" s="338" t="s">
        <v>155</v>
      </c>
      <c r="I430" s="338"/>
      <c r="J430" s="338"/>
      <c r="K430" s="339"/>
      <c r="L430" s="336"/>
      <c r="M430" s="291"/>
    </row>
    <row r="431" spans="1:13" ht="34.5" customHeight="1">
      <c r="A431" s="291"/>
      <c r="B431" s="253"/>
      <c r="C431" s="292"/>
      <c r="D431" s="291"/>
      <c r="E431" s="291"/>
      <c r="F431" s="291"/>
      <c r="G431" s="337" t="s">
        <v>148</v>
      </c>
      <c r="H431" s="338" t="s">
        <v>149</v>
      </c>
      <c r="I431" s="338"/>
      <c r="J431" s="338"/>
      <c r="K431" s="339" t="s">
        <v>151</v>
      </c>
      <c r="L431" s="336"/>
      <c r="M431" s="291"/>
    </row>
    <row r="432" spans="1:13" ht="21" customHeight="1">
      <c r="A432" s="291"/>
      <c r="B432" s="253"/>
      <c r="C432" s="292"/>
      <c r="D432" s="291"/>
      <c r="E432" s="291"/>
      <c r="F432" s="291"/>
      <c r="G432" s="339"/>
      <c r="H432" s="338" t="s">
        <v>156</v>
      </c>
      <c r="I432" s="338"/>
      <c r="J432" s="338"/>
      <c r="K432" s="339"/>
      <c r="L432" s="336"/>
      <c r="M432" s="291"/>
    </row>
    <row r="433" spans="1:13" ht="33" customHeight="1">
      <c r="A433" s="291"/>
      <c r="B433" s="253"/>
      <c r="C433" s="292"/>
      <c r="D433" s="291"/>
      <c r="E433" s="291"/>
      <c r="F433" s="291"/>
      <c r="G433" s="337" t="s">
        <v>148</v>
      </c>
      <c r="H433" s="338" t="s">
        <v>149</v>
      </c>
      <c r="I433" s="338"/>
      <c r="J433" s="338"/>
      <c r="K433" s="336" t="s">
        <v>152</v>
      </c>
      <c r="L433" s="336"/>
      <c r="M433" s="291"/>
    </row>
    <row r="434" spans="1:13" ht="24" customHeight="1">
      <c r="A434" s="291"/>
      <c r="B434" s="253"/>
      <c r="C434" s="292"/>
      <c r="D434" s="291"/>
      <c r="E434" s="291"/>
      <c r="F434" s="291"/>
      <c r="G434" s="336"/>
      <c r="H434" s="338" t="s">
        <v>157</v>
      </c>
      <c r="I434" s="338"/>
      <c r="J434" s="338"/>
      <c r="K434" s="336"/>
      <c r="L434" s="336"/>
      <c r="M434" s="291"/>
    </row>
    <row r="435" spans="1:13" ht="24" customHeight="1">
      <c r="A435" s="291"/>
      <c r="B435" s="253"/>
      <c r="C435" s="292"/>
      <c r="D435" s="291"/>
      <c r="E435" s="291"/>
      <c r="F435" s="291"/>
      <c r="G435" s="336"/>
      <c r="H435" s="333"/>
      <c r="I435" s="333"/>
      <c r="J435" s="333"/>
      <c r="K435" s="336"/>
      <c r="L435" s="336"/>
      <c r="M435" s="291"/>
    </row>
    <row r="436" spans="1:13" ht="24" customHeight="1">
      <c r="A436" s="291"/>
      <c r="B436" s="253"/>
      <c r="C436" s="292"/>
      <c r="D436" s="291"/>
      <c r="E436" s="291"/>
      <c r="F436" s="291"/>
      <c r="G436" s="291"/>
      <c r="H436" s="291"/>
      <c r="I436" s="291"/>
      <c r="J436" s="291"/>
      <c r="K436" s="291"/>
      <c r="L436" s="253" t="s">
        <v>818</v>
      </c>
      <c r="M436" s="291"/>
    </row>
    <row r="437" spans="1:13" ht="24" customHeight="1">
      <c r="A437" s="265" t="s">
        <v>158</v>
      </c>
      <c r="B437" s="265"/>
      <c r="C437" s="265"/>
      <c r="D437" s="265"/>
      <c r="E437" s="265"/>
      <c r="F437" s="265"/>
      <c r="G437" s="265"/>
      <c r="H437" s="265"/>
      <c r="I437" s="265"/>
      <c r="J437" s="265"/>
      <c r="K437" s="265"/>
      <c r="L437" s="265"/>
      <c r="M437" s="291"/>
    </row>
    <row r="438" spans="1:13" ht="24" customHeight="1">
      <c r="A438" s="266" t="s">
        <v>160</v>
      </c>
      <c r="B438" s="266"/>
      <c r="C438" s="266"/>
      <c r="D438" s="266"/>
      <c r="E438" s="266"/>
      <c r="F438" s="266"/>
      <c r="G438" s="266"/>
      <c r="H438" s="266"/>
      <c r="I438" s="266"/>
      <c r="J438" s="266"/>
      <c r="K438" s="266"/>
      <c r="L438" s="266"/>
      <c r="M438" s="291"/>
    </row>
    <row r="439" spans="1:13" ht="24" customHeight="1" thickBot="1">
      <c r="A439" s="267" t="s">
        <v>161</v>
      </c>
      <c r="B439" s="267"/>
      <c r="C439" s="267"/>
      <c r="D439" s="267"/>
      <c r="E439" s="267"/>
      <c r="F439" s="267"/>
      <c r="G439" s="267"/>
      <c r="H439" s="267"/>
      <c r="I439" s="267"/>
      <c r="J439" s="267"/>
      <c r="K439" s="267"/>
      <c r="L439" s="267"/>
      <c r="M439" s="291"/>
    </row>
    <row r="440" spans="1:13" ht="24" customHeight="1" thickTop="1">
      <c r="A440" s="293" t="s">
        <v>103</v>
      </c>
      <c r="B440" s="293" t="s">
        <v>122</v>
      </c>
      <c r="C440" s="293" t="s">
        <v>124</v>
      </c>
      <c r="D440" s="294" t="s">
        <v>0</v>
      </c>
      <c r="E440" s="293" t="s">
        <v>109</v>
      </c>
      <c r="F440" s="293" t="s">
        <v>110</v>
      </c>
      <c r="G440" s="295" t="s">
        <v>111</v>
      </c>
      <c r="H440" s="296" t="s">
        <v>1</v>
      </c>
      <c r="I440" s="297"/>
      <c r="J440" s="293" t="s">
        <v>125</v>
      </c>
      <c r="K440" s="293" t="s">
        <v>104</v>
      </c>
      <c r="L440" s="293" t="s">
        <v>112</v>
      </c>
      <c r="M440" s="291"/>
    </row>
    <row r="441" spans="1:13" ht="45.75" customHeight="1" thickBot="1">
      <c r="A441" s="298"/>
      <c r="B441" s="298"/>
      <c r="C441" s="298"/>
      <c r="D441" s="299"/>
      <c r="E441" s="298"/>
      <c r="F441" s="298"/>
      <c r="G441" s="300"/>
      <c r="H441" s="301" t="s">
        <v>113</v>
      </c>
      <c r="I441" s="302" t="s">
        <v>114</v>
      </c>
      <c r="J441" s="298"/>
      <c r="K441" s="298"/>
      <c r="L441" s="298"/>
      <c r="M441" s="291"/>
    </row>
    <row r="442" spans="1:13" ht="24" customHeight="1" thickTop="1">
      <c r="A442" s="304"/>
      <c r="B442" s="340"/>
      <c r="C442" s="305"/>
      <c r="D442" s="305"/>
      <c r="E442" s="304"/>
      <c r="F442" s="304"/>
      <c r="G442" s="307"/>
      <c r="H442" s="308"/>
      <c r="I442" s="308"/>
      <c r="J442" s="256" t="s">
        <v>132</v>
      </c>
      <c r="K442" s="257">
        <f>SUM(K422)</f>
        <v>2403601.8499999996</v>
      </c>
      <c r="L442" s="304"/>
      <c r="M442" s="291"/>
    </row>
    <row r="443" spans="1:13">
      <c r="A443" s="316">
        <v>141</v>
      </c>
      <c r="B443" s="310">
        <v>2551</v>
      </c>
      <c r="C443" s="311" t="s">
        <v>853</v>
      </c>
      <c r="D443" s="311" t="s">
        <v>852</v>
      </c>
      <c r="E443" s="310" t="s">
        <v>803</v>
      </c>
      <c r="F443" s="313">
        <v>14</v>
      </c>
      <c r="G443" s="313" t="s">
        <v>383</v>
      </c>
      <c r="H443" s="314">
        <v>8</v>
      </c>
      <c r="I443" s="314">
        <v>8</v>
      </c>
      <c r="J443" s="255">
        <v>3000</v>
      </c>
      <c r="K443" s="255">
        <f t="shared" ref="K443:K452" si="13">SUM(I443*J443)</f>
        <v>24000</v>
      </c>
      <c r="L443" s="315" t="s">
        <v>1197</v>
      </c>
      <c r="M443" s="291" t="s">
        <v>1034</v>
      </c>
    </row>
    <row r="444" spans="1:13">
      <c r="A444" s="316">
        <v>142</v>
      </c>
      <c r="B444" s="310">
        <v>2551</v>
      </c>
      <c r="C444" s="311" t="s">
        <v>857</v>
      </c>
      <c r="D444" s="312" t="s">
        <v>856</v>
      </c>
      <c r="E444" s="310" t="s">
        <v>3</v>
      </c>
      <c r="F444" s="313">
        <v>14</v>
      </c>
      <c r="G444" s="313" t="s">
        <v>383</v>
      </c>
      <c r="H444" s="314">
        <v>1</v>
      </c>
      <c r="I444" s="314">
        <v>1</v>
      </c>
      <c r="J444" s="254">
        <v>1006.25</v>
      </c>
      <c r="K444" s="255">
        <f t="shared" si="13"/>
        <v>1006.25</v>
      </c>
      <c r="L444" s="315" t="s">
        <v>1371</v>
      </c>
      <c r="M444" s="291" t="s">
        <v>1034</v>
      </c>
    </row>
    <row r="445" spans="1:13">
      <c r="A445" s="316">
        <v>143</v>
      </c>
      <c r="B445" s="310">
        <v>2552</v>
      </c>
      <c r="C445" s="311" t="s">
        <v>855</v>
      </c>
      <c r="D445" s="312" t="s">
        <v>854</v>
      </c>
      <c r="E445" s="310" t="s">
        <v>2</v>
      </c>
      <c r="F445" s="313">
        <v>13</v>
      </c>
      <c r="G445" s="313" t="s">
        <v>383</v>
      </c>
      <c r="H445" s="313">
        <v>7</v>
      </c>
      <c r="I445" s="314">
        <v>7</v>
      </c>
      <c r="J445" s="255">
        <v>3500</v>
      </c>
      <c r="K445" s="255">
        <f t="shared" si="13"/>
        <v>24500</v>
      </c>
      <c r="L445" s="315" t="s">
        <v>1372</v>
      </c>
      <c r="M445" s="291" t="s">
        <v>1034</v>
      </c>
    </row>
    <row r="446" spans="1:13">
      <c r="A446" s="316">
        <v>144</v>
      </c>
      <c r="B446" s="310">
        <v>2553</v>
      </c>
      <c r="C446" s="311" t="s">
        <v>859</v>
      </c>
      <c r="D446" s="375" t="s">
        <v>858</v>
      </c>
      <c r="E446" s="310" t="s">
        <v>2</v>
      </c>
      <c r="F446" s="313">
        <v>12</v>
      </c>
      <c r="G446" s="313" t="s">
        <v>383</v>
      </c>
      <c r="H446" s="314">
        <v>1</v>
      </c>
      <c r="I446" s="314">
        <v>1</v>
      </c>
      <c r="J446" s="255">
        <v>3700</v>
      </c>
      <c r="K446" s="255">
        <f t="shared" si="13"/>
        <v>3700</v>
      </c>
      <c r="L446" s="315" t="s">
        <v>1002</v>
      </c>
      <c r="M446" s="291" t="s">
        <v>1034</v>
      </c>
    </row>
    <row r="447" spans="1:13">
      <c r="A447" s="316">
        <v>145</v>
      </c>
      <c r="B447" s="310">
        <v>2553</v>
      </c>
      <c r="C447" s="311" t="s">
        <v>871</v>
      </c>
      <c r="D447" s="375" t="s">
        <v>870</v>
      </c>
      <c r="E447" s="310" t="s">
        <v>2</v>
      </c>
      <c r="F447" s="313">
        <v>12</v>
      </c>
      <c r="G447" s="313" t="s">
        <v>383</v>
      </c>
      <c r="H447" s="314">
        <v>2</v>
      </c>
      <c r="I447" s="314">
        <v>2</v>
      </c>
      <c r="J447" s="255">
        <v>4000</v>
      </c>
      <c r="K447" s="255">
        <f t="shared" si="13"/>
        <v>8000</v>
      </c>
      <c r="L447" s="315" t="s">
        <v>1356</v>
      </c>
      <c r="M447" s="291" t="s">
        <v>1034</v>
      </c>
    </row>
    <row r="448" spans="1:13">
      <c r="A448" s="316">
        <v>146</v>
      </c>
      <c r="B448" s="310">
        <v>2553</v>
      </c>
      <c r="C448" s="311" t="s">
        <v>869</v>
      </c>
      <c r="D448" s="375" t="s">
        <v>868</v>
      </c>
      <c r="E448" s="313" t="s">
        <v>2</v>
      </c>
      <c r="F448" s="313">
        <v>12</v>
      </c>
      <c r="G448" s="313" t="s">
        <v>383</v>
      </c>
      <c r="H448" s="314">
        <v>2</v>
      </c>
      <c r="I448" s="314">
        <v>2</v>
      </c>
      <c r="J448" s="255">
        <v>4000</v>
      </c>
      <c r="K448" s="255">
        <f t="shared" si="13"/>
        <v>8000</v>
      </c>
      <c r="L448" s="315" t="s">
        <v>1356</v>
      </c>
      <c r="M448" s="291" t="s">
        <v>1034</v>
      </c>
    </row>
    <row r="449" spans="1:13">
      <c r="A449" s="316">
        <v>147</v>
      </c>
      <c r="B449" s="310">
        <v>2553</v>
      </c>
      <c r="C449" s="311" t="s">
        <v>867</v>
      </c>
      <c r="D449" s="375" t="s">
        <v>866</v>
      </c>
      <c r="E449" s="313" t="s">
        <v>2</v>
      </c>
      <c r="F449" s="313">
        <v>12</v>
      </c>
      <c r="G449" s="313" t="s">
        <v>383</v>
      </c>
      <c r="H449" s="314">
        <v>2</v>
      </c>
      <c r="I449" s="314">
        <v>2</v>
      </c>
      <c r="J449" s="255">
        <v>2500</v>
      </c>
      <c r="K449" s="255">
        <f t="shared" si="13"/>
        <v>5000</v>
      </c>
      <c r="L449" s="315" t="s">
        <v>1356</v>
      </c>
      <c r="M449" s="291" t="s">
        <v>1034</v>
      </c>
    </row>
    <row r="450" spans="1:13">
      <c r="A450" s="316">
        <v>148</v>
      </c>
      <c r="B450" s="310">
        <v>2553</v>
      </c>
      <c r="C450" s="311" t="s">
        <v>865</v>
      </c>
      <c r="D450" s="375" t="s">
        <v>864</v>
      </c>
      <c r="E450" s="313" t="s">
        <v>2</v>
      </c>
      <c r="F450" s="313">
        <v>12</v>
      </c>
      <c r="G450" s="313" t="s">
        <v>383</v>
      </c>
      <c r="H450" s="314">
        <v>2</v>
      </c>
      <c r="I450" s="314">
        <v>2</v>
      </c>
      <c r="J450" s="255">
        <v>1000</v>
      </c>
      <c r="K450" s="255">
        <f t="shared" si="13"/>
        <v>2000</v>
      </c>
      <c r="L450" s="315" t="s">
        <v>1356</v>
      </c>
      <c r="M450" s="291" t="s">
        <v>1034</v>
      </c>
    </row>
    <row r="451" spans="1:13">
      <c r="A451" s="316">
        <v>149</v>
      </c>
      <c r="B451" s="310">
        <v>2553</v>
      </c>
      <c r="C451" s="311" t="s">
        <v>863</v>
      </c>
      <c r="D451" s="375" t="s">
        <v>862</v>
      </c>
      <c r="E451" s="313" t="s">
        <v>2</v>
      </c>
      <c r="F451" s="313">
        <v>12</v>
      </c>
      <c r="G451" s="313" t="s">
        <v>383</v>
      </c>
      <c r="H451" s="314">
        <v>2</v>
      </c>
      <c r="I451" s="314">
        <v>2</v>
      </c>
      <c r="J451" s="255">
        <v>4000</v>
      </c>
      <c r="K451" s="255">
        <f t="shared" si="13"/>
        <v>8000</v>
      </c>
      <c r="L451" s="315" t="s">
        <v>1356</v>
      </c>
      <c r="M451" s="291" t="s">
        <v>1034</v>
      </c>
    </row>
    <row r="452" spans="1:13">
      <c r="A452" s="316">
        <v>150</v>
      </c>
      <c r="B452" s="310">
        <v>2553</v>
      </c>
      <c r="C452" s="311" t="s">
        <v>861</v>
      </c>
      <c r="D452" s="375" t="s">
        <v>860</v>
      </c>
      <c r="E452" s="313" t="s">
        <v>2</v>
      </c>
      <c r="F452" s="313">
        <v>12</v>
      </c>
      <c r="G452" s="313" t="s">
        <v>383</v>
      </c>
      <c r="H452" s="314">
        <v>2</v>
      </c>
      <c r="I452" s="314">
        <v>2</v>
      </c>
      <c r="J452" s="255">
        <v>3200</v>
      </c>
      <c r="K452" s="255">
        <f t="shared" si="13"/>
        <v>6400</v>
      </c>
      <c r="L452" s="315" t="s">
        <v>1356</v>
      </c>
      <c r="M452" s="291" t="s">
        <v>1034</v>
      </c>
    </row>
    <row r="453" spans="1:13" ht="24" customHeight="1">
      <c r="A453" s="258"/>
      <c r="B453" s="258"/>
      <c r="C453" s="258"/>
      <c r="D453" s="258"/>
      <c r="E453" s="258"/>
      <c r="F453" s="258"/>
      <c r="G453" s="258"/>
      <c r="H453" s="258"/>
      <c r="I453" s="258"/>
      <c r="J453" s="254" t="s">
        <v>129</v>
      </c>
      <c r="K453" s="259">
        <f>SUM(K442:K452)</f>
        <v>2494208.0999999996</v>
      </c>
      <c r="L453" s="310"/>
      <c r="M453" s="291"/>
    </row>
    <row r="454" spans="1:13" ht="24" customHeight="1">
      <c r="A454" s="291"/>
      <c r="B454" s="331" t="s">
        <v>119</v>
      </c>
      <c r="C454" s="292" t="s">
        <v>120</v>
      </c>
      <c r="D454" s="291"/>
      <c r="E454" s="291"/>
      <c r="F454" s="291"/>
      <c r="G454" s="291"/>
      <c r="H454" s="332"/>
      <c r="I454" s="332"/>
      <c r="J454" s="291"/>
      <c r="K454" s="291"/>
      <c r="L454" s="253"/>
      <c r="M454" s="291"/>
    </row>
    <row r="455" spans="1:13" ht="24" customHeight="1">
      <c r="A455" s="291"/>
      <c r="B455" s="253"/>
      <c r="C455" s="292" t="s">
        <v>121</v>
      </c>
      <c r="D455" s="291"/>
      <c r="E455" s="291"/>
      <c r="F455" s="291"/>
      <c r="G455" s="291"/>
      <c r="H455" s="332"/>
      <c r="I455" s="332"/>
      <c r="J455" s="291"/>
      <c r="K455" s="291"/>
      <c r="L455" s="253"/>
      <c r="M455" s="291"/>
    </row>
    <row r="456" spans="1:13" ht="24" customHeight="1">
      <c r="A456" s="291"/>
      <c r="B456" s="253"/>
      <c r="C456" s="292"/>
      <c r="D456" s="291"/>
      <c r="E456" s="291"/>
      <c r="F456" s="291"/>
      <c r="G456" s="337" t="s">
        <v>148</v>
      </c>
      <c r="H456" s="338" t="s">
        <v>149</v>
      </c>
      <c r="I456" s="338"/>
      <c r="J456" s="338"/>
      <c r="K456" s="339" t="s">
        <v>150</v>
      </c>
      <c r="L456" s="339"/>
      <c r="M456" s="291"/>
    </row>
    <row r="457" spans="1:13" ht="21" customHeight="1">
      <c r="A457" s="291"/>
      <c r="B457" s="253"/>
      <c r="C457" s="292"/>
      <c r="D457" s="291"/>
      <c r="E457" s="291"/>
      <c r="F457" s="291"/>
      <c r="G457" s="339"/>
      <c r="H457" s="338" t="s">
        <v>1549</v>
      </c>
      <c r="I457" s="338"/>
      <c r="J457" s="338"/>
      <c r="K457" s="339"/>
      <c r="L457" s="339"/>
      <c r="M457" s="291"/>
    </row>
    <row r="458" spans="1:13" ht="37.5" customHeight="1">
      <c r="A458" s="291"/>
      <c r="B458" s="253"/>
      <c r="C458" s="292"/>
      <c r="D458" s="291"/>
      <c r="E458" s="291"/>
      <c r="F458" s="291"/>
      <c r="G458" s="337" t="s">
        <v>148</v>
      </c>
      <c r="H458" s="338" t="s">
        <v>149</v>
      </c>
      <c r="I458" s="338"/>
      <c r="J458" s="338"/>
      <c r="K458" s="339" t="s">
        <v>151</v>
      </c>
      <c r="L458" s="339"/>
      <c r="M458" s="291"/>
    </row>
    <row r="459" spans="1:13" ht="20.25" customHeight="1">
      <c r="A459" s="291"/>
      <c r="B459" s="253"/>
      <c r="C459" s="292"/>
      <c r="D459" s="291"/>
      <c r="E459" s="291"/>
      <c r="F459" s="291"/>
      <c r="G459" s="339"/>
      <c r="H459" s="338" t="s">
        <v>154</v>
      </c>
      <c r="I459" s="338"/>
      <c r="J459" s="338"/>
      <c r="K459" s="339"/>
      <c r="L459" s="339"/>
      <c r="M459" s="291"/>
    </row>
    <row r="460" spans="1:13" ht="35.25" customHeight="1">
      <c r="A460" s="291"/>
      <c r="B460" s="253"/>
      <c r="C460" s="292"/>
      <c r="D460" s="291"/>
      <c r="E460" s="291"/>
      <c r="F460" s="291"/>
      <c r="G460" s="337" t="s">
        <v>148</v>
      </c>
      <c r="H460" s="338" t="s">
        <v>149</v>
      </c>
      <c r="I460" s="338"/>
      <c r="J460" s="338"/>
      <c r="K460" s="339" t="s">
        <v>151</v>
      </c>
      <c r="L460" s="336"/>
      <c r="M460" s="291"/>
    </row>
    <row r="461" spans="1:13" ht="21" customHeight="1">
      <c r="A461" s="291"/>
      <c r="B461" s="253"/>
      <c r="C461" s="292"/>
      <c r="D461" s="291"/>
      <c r="E461" s="291"/>
      <c r="F461" s="291"/>
      <c r="G461" s="339"/>
      <c r="H461" s="338" t="s">
        <v>155</v>
      </c>
      <c r="I461" s="338"/>
      <c r="J461" s="338"/>
      <c r="K461" s="339"/>
      <c r="L461" s="336"/>
      <c r="M461" s="291"/>
    </row>
    <row r="462" spans="1:13" ht="31.5" customHeight="1">
      <c r="A462" s="291"/>
      <c r="B462" s="253"/>
      <c r="C462" s="292"/>
      <c r="D462" s="291"/>
      <c r="E462" s="291"/>
      <c r="F462" s="291"/>
      <c r="G462" s="337" t="s">
        <v>148</v>
      </c>
      <c r="H462" s="338" t="s">
        <v>149</v>
      </c>
      <c r="I462" s="338"/>
      <c r="J462" s="338"/>
      <c r="K462" s="339" t="s">
        <v>151</v>
      </c>
      <c r="L462" s="336"/>
      <c r="M462" s="291"/>
    </row>
    <row r="463" spans="1:13" ht="21" customHeight="1">
      <c r="A463" s="291"/>
      <c r="B463" s="253"/>
      <c r="C463" s="292"/>
      <c r="D463" s="291"/>
      <c r="E463" s="291"/>
      <c r="F463" s="291"/>
      <c r="G463" s="339"/>
      <c r="H463" s="338" t="s">
        <v>156</v>
      </c>
      <c r="I463" s="338"/>
      <c r="J463" s="338"/>
      <c r="K463" s="339"/>
      <c r="L463" s="336"/>
      <c r="M463" s="291"/>
    </row>
    <row r="464" spans="1:13" ht="31.5" customHeight="1">
      <c r="A464" s="291"/>
      <c r="B464" s="253"/>
      <c r="C464" s="292"/>
      <c r="D464" s="291"/>
      <c r="E464" s="291"/>
      <c r="F464" s="291"/>
      <c r="G464" s="337" t="s">
        <v>148</v>
      </c>
      <c r="H464" s="338" t="s">
        <v>149</v>
      </c>
      <c r="I464" s="338"/>
      <c r="J464" s="338"/>
      <c r="K464" s="336" t="s">
        <v>152</v>
      </c>
      <c r="L464" s="336"/>
      <c r="M464" s="291"/>
    </row>
    <row r="465" spans="1:13" ht="24" customHeight="1">
      <c r="A465" s="291"/>
      <c r="B465" s="253"/>
      <c r="C465" s="292"/>
      <c r="D465" s="291"/>
      <c r="E465" s="291"/>
      <c r="F465" s="291"/>
      <c r="G465" s="336"/>
      <c r="H465" s="338" t="s">
        <v>157</v>
      </c>
      <c r="I465" s="338"/>
      <c r="J465" s="338"/>
      <c r="K465" s="336"/>
      <c r="L465" s="336"/>
      <c r="M465" s="291"/>
    </row>
    <row r="466" spans="1:13" ht="24" customHeight="1">
      <c r="A466" s="291"/>
      <c r="B466" s="253"/>
      <c r="C466" s="292"/>
      <c r="D466" s="291"/>
      <c r="E466" s="291"/>
      <c r="F466" s="291"/>
      <c r="G466" s="336"/>
      <c r="H466" s="333"/>
      <c r="I466" s="333"/>
      <c r="J466" s="333"/>
      <c r="K466" s="336"/>
      <c r="L466" s="336"/>
      <c r="M466" s="291"/>
    </row>
    <row r="467" spans="1:13" ht="24" customHeight="1">
      <c r="A467" s="291"/>
      <c r="B467" s="253"/>
      <c r="C467" s="292"/>
      <c r="D467" s="291"/>
      <c r="E467" s="291"/>
      <c r="F467" s="291"/>
      <c r="G467" s="291"/>
      <c r="H467" s="291"/>
      <c r="I467" s="291"/>
      <c r="J467" s="291"/>
      <c r="K467" s="291"/>
      <c r="L467" s="253" t="s">
        <v>819</v>
      </c>
      <c r="M467" s="291"/>
    </row>
    <row r="468" spans="1:13" ht="24" customHeight="1">
      <c r="A468" s="265" t="s">
        <v>158</v>
      </c>
      <c r="B468" s="265"/>
      <c r="C468" s="265"/>
      <c r="D468" s="265"/>
      <c r="E468" s="265"/>
      <c r="F468" s="265"/>
      <c r="G468" s="265"/>
      <c r="H468" s="265"/>
      <c r="I468" s="265"/>
      <c r="J468" s="265"/>
      <c r="K468" s="265"/>
      <c r="L468" s="265"/>
      <c r="M468" s="291"/>
    </row>
    <row r="469" spans="1:13" ht="24" customHeight="1">
      <c r="A469" s="266" t="s">
        <v>160</v>
      </c>
      <c r="B469" s="266"/>
      <c r="C469" s="266"/>
      <c r="D469" s="266"/>
      <c r="E469" s="266"/>
      <c r="F469" s="266"/>
      <c r="G469" s="266"/>
      <c r="H469" s="266"/>
      <c r="I469" s="266"/>
      <c r="J469" s="266"/>
      <c r="K469" s="266"/>
      <c r="L469" s="266"/>
      <c r="M469" s="291"/>
    </row>
    <row r="470" spans="1:13" ht="24" customHeight="1" thickBot="1">
      <c r="A470" s="267" t="s">
        <v>161</v>
      </c>
      <c r="B470" s="267"/>
      <c r="C470" s="267"/>
      <c r="D470" s="267"/>
      <c r="E470" s="267"/>
      <c r="F470" s="267"/>
      <c r="G470" s="267"/>
      <c r="H470" s="267"/>
      <c r="I470" s="267"/>
      <c r="J470" s="267"/>
      <c r="K470" s="267"/>
      <c r="L470" s="267"/>
      <c r="M470" s="291"/>
    </row>
    <row r="471" spans="1:13" ht="24" customHeight="1" thickTop="1">
      <c r="A471" s="293" t="s">
        <v>103</v>
      </c>
      <c r="B471" s="293" t="s">
        <v>122</v>
      </c>
      <c r="C471" s="293" t="s">
        <v>124</v>
      </c>
      <c r="D471" s="294" t="s">
        <v>0</v>
      </c>
      <c r="E471" s="293" t="s">
        <v>109</v>
      </c>
      <c r="F471" s="293" t="s">
        <v>110</v>
      </c>
      <c r="G471" s="295" t="s">
        <v>111</v>
      </c>
      <c r="H471" s="296" t="s">
        <v>1</v>
      </c>
      <c r="I471" s="297"/>
      <c r="J471" s="293" t="s">
        <v>125</v>
      </c>
      <c r="K471" s="293" t="s">
        <v>104</v>
      </c>
      <c r="L471" s="293" t="s">
        <v>112</v>
      </c>
      <c r="M471" s="291"/>
    </row>
    <row r="472" spans="1:13" ht="45.75" customHeight="1" thickBot="1">
      <c r="A472" s="298"/>
      <c r="B472" s="298"/>
      <c r="C472" s="298"/>
      <c r="D472" s="299"/>
      <c r="E472" s="298"/>
      <c r="F472" s="298"/>
      <c r="G472" s="300"/>
      <c r="H472" s="301" t="s">
        <v>113</v>
      </c>
      <c r="I472" s="302" t="s">
        <v>114</v>
      </c>
      <c r="J472" s="298"/>
      <c r="K472" s="298"/>
      <c r="L472" s="298"/>
      <c r="M472" s="291"/>
    </row>
    <row r="473" spans="1:13" ht="24" customHeight="1" thickTop="1">
      <c r="A473" s="304"/>
      <c r="B473" s="340"/>
      <c r="C473" s="305"/>
      <c r="D473" s="305"/>
      <c r="E473" s="304"/>
      <c r="F473" s="304"/>
      <c r="G473" s="307"/>
      <c r="H473" s="308"/>
      <c r="I473" s="308"/>
      <c r="J473" s="256" t="s">
        <v>132</v>
      </c>
      <c r="K473" s="257">
        <f>SUM(K453)</f>
        <v>2494208.0999999996</v>
      </c>
      <c r="L473" s="304"/>
      <c r="M473" s="291"/>
    </row>
    <row r="474" spans="1:13">
      <c r="A474" s="316">
        <v>151</v>
      </c>
      <c r="B474" s="310">
        <v>2553</v>
      </c>
      <c r="C474" s="311" t="s">
        <v>873</v>
      </c>
      <c r="D474" s="375" t="s">
        <v>872</v>
      </c>
      <c r="E474" s="313" t="s">
        <v>2</v>
      </c>
      <c r="F474" s="313">
        <v>12</v>
      </c>
      <c r="G474" s="313" t="s">
        <v>383</v>
      </c>
      <c r="H474" s="314">
        <v>2</v>
      </c>
      <c r="I474" s="314">
        <v>2</v>
      </c>
      <c r="J474" s="255">
        <v>1300</v>
      </c>
      <c r="K474" s="255">
        <f t="shared" ref="K474:K480" si="14">SUM(I474*J474)</f>
        <v>2600</v>
      </c>
      <c r="L474" s="315" t="s">
        <v>1356</v>
      </c>
      <c r="M474" s="291" t="s">
        <v>1034</v>
      </c>
    </row>
    <row r="475" spans="1:13">
      <c r="A475" s="316">
        <v>152</v>
      </c>
      <c r="B475" s="374" t="s">
        <v>876</v>
      </c>
      <c r="C475" s="311" t="s">
        <v>875</v>
      </c>
      <c r="D475" s="375" t="s">
        <v>874</v>
      </c>
      <c r="E475" s="313" t="s">
        <v>2</v>
      </c>
      <c r="F475" s="313">
        <v>10</v>
      </c>
      <c r="G475" s="313" t="s">
        <v>383</v>
      </c>
      <c r="H475" s="314">
        <v>2</v>
      </c>
      <c r="I475" s="314">
        <v>2</v>
      </c>
      <c r="J475" s="255">
        <v>2000</v>
      </c>
      <c r="K475" s="255">
        <f t="shared" si="14"/>
        <v>4000</v>
      </c>
      <c r="L475" s="315" t="s">
        <v>1373</v>
      </c>
      <c r="M475" s="291" t="s">
        <v>1034</v>
      </c>
    </row>
    <row r="476" spans="1:13">
      <c r="A476" s="316">
        <v>153</v>
      </c>
      <c r="B476" s="329" t="s">
        <v>106</v>
      </c>
      <c r="C476" s="376" t="s">
        <v>940</v>
      </c>
      <c r="D476" s="376" t="s">
        <v>936</v>
      </c>
      <c r="E476" s="377" t="s">
        <v>2</v>
      </c>
      <c r="F476" s="378">
        <v>25</v>
      </c>
      <c r="G476" s="313" t="s">
        <v>383</v>
      </c>
      <c r="H476" s="378">
        <v>2</v>
      </c>
      <c r="I476" s="314">
        <v>2</v>
      </c>
      <c r="J476" s="379">
        <v>2200</v>
      </c>
      <c r="K476" s="379">
        <f t="shared" si="14"/>
        <v>4400</v>
      </c>
      <c r="L476" s="327" t="s">
        <v>1345</v>
      </c>
      <c r="M476" s="291" t="s">
        <v>1033</v>
      </c>
    </row>
    <row r="477" spans="1:13">
      <c r="A477" s="316">
        <v>154</v>
      </c>
      <c r="B477" s="329" t="s">
        <v>106</v>
      </c>
      <c r="C477" s="380" t="s">
        <v>939</v>
      </c>
      <c r="D477" s="380" t="s">
        <v>938</v>
      </c>
      <c r="E477" s="313" t="s">
        <v>2</v>
      </c>
      <c r="F477" s="357">
        <v>25</v>
      </c>
      <c r="G477" s="313" t="s">
        <v>383</v>
      </c>
      <c r="H477" s="357">
        <v>1</v>
      </c>
      <c r="I477" s="357">
        <v>1</v>
      </c>
      <c r="J477" s="381">
        <v>2250</v>
      </c>
      <c r="K477" s="379">
        <f t="shared" si="14"/>
        <v>2250</v>
      </c>
      <c r="L477" s="327" t="s">
        <v>1308</v>
      </c>
      <c r="M477" s="291" t="s">
        <v>1033</v>
      </c>
    </row>
    <row r="478" spans="1:13">
      <c r="A478" s="316">
        <v>155</v>
      </c>
      <c r="B478" s="329" t="s">
        <v>107</v>
      </c>
      <c r="C478" s="380" t="s">
        <v>937</v>
      </c>
      <c r="D478" s="380" t="s">
        <v>936</v>
      </c>
      <c r="E478" s="313" t="s">
        <v>3</v>
      </c>
      <c r="F478" s="357">
        <v>19</v>
      </c>
      <c r="G478" s="313" t="s">
        <v>383</v>
      </c>
      <c r="H478" s="357">
        <v>1</v>
      </c>
      <c r="I478" s="357">
        <v>1</v>
      </c>
      <c r="J478" s="381">
        <v>2600</v>
      </c>
      <c r="K478" s="379">
        <f t="shared" si="14"/>
        <v>2600</v>
      </c>
      <c r="L478" s="327" t="s">
        <v>1308</v>
      </c>
      <c r="M478" s="291" t="s">
        <v>1033</v>
      </c>
    </row>
    <row r="479" spans="1:13">
      <c r="A479" s="316">
        <v>156</v>
      </c>
      <c r="B479" s="329" t="s">
        <v>245</v>
      </c>
      <c r="C479" s="368" t="s">
        <v>944</v>
      </c>
      <c r="D479" s="369" t="s">
        <v>943</v>
      </c>
      <c r="E479" s="313" t="s">
        <v>3</v>
      </c>
      <c r="F479" s="357">
        <v>15</v>
      </c>
      <c r="G479" s="313" t="s">
        <v>383</v>
      </c>
      <c r="H479" s="357">
        <v>1</v>
      </c>
      <c r="I479" s="357">
        <v>1</v>
      </c>
      <c r="J479" s="381">
        <v>1700</v>
      </c>
      <c r="K479" s="379">
        <f t="shared" si="14"/>
        <v>1700</v>
      </c>
      <c r="L479" s="327" t="s">
        <v>1346</v>
      </c>
      <c r="M479" s="291" t="s">
        <v>1033</v>
      </c>
    </row>
    <row r="480" spans="1:13">
      <c r="A480" s="316">
        <v>157</v>
      </c>
      <c r="B480" s="329" t="s">
        <v>286</v>
      </c>
      <c r="C480" s="368" t="s">
        <v>942</v>
      </c>
      <c r="D480" s="369" t="s">
        <v>941</v>
      </c>
      <c r="E480" s="313" t="s">
        <v>3</v>
      </c>
      <c r="F480" s="357">
        <v>14</v>
      </c>
      <c r="G480" s="313" t="s">
        <v>383</v>
      </c>
      <c r="H480" s="357">
        <v>4</v>
      </c>
      <c r="I480" s="357">
        <v>4</v>
      </c>
      <c r="J480" s="381">
        <v>3200</v>
      </c>
      <c r="K480" s="379">
        <f t="shared" si="14"/>
        <v>12800</v>
      </c>
      <c r="L480" s="327" t="s">
        <v>1308</v>
      </c>
      <c r="M480" s="291" t="s">
        <v>1033</v>
      </c>
    </row>
    <row r="481" spans="1:13">
      <c r="A481" s="316">
        <v>158</v>
      </c>
      <c r="B481" s="310">
        <v>2552</v>
      </c>
      <c r="C481" s="382" t="s">
        <v>947</v>
      </c>
      <c r="D481" s="383" t="s">
        <v>946</v>
      </c>
      <c r="E481" s="384" t="s">
        <v>2</v>
      </c>
      <c r="F481" s="378">
        <v>13</v>
      </c>
      <c r="G481" s="313" t="s">
        <v>383</v>
      </c>
      <c r="H481" s="378">
        <v>3</v>
      </c>
      <c r="I481" s="378">
        <v>3</v>
      </c>
      <c r="J481" s="381">
        <v>3200</v>
      </c>
      <c r="K481" s="379">
        <f>SUM(H481*J481)</f>
        <v>9600</v>
      </c>
      <c r="L481" s="327" t="s">
        <v>1308</v>
      </c>
      <c r="M481" s="291" t="s">
        <v>1033</v>
      </c>
    </row>
    <row r="482" spans="1:13">
      <c r="A482" s="316">
        <v>159</v>
      </c>
      <c r="B482" s="328" t="s">
        <v>138</v>
      </c>
      <c r="C482" s="368" t="s">
        <v>945</v>
      </c>
      <c r="D482" s="369" t="s">
        <v>961</v>
      </c>
      <c r="E482" s="310" t="s">
        <v>2</v>
      </c>
      <c r="F482" s="357">
        <v>12</v>
      </c>
      <c r="G482" s="313" t="s">
        <v>383</v>
      </c>
      <c r="H482" s="357">
        <v>1</v>
      </c>
      <c r="I482" s="357">
        <v>1</v>
      </c>
      <c r="J482" s="381">
        <v>1100</v>
      </c>
      <c r="K482" s="379">
        <f>SUM(H482*J482)</f>
        <v>1100</v>
      </c>
      <c r="L482" s="327" t="s">
        <v>1280</v>
      </c>
      <c r="M482" s="291" t="s">
        <v>1033</v>
      </c>
    </row>
    <row r="483" spans="1:13">
      <c r="A483" s="316">
        <v>160</v>
      </c>
      <c r="B483" s="310">
        <v>2549</v>
      </c>
      <c r="C483" s="311" t="s">
        <v>962</v>
      </c>
      <c r="D483" s="312" t="s">
        <v>536</v>
      </c>
      <c r="E483" s="313" t="s">
        <v>3</v>
      </c>
      <c r="F483" s="313">
        <v>16</v>
      </c>
      <c r="G483" s="313" t="s">
        <v>128</v>
      </c>
      <c r="H483" s="313">
        <v>1</v>
      </c>
      <c r="I483" s="313">
        <v>1</v>
      </c>
      <c r="J483" s="255">
        <v>695.5</v>
      </c>
      <c r="K483" s="255">
        <f>SUM(I483*J483)</f>
        <v>695.5</v>
      </c>
      <c r="L483" s="327" t="s">
        <v>1470</v>
      </c>
      <c r="M483" s="291" t="s">
        <v>1032</v>
      </c>
    </row>
    <row r="484" spans="1:13" ht="24" customHeight="1">
      <c r="A484" s="258"/>
      <c r="B484" s="258"/>
      <c r="C484" s="258"/>
      <c r="D484" s="258"/>
      <c r="E484" s="258"/>
      <c r="F484" s="258"/>
      <c r="G484" s="258"/>
      <c r="H484" s="258"/>
      <c r="I484" s="258"/>
      <c r="J484" s="254" t="s">
        <v>129</v>
      </c>
      <c r="K484" s="259">
        <f>SUM(K473:K483)</f>
        <v>2535953.5999999996</v>
      </c>
      <c r="L484" s="310"/>
      <c r="M484" s="291"/>
    </row>
    <row r="485" spans="1:13" ht="24" customHeight="1">
      <c r="A485" s="291"/>
      <c r="B485" s="331" t="s">
        <v>119</v>
      </c>
      <c r="C485" s="292" t="s">
        <v>120</v>
      </c>
      <c r="D485" s="291"/>
      <c r="E485" s="291"/>
      <c r="F485" s="291"/>
      <c r="G485" s="291"/>
      <c r="H485" s="332"/>
      <c r="I485" s="332"/>
      <c r="J485" s="291"/>
      <c r="K485" s="291"/>
      <c r="L485" s="253"/>
      <c r="M485" s="291"/>
    </row>
    <row r="486" spans="1:13" ht="24" customHeight="1">
      <c r="A486" s="291"/>
      <c r="B486" s="253"/>
      <c r="C486" s="292" t="s">
        <v>121</v>
      </c>
      <c r="D486" s="291"/>
      <c r="E486" s="291"/>
      <c r="F486" s="291"/>
      <c r="G486" s="291"/>
      <c r="H486" s="332"/>
      <c r="I486" s="332"/>
      <c r="J486" s="291"/>
      <c r="K486" s="291"/>
      <c r="L486" s="253"/>
      <c r="M486" s="291"/>
    </row>
    <row r="487" spans="1:13" ht="24" customHeight="1">
      <c r="A487" s="291"/>
      <c r="B487" s="253"/>
      <c r="C487" s="292"/>
      <c r="D487" s="291"/>
      <c r="E487" s="291"/>
      <c r="F487" s="291"/>
      <c r="G487" s="337" t="s">
        <v>148</v>
      </c>
      <c r="H487" s="338" t="s">
        <v>149</v>
      </c>
      <c r="I487" s="338"/>
      <c r="J487" s="338"/>
      <c r="K487" s="339" t="s">
        <v>150</v>
      </c>
      <c r="L487" s="339"/>
      <c r="M487" s="291"/>
    </row>
    <row r="488" spans="1:13" ht="21" customHeight="1">
      <c r="A488" s="291"/>
      <c r="B488" s="253"/>
      <c r="C488" s="292"/>
      <c r="D488" s="291"/>
      <c r="E488" s="291"/>
      <c r="F488" s="291"/>
      <c r="G488" s="339"/>
      <c r="H488" s="338" t="s">
        <v>1549</v>
      </c>
      <c r="I488" s="338"/>
      <c r="J488" s="338"/>
      <c r="K488" s="339"/>
      <c r="L488" s="339"/>
      <c r="M488" s="291"/>
    </row>
    <row r="489" spans="1:13" ht="34.5" customHeight="1">
      <c r="A489" s="291"/>
      <c r="B489" s="253"/>
      <c r="C489" s="292"/>
      <c r="D489" s="291"/>
      <c r="E489" s="291"/>
      <c r="F489" s="291"/>
      <c r="G489" s="337" t="s">
        <v>148</v>
      </c>
      <c r="H489" s="338" t="s">
        <v>149</v>
      </c>
      <c r="I489" s="338"/>
      <c r="J489" s="338"/>
      <c r="K489" s="339" t="s">
        <v>151</v>
      </c>
      <c r="L489" s="339"/>
      <c r="M489" s="291"/>
    </row>
    <row r="490" spans="1:13" ht="20.25" customHeight="1">
      <c r="A490" s="291"/>
      <c r="B490" s="253"/>
      <c r="C490" s="292"/>
      <c r="D490" s="291"/>
      <c r="E490" s="291"/>
      <c r="F490" s="291"/>
      <c r="G490" s="339"/>
      <c r="H490" s="338" t="s">
        <v>154</v>
      </c>
      <c r="I490" s="338"/>
      <c r="J490" s="338"/>
      <c r="K490" s="339"/>
      <c r="L490" s="339"/>
      <c r="M490" s="291"/>
    </row>
    <row r="491" spans="1:13" ht="30.75" customHeight="1">
      <c r="A491" s="291"/>
      <c r="B491" s="253"/>
      <c r="C491" s="292"/>
      <c r="D491" s="291"/>
      <c r="E491" s="291"/>
      <c r="F491" s="291"/>
      <c r="G491" s="337" t="s">
        <v>148</v>
      </c>
      <c r="H491" s="338" t="s">
        <v>149</v>
      </c>
      <c r="I491" s="338"/>
      <c r="J491" s="338"/>
      <c r="K491" s="339" t="s">
        <v>151</v>
      </c>
      <c r="L491" s="336"/>
      <c r="M491" s="291"/>
    </row>
    <row r="492" spans="1:13" ht="21.75" customHeight="1">
      <c r="A492" s="291"/>
      <c r="B492" s="253"/>
      <c r="C492" s="292"/>
      <c r="D492" s="291"/>
      <c r="E492" s="291"/>
      <c r="F492" s="291"/>
      <c r="G492" s="339"/>
      <c r="H492" s="338" t="s">
        <v>155</v>
      </c>
      <c r="I492" s="338"/>
      <c r="J492" s="338"/>
      <c r="K492" s="339"/>
      <c r="L492" s="336"/>
      <c r="M492" s="291"/>
    </row>
    <row r="493" spans="1:13" ht="35.25" customHeight="1">
      <c r="A493" s="291"/>
      <c r="B493" s="253"/>
      <c r="C493" s="292"/>
      <c r="D493" s="291"/>
      <c r="E493" s="291"/>
      <c r="F493" s="291"/>
      <c r="G493" s="337" t="s">
        <v>148</v>
      </c>
      <c r="H493" s="338" t="s">
        <v>149</v>
      </c>
      <c r="I493" s="338"/>
      <c r="J493" s="338"/>
      <c r="K493" s="339" t="s">
        <v>151</v>
      </c>
      <c r="L493" s="336"/>
      <c r="M493" s="291"/>
    </row>
    <row r="494" spans="1:13" ht="21" customHeight="1">
      <c r="A494" s="291"/>
      <c r="B494" s="253"/>
      <c r="C494" s="292"/>
      <c r="D494" s="291"/>
      <c r="E494" s="291"/>
      <c r="F494" s="291"/>
      <c r="G494" s="339"/>
      <c r="H494" s="338" t="s">
        <v>156</v>
      </c>
      <c r="I494" s="338"/>
      <c r="J494" s="338"/>
      <c r="K494" s="339"/>
      <c r="L494" s="336"/>
      <c r="M494" s="291"/>
    </row>
    <row r="495" spans="1:13" ht="34.5" customHeight="1">
      <c r="A495" s="291"/>
      <c r="B495" s="253"/>
      <c r="C495" s="292"/>
      <c r="D495" s="291"/>
      <c r="E495" s="291"/>
      <c r="F495" s="291"/>
      <c r="G495" s="337" t="s">
        <v>148</v>
      </c>
      <c r="H495" s="338" t="s">
        <v>149</v>
      </c>
      <c r="I495" s="338"/>
      <c r="J495" s="338"/>
      <c r="K495" s="336" t="s">
        <v>152</v>
      </c>
      <c r="L495" s="336"/>
      <c r="M495" s="291"/>
    </row>
    <row r="496" spans="1:13" ht="24" customHeight="1">
      <c r="A496" s="291"/>
      <c r="B496" s="253"/>
      <c r="C496" s="292"/>
      <c r="D496" s="291"/>
      <c r="E496" s="291"/>
      <c r="F496" s="291"/>
      <c r="G496" s="336"/>
      <c r="H496" s="338" t="s">
        <v>157</v>
      </c>
      <c r="I496" s="338"/>
      <c r="J496" s="338"/>
      <c r="K496" s="336"/>
      <c r="L496" s="336"/>
      <c r="M496" s="291"/>
    </row>
    <row r="497" spans="1:13" ht="24" customHeight="1">
      <c r="A497" s="291"/>
      <c r="B497" s="253"/>
      <c r="C497" s="292"/>
      <c r="D497" s="291"/>
      <c r="E497" s="291"/>
      <c r="F497" s="291"/>
      <c r="G497" s="336"/>
      <c r="H497" s="333"/>
      <c r="I497" s="333"/>
      <c r="J497" s="333"/>
      <c r="K497" s="336"/>
      <c r="L497" s="336"/>
      <c r="M497" s="291"/>
    </row>
    <row r="498" spans="1:13" ht="24" customHeight="1">
      <c r="A498" s="291"/>
      <c r="B498" s="253"/>
      <c r="C498" s="292"/>
      <c r="D498" s="291"/>
      <c r="E498" s="291"/>
      <c r="F498" s="291"/>
      <c r="G498" s="291"/>
      <c r="H498" s="291"/>
      <c r="I498" s="291"/>
      <c r="J498" s="291"/>
      <c r="K498" s="291"/>
      <c r="L498" s="253" t="s">
        <v>820</v>
      </c>
      <c r="M498" s="291"/>
    </row>
    <row r="499" spans="1:13" ht="24" customHeight="1">
      <c r="A499" s="265" t="s">
        <v>158</v>
      </c>
      <c r="B499" s="265"/>
      <c r="C499" s="265"/>
      <c r="D499" s="265"/>
      <c r="E499" s="265"/>
      <c r="F499" s="265"/>
      <c r="G499" s="265"/>
      <c r="H499" s="265"/>
      <c r="I499" s="265"/>
      <c r="J499" s="265"/>
      <c r="K499" s="265"/>
      <c r="L499" s="265"/>
      <c r="M499" s="291"/>
    </row>
    <row r="500" spans="1:13" ht="24" customHeight="1">
      <c r="A500" s="266" t="s">
        <v>160</v>
      </c>
      <c r="B500" s="266"/>
      <c r="C500" s="266"/>
      <c r="D500" s="266"/>
      <c r="E500" s="266"/>
      <c r="F500" s="266"/>
      <c r="G500" s="266"/>
      <c r="H500" s="266"/>
      <c r="I500" s="266"/>
      <c r="J500" s="266"/>
      <c r="K500" s="266"/>
      <c r="L500" s="266"/>
      <c r="M500" s="291"/>
    </row>
    <row r="501" spans="1:13" ht="24" customHeight="1" thickBot="1">
      <c r="A501" s="267" t="s">
        <v>161</v>
      </c>
      <c r="B501" s="267"/>
      <c r="C501" s="267"/>
      <c r="D501" s="267"/>
      <c r="E501" s="267"/>
      <c r="F501" s="267"/>
      <c r="G501" s="267"/>
      <c r="H501" s="267"/>
      <c r="I501" s="267"/>
      <c r="J501" s="267"/>
      <c r="K501" s="267"/>
      <c r="L501" s="267"/>
      <c r="M501" s="291"/>
    </row>
    <row r="502" spans="1:13" ht="24" customHeight="1" thickTop="1">
      <c r="A502" s="293" t="s">
        <v>103</v>
      </c>
      <c r="B502" s="293" t="s">
        <v>122</v>
      </c>
      <c r="C502" s="293" t="s">
        <v>124</v>
      </c>
      <c r="D502" s="294" t="s">
        <v>0</v>
      </c>
      <c r="E502" s="293" t="s">
        <v>109</v>
      </c>
      <c r="F502" s="293" t="s">
        <v>110</v>
      </c>
      <c r="G502" s="295" t="s">
        <v>111</v>
      </c>
      <c r="H502" s="296" t="s">
        <v>1</v>
      </c>
      <c r="I502" s="297"/>
      <c r="J502" s="293" t="s">
        <v>125</v>
      </c>
      <c r="K502" s="293" t="s">
        <v>104</v>
      </c>
      <c r="L502" s="293" t="s">
        <v>112</v>
      </c>
      <c r="M502" s="291"/>
    </row>
    <row r="503" spans="1:13" ht="45.75" customHeight="1" thickBot="1">
      <c r="A503" s="298"/>
      <c r="B503" s="298"/>
      <c r="C503" s="298"/>
      <c r="D503" s="299"/>
      <c r="E503" s="298"/>
      <c r="F503" s="298"/>
      <c r="G503" s="300"/>
      <c r="H503" s="301" t="s">
        <v>113</v>
      </c>
      <c r="I503" s="302" t="s">
        <v>114</v>
      </c>
      <c r="J503" s="298"/>
      <c r="K503" s="298"/>
      <c r="L503" s="298"/>
      <c r="M503" s="291"/>
    </row>
    <row r="504" spans="1:13" ht="24" customHeight="1" thickTop="1">
      <c r="A504" s="304"/>
      <c r="B504" s="340"/>
      <c r="C504" s="305"/>
      <c r="D504" s="305"/>
      <c r="E504" s="304"/>
      <c r="F504" s="304"/>
      <c r="G504" s="307"/>
      <c r="H504" s="308"/>
      <c r="I504" s="308"/>
      <c r="J504" s="256" t="s">
        <v>132</v>
      </c>
      <c r="K504" s="257">
        <f>SUM(K484)</f>
        <v>2535953.5999999996</v>
      </c>
      <c r="L504" s="304"/>
      <c r="M504" s="291"/>
    </row>
    <row r="505" spans="1:13">
      <c r="A505" s="316">
        <v>161</v>
      </c>
      <c r="B505" s="310">
        <v>2553</v>
      </c>
      <c r="C505" s="311" t="s">
        <v>963</v>
      </c>
      <c r="D505" s="312" t="s">
        <v>265</v>
      </c>
      <c r="E505" s="313" t="s">
        <v>3</v>
      </c>
      <c r="F505" s="313">
        <v>12</v>
      </c>
      <c r="G505" s="313" t="s">
        <v>128</v>
      </c>
      <c r="H505" s="313">
        <v>1</v>
      </c>
      <c r="I505" s="314">
        <v>1</v>
      </c>
      <c r="J505" s="255">
        <v>2590</v>
      </c>
      <c r="K505" s="255">
        <f t="shared" ref="K505:K514" si="15">SUM(I505*J505)</f>
        <v>2590</v>
      </c>
      <c r="L505" s="327" t="s">
        <v>1337</v>
      </c>
      <c r="M505" s="291" t="s">
        <v>1032</v>
      </c>
    </row>
    <row r="506" spans="1:13">
      <c r="A506" s="316">
        <v>162</v>
      </c>
      <c r="B506" s="310">
        <v>2553</v>
      </c>
      <c r="C506" s="311" t="s">
        <v>981</v>
      </c>
      <c r="D506" s="312" t="s">
        <v>961</v>
      </c>
      <c r="E506" s="313" t="s">
        <v>2</v>
      </c>
      <c r="F506" s="313">
        <v>12</v>
      </c>
      <c r="G506" s="313" t="s">
        <v>128</v>
      </c>
      <c r="H506" s="313">
        <v>1</v>
      </c>
      <c r="I506" s="314">
        <v>1</v>
      </c>
      <c r="J506" s="255">
        <v>1100</v>
      </c>
      <c r="K506" s="255">
        <f t="shared" si="15"/>
        <v>1100</v>
      </c>
      <c r="L506" s="354" t="s">
        <v>1280</v>
      </c>
      <c r="M506" s="291" t="s">
        <v>1031</v>
      </c>
    </row>
    <row r="507" spans="1:13">
      <c r="A507" s="316">
        <v>163</v>
      </c>
      <c r="B507" s="310">
        <v>2553</v>
      </c>
      <c r="C507" s="311" t="s">
        <v>980</v>
      </c>
      <c r="D507" s="312" t="s">
        <v>701</v>
      </c>
      <c r="E507" s="313" t="s">
        <v>2</v>
      </c>
      <c r="F507" s="313">
        <v>12</v>
      </c>
      <c r="G507" s="313" t="s">
        <v>128</v>
      </c>
      <c r="H507" s="313">
        <v>1</v>
      </c>
      <c r="I507" s="314">
        <v>1</v>
      </c>
      <c r="J507" s="255">
        <v>2590</v>
      </c>
      <c r="K507" s="255">
        <f t="shared" si="15"/>
        <v>2590</v>
      </c>
      <c r="L507" s="354" t="s">
        <v>1328</v>
      </c>
      <c r="M507" s="291" t="s">
        <v>1031</v>
      </c>
    </row>
    <row r="508" spans="1:13">
      <c r="A508" s="316">
        <v>164</v>
      </c>
      <c r="B508" s="310">
        <v>2549</v>
      </c>
      <c r="C508" s="385" t="s">
        <v>993</v>
      </c>
      <c r="D508" s="373" t="s">
        <v>992</v>
      </c>
      <c r="E508" s="313" t="s">
        <v>98</v>
      </c>
      <c r="F508" s="313">
        <v>16</v>
      </c>
      <c r="G508" s="313" t="s">
        <v>383</v>
      </c>
      <c r="H508" s="313">
        <v>1</v>
      </c>
      <c r="I508" s="314">
        <v>1</v>
      </c>
      <c r="J508" s="255">
        <v>780</v>
      </c>
      <c r="K508" s="255">
        <f t="shared" si="15"/>
        <v>780</v>
      </c>
      <c r="L508" s="327" t="s">
        <v>1555</v>
      </c>
      <c r="M508" s="291" t="s">
        <v>1030</v>
      </c>
    </row>
    <row r="509" spans="1:13">
      <c r="A509" s="316">
        <v>165</v>
      </c>
      <c r="B509" s="310">
        <v>2553</v>
      </c>
      <c r="C509" s="362" t="s">
        <v>1001</v>
      </c>
      <c r="D509" s="362" t="s">
        <v>1000</v>
      </c>
      <c r="E509" s="313" t="s">
        <v>2</v>
      </c>
      <c r="F509" s="313">
        <v>12</v>
      </c>
      <c r="G509" s="313" t="s">
        <v>383</v>
      </c>
      <c r="H509" s="313">
        <v>1</v>
      </c>
      <c r="I509" s="314">
        <v>1</v>
      </c>
      <c r="J509" s="255">
        <v>1100</v>
      </c>
      <c r="K509" s="255">
        <f t="shared" si="15"/>
        <v>1100</v>
      </c>
      <c r="L509" s="327" t="s">
        <v>999</v>
      </c>
      <c r="M509" s="291" t="s">
        <v>1030</v>
      </c>
    </row>
    <row r="510" spans="1:13">
      <c r="A510" s="316">
        <v>166</v>
      </c>
      <c r="B510" s="310">
        <v>2553</v>
      </c>
      <c r="C510" s="386" t="s">
        <v>998</v>
      </c>
      <c r="D510" s="386" t="s">
        <v>701</v>
      </c>
      <c r="E510" s="313" t="s">
        <v>2</v>
      </c>
      <c r="F510" s="313">
        <v>12</v>
      </c>
      <c r="G510" s="313" t="s">
        <v>383</v>
      </c>
      <c r="H510" s="313">
        <v>1</v>
      </c>
      <c r="I510" s="314">
        <v>1</v>
      </c>
      <c r="J510" s="255">
        <v>2590</v>
      </c>
      <c r="K510" s="255">
        <f t="shared" si="15"/>
        <v>2590</v>
      </c>
      <c r="L510" s="327" t="s">
        <v>997</v>
      </c>
      <c r="M510" s="291" t="s">
        <v>1030</v>
      </c>
    </row>
    <row r="511" spans="1:13">
      <c r="A511" s="316">
        <v>167</v>
      </c>
      <c r="B511" s="310">
        <v>2553</v>
      </c>
      <c r="C511" s="386" t="s">
        <v>996</v>
      </c>
      <c r="D511" s="386" t="s">
        <v>1556</v>
      </c>
      <c r="E511" s="387" t="s">
        <v>2</v>
      </c>
      <c r="F511" s="313">
        <v>12</v>
      </c>
      <c r="G511" s="313" t="s">
        <v>383</v>
      </c>
      <c r="H511" s="313">
        <v>5</v>
      </c>
      <c r="I511" s="314">
        <v>5</v>
      </c>
      <c r="J511" s="255">
        <v>1000</v>
      </c>
      <c r="K511" s="255">
        <f t="shared" si="15"/>
        <v>5000</v>
      </c>
      <c r="L511" s="327" t="s">
        <v>1557</v>
      </c>
      <c r="M511" s="291" t="s">
        <v>1030</v>
      </c>
    </row>
    <row r="512" spans="1:13">
      <c r="A512" s="316">
        <v>168</v>
      </c>
      <c r="B512" s="310">
        <v>2553</v>
      </c>
      <c r="C512" s="386" t="s">
        <v>995</v>
      </c>
      <c r="D512" s="386" t="s">
        <v>994</v>
      </c>
      <c r="E512" s="313" t="s">
        <v>2</v>
      </c>
      <c r="F512" s="313">
        <v>12</v>
      </c>
      <c r="G512" s="313" t="s">
        <v>383</v>
      </c>
      <c r="H512" s="313">
        <v>5</v>
      </c>
      <c r="I512" s="314">
        <v>5</v>
      </c>
      <c r="J512" s="255">
        <v>2500</v>
      </c>
      <c r="K512" s="255">
        <f t="shared" si="15"/>
        <v>12500</v>
      </c>
      <c r="L512" s="327" t="s">
        <v>1557</v>
      </c>
      <c r="M512" s="291" t="s">
        <v>1030</v>
      </c>
    </row>
    <row r="513" spans="1:13">
      <c r="A513" s="316">
        <v>169</v>
      </c>
      <c r="B513" s="310">
        <v>2557</v>
      </c>
      <c r="C513" s="386" t="s">
        <v>1004</v>
      </c>
      <c r="D513" s="386" t="s">
        <v>1003</v>
      </c>
      <c r="E513" s="313" t="s">
        <v>739</v>
      </c>
      <c r="F513" s="313">
        <v>8</v>
      </c>
      <c r="G513" s="313" t="s">
        <v>383</v>
      </c>
      <c r="H513" s="313">
        <v>3</v>
      </c>
      <c r="I513" s="314">
        <v>3</v>
      </c>
      <c r="J513" s="255">
        <v>3590</v>
      </c>
      <c r="K513" s="255">
        <f t="shared" si="15"/>
        <v>10770</v>
      </c>
      <c r="L513" s="327" t="s">
        <v>1558</v>
      </c>
      <c r="M513" s="291" t="s">
        <v>1030</v>
      </c>
    </row>
    <row r="514" spans="1:13">
      <c r="A514" s="316">
        <v>170</v>
      </c>
      <c r="B514" s="329" t="s">
        <v>108</v>
      </c>
      <c r="C514" s="311" t="s">
        <v>1017</v>
      </c>
      <c r="D514" s="312" t="s">
        <v>1016</v>
      </c>
      <c r="E514" s="313" t="s">
        <v>2</v>
      </c>
      <c r="F514" s="313">
        <v>13</v>
      </c>
      <c r="G514" s="313" t="s">
        <v>128</v>
      </c>
      <c r="H514" s="313">
        <v>4</v>
      </c>
      <c r="I514" s="314">
        <v>3</v>
      </c>
      <c r="J514" s="255">
        <v>2800</v>
      </c>
      <c r="K514" s="255">
        <f t="shared" si="15"/>
        <v>8400</v>
      </c>
      <c r="L514" s="327" t="s">
        <v>1308</v>
      </c>
      <c r="M514" s="291" t="s">
        <v>1029</v>
      </c>
    </row>
    <row r="515" spans="1:13" ht="24" customHeight="1">
      <c r="A515" s="258"/>
      <c r="B515" s="258"/>
      <c r="C515" s="258"/>
      <c r="D515" s="258"/>
      <c r="E515" s="258"/>
      <c r="F515" s="258"/>
      <c r="G515" s="258"/>
      <c r="H515" s="258"/>
      <c r="I515" s="258"/>
      <c r="J515" s="254" t="s">
        <v>129</v>
      </c>
      <c r="K515" s="259">
        <f>SUM(K504:K514)</f>
        <v>2583373.5999999996</v>
      </c>
      <c r="L515" s="310"/>
      <c r="M515" s="291"/>
    </row>
    <row r="516" spans="1:13" ht="24" customHeight="1">
      <c r="A516" s="291"/>
      <c r="B516" s="331" t="s">
        <v>119</v>
      </c>
      <c r="C516" s="292" t="s">
        <v>120</v>
      </c>
      <c r="D516" s="291"/>
      <c r="E516" s="291"/>
      <c r="F516" s="291"/>
      <c r="G516" s="291"/>
      <c r="H516" s="332"/>
      <c r="I516" s="332"/>
      <c r="J516" s="291"/>
      <c r="K516" s="291"/>
      <c r="L516" s="253"/>
      <c r="M516" s="291"/>
    </row>
    <row r="517" spans="1:13" ht="24" customHeight="1">
      <c r="A517" s="291"/>
      <c r="B517" s="253"/>
      <c r="C517" s="292" t="s">
        <v>121</v>
      </c>
      <c r="D517" s="291"/>
      <c r="E517" s="291"/>
      <c r="F517" s="291"/>
      <c r="G517" s="291"/>
      <c r="H517" s="332"/>
      <c r="I517" s="332"/>
      <c r="J517" s="291"/>
      <c r="K517" s="291"/>
      <c r="L517" s="253"/>
      <c r="M517" s="291"/>
    </row>
    <row r="518" spans="1:13" ht="24" customHeight="1">
      <c r="A518" s="291"/>
      <c r="B518" s="253"/>
      <c r="C518" s="292"/>
      <c r="D518" s="291"/>
      <c r="E518" s="291"/>
      <c r="F518" s="291"/>
      <c r="G518" s="337" t="s">
        <v>148</v>
      </c>
      <c r="H518" s="338" t="s">
        <v>149</v>
      </c>
      <c r="I518" s="338"/>
      <c r="J518" s="338"/>
      <c r="K518" s="339" t="s">
        <v>150</v>
      </c>
      <c r="L518" s="339"/>
      <c r="M518" s="291"/>
    </row>
    <row r="519" spans="1:13" ht="21" customHeight="1">
      <c r="A519" s="291"/>
      <c r="B519" s="253"/>
      <c r="C519" s="292"/>
      <c r="D519" s="291"/>
      <c r="E519" s="291"/>
      <c r="F519" s="291"/>
      <c r="G519" s="339"/>
      <c r="H519" s="338" t="s">
        <v>1549</v>
      </c>
      <c r="I519" s="338"/>
      <c r="J519" s="338"/>
      <c r="K519" s="339"/>
      <c r="L519" s="339"/>
      <c r="M519" s="291"/>
    </row>
    <row r="520" spans="1:13" ht="36" customHeight="1">
      <c r="A520" s="291"/>
      <c r="B520" s="253"/>
      <c r="C520" s="292"/>
      <c r="D520" s="291"/>
      <c r="E520" s="291"/>
      <c r="F520" s="291"/>
      <c r="G520" s="337" t="s">
        <v>148</v>
      </c>
      <c r="H520" s="338" t="s">
        <v>149</v>
      </c>
      <c r="I520" s="338"/>
      <c r="J520" s="338"/>
      <c r="K520" s="339" t="s">
        <v>151</v>
      </c>
      <c r="L520" s="339"/>
      <c r="M520" s="291"/>
    </row>
    <row r="521" spans="1:13" ht="20.25" customHeight="1">
      <c r="A521" s="291"/>
      <c r="B521" s="253"/>
      <c r="C521" s="292"/>
      <c r="D521" s="291"/>
      <c r="E521" s="291"/>
      <c r="F521" s="291"/>
      <c r="G521" s="339"/>
      <c r="H521" s="338" t="s">
        <v>154</v>
      </c>
      <c r="I521" s="338"/>
      <c r="J521" s="338"/>
      <c r="K521" s="339"/>
      <c r="L521" s="339"/>
      <c r="M521" s="291"/>
    </row>
    <row r="522" spans="1:13" ht="33.75" customHeight="1">
      <c r="A522" s="291"/>
      <c r="B522" s="253"/>
      <c r="C522" s="292"/>
      <c r="D522" s="291"/>
      <c r="E522" s="291"/>
      <c r="F522" s="291"/>
      <c r="G522" s="337" t="s">
        <v>148</v>
      </c>
      <c r="H522" s="338" t="s">
        <v>149</v>
      </c>
      <c r="I522" s="338"/>
      <c r="J522" s="338"/>
      <c r="K522" s="339" t="s">
        <v>151</v>
      </c>
      <c r="L522" s="336"/>
      <c r="M522" s="291"/>
    </row>
    <row r="523" spans="1:13" ht="21" customHeight="1">
      <c r="A523" s="291"/>
      <c r="B523" s="253"/>
      <c r="C523" s="292"/>
      <c r="D523" s="291"/>
      <c r="E523" s="291"/>
      <c r="F523" s="291"/>
      <c r="G523" s="339"/>
      <c r="H523" s="338" t="s">
        <v>155</v>
      </c>
      <c r="I523" s="338"/>
      <c r="J523" s="338"/>
      <c r="K523" s="339"/>
      <c r="L523" s="336"/>
      <c r="M523" s="291"/>
    </row>
    <row r="524" spans="1:13" ht="34.5" customHeight="1">
      <c r="A524" s="291"/>
      <c r="B524" s="253"/>
      <c r="C524" s="292"/>
      <c r="D524" s="291"/>
      <c r="E524" s="291"/>
      <c r="F524" s="291"/>
      <c r="G524" s="337" t="s">
        <v>148</v>
      </c>
      <c r="H524" s="338" t="s">
        <v>149</v>
      </c>
      <c r="I524" s="338"/>
      <c r="J524" s="338"/>
      <c r="K524" s="339" t="s">
        <v>151</v>
      </c>
      <c r="L524" s="336"/>
      <c r="M524" s="291"/>
    </row>
    <row r="525" spans="1:13" ht="21" customHeight="1">
      <c r="A525" s="291"/>
      <c r="B525" s="253"/>
      <c r="C525" s="292"/>
      <c r="D525" s="291"/>
      <c r="E525" s="291"/>
      <c r="F525" s="291"/>
      <c r="G525" s="339"/>
      <c r="H525" s="338" t="s">
        <v>156</v>
      </c>
      <c r="I525" s="338"/>
      <c r="J525" s="338"/>
      <c r="K525" s="339"/>
      <c r="L525" s="336"/>
      <c r="M525" s="291"/>
    </row>
    <row r="526" spans="1:13" ht="32.25" customHeight="1">
      <c r="A526" s="291"/>
      <c r="B526" s="253"/>
      <c r="C526" s="292"/>
      <c r="D526" s="291"/>
      <c r="E526" s="291"/>
      <c r="F526" s="291"/>
      <c r="G526" s="337" t="s">
        <v>148</v>
      </c>
      <c r="H526" s="338" t="s">
        <v>149</v>
      </c>
      <c r="I526" s="338"/>
      <c r="J526" s="338"/>
      <c r="K526" s="336" t="s">
        <v>152</v>
      </c>
      <c r="L526" s="336"/>
      <c r="M526" s="291"/>
    </row>
    <row r="527" spans="1:13" ht="24" customHeight="1">
      <c r="A527" s="291"/>
      <c r="B527" s="253"/>
      <c r="C527" s="292"/>
      <c r="D527" s="291"/>
      <c r="E527" s="291"/>
      <c r="F527" s="291"/>
      <c r="G527" s="336"/>
      <c r="H527" s="338" t="s">
        <v>157</v>
      </c>
      <c r="I527" s="338"/>
      <c r="J527" s="338"/>
      <c r="K527" s="336"/>
      <c r="L527" s="336"/>
      <c r="M527" s="291"/>
    </row>
    <row r="528" spans="1:13" ht="24" customHeight="1">
      <c r="A528" s="291"/>
      <c r="B528" s="253"/>
      <c r="C528" s="292"/>
      <c r="D528" s="291"/>
      <c r="E528" s="291"/>
      <c r="F528" s="291"/>
      <c r="G528" s="336"/>
      <c r="H528" s="333"/>
      <c r="I528" s="333"/>
      <c r="J528" s="333"/>
      <c r="K528" s="336"/>
      <c r="L528" s="336"/>
      <c r="M528" s="291"/>
    </row>
    <row r="529" spans="1:13" ht="24" customHeight="1">
      <c r="A529" s="291"/>
      <c r="B529" s="253"/>
      <c r="C529" s="292"/>
      <c r="D529" s="291"/>
      <c r="E529" s="291"/>
      <c r="F529" s="291"/>
      <c r="G529" s="291"/>
      <c r="H529" s="291"/>
      <c r="I529" s="291"/>
      <c r="J529" s="291"/>
      <c r="K529" s="291"/>
      <c r="L529" s="253" t="s">
        <v>821</v>
      </c>
      <c r="M529" s="291"/>
    </row>
    <row r="530" spans="1:13" ht="24" customHeight="1">
      <c r="A530" s="265" t="s">
        <v>158</v>
      </c>
      <c r="B530" s="265"/>
      <c r="C530" s="265"/>
      <c r="D530" s="265"/>
      <c r="E530" s="265"/>
      <c r="F530" s="265"/>
      <c r="G530" s="265"/>
      <c r="H530" s="265"/>
      <c r="I530" s="265"/>
      <c r="J530" s="265"/>
      <c r="K530" s="265"/>
      <c r="L530" s="265"/>
      <c r="M530" s="291"/>
    </row>
    <row r="531" spans="1:13" ht="24" customHeight="1">
      <c r="A531" s="266" t="s">
        <v>160</v>
      </c>
      <c r="B531" s="266"/>
      <c r="C531" s="266"/>
      <c r="D531" s="266"/>
      <c r="E531" s="266"/>
      <c r="F531" s="266"/>
      <c r="G531" s="266"/>
      <c r="H531" s="266"/>
      <c r="I531" s="266"/>
      <c r="J531" s="266"/>
      <c r="K531" s="266"/>
      <c r="L531" s="266"/>
      <c r="M531" s="291"/>
    </row>
    <row r="532" spans="1:13" ht="24" customHeight="1" thickBot="1">
      <c r="A532" s="267" t="s">
        <v>161</v>
      </c>
      <c r="B532" s="267"/>
      <c r="C532" s="267"/>
      <c r="D532" s="267"/>
      <c r="E532" s="267"/>
      <c r="F532" s="267"/>
      <c r="G532" s="267"/>
      <c r="H532" s="267"/>
      <c r="I532" s="267"/>
      <c r="J532" s="267"/>
      <c r="K532" s="267"/>
      <c r="L532" s="267"/>
      <c r="M532" s="291"/>
    </row>
    <row r="533" spans="1:13" ht="24" customHeight="1" thickTop="1">
      <c r="A533" s="388" t="s">
        <v>103</v>
      </c>
      <c r="B533" s="388" t="s">
        <v>122</v>
      </c>
      <c r="C533" s="388" t="s">
        <v>124</v>
      </c>
      <c r="D533" s="389" t="s">
        <v>0</v>
      </c>
      <c r="E533" s="388" t="s">
        <v>109</v>
      </c>
      <c r="F533" s="388" t="s">
        <v>110</v>
      </c>
      <c r="G533" s="390" t="s">
        <v>111</v>
      </c>
      <c r="H533" s="389" t="s">
        <v>1</v>
      </c>
      <c r="I533" s="389"/>
      <c r="J533" s="388" t="s">
        <v>125</v>
      </c>
      <c r="K533" s="388" t="s">
        <v>104</v>
      </c>
      <c r="L533" s="388" t="s">
        <v>112</v>
      </c>
      <c r="M533" s="291"/>
    </row>
    <row r="534" spans="1:13" ht="45.75" customHeight="1" thickBot="1">
      <c r="A534" s="391"/>
      <c r="B534" s="391"/>
      <c r="C534" s="391"/>
      <c r="D534" s="392"/>
      <c r="E534" s="391"/>
      <c r="F534" s="391"/>
      <c r="G534" s="393"/>
      <c r="H534" s="301" t="s">
        <v>113</v>
      </c>
      <c r="I534" s="302" t="s">
        <v>114</v>
      </c>
      <c r="J534" s="391"/>
      <c r="K534" s="391"/>
      <c r="L534" s="391"/>
      <c r="M534" s="291"/>
    </row>
    <row r="535" spans="1:13" ht="24" customHeight="1" thickTop="1">
      <c r="A535" s="304"/>
      <c r="B535" s="340"/>
      <c r="C535" s="305"/>
      <c r="D535" s="305"/>
      <c r="E535" s="304"/>
      <c r="F535" s="304"/>
      <c r="G535" s="307"/>
      <c r="H535" s="308"/>
      <c r="I535" s="308"/>
      <c r="J535" s="256" t="s">
        <v>132</v>
      </c>
      <c r="K535" s="257">
        <f>SUM(K515)</f>
        <v>2583373.5999999996</v>
      </c>
      <c r="L535" s="304"/>
      <c r="M535" s="291"/>
    </row>
    <row r="536" spans="1:13">
      <c r="A536" s="316">
        <v>171</v>
      </c>
      <c r="B536" s="310">
        <v>2553</v>
      </c>
      <c r="C536" s="311" t="s">
        <v>1021</v>
      </c>
      <c r="D536" s="312" t="s">
        <v>1020</v>
      </c>
      <c r="E536" s="313" t="s">
        <v>3</v>
      </c>
      <c r="F536" s="313">
        <v>12</v>
      </c>
      <c r="G536" s="313" t="s">
        <v>128</v>
      </c>
      <c r="H536" s="313">
        <v>1</v>
      </c>
      <c r="I536" s="314">
        <v>1</v>
      </c>
      <c r="J536" s="255">
        <v>1700</v>
      </c>
      <c r="K536" s="255">
        <f t="shared" ref="K536:K543" si="16">SUM(I536*J536)</f>
        <v>1700</v>
      </c>
      <c r="L536" s="327" t="s">
        <v>1309</v>
      </c>
      <c r="M536" s="291" t="s">
        <v>1029</v>
      </c>
    </row>
    <row r="537" spans="1:13">
      <c r="A537" s="316">
        <v>172</v>
      </c>
      <c r="B537" s="310">
        <v>2553</v>
      </c>
      <c r="C537" s="311" t="s">
        <v>1019</v>
      </c>
      <c r="D537" s="312" t="s">
        <v>1018</v>
      </c>
      <c r="E537" s="313" t="s">
        <v>2</v>
      </c>
      <c r="F537" s="313">
        <v>12</v>
      </c>
      <c r="G537" s="313" t="s">
        <v>128</v>
      </c>
      <c r="H537" s="313">
        <v>1</v>
      </c>
      <c r="I537" s="314">
        <v>1</v>
      </c>
      <c r="J537" s="255">
        <v>1800</v>
      </c>
      <c r="K537" s="255">
        <f t="shared" si="16"/>
        <v>1800</v>
      </c>
      <c r="L537" s="327" t="s">
        <v>1310</v>
      </c>
      <c r="M537" s="291" t="s">
        <v>1029</v>
      </c>
    </row>
    <row r="538" spans="1:13">
      <c r="A538" s="316">
        <v>173</v>
      </c>
      <c r="B538" s="310">
        <v>2553</v>
      </c>
      <c r="C538" s="311" t="s">
        <v>1023</v>
      </c>
      <c r="D538" s="312" t="s">
        <v>736</v>
      </c>
      <c r="E538" s="313" t="s">
        <v>2</v>
      </c>
      <c r="F538" s="313">
        <v>12</v>
      </c>
      <c r="G538" s="313" t="s">
        <v>128</v>
      </c>
      <c r="H538" s="313">
        <v>2</v>
      </c>
      <c r="I538" s="314">
        <v>2</v>
      </c>
      <c r="J538" s="255">
        <v>1150</v>
      </c>
      <c r="K538" s="255">
        <f t="shared" si="16"/>
        <v>2300</v>
      </c>
      <c r="L538" s="327" t="s">
        <v>1311</v>
      </c>
      <c r="M538" s="291" t="s">
        <v>1029</v>
      </c>
    </row>
    <row r="539" spans="1:13">
      <c r="A539" s="316">
        <v>174</v>
      </c>
      <c r="B539" s="310">
        <v>2553</v>
      </c>
      <c r="C539" s="311" t="s">
        <v>1022</v>
      </c>
      <c r="D539" s="312" t="s">
        <v>701</v>
      </c>
      <c r="E539" s="313" t="s">
        <v>2</v>
      </c>
      <c r="F539" s="313">
        <v>12</v>
      </c>
      <c r="G539" s="313" t="s">
        <v>128</v>
      </c>
      <c r="H539" s="313">
        <v>1</v>
      </c>
      <c r="I539" s="314">
        <v>1</v>
      </c>
      <c r="J539" s="255">
        <v>2590</v>
      </c>
      <c r="K539" s="255">
        <f t="shared" si="16"/>
        <v>2590</v>
      </c>
      <c r="L539" s="327" t="s">
        <v>1312</v>
      </c>
      <c r="M539" s="291" t="s">
        <v>1029</v>
      </c>
    </row>
    <row r="540" spans="1:13">
      <c r="A540" s="316">
        <v>175</v>
      </c>
      <c r="B540" s="329" t="s">
        <v>138</v>
      </c>
      <c r="C540" s="353" t="s">
        <v>1045</v>
      </c>
      <c r="D540" s="375" t="s">
        <v>858</v>
      </c>
      <c r="E540" s="313" t="s">
        <v>2</v>
      </c>
      <c r="F540" s="314">
        <v>12</v>
      </c>
      <c r="G540" s="255">
        <v>0</v>
      </c>
      <c r="H540" s="314">
        <v>1</v>
      </c>
      <c r="I540" s="314">
        <v>1</v>
      </c>
      <c r="J540" s="255">
        <v>3700</v>
      </c>
      <c r="K540" s="255">
        <f t="shared" si="16"/>
        <v>3700</v>
      </c>
      <c r="L540" s="327" t="s">
        <v>1044</v>
      </c>
      <c r="M540" s="291" t="s">
        <v>1041</v>
      </c>
    </row>
    <row r="541" spans="1:13">
      <c r="A541" s="316">
        <v>176</v>
      </c>
      <c r="B541" s="329" t="s">
        <v>138</v>
      </c>
      <c r="C541" s="368" t="s">
        <v>1043</v>
      </c>
      <c r="D541" s="368" t="s">
        <v>701</v>
      </c>
      <c r="E541" s="313" t="s">
        <v>2</v>
      </c>
      <c r="F541" s="310">
        <v>12</v>
      </c>
      <c r="G541" s="254">
        <v>0</v>
      </c>
      <c r="H541" s="314">
        <v>1</v>
      </c>
      <c r="I541" s="314">
        <v>1</v>
      </c>
      <c r="J541" s="255">
        <v>2590</v>
      </c>
      <c r="K541" s="255">
        <f t="shared" si="16"/>
        <v>2590</v>
      </c>
      <c r="L541" s="327" t="s">
        <v>1042</v>
      </c>
      <c r="M541" s="291" t="s">
        <v>1041</v>
      </c>
    </row>
    <row r="542" spans="1:13">
      <c r="A542" s="316">
        <v>177</v>
      </c>
      <c r="B542" s="329" t="s">
        <v>138</v>
      </c>
      <c r="C542" s="368" t="s">
        <v>1050</v>
      </c>
      <c r="D542" s="368" t="s">
        <v>858</v>
      </c>
      <c r="E542" s="313" t="s">
        <v>2</v>
      </c>
      <c r="F542" s="310">
        <v>12</v>
      </c>
      <c r="G542" s="254">
        <v>0</v>
      </c>
      <c r="H542" s="314">
        <v>1</v>
      </c>
      <c r="I542" s="314">
        <v>1</v>
      </c>
      <c r="J542" s="255">
        <v>3700</v>
      </c>
      <c r="K542" s="255">
        <f t="shared" si="16"/>
        <v>3700</v>
      </c>
      <c r="L542" s="327" t="s">
        <v>1472</v>
      </c>
      <c r="M542" s="291" t="s">
        <v>1049</v>
      </c>
    </row>
    <row r="543" spans="1:13">
      <c r="A543" s="316">
        <v>178</v>
      </c>
      <c r="B543" s="329" t="s">
        <v>138</v>
      </c>
      <c r="C543" s="368" t="s">
        <v>1051</v>
      </c>
      <c r="D543" s="368" t="s">
        <v>701</v>
      </c>
      <c r="E543" s="313" t="s">
        <v>2</v>
      </c>
      <c r="F543" s="310">
        <v>12</v>
      </c>
      <c r="G543" s="254">
        <v>0</v>
      </c>
      <c r="H543" s="314">
        <v>1</v>
      </c>
      <c r="I543" s="314">
        <v>1</v>
      </c>
      <c r="J543" s="255">
        <v>2590</v>
      </c>
      <c r="K543" s="255">
        <f t="shared" si="16"/>
        <v>2590</v>
      </c>
      <c r="L543" s="327" t="s">
        <v>1471</v>
      </c>
      <c r="M543" s="291" t="s">
        <v>1049</v>
      </c>
    </row>
    <row r="544" spans="1:13">
      <c r="A544" s="316">
        <v>179</v>
      </c>
      <c r="B544" s="394" t="s">
        <v>105</v>
      </c>
      <c r="C544" s="362" t="s">
        <v>1067</v>
      </c>
      <c r="D544" s="395" t="s">
        <v>1066</v>
      </c>
      <c r="E544" s="396" t="s">
        <v>2</v>
      </c>
      <c r="F544" s="396">
        <v>26</v>
      </c>
      <c r="G544" s="396" t="s">
        <v>1561</v>
      </c>
      <c r="H544" s="396">
        <v>1</v>
      </c>
      <c r="I544" s="396">
        <v>1</v>
      </c>
      <c r="J544" s="397">
        <v>900</v>
      </c>
      <c r="K544" s="397">
        <f t="shared" ref="K544" si="17">SUM(I544*J544)</f>
        <v>900</v>
      </c>
      <c r="L544" s="398" t="s">
        <v>213</v>
      </c>
      <c r="M544" s="399" t="s">
        <v>1063</v>
      </c>
    </row>
    <row r="545" spans="1:13" s="261" customFormat="1" ht="24" customHeight="1">
      <c r="A545" s="316">
        <v>180</v>
      </c>
      <c r="B545" s="316">
        <v>2540</v>
      </c>
      <c r="C545" s="362" t="s">
        <v>1065</v>
      </c>
      <c r="D545" s="395" t="s">
        <v>1064</v>
      </c>
      <c r="E545" s="396" t="s">
        <v>2</v>
      </c>
      <c r="F545" s="396">
        <v>25</v>
      </c>
      <c r="G545" s="396" t="s">
        <v>1561</v>
      </c>
      <c r="H545" s="396">
        <v>2</v>
      </c>
      <c r="I545" s="396">
        <v>2</v>
      </c>
      <c r="J545" s="397">
        <v>2250</v>
      </c>
      <c r="K545" s="397">
        <f>SUM(I545*J545)</f>
        <v>4500</v>
      </c>
      <c r="L545" s="398" t="s">
        <v>1315</v>
      </c>
      <c r="M545" s="399" t="s">
        <v>1063</v>
      </c>
    </row>
    <row r="546" spans="1:13" ht="24" customHeight="1">
      <c r="A546" s="258"/>
      <c r="B546" s="258"/>
      <c r="C546" s="258"/>
      <c r="D546" s="258"/>
      <c r="E546" s="258"/>
      <c r="F546" s="258"/>
      <c r="G546" s="258"/>
      <c r="H546" s="258"/>
      <c r="I546" s="258"/>
      <c r="J546" s="254" t="s">
        <v>129</v>
      </c>
      <c r="K546" s="259">
        <f ca="1">SUM(K535:K566)</f>
        <v>2596088.5999999996</v>
      </c>
      <c r="L546" s="310"/>
      <c r="M546" s="291"/>
    </row>
    <row r="547" spans="1:13" ht="24" customHeight="1">
      <c r="A547" s="291"/>
      <c r="B547" s="331" t="s">
        <v>119</v>
      </c>
      <c r="C547" s="292" t="s">
        <v>120</v>
      </c>
      <c r="D547" s="291"/>
      <c r="E547" s="291"/>
      <c r="F547" s="291"/>
      <c r="G547" s="291"/>
      <c r="H547" s="332"/>
      <c r="I547" s="332"/>
      <c r="J547" s="291"/>
      <c r="K547" s="291"/>
      <c r="L547" s="253"/>
      <c r="M547" s="291"/>
    </row>
    <row r="548" spans="1:13" ht="24" customHeight="1">
      <c r="A548" s="291"/>
      <c r="B548" s="253"/>
      <c r="C548" s="292" t="s">
        <v>121</v>
      </c>
      <c r="D548" s="291"/>
      <c r="E548" s="291"/>
      <c r="F548" s="291"/>
      <c r="G548" s="291"/>
      <c r="H548" s="332"/>
      <c r="I548" s="332"/>
      <c r="J548" s="291"/>
      <c r="K548" s="291"/>
      <c r="L548" s="253"/>
      <c r="M548" s="291"/>
    </row>
    <row r="549" spans="1:13" ht="24" customHeight="1">
      <c r="A549" s="291"/>
      <c r="B549" s="253"/>
      <c r="C549" s="292"/>
      <c r="D549" s="291"/>
      <c r="E549" s="291"/>
      <c r="F549" s="291"/>
      <c r="G549" s="337" t="s">
        <v>148</v>
      </c>
      <c r="H549" s="338" t="s">
        <v>149</v>
      </c>
      <c r="I549" s="338"/>
      <c r="J549" s="338"/>
      <c r="K549" s="339" t="s">
        <v>150</v>
      </c>
      <c r="L549" s="339"/>
      <c r="M549" s="291"/>
    </row>
    <row r="550" spans="1:13" ht="21" customHeight="1">
      <c r="A550" s="291"/>
      <c r="B550" s="253"/>
      <c r="C550" s="292"/>
      <c r="D550" s="291"/>
      <c r="E550" s="291"/>
      <c r="F550" s="291"/>
      <c r="G550" s="339"/>
      <c r="H550" s="338" t="s">
        <v>1549</v>
      </c>
      <c r="I550" s="338"/>
      <c r="J550" s="338"/>
      <c r="K550" s="339"/>
      <c r="L550" s="339"/>
      <c r="M550" s="291"/>
    </row>
    <row r="551" spans="1:13" ht="34.5" customHeight="1">
      <c r="A551" s="291"/>
      <c r="B551" s="253"/>
      <c r="C551" s="292"/>
      <c r="D551" s="291"/>
      <c r="E551" s="291"/>
      <c r="F551" s="291"/>
      <c r="G551" s="337" t="s">
        <v>148</v>
      </c>
      <c r="H551" s="338" t="s">
        <v>149</v>
      </c>
      <c r="I551" s="338"/>
      <c r="J551" s="338"/>
      <c r="K551" s="339" t="s">
        <v>151</v>
      </c>
      <c r="L551" s="339"/>
      <c r="M551" s="291"/>
    </row>
    <row r="552" spans="1:13" ht="20.25" customHeight="1">
      <c r="A552" s="291"/>
      <c r="B552" s="253"/>
      <c r="C552" s="292"/>
      <c r="D552" s="291"/>
      <c r="E552" s="291"/>
      <c r="F552" s="291"/>
      <c r="G552" s="339"/>
      <c r="H552" s="338" t="s">
        <v>154</v>
      </c>
      <c r="I552" s="338"/>
      <c r="J552" s="338"/>
      <c r="K552" s="339"/>
      <c r="L552" s="339"/>
      <c r="M552" s="291"/>
    </row>
    <row r="553" spans="1:13" ht="33" customHeight="1">
      <c r="A553" s="291"/>
      <c r="B553" s="253"/>
      <c r="C553" s="292"/>
      <c r="D553" s="291"/>
      <c r="E553" s="291"/>
      <c r="F553" s="291"/>
      <c r="G553" s="337" t="s">
        <v>148</v>
      </c>
      <c r="H553" s="338" t="s">
        <v>149</v>
      </c>
      <c r="I553" s="338"/>
      <c r="J553" s="338"/>
      <c r="K553" s="339" t="s">
        <v>151</v>
      </c>
      <c r="L553" s="336"/>
      <c r="M553" s="291"/>
    </row>
    <row r="554" spans="1:13" ht="21" customHeight="1">
      <c r="A554" s="291"/>
      <c r="B554" s="253"/>
      <c r="C554" s="292"/>
      <c r="D554" s="291"/>
      <c r="E554" s="291"/>
      <c r="F554" s="291"/>
      <c r="G554" s="339"/>
      <c r="H554" s="338" t="s">
        <v>155</v>
      </c>
      <c r="I554" s="338"/>
      <c r="J554" s="338"/>
      <c r="K554" s="339"/>
      <c r="L554" s="336"/>
      <c r="M554" s="291"/>
    </row>
    <row r="555" spans="1:13" ht="34.5" customHeight="1">
      <c r="A555" s="291"/>
      <c r="B555" s="253"/>
      <c r="C555" s="292"/>
      <c r="D555" s="291"/>
      <c r="E555" s="291"/>
      <c r="F555" s="291"/>
      <c r="G555" s="337" t="s">
        <v>148</v>
      </c>
      <c r="H555" s="338" t="s">
        <v>149</v>
      </c>
      <c r="I555" s="338"/>
      <c r="J555" s="338"/>
      <c r="K555" s="339" t="s">
        <v>151</v>
      </c>
      <c r="L555" s="336"/>
      <c r="M555" s="291"/>
    </row>
    <row r="556" spans="1:13" ht="21" customHeight="1">
      <c r="A556" s="291"/>
      <c r="B556" s="253"/>
      <c r="C556" s="292"/>
      <c r="D556" s="291"/>
      <c r="E556" s="291"/>
      <c r="F556" s="291"/>
      <c r="G556" s="339"/>
      <c r="H556" s="338" t="s">
        <v>156</v>
      </c>
      <c r="I556" s="338"/>
      <c r="J556" s="338"/>
      <c r="K556" s="339"/>
      <c r="L556" s="336"/>
      <c r="M556" s="291"/>
    </row>
    <row r="557" spans="1:13" ht="32.25" customHeight="1">
      <c r="A557" s="291"/>
      <c r="B557" s="253"/>
      <c r="C557" s="292"/>
      <c r="D557" s="291"/>
      <c r="E557" s="291"/>
      <c r="F557" s="291"/>
      <c r="G557" s="337" t="s">
        <v>148</v>
      </c>
      <c r="H557" s="338" t="s">
        <v>149</v>
      </c>
      <c r="I557" s="338"/>
      <c r="J557" s="338"/>
      <c r="K557" s="336" t="s">
        <v>152</v>
      </c>
      <c r="L557" s="336"/>
      <c r="M557" s="291"/>
    </row>
    <row r="558" spans="1:13" ht="24" customHeight="1">
      <c r="A558" s="291"/>
      <c r="B558" s="253"/>
      <c r="C558" s="292"/>
      <c r="D558" s="291"/>
      <c r="E558" s="291"/>
      <c r="F558" s="291"/>
      <c r="G558" s="336"/>
      <c r="H558" s="338" t="s">
        <v>157</v>
      </c>
      <c r="I558" s="338"/>
      <c r="J558" s="338"/>
      <c r="K558" s="336"/>
      <c r="L558" s="336"/>
      <c r="M558" s="291"/>
    </row>
    <row r="559" spans="1:13" ht="24" customHeight="1">
      <c r="A559" s="291"/>
      <c r="B559" s="253"/>
      <c r="C559" s="292"/>
      <c r="D559" s="291"/>
      <c r="E559" s="291"/>
      <c r="F559" s="291"/>
      <c r="G559" s="336"/>
      <c r="H559" s="333"/>
      <c r="I559" s="333"/>
      <c r="J559" s="333"/>
      <c r="K559" s="336"/>
      <c r="L559" s="336"/>
      <c r="M559" s="291"/>
    </row>
    <row r="560" spans="1:13" ht="24" customHeight="1">
      <c r="A560" s="291"/>
      <c r="B560" s="253"/>
      <c r="C560" s="292"/>
      <c r="D560" s="291"/>
      <c r="E560" s="291"/>
      <c r="F560" s="291"/>
      <c r="G560" s="291"/>
      <c r="H560" s="291"/>
      <c r="I560" s="291"/>
      <c r="J560" s="291"/>
      <c r="K560" s="291"/>
      <c r="L560" s="253" t="s">
        <v>822</v>
      </c>
      <c r="M560" s="291"/>
    </row>
    <row r="561" spans="1:13" ht="24" customHeight="1">
      <c r="A561" s="265" t="s">
        <v>158</v>
      </c>
      <c r="B561" s="265"/>
      <c r="C561" s="265"/>
      <c r="D561" s="265"/>
      <c r="E561" s="265"/>
      <c r="F561" s="265"/>
      <c r="G561" s="265"/>
      <c r="H561" s="265"/>
      <c r="I561" s="265"/>
      <c r="J561" s="265"/>
      <c r="K561" s="265"/>
      <c r="L561" s="265"/>
      <c r="M561" s="291"/>
    </row>
    <row r="562" spans="1:13" ht="24" customHeight="1">
      <c r="A562" s="266" t="s">
        <v>160</v>
      </c>
      <c r="B562" s="266"/>
      <c r="C562" s="266"/>
      <c r="D562" s="266"/>
      <c r="E562" s="266"/>
      <c r="F562" s="266"/>
      <c r="G562" s="266"/>
      <c r="H562" s="266"/>
      <c r="I562" s="266"/>
      <c r="J562" s="266"/>
      <c r="K562" s="266"/>
      <c r="L562" s="266"/>
      <c r="M562" s="291"/>
    </row>
    <row r="563" spans="1:13" ht="24" customHeight="1" thickBot="1">
      <c r="A563" s="267" t="s">
        <v>161</v>
      </c>
      <c r="B563" s="267"/>
      <c r="C563" s="267"/>
      <c r="D563" s="267"/>
      <c r="E563" s="267"/>
      <c r="F563" s="267"/>
      <c r="G563" s="267"/>
      <c r="H563" s="267"/>
      <c r="I563" s="267"/>
      <c r="J563" s="267"/>
      <c r="K563" s="267"/>
      <c r="L563" s="267"/>
      <c r="M563" s="291"/>
    </row>
    <row r="564" spans="1:13" ht="24" customHeight="1" thickTop="1">
      <c r="A564" s="293" t="s">
        <v>103</v>
      </c>
      <c r="B564" s="293" t="s">
        <v>122</v>
      </c>
      <c r="C564" s="293" t="s">
        <v>124</v>
      </c>
      <c r="D564" s="294" t="s">
        <v>0</v>
      </c>
      <c r="E564" s="293" t="s">
        <v>109</v>
      </c>
      <c r="F564" s="293" t="s">
        <v>110</v>
      </c>
      <c r="G564" s="295" t="s">
        <v>111</v>
      </c>
      <c r="H564" s="296" t="s">
        <v>1</v>
      </c>
      <c r="I564" s="297"/>
      <c r="J564" s="293" t="s">
        <v>125</v>
      </c>
      <c r="K564" s="293" t="s">
        <v>104</v>
      </c>
      <c r="L564" s="293" t="s">
        <v>112</v>
      </c>
      <c r="M564" s="291"/>
    </row>
    <row r="565" spans="1:13" ht="45.75" customHeight="1" thickBot="1">
      <c r="A565" s="298"/>
      <c r="B565" s="298"/>
      <c r="C565" s="298"/>
      <c r="D565" s="299"/>
      <c r="E565" s="298"/>
      <c r="F565" s="298"/>
      <c r="G565" s="300"/>
      <c r="H565" s="301" t="s">
        <v>113</v>
      </c>
      <c r="I565" s="302" t="s">
        <v>114</v>
      </c>
      <c r="J565" s="298"/>
      <c r="K565" s="298"/>
      <c r="L565" s="298"/>
      <c r="M565" s="291"/>
    </row>
    <row r="566" spans="1:13" ht="24" customHeight="1" thickTop="1">
      <c r="A566" s="304"/>
      <c r="B566" s="340"/>
      <c r="C566" s="305"/>
      <c r="D566" s="305"/>
      <c r="E566" s="304"/>
      <c r="F566" s="304"/>
      <c r="G566" s="307"/>
      <c r="H566" s="308"/>
      <c r="I566" s="308"/>
      <c r="J566" s="256" t="s">
        <v>132</v>
      </c>
      <c r="K566" s="257">
        <f ca="1">SUM(K546)</f>
        <v>2596088.5999999996</v>
      </c>
      <c r="L566" s="304"/>
      <c r="M566" s="291"/>
    </row>
    <row r="567" spans="1:13" s="261" customFormat="1" ht="24" customHeight="1">
      <c r="A567" s="316">
        <v>181</v>
      </c>
      <c r="B567" s="316">
        <v>2544</v>
      </c>
      <c r="C567" s="362" t="s">
        <v>1069</v>
      </c>
      <c r="D567" s="395" t="s">
        <v>1068</v>
      </c>
      <c r="E567" s="396" t="s">
        <v>3</v>
      </c>
      <c r="F567" s="396">
        <v>21</v>
      </c>
      <c r="G567" s="396" t="s">
        <v>1561</v>
      </c>
      <c r="H567" s="396">
        <v>2</v>
      </c>
      <c r="I567" s="396">
        <v>2</v>
      </c>
      <c r="J567" s="397">
        <v>1650</v>
      </c>
      <c r="K567" s="397">
        <f t="shared" ref="K567:K576" si="18">SUM(I567*J567)</f>
        <v>3300</v>
      </c>
      <c r="L567" s="398" t="s">
        <v>213</v>
      </c>
      <c r="M567" s="399" t="s">
        <v>1063</v>
      </c>
    </row>
    <row r="568" spans="1:13" s="261" customFormat="1" ht="24" customHeight="1">
      <c r="A568" s="316">
        <v>182</v>
      </c>
      <c r="B568" s="316">
        <v>2547</v>
      </c>
      <c r="C568" s="362" t="s">
        <v>1071</v>
      </c>
      <c r="D568" s="395" t="s">
        <v>1070</v>
      </c>
      <c r="E568" s="396" t="s">
        <v>3</v>
      </c>
      <c r="F568" s="396">
        <v>18</v>
      </c>
      <c r="G568" s="396" t="s">
        <v>1561</v>
      </c>
      <c r="H568" s="396">
        <v>1</v>
      </c>
      <c r="I568" s="396">
        <v>1</v>
      </c>
      <c r="J568" s="397">
        <v>2900</v>
      </c>
      <c r="K568" s="397">
        <f t="shared" si="18"/>
        <v>2900</v>
      </c>
      <c r="L568" s="398" t="s">
        <v>1315</v>
      </c>
      <c r="M568" s="399" t="s">
        <v>1063</v>
      </c>
    </row>
    <row r="569" spans="1:13" s="261" customFormat="1" ht="24" customHeight="1">
      <c r="A569" s="316">
        <v>183</v>
      </c>
      <c r="B569" s="316">
        <v>2549</v>
      </c>
      <c r="C569" s="362" t="s">
        <v>1075</v>
      </c>
      <c r="D569" s="395" t="s">
        <v>1074</v>
      </c>
      <c r="E569" s="396" t="s">
        <v>3</v>
      </c>
      <c r="F569" s="396">
        <v>16</v>
      </c>
      <c r="G569" s="396" t="s">
        <v>1561</v>
      </c>
      <c r="H569" s="396">
        <v>1</v>
      </c>
      <c r="I569" s="396">
        <v>1</v>
      </c>
      <c r="J569" s="397">
        <v>2650</v>
      </c>
      <c r="K569" s="397">
        <f t="shared" si="18"/>
        <v>2650</v>
      </c>
      <c r="L569" s="398" t="s">
        <v>1315</v>
      </c>
      <c r="M569" s="399" t="s">
        <v>1063</v>
      </c>
    </row>
    <row r="570" spans="1:13" s="261" customFormat="1" ht="24" customHeight="1">
      <c r="A570" s="316">
        <v>184</v>
      </c>
      <c r="B570" s="316">
        <v>2549</v>
      </c>
      <c r="C570" s="362" t="s">
        <v>1073</v>
      </c>
      <c r="D570" s="395" t="s">
        <v>1072</v>
      </c>
      <c r="E570" s="396" t="s">
        <v>3</v>
      </c>
      <c r="F570" s="396">
        <v>16</v>
      </c>
      <c r="G570" s="396" t="s">
        <v>1561</v>
      </c>
      <c r="H570" s="396">
        <v>1</v>
      </c>
      <c r="I570" s="396">
        <v>1</v>
      </c>
      <c r="J570" s="397">
        <v>3000</v>
      </c>
      <c r="K570" s="397">
        <f t="shared" si="18"/>
        <v>3000</v>
      </c>
      <c r="L570" s="398" t="s">
        <v>1316</v>
      </c>
      <c r="M570" s="399" t="s">
        <v>1063</v>
      </c>
    </row>
    <row r="571" spans="1:13">
      <c r="A571" s="316">
        <v>185</v>
      </c>
      <c r="B571" s="400">
        <v>2539</v>
      </c>
      <c r="C571" s="401" t="s">
        <v>1090</v>
      </c>
      <c r="D571" s="401" t="s">
        <v>1089</v>
      </c>
      <c r="E571" s="402" t="s">
        <v>2</v>
      </c>
      <c r="F571" s="313">
        <v>26</v>
      </c>
      <c r="G571" s="313" t="s">
        <v>383</v>
      </c>
      <c r="H571" s="313">
        <v>1</v>
      </c>
      <c r="I571" s="314">
        <v>1</v>
      </c>
      <c r="J571" s="403">
        <v>3600</v>
      </c>
      <c r="K571" s="403">
        <f t="shared" si="18"/>
        <v>3600</v>
      </c>
      <c r="L571" s="327" t="s">
        <v>1390</v>
      </c>
      <c r="M571" s="291" t="s">
        <v>1088</v>
      </c>
    </row>
    <row r="572" spans="1:13">
      <c r="A572" s="316">
        <v>186</v>
      </c>
      <c r="B572" s="400">
        <v>2544</v>
      </c>
      <c r="C572" s="401" t="s">
        <v>1091</v>
      </c>
      <c r="D572" s="401" t="s">
        <v>1089</v>
      </c>
      <c r="E572" s="402" t="s">
        <v>3</v>
      </c>
      <c r="F572" s="313">
        <v>21</v>
      </c>
      <c r="G572" s="313" t="s">
        <v>383</v>
      </c>
      <c r="H572" s="313">
        <v>4</v>
      </c>
      <c r="I572" s="314">
        <v>4</v>
      </c>
      <c r="J572" s="403">
        <v>3600</v>
      </c>
      <c r="K572" s="403">
        <f t="shared" si="18"/>
        <v>14400</v>
      </c>
      <c r="L572" s="327" t="s">
        <v>1390</v>
      </c>
      <c r="M572" s="291" t="s">
        <v>1088</v>
      </c>
    </row>
    <row r="573" spans="1:13">
      <c r="A573" s="316">
        <v>187</v>
      </c>
      <c r="B573" s="400">
        <v>2544</v>
      </c>
      <c r="C573" s="401" t="s">
        <v>1093</v>
      </c>
      <c r="D573" s="404" t="s">
        <v>1092</v>
      </c>
      <c r="E573" s="402" t="s">
        <v>3</v>
      </c>
      <c r="F573" s="313">
        <v>21</v>
      </c>
      <c r="G573" s="313" t="s">
        <v>383</v>
      </c>
      <c r="H573" s="313">
        <v>1</v>
      </c>
      <c r="I573" s="314">
        <v>1</v>
      </c>
      <c r="J573" s="403">
        <v>3000</v>
      </c>
      <c r="K573" s="403">
        <f t="shared" si="18"/>
        <v>3000</v>
      </c>
      <c r="L573" s="327" t="s">
        <v>1391</v>
      </c>
      <c r="M573" s="291" t="s">
        <v>1088</v>
      </c>
    </row>
    <row r="574" spans="1:13">
      <c r="A574" s="316">
        <v>188</v>
      </c>
      <c r="B574" s="400">
        <v>2545</v>
      </c>
      <c r="C574" s="401" t="s">
        <v>1095</v>
      </c>
      <c r="D574" s="404" t="s">
        <v>1094</v>
      </c>
      <c r="E574" s="402" t="s">
        <v>3</v>
      </c>
      <c r="F574" s="313">
        <v>20</v>
      </c>
      <c r="G574" s="313" t="s">
        <v>383</v>
      </c>
      <c r="H574" s="313">
        <v>1</v>
      </c>
      <c r="I574" s="314">
        <v>1</v>
      </c>
      <c r="J574" s="403">
        <v>2650</v>
      </c>
      <c r="K574" s="403">
        <f t="shared" si="18"/>
        <v>2650</v>
      </c>
      <c r="L574" s="327" t="s">
        <v>1392</v>
      </c>
      <c r="M574" s="291" t="s">
        <v>1088</v>
      </c>
    </row>
    <row r="575" spans="1:13">
      <c r="A575" s="316">
        <v>189</v>
      </c>
      <c r="B575" s="400">
        <v>2545</v>
      </c>
      <c r="C575" s="401" t="s">
        <v>1097</v>
      </c>
      <c r="D575" s="405" t="s">
        <v>1096</v>
      </c>
      <c r="E575" s="402" t="s">
        <v>3</v>
      </c>
      <c r="F575" s="313">
        <v>20</v>
      </c>
      <c r="G575" s="313" t="s">
        <v>383</v>
      </c>
      <c r="H575" s="310">
        <v>2</v>
      </c>
      <c r="I575" s="314">
        <v>2</v>
      </c>
      <c r="J575" s="406">
        <v>4050</v>
      </c>
      <c r="K575" s="403">
        <f t="shared" si="18"/>
        <v>8100</v>
      </c>
      <c r="L575" s="327" t="s">
        <v>1393</v>
      </c>
      <c r="M575" s="291" t="s">
        <v>1088</v>
      </c>
    </row>
    <row r="576" spans="1:13">
      <c r="A576" s="316">
        <v>190</v>
      </c>
      <c r="B576" s="400">
        <v>2553</v>
      </c>
      <c r="C576" s="401" t="s">
        <v>1099</v>
      </c>
      <c r="D576" s="404" t="s">
        <v>1098</v>
      </c>
      <c r="E576" s="400" t="s">
        <v>2</v>
      </c>
      <c r="F576" s="313">
        <v>12</v>
      </c>
      <c r="G576" s="313" t="s">
        <v>383</v>
      </c>
      <c r="H576" s="313">
        <v>1</v>
      </c>
      <c r="I576" s="314">
        <v>1</v>
      </c>
      <c r="J576" s="403">
        <v>1100</v>
      </c>
      <c r="K576" s="403">
        <f t="shared" si="18"/>
        <v>1100</v>
      </c>
      <c r="L576" s="327" t="s">
        <v>1394</v>
      </c>
      <c r="M576" s="291" t="s">
        <v>1088</v>
      </c>
    </row>
    <row r="577" spans="1:13" ht="24" customHeight="1">
      <c r="A577" s="258"/>
      <c r="B577" s="258"/>
      <c r="C577" s="258"/>
      <c r="D577" s="258"/>
      <c r="E577" s="258"/>
      <c r="F577" s="258"/>
      <c r="G577" s="258"/>
      <c r="H577" s="258"/>
      <c r="I577" s="258"/>
      <c r="J577" s="254" t="s">
        <v>129</v>
      </c>
      <c r="K577" s="262">
        <f ca="1">SUM(K566:K576)</f>
        <v>2640788.5999999996</v>
      </c>
      <c r="L577" s="310"/>
      <c r="M577" s="291"/>
    </row>
    <row r="578" spans="1:13" ht="24" customHeight="1">
      <c r="A578" s="291"/>
      <c r="B578" s="331" t="s">
        <v>119</v>
      </c>
      <c r="C578" s="292" t="s">
        <v>120</v>
      </c>
      <c r="D578" s="291"/>
      <c r="E578" s="291"/>
      <c r="F578" s="291"/>
      <c r="G578" s="291"/>
      <c r="H578" s="332"/>
      <c r="I578" s="332"/>
      <c r="J578" s="291"/>
      <c r="K578" s="291"/>
      <c r="L578" s="253"/>
      <c r="M578" s="291"/>
    </row>
    <row r="579" spans="1:13" ht="24" customHeight="1">
      <c r="A579" s="291"/>
      <c r="B579" s="253"/>
      <c r="C579" s="292" t="s">
        <v>121</v>
      </c>
      <c r="D579" s="291"/>
      <c r="E579" s="291"/>
      <c r="F579" s="291"/>
      <c r="G579" s="291"/>
      <c r="H579" s="332"/>
      <c r="I579" s="332"/>
      <c r="J579" s="291"/>
      <c r="K579" s="291"/>
      <c r="L579" s="253"/>
      <c r="M579" s="291"/>
    </row>
    <row r="580" spans="1:13" ht="24" customHeight="1">
      <c r="A580" s="291"/>
      <c r="B580" s="253"/>
      <c r="C580" s="292"/>
      <c r="D580" s="291"/>
      <c r="E580" s="291"/>
      <c r="F580" s="291"/>
      <c r="G580" s="337" t="s">
        <v>148</v>
      </c>
      <c r="H580" s="338" t="s">
        <v>149</v>
      </c>
      <c r="I580" s="338"/>
      <c r="J580" s="338"/>
      <c r="K580" s="339" t="s">
        <v>150</v>
      </c>
      <c r="L580" s="339"/>
      <c r="M580" s="291"/>
    </row>
    <row r="581" spans="1:13" ht="21" customHeight="1">
      <c r="A581" s="291"/>
      <c r="B581" s="253"/>
      <c r="C581" s="292"/>
      <c r="D581" s="291"/>
      <c r="E581" s="291"/>
      <c r="F581" s="291"/>
      <c r="G581" s="339"/>
      <c r="H581" s="338" t="s">
        <v>1549</v>
      </c>
      <c r="I581" s="338"/>
      <c r="J581" s="338"/>
      <c r="K581" s="339"/>
      <c r="L581" s="339"/>
      <c r="M581" s="291"/>
    </row>
    <row r="582" spans="1:13" ht="36" customHeight="1">
      <c r="A582" s="291"/>
      <c r="B582" s="253"/>
      <c r="C582" s="292"/>
      <c r="D582" s="291"/>
      <c r="E582" s="291"/>
      <c r="F582" s="291"/>
      <c r="G582" s="337" t="s">
        <v>148</v>
      </c>
      <c r="H582" s="338" t="s">
        <v>149</v>
      </c>
      <c r="I582" s="338"/>
      <c r="J582" s="338"/>
      <c r="K582" s="339" t="s">
        <v>151</v>
      </c>
      <c r="L582" s="339"/>
      <c r="M582" s="291"/>
    </row>
    <row r="583" spans="1:13" ht="20.25" customHeight="1">
      <c r="A583" s="291"/>
      <c r="B583" s="253"/>
      <c r="C583" s="292"/>
      <c r="D583" s="291"/>
      <c r="E583" s="291"/>
      <c r="F583" s="291"/>
      <c r="G583" s="339"/>
      <c r="H583" s="338" t="s">
        <v>154</v>
      </c>
      <c r="I583" s="338"/>
      <c r="J583" s="338"/>
      <c r="K583" s="339"/>
      <c r="L583" s="339"/>
      <c r="M583" s="291"/>
    </row>
    <row r="584" spans="1:13" ht="33.75" customHeight="1">
      <c r="A584" s="291"/>
      <c r="B584" s="253"/>
      <c r="C584" s="292"/>
      <c r="D584" s="291"/>
      <c r="E584" s="291"/>
      <c r="F584" s="291"/>
      <c r="G584" s="337" t="s">
        <v>148</v>
      </c>
      <c r="H584" s="338" t="s">
        <v>149</v>
      </c>
      <c r="I584" s="338"/>
      <c r="J584" s="338"/>
      <c r="K584" s="339" t="s">
        <v>151</v>
      </c>
      <c r="L584" s="336"/>
      <c r="M584" s="291"/>
    </row>
    <row r="585" spans="1:13" ht="21" customHeight="1">
      <c r="A585" s="291"/>
      <c r="B585" s="253"/>
      <c r="C585" s="292"/>
      <c r="D585" s="291"/>
      <c r="E585" s="291"/>
      <c r="F585" s="291"/>
      <c r="G585" s="339"/>
      <c r="H585" s="338" t="s">
        <v>155</v>
      </c>
      <c r="I585" s="338"/>
      <c r="J585" s="338"/>
      <c r="K585" s="339"/>
      <c r="L585" s="336"/>
      <c r="M585" s="291"/>
    </row>
    <row r="586" spans="1:13" ht="31.5" customHeight="1">
      <c r="A586" s="291"/>
      <c r="B586" s="253"/>
      <c r="C586" s="292"/>
      <c r="D586" s="291"/>
      <c r="E586" s="291"/>
      <c r="F586" s="291"/>
      <c r="G586" s="337" t="s">
        <v>148</v>
      </c>
      <c r="H586" s="338" t="s">
        <v>149</v>
      </c>
      <c r="I586" s="338"/>
      <c r="J586" s="338"/>
      <c r="K586" s="339" t="s">
        <v>151</v>
      </c>
      <c r="L586" s="336"/>
      <c r="M586" s="291"/>
    </row>
    <row r="587" spans="1:13" ht="21" customHeight="1">
      <c r="A587" s="291"/>
      <c r="B587" s="253"/>
      <c r="C587" s="292"/>
      <c r="D587" s="291"/>
      <c r="E587" s="291"/>
      <c r="F587" s="291"/>
      <c r="G587" s="339"/>
      <c r="H587" s="338" t="s">
        <v>156</v>
      </c>
      <c r="I587" s="338"/>
      <c r="J587" s="338"/>
      <c r="K587" s="339"/>
      <c r="L587" s="336"/>
      <c r="M587" s="291"/>
    </row>
    <row r="588" spans="1:13" ht="34.5" customHeight="1">
      <c r="A588" s="291"/>
      <c r="B588" s="253"/>
      <c r="C588" s="292"/>
      <c r="D588" s="291"/>
      <c r="E588" s="291"/>
      <c r="F588" s="291"/>
      <c r="G588" s="337" t="s">
        <v>148</v>
      </c>
      <c r="H588" s="338" t="s">
        <v>149</v>
      </c>
      <c r="I588" s="338"/>
      <c r="J588" s="338"/>
      <c r="K588" s="336" t="s">
        <v>152</v>
      </c>
      <c r="L588" s="336"/>
      <c r="M588" s="291"/>
    </row>
    <row r="589" spans="1:13" ht="24" customHeight="1">
      <c r="A589" s="291"/>
      <c r="B589" s="253"/>
      <c r="C589" s="292"/>
      <c r="D589" s="291"/>
      <c r="E589" s="291"/>
      <c r="F589" s="291"/>
      <c r="G589" s="336"/>
      <c r="H589" s="338" t="s">
        <v>157</v>
      </c>
      <c r="I589" s="338"/>
      <c r="J589" s="338"/>
      <c r="K589" s="336"/>
      <c r="L589" s="336"/>
      <c r="M589" s="291"/>
    </row>
    <row r="590" spans="1:13" ht="24" customHeight="1">
      <c r="A590" s="291"/>
      <c r="B590" s="253"/>
      <c r="C590" s="292"/>
      <c r="D590" s="291"/>
      <c r="E590" s="291"/>
      <c r="F590" s="291"/>
      <c r="G590" s="336"/>
      <c r="H590" s="333"/>
      <c r="I590" s="333"/>
      <c r="J590" s="333"/>
      <c r="K590" s="336"/>
      <c r="L590" s="336"/>
      <c r="M590" s="291"/>
    </row>
    <row r="591" spans="1:13" ht="24" customHeight="1">
      <c r="A591" s="291"/>
      <c r="B591" s="253"/>
      <c r="C591" s="292"/>
      <c r="D591" s="291"/>
      <c r="E591" s="291"/>
      <c r="F591" s="291"/>
      <c r="G591" s="291"/>
      <c r="H591" s="291"/>
      <c r="I591" s="291"/>
      <c r="J591" s="291"/>
      <c r="K591" s="291"/>
      <c r="L591" s="253" t="s">
        <v>823</v>
      </c>
      <c r="M591" s="291"/>
    </row>
    <row r="592" spans="1:13" ht="24" customHeight="1">
      <c r="A592" s="265" t="s">
        <v>158</v>
      </c>
      <c r="B592" s="265"/>
      <c r="C592" s="265"/>
      <c r="D592" s="265"/>
      <c r="E592" s="265"/>
      <c r="F592" s="265"/>
      <c r="G592" s="265"/>
      <c r="H592" s="265"/>
      <c r="I592" s="265"/>
      <c r="J592" s="265"/>
      <c r="K592" s="265"/>
      <c r="L592" s="265"/>
      <c r="M592" s="291"/>
    </row>
    <row r="593" spans="1:13" ht="24" customHeight="1">
      <c r="A593" s="266" t="s">
        <v>160</v>
      </c>
      <c r="B593" s="266"/>
      <c r="C593" s="266"/>
      <c r="D593" s="266"/>
      <c r="E593" s="266"/>
      <c r="F593" s="266"/>
      <c r="G593" s="266"/>
      <c r="H593" s="266"/>
      <c r="I593" s="266"/>
      <c r="J593" s="266"/>
      <c r="K593" s="266"/>
      <c r="L593" s="266"/>
      <c r="M593" s="291"/>
    </row>
    <row r="594" spans="1:13" ht="24" customHeight="1" thickBot="1">
      <c r="A594" s="267" t="s">
        <v>161</v>
      </c>
      <c r="B594" s="267"/>
      <c r="C594" s="267"/>
      <c r="D594" s="267"/>
      <c r="E594" s="267"/>
      <c r="F594" s="267"/>
      <c r="G594" s="267"/>
      <c r="H594" s="267"/>
      <c r="I594" s="267"/>
      <c r="J594" s="267"/>
      <c r="K594" s="267"/>
      <c r="L594" s="267"/>
      <c r="M594" s="291"/>
    </row>
    <row r="595" spans="1:13" ht="24" customHeight="1" thickTop="1">
      <c r="A595" s="293" t="s">
        <v>103</v>
      </c>
      <c r="B595" s="293" t="s">
        <v>122</v>
      </c>
      <c r="C595" s="293" t="s">
        <v>124</v>
      </c>
      <c r="D595" s="294" t="s">
        <v>0</v>
      </c>
      <c r="E595" s="293" t="s">
        <v>109</v>
      </c>
      <c r="F595" s="293" t="s">
        <v>110</v>
      </c>
      <c r="G595" s="295" t="s">
        <v>111</v>
      </c>
      <c r="H595" s="296" t="s">
        <v>1</v>
      </c>
      <c r="I595" s="297"/>
      <c r="J595" s="293" t="s">
        <v>125</v>
      </c>
      <c r="K595" s="293" t="s">
        <v>104</v>
      </c>
      <c r="L595" s="293" t="s">
        <v>112</v>
      </c>
      <c r="M595" s="291"/>
    </row>
    <row r="596" spans="1:13" ht="45.75" customHeight="1" thickBot="1">
      <c r="A596" s="298"/>
      <c r="B596" s="298"/>
      <c r="C596" s="298"/>
      <c r="D596" s="299"/>
      <c r="E596" s="298"/>
      <c r="F596" s="298"/>
      <c r="G596" s="300"/>
      <c r="H596" s="301" t="s">
        <v>113</v>
      </c>
      <c r="I596" s="302" t="s">
        <v>114</v>
      </c>
      <c r="J596" s="298"/>
      <c r="K596" s="298"/>
      <c r="L596" s="298"/>
      <c r="M596" s="291"/>
    </row>
    <row r="597" spans="1:13" ht="24" customHeight="1" thickTop="1">
      <c r="A597" s="304"/>
      <c r="B597" s="340"/>
      <c r="C597" s="305"/>
      <c r="D597" s="305"/>
      <c r="E597" s="304"/>
      <c r="F597" s="304"/>
      <c r="G597" s="307"/>
      <c r="H597" s="308"/>
      <c r="I597" s="308"/>
      <c r="J597" s="256" t="s">
        <v>132</v>
      </c>
      <c r="K597" s="257">
        <f ca="1">SUM(K577)</f>
        <v>2640788.5999999996</v>
      </c>
      <c r="L597" s="304"/>
      <c r="M597" s="291"/>
    </row>
    <row r="598" spans="1:13">
      <c r="A598" s="400">
        <v>191</v>
      </c>
      <c r="B598" s="400">
        <v>2553</v>
      </c>
      <c r="C598" s="401" t="s">
        <v>1103</v>
      </c>
      <c r="D598" s="404" t="s">
        <v>1102</v>
      </c>
      <c r="E598" s="400" t="s">
        <v>2</v>
      </c>
      <c r="F598" s="313">
        <v>12</v>
      </c>
      <c r="G598" s="313" t="s">
        <v>383</v>
      </c>
      <c r="H598" s="313">
        <v>1</v>
      </c>
      <c r="I598" s="314">
        <v>1</v>
      </c>
      <c r="J598" s="403">
        <v>3500</v>
      </c>
      <c r="K598" s="403">
        <f t="shared" ref="K598:K607" si="19">SUM(I598*J598)</f>
        <v>3500</v>
      </c>
      <c r="L598" s="327" t="s">
        <v>1473</v>
      </c>
      <c r="M598" s="291" t="s">
        <v>1088</v>
      </c>
    </row>
    <row r="599" spans="1:13">
      <c r="A599" s="400">
        <v>192</v>
      </c>
      <c r="B599" s="400">
        <v>2553</v>
      </c>
      <c r="C599" s="401" t="s">
        <v>1101</v>
      </c>
      <c r="D599" s="404" t="s">
        <v>1100</v>
      </c>
      <c r="E599" s="400" t="s">
        <v>2</v>
      </c>
      <c r="F599" s="313">
        <v>12</v>
      </c>
      <c r="G599" s="313" t="s">
        <v>383</v>
      </c>
      <c r="H599" s="313">
        <v>1</v>
      </c>
      <c r="I599" s="314">
        <v>1</v>
      </c>
      <c r="J599" s="403">
        <v>3750</v>
      </c>
      <c r="K599" s="403">
        <f t="shared" si="19"/>
        <v>3750</v>
      </c>
      <c r="L599" s="327" t="s">
        <v>1395</v>
      </c>
      <c r="M599" s="291" t="s">
        <v>1088</v>
      </c>
    </row>
    <row r="600" spans="1:13">
      <c r="A600" s="400">
        <v>193</v>
      </c>
      <c r="B600" s="400">
        <v>2555</v>
      </c>
      <c r="C600" s="401" t="s">
        <v>1111</v>
      </c>
      <c r="D600" s="404" t="s">
        <v>1110</v>
      </c>
      <c r="E600" s="407" t="s">
        <v>2</v>
      </c>
      <c r="F600" s="313">
        <v>10</v>
      </c>
      <c r="G600" s="313" t="s">
        <v>383</v>
      </c>
      <c r="H600" s="313">
        <v>2</v>
      </c>
      <c r="I600" s="314">
        <v>2</v>
      </c>
      <c r="J600" s="403">
        <v>858</v>
      </c>
      <c r="K600" s="403">
        <f t="shared" si="19"/>
        <v>1716</v>
      </c>
      <c r="L600" s="354" t="s">
        <v>1394</v>
      </c>
      <c r="M600" s="291" t="s">
        <v>1088</v>
      </c>
    </row>
    <row r="601" spans="1:13">
      <c r="A601" s="400">
        <v>194</v>
      </c>
      <c r="B601" s="400">
        <v>2555</v>
      </c>
      <c r="C601" s="401" t="s">
        <v>1109</v>
      </c>
      <c r="D601" s="404" t="s">
        <v>1108</v>
      </c>
      <c r="E601" s="407" t="s">
        <v>2</v>
      </c>
      <c r="F601" s="313">
        <v>10</v>
      </c>
      <c r="G601" s="313" t="s">
        <v>383</v>
      </c>
      <c r="H601" s="313">
        <v>2</v>
      </c>
      <c r="I601" s="314">
        <v>2</v>
      </c>
      <c r="J601" s="403">
        <v>4550</v>
      </c>
      <c r="K601" s="403">
        <f t="shared" si="19"/>
        <v>9100</v>
      </c>
      <c r="L601" s="354" t="s">
        <v>1394</v>
      </c>
      <c r="M601" s="291" t="s">
        <v>1088</v>
      </c>
    </row>
    <row r="602" spans="1:13">
      <c r="A602" s="400">
        <v>195</v>
      </c>
      <c r="B602" s="400">
        <v>2555</v>
      </c>
      <c r="C602" s="401" t="s">
        <v>1107</v>
      </c>
      <c r="D602" s="404" t="s">
        <v>1106</v>
      </c>
      <c r="E602" s="407" t="s">
        <v>2</v>
      </c>
      <c r="F602" s="313">
        <v>10</v>
      </c>
      <c r="G602" s="313" t="s">
        <v>383</v>
      </c>
      <c r="H602" s="313">
        <v>5</v>
      </c>
      <c r="I602" s="314">
        <v>5</v>
      </c>
      <c r="J602" s="403">
        <v>3250</v>
      </c>
      <c r="K602" s="403">
        <f t="shared" si="19"/>
        <v>16250</v>
      </c>
      <c r="L602" s="354" t="s">
        <v>1357</v>
      </c>
      <c r="M602" s="291" t="s">
        <v>1088</v>
      </c>
    </row>
    <row r="603" spans="1:13">
      <c r="A603" s="400">
        <v>196</v>
      </c>
      <c r="B603" s="400">
        <v>2555</v>
      </c>
      <c r="C603" s="401" t="s">
        <v>1105</v>
      </c>
      <c r="D603" s="404" t="s">
        <v>1104</v>
      </c>
      <c r="E603" s="407" t="s">
        <v>2</v>
      </c>
      <c r="F603" s="313">
        <v>10</v>
      </c>
      <c r="G603" s="313" t="s">
        <v>383</v>
      </c>
      <c r="H603" s="313">
        <v>27</v>
      </c>
      <c r="I603" s="314">
        <v>27</v>
      </c>
      <c r="J603" s="403">
        <v>858</v>
      </c>
      <c r="K603" s="403">
        <f t="shared" si="19"/>
        <v>23166</v>
      </c>
      <c r="L603" s="354" t="s">
        <v>1394</v>
      </c>
      <c r="M603" s="291" t="s">
        <v>1088</v>
      </c>
    </row>
    <row r="604" spans="1:13">
      <c r="A604" s="400">
        <v>197</v>
      </c>
      <c r="B604" s="400">
        <v>2555</v>
      </c>
      <c r="C604" s="401" t="s">
        <v>1112</v>
      </c>
      <c r="D604" s="404" t="s">
        <v>1104</v>
      </c>
      <c r="E604" s="407" t="s">
        <v>2</v>
      </c>
      <c r="F604" s="313">
        <v>10</v>
      </c>
      <c r="G604" s="313" t="s">
        <v>383</v>
      </c>
      <c r="H604" s="313">
        <v>7</v>
      </c>
      <c r="I604" s="314">
        <v>7</v>
      </c>
      <c r="J604" s="403">
        <v>850</v>
      </c>
      <c r="K604" s="403">
        <f t="shared" si="19"/>
        <v>5950</v>
      </c>
      <c r="L604" s="354" t="s">
        <v>1394</v>
      </c>
      <c r="M604" s="291" t="s">
        <v>1088</v>
      </c>
    </row>
    <row r="605" spans="1:13">
      <c r="A605" s="400">
        <v>198</v>
      </c>
      <c r="B605" s="400">
        <v>2556</v>
      </c>
      <c r="C605" s="401" t="s">
        <v>1114</v>
      </c>
      <c r="D605" s="404" t="s">
        <v>1113</v>
      </c>
      <c r="E605" s="402" t="s">
        <v>739</v>
      </c>
      <c r="F605" s="313">
        <v>9</v>
      </c>
      <c r="G605" s="313" t="s">
        <v>383</v>
      </c>
      <c r="H605" s="313">
        <v>1</v>
      </c>
      <c r="I605" s="314">
        <v>1</v>
      </c>
      <c r="J605" s="403">
        <v>3500</v>
      </c>
      <c r="K605" s="403">
        <f t="shared" si="19"/>
        <v>3500</v>
      </c>
      <c r="L605" s="354" t="s">
        <v>1396</v>
      </c>
      <c r="M605" s="291" t="s">
        <v>1088</v>
      </c>
    </row>
    <row r="606" spans="1:13">
      <c r="A606" s="400">
        <v>199</v>
      </c>
      <c r="B606" s="310">
        <v>2539</v>
      </c>
      <c r="C606" s="311" t="s">
        <v>1177</v>
      </c>
      <c r="D606" s="312" t="s">
        <v>1176</v>
      </c>
      <c r="E606" s="313" t="s">
        <v>2</v>
      </c>
      <c r="F606" s="313">
        <v>26</v>
      </c>
      <c r="G606" s="313" t="s">
        <v>383</v>
      </c>
      <c r="H606" s="313">
        <v>2</v>
      </c>
      <c r="I606" s="314">
        <v>2</v>
      </c>
      <c r="J606" s="408">
        <v>3000</v>
      </c>
      <c r="K606" s="409">
        <f t="shared" si="19"/>
        <v>6000</v>
      </c>
      <c r="L606" s="327" t="s">
        <v>1474</v>
      </c>
      <c r="M606" s="291" t="s">
        <v>1167</v>
      </c>
    </row>
    <row r="607" spans="1:13">
      <c r="A607" s="400">
        <v>200</v>
      </c>
      <c r="B607" s="310">
        <v>2548</v>
      </c>
      <c r="C607" s="311" t="s">
        <v>1170</v>
      </c>
      <c r="D607" s="311" t="s">
        <v>1168</v>
      </c>
      <c r="E607" s="310" t="s">
        <v>3</v>
      </c>
      <c r="F607" s="313">
        <v>17</v>
      </c>
      <c r="G607" s="313" t="s">
        <v>383</v>
      </c>
      <c r="H607" s="313">
        <v>3</v>
      </c>
      <c r="I607" s="314">
        <v>3</v>
      </c>
      <c r="J607" s="408">
        <v>300</v>
      </c>
      <c r="K607" s="409">
        <f t="shared" si="19"/>
        <v>900</v>
      </c>
      <c r="L607" s="327" t="s">
        <v>1484</v>
      </c>
      <c r="M607" s="291" t="s">
        <v>1167</v>
      </c>
    </row>
    <row r="608" spans="1:13" ht="24" customHeight="1">
      <c r="A608" s="258"/>
      <c r="B608" s="258"/>
      <c r="C608" s="258"/>
      <c r="D608" s="258"/>
      <c r="E608" s="258"/>
      <c r="F608" s="258"/>
      <c r="G608" s="258"/>
      <c r="H608" s="258"/>
      <c r="I608" s="258"/>
      <c r="J608" s="254" t="s">
        <v>129</v>
      </c>
      <c r="K608" s="259">
        <f ca="1">SUM(K597:K607)</f>
        <v>2714620.5999999996</v>
      </c>
      <c r="L608" s="310"/>
      <c r="M608" s="291"/>
    </row>
    <row r="609" spans="1:13" ht="24" customHeight="1">
      <c r="A609" s="291"/>
      <c r="B609" s="253" t="s">
        <v>119</v>
      </c>
      <c r="C609" s="292" t="s">
        <v>120</v>
      </c>
      <c r="D609" s="291"/>
      <c r="E609" s="291"/>
      <c r="F609" s="291"/>
      <c r="G609" s="291"/>
      <c r="H609" s="332"/>
      <c r="I609" s="332"/>
      <c r="J609" s="291"/>
      <c r="K609" s="291"/>
      <c r="L609" s="253"/>
      <c r="M609" s="291"/>
    </row>
    <row r="610" spans="1:13" ht="24" customHeight="1">
      <c r="A610" s="291"/>
      <c r="B610" s="253"/>
      <c r="C610" s="292" t="s">
        <v>121</v>
      </c>
      <c r="D610" s="291"/>
      <c r="E610" s="291"/>
      <c r="F610" s="291"/>
      <c r="G610" s="291"/>
      <c r="H610" s="332"/>
      <c r="I610" s="332"/>
      <c r="J610" s="291"/>
      <c r="K610" s="291"/>
      <c r="L610" s="253"/>
      <c r="M610" s="291"/>
    </row>
    <row r="611" spans="1:13" ht="24" customHeight="1">
      <c r="A611" s="291"/>
      <c r="B611" s="253"/>
      <c r="C611" s="292"/>
      <c r="D611" s="291"/>
      <c r="E611" s="291"/>
      <c r="F611" s="291"/>
      <c r="G611" s="337" t="s">
        <v>148</v>
      </c>
      <c r="H611" s="338" t="s">
        <v>149</v>
      </c>
      <c r="I611" s="338"/>
      <c r="J611" s="338"/>
      <c r="K611" s="339" t="s">
        <v>150</v>
      </c>
      <c r="L611" s="339"/>
      <c r="M611" s="291"/>
    </row>
    <row r="612" spans="1:13" ht="21" customHeight="1">
      <c r="A612" s="291"/>
      <c r="B612" s="253"/>
      <c r="C612" s="292"/>
      <c r="D612" s="291"/>
      <c r="E612" s="291"/>
      <c r="F612" s="291"/>
      <c r="G612" s="339"/>
      <c r="H612" s="338" t="s">
        <v>1549</v>
      </c>
      <c r="I612" s="338"/>
      <c r="J612" s="338"/>
      <c r="K612" s="339"/>
      <c r="L612" s="339"/>
      <c r="M612" s="291"/>
    </row>
    <row r="613" spans="1:13" ht="35.25" customHeight="1">
      <c r="A613" s="291"/>
      <c r="B613" s="253"/>
      <c r="C613" s="292"/>
      <c r="D613" s="291"/>
      <c r="E613" s="291"/>
      <c r="F613" s="291"/>
      <c r="G613" s="337" t="s">
        <v>148</v>
      </c>
      <c r="H613" s="338" t="s">
        <v>149</v>
      </c>
      <c r="I613" s="338"/>
      <c r="J613" s="338"/>
      <c r="K613" s="339" t="s">
        <v>151</v>
      </c>
      <c r="L613" s="339"/>
      <c r="M613" s="291"/>
    </row>
    <row r="614" spans="1:13" ht="20.25" customHeight="1">
      <c r="A614" s="291"/>
      <c r="B614" s="253"/>
      <c r="C614" s="292"/>
      <c r="D614" s="291"/>
      <c r="E614" s="291"/>
      <c r="F614" s="291"/>
      <c r="G614" s="339"/>
      <c r="H614" s="338" t="s">
        <v>154</v>
      </c>
      <c r="I614" s="338"/>
      <c r="J614" s="338"/>
      <c r="K614" s="339"/>
      <c r="L614" s="339"/>
      <c r="M614" s="291"/>
    </row>
    <row r="615" spans="1:13" ht="33.75" customHeight="1">
      <c r="A615" s="291"/>
      <c r="B615" s="253"/>
      <c r="C615" s="292"/>
      <c r="D615" s="291"/>
      <c r="E615" s="291"/>
      <c r="F615" s="291"/>
      <c r="G615" s="337" t="s">
        <v>148</v>
      </c>
      <c r="H615" s="338" t="s">
        <v>149</v>
      </c>
      <c r="I615" s="338"/>
      <c r="J615" s="338"/>
      <c r="K615" s="339" t="s">
        <v>151</v>
      </c>
      <c r="L615" s="336"/>
      <c r="M615" s="291"/>
    </row>
    <row r="616" spans="1:13" ht="21" customHeight="1">
      <c r="A616" s="291"/>
      <c r="B616" s="253"/>
      <c r="C616" s="292"/>
      <c r="D616" s="291"/>
      <c r="E616" s="291"/>
      <c r="F616" s="291"/>
      <c r="G616" s="339"/>
      <c r="H616" s="338" t="s">
        <v>155</v>
      </c>
      <c r="I616" s="338"/>
      <c r="J616" s="338"/>
      <c r="K616" s="339"/>
      <c r="L616" s="336"/>
      <c r="M616" s="291"/>
    </row>
    <row r="617" spans="1:13" ht="33" customHeight="1">
      <c r="A617" s="291"/>
      <c r="B617" s="253"/>
      <c r="C617" s="292"/>
      <c r="D617" s="291"/>
      <c r="E617" s="291"/>
      <c r="F617" s="291"/>
      <c r="G617" s="337" t="s">
        <v>148</v>
      </c>
      <c r="H617" s="338" t="s">
        <v>149</v>
      </c>
      <c r="I617" s="338"/>
      <c r="J617" s="338"/>
      <c r="K617" s="339" t="s">
        <v>151</v>
      </c>
      <c r="L617" s="336"/>
      <c r="M617" s="291"/>
    </row>
    <row r="618" spans="1:13" ht="21" customHeight="1">
      <c r="A618" s="291"/>
      <c r="B618" s="253"/>
      <c r="C618" s="292"/>
      <c r="D618" s="291"/>
      <c r="E618" s="291"/>
      <c r="F618" s="291"/>
      <c r="G618" s="339"/>
      <c r="H618" s="338" t="s">
        <v>156</v>
      </c>
      <c r="I618" s="338"/>
      <c r="J618" s="338"/>
      <c r="K618" s="339"/>
      <c r="L618" s="336"/>
      <c r="M618" s="291"/>
    </row>
    <row r="619" spans="1:13" ht="33" customHeight="1">
      <c r="A619" s="291"/>
      <c r="B619" s="253"/>
      <c r="C619" s="292"/>
      <c r="D619" s="291"/>
      <c r="E619" s="291"/>
      <c r="F619" s="291"/>
      <c r="G619" s="337" t="s">
        <v>148</v>
      </c>
      <c r="H619" s="338" t="s">
        <v>149</v>
      </c>
      <c r="I619" s="338"/>
      <c r="J619" s="338"/>
      <c r="K619" s="336" t="s">
        <v>152</v>
      </c>
      <c r="L619" s="336"/>
      <c r="M619" s="291"/>
    </row>
    <row r="620" spans="1:13" ht="24" customHeight="1">
      <c r="A620" s="291"/>
      <c r="B620" s="253"/>
      <c r="C620" s="292"/>
      <c r="D620" s="291"/>
      <c r="E620" s="291"/>
      <c r="F620" s="291"/>
      <c r="G620" s="336"/>
      <c r="H620" s="338" t="s">
        <v>157</v>
      </c>
      <c r="I620" s="338"/>
      <c r="J620" s="338"/>
      <c r="K620" s="336"/>
      <c r="L620" s="336"/>
      <c r="M620" s="291"/>
    </row>
    <row r="621" spans="1:13" ht="24" customHeight="1">
      <c r="A621" s="291"/>
      <c r="B621" s="253"/>
      <c r="C621" s="292"/>
      <c r="D621" s="291"/>
      <c r="E621" s="291"/>
      <c r="F621" s="291"/>
      <c r="G621" s="336"/>
      <c r="H621" s="333"/>
      <c r="I621" s="333"/>
      <c r="J621" s="333"/>
      <c r="K621" s="336"/>
      <c r="L621" s="336"/>
      <c r="M621" s="291"/>
    </row>
    <row r="622" spans="1:13" ht="24" customHeight="1">
      <c r="A622" s="291"/>
      <c r="B622" s="253"/>
      <c r="C622" s="292"/>
      <c r="D622" s="291"/>
      <c r="E622" s="291"/>
      <c r="F622" s="291"/>
      <c r="G622" s="291"/>
      <c r="H622" s="291"/>
      <c r="I622" s="291"/>
      <c r="J622" s="291"/>
      <c r="K622" s="291"/>
      <c r="L622" s="253" t="s">
        <v>1085</v>
      </c>
      <c r="M622" s="291"/>
    </row>
    <row r="623" spans="1:13" ht="24" customHeight="1">
      <c r="A623" s="265" t="s">
        <v>158</v>
      </c>
      <c r="B623" s="265"/>
      <c r="C623" s="265"/>
      <c r="D623" s="265"/>
      <c r="E623" s="265"/>
      <c r="F623" s="265"/>
      <c r="G623" s="265"/>
      <c r="H623" s="265"/>
      <c r="I623" s="265"/>
      <c r="J623" s="265"/>
      <c r="K623" s="265"/>
      <c r="L623" s="265"/>
      <c r="M623" s="291"/>
    </row>
    <row r="624" spans="1:13" ht="24" customHeight="1">
      <c r="A624" s="266" t="s">
        <v>160</v>
      </c>
      <c r="B624" s="266"/>
      <c r="C624" s="266"/>
      <c r="D624" s="266"/>
      <c r="E624" s="266"/>
      <c r="F624" s="266"/>
      <c r="G624" s="266"/>
      <c r="H624" s="266"/>
      <c r="I624" s="266"/>
      <c r="J624" s="266"/>
      <c r="K624" s="266"/>
      <c r="L624" s="266"/>
      <c r="M624" s="291"/>
    </row>
    <row r="625" spans="1:13" ht="24" customHeight="1" thickBot="1">
      <c r="A625" s="267" t="s">
        <v>161</v>
      </c>
      <c r="B625" s="267"/>
      <c r="C625" s="267"/>
      <c r="D625" s="267"/>
      <c r="E625" s="267"/>
      <c r="F625" s="267"/>
      <c r="G625" s="267"/>
      <c r="H625" s="267"/>
      <c r="I625" s="267"/>
      <c r="J625" s="267"/>
      <c r="K625" s="267"/>
      <c r="L625" s="267"/>
      <c r="M625" s="291"/>
    </row>
    <row r="626" spans="1:13" ht="24" customHeight="1" thickTop="1">
      <c r="A626" s="293" t="s">
        <v>103</v>
      </c>
      <c r="B626" s="293" t="s">
        <v>122</v>
      </c>
      <c r="C626" s="293" t="s">
        <v>124</v>
      </c>
      <c r="D626" s="294" t="s">
        <v>0</v>
      </c>
      <c r="E626" s="293" t="s">
        <v>109</v>
      </c>
      <c r="F626" s="293" t="s">
        <v>110</v>
      </c>
      <c r="G626" s="295" t="s">
        <v>111</v>
      </c>
      <c r="H626" s="296" t="s">
        <v>1</v>
      </c>
      <c r="I626" s="297"/>
      <c r="J626" s="293" t="s">
        <v>125</v>
      </c>
      <c r="K626" s="293" t="s">
        <v>104</v>
      </c>
      <c r="L626" s="293" t="s">
        <v>112</v>
      </c>
      <c r="M626" s="291"/>
    </row>
    <row r="627" spans="1:13" ht="45.75" customHeight="1" thickBot="1">
      <c r="A627" s="298"/>
      <c r="B627" s="298"/>
      <c r="C627" s="298"/>
      <c r="D627" s="299"/>
      <c r="E627" s="298"/>
      <c r="F627" s="298"/>
      <c r="G627" s="300"/>
      <c r="H627" s="301" t="s">
        <v>113</v>
      </c>
      <c r="I627" s="302" t="s">
        <v>114</v>
      </c>
      <c r="J627" s="298"/>
      <c r="K627" s="298"/>
      <c r="L627" s="298"/>
      <c r="M627" s="291"/>
    </row>
    <row r="628" spans="1:13" ht="24" customHeight="1" thickTop="1">
      <c r="A628" s="304"/>
      <c r="B628" s="340"/>
      <c r="C628" s="305"/>
      <c r="D628" s="305"/>
      <c r="E628" s="304"/>
      <c r="F628" s="304"/>
      <c r="G628" s="307"/>
      <c r="H628" s="308"/>
      <c r="I628" s="308"/>
      <c r="J628" s="256" t="s">
        <v>132</v>
      </c>
      <c r="K628" s="257">
        <f ca="1">SUM(K608)</f>
        <v>2714620.5999999996</v>
      </c>
      <c r="L628" s="304"/>
      <c r="M628" s="291"/>
    </row>
    <row r="629" spans="1:13">
      <c r="A629" s="410">
        <v>201</v>
      </c>
      <c r="B629" s="310">
        <v>2549</v>
      </c>
      <c r="C629" s="311" t="s">
        <v>1175</v>
      </c>
      <c r="D629" s="311" t="s">
        <v>1174</v>
      </c>
      <c r="E629" s="310" t="s">
        <v>3</v>
      </c>
      <c r="F629" s="313">
        <v>16</v>
      </c>
      <c r="G629" s="313" t="s">
        <v>383</v>
      </c>
      <c r="H629" s="313">
        <v>1</v>
      </c>
      <c r="I629" s="357">
        <v>1</v>
      </c>
      <c r="J629" s="408">
        <v>340</v>
      </c>
      <c r="K629" s="409">
        <f t="shared" ref="K629:K638" si="20">SUM(I629*J629)</f>
        <v>340</v>
      </c>
      <c r="L629" s="327" t="s">
        <v>1476</v>
      </c>
      <c r="M629" s="291" t="s">
        <v>1167</v>
      </c>
    </row>
    <row r="630" spans="1:13">
      <c r="A630" s="400">
        <v>202</v>
      </c>
      <c r="B630" s="310">
        <v>2549</v>
      </c>
      <c r="C630" s="311" t="s">
        <v>1169</v>
      </c>
      <c r="D630" s="311" t="s">
        <v>1168</v>
      </c>
      <c r="E630" s="310" t="s">
        <v>3</v>
      </c>
      <c r="F630" s="313">
        <v>16</v>
      </c>
      <c r="G630" s="313" t="s">
        <v>383</v>
      </c>
      <c r="H630" s="313">
        <v>1</v>
      </c>
      <c r="I630" s="314">
        <v>1</v>
      </c>
      <c r="J630" s="408">
        <v>300</v>
      </c>
      <c r="K630" s="409">
        <f t="shared" si="20"/>
        <v>300</v>
      </c>
      <c r="L630" s="327" t="s">
        <v>1477</v>
      </c>
      <c r="M630" s="291" t="s">
        <v>1167</v>
      </c>
    </row>
    <row r="631" spans="1:13">
      <c r="A631" s="410">
        <v>203</v>
      </c>
      <c r="B631" s="310">
        <v>2550</v>
      </c>
      <c r="C631" s="311" t="s">
        <v>1173</v>
      </c>
      <c r="D631" s="311" t="s">
        <v>1168</v>
      </c>
      <c r="E631" s="310" t="s">
        <v>3</v>
      </c>
      <c r="F631" s="313">
        <v>15</v>
      </c>
      <c r="G631" s="313" t="s">
        <v>383</v>
      </c>
      <c r="H631" s="313">
        <v>4</v>
      </c>
      <c r="I631" s="314">
        <v>4</v>
      </c>
      <c r="J631" s="255">
        <v>750</v>
      </c>
      <c r="K631" s="409">
        <f t="shared" si="20"/>
        <v>3000</v>
      </c>
      <c r="L631" s="327" t="s">
        <v>1475</v>
      </c>
      <c r="M631" s="291" t="s">
        <v>1167</v>
      </c>
    </row>
    <row r="632" spans="1:13">
      <c r="A632" s="400">
        <v>204</v>
      </c>
      <c r="B632" s="310">
        <v>2550</v>
      </c>
      <c r="C632" s="311" t="s">
        <v>1172</v>
      </c>
      <c r="D632" s="311" t="s">
        <v>1171</v>
      </c>
      <c r="E632" s="310" t="s">
        <v>3</v>
      </c>
      <c r="F632" s="313">
        <v>15</v>
      </c>
      <c r="G632" s="313" t="s">
        <v>383</v>
      </c>
      <c r="H632" s="357">
        <v>5</v>
      </c>
      <c r="I632" s="357">
        <v>5</v>
      </c>
      <c r="J632" s="408">
        <v>350</v>
      </c>
      <c r="K632" s="409">
        <f t="shared" si="20"/>
        <v>1750</v>
      </c>
      <c r="L632" s="327" t="s">
        <v>1478</v>
      </c>
      <c r="M632" s="291" t="s">
        <v>1167</v>
      </c>
    </row>
    <row r="633" spans="1:13">
      <c r="A633" s="410">
        <v>205</v>
      </c>
      <c r="B633" s="310">
        <v>2544</v>
      </c>
      <c r="C633" s="311" t="s">
        <v>1202</v>
      </c>
      <c r="D633" s="312" t="s">
        <v>1201</v>
      </c>
      <c r="E633" s="313" t="s">
        <v>3</v>
      </c>
      <c r="F633" s="313">
        <v>21</v>
      </c>
      <c r="G633" s="313">
        <v>1</v>
      </c>
      <c r="H633" s="313">
        <v>1</v>
      </c>
      <c r="I633" s="314">
        <v>1</v>
      </c>
      <c r="J633" s="411">
        <v>4200</v>
      </c>
      <c r="K633" s="411">
        <f t="shared" si="20"/>
        <v>4200</v>
      </c>
      <c r="L633" s="327" t="s">
        <v>1200</v>
      </c>
      <c r="M633" s="291" t="s">
        <v>1196</v>
      </c>
    </row>
    <row r="634" spans="1:13">
      <c r="A634" s="400">
        <v>206</v>
      </c>
      <c r="B634" s="310">
        <v>2544</v>
      </c>
      <c r="C634" s="311" t="s">
        <v>1199</v>
      </c>
      <c r="D634" s="312" t="s">
        <v>1198</v>
      </c>
      <c r="E634" s="313" t="s">
        <v>3</v>
      </c>
      <c r="F634" s="313">
        <v>21</v>
      </c>
      <c r="G634" s="313">
        <v>2</v>
      </c>
      <c r="H634" s="313">
        <v>1</v>
      </c>
      <c r="I634" s="314">
        <v>1</v>
      </c>
      <c r="J634" s="411">
        <v>1650</v>
      </c>
      <c r="K634" s="411">
        <f t="shared" si="20"/>
        <v>1650</v>
      </c>
      <c r="L634" s="327" t="s">
        <v>1197</v>
      </c>
      <c r="M634" s="291" t="s">
        <v>1196</v>
      </c>
    </row>
    <row r="635" spans="1:13">
      <c r="A635" s="410">
        <v>207</v>
      </c>
      <c r="B635" s="310">
        <v>2549</v>
      </c>
      <c r="C635" s="311" t="s">
        <v>1205</v>
      </c>
      <c r="D635" s="312" t="s">
        <v>1204</v>
      </c>
      <c r="E635" s="313" t="s">
        <v>98</v>
      </c>
      <c r="F635" s="313">
        <v>16</v>
      </c>
      <c r="G635" s="313" t="s">
        <v>128</v>
      </c>
      <c r="H635" s="313">
        <v>1</v>
      </c>
      <c r="I635" s="314">
        <v>1</v>
      </c>
      <c r="J635" s="411">
        <v>1370</v>
      </c>
      <c r="K635" s="411">
        <f t="shared" si="20"/>
        <v>1370</v>
      </c>
      <c r="L635" s="327" t="s">
        <v>1203</v>
      </c>
      <c r="M635" s="291" t="s">
        <v>1196</v>
      </c>
    </row>
    <row r="636" spans="1:13">
      <c r="A636" s="400">
        <v>208</v>
      </c>
      <c r="B636" s="310">
        <v>2553</v>
      </c>
      <c r="C636" s="311" t="s">
        <v>1214</v>
      </c>
      <c r="D636" s="312" t="s">
        <v>1213</v>
      </c>
      <c r="E636" s="313" t="s">
        <v>2</v>
      </c>
      <c r="F636" s="313">
        <v>12</v>
      </c>
      <c r="G636" s="313">
        <v>3</v>
      </c>
      <c r="H636" s="313">
        <v>2</v>
      </c>
      <c r="I636" s="314">
        <v>2</v>
      </c>
      <c r="J636" s="411">
        <v>3500</v>
      </c>
      <c r="K636" s="411">
        <f t="shared" si="20"/>
        <v>7000</v>
      </c>
      <c r="L636" s="327" t="s">
        <v>1212</v>
      </c>
      <c r="M636" s="291" t="s">
        <v>1196</v>
      </c>
    </row>
    <row r="637" spans="1:13">
      <c r="A637" s="410">
        <v>209</v>
      </c>
      <c r="B637" s="310">
        <v>2553</v>
      </c>
      <c r="C637" s="311" t="s">
        <v>1211</v>
      </c>
      <c r="D637" s="312" t="s">
        <v>1210</v>
      </c>
      <c r="E637" s="313" t="s">
        <v>2</v>
      </c>
      <c r="F637" s="313">
        <v>12</v>
      </c>
      <c r="G637" s="313">
        <v>3</v>
      </c>
      <c r="H637" s="313">
        <v>2</v>
      </c>
      <c r="I637" s="314">
        <v>2</v>
      </c>
      <c r="J637" s="411">
        <v>1500</v>
      </c>
      <c r="K637" s="411">
        <f t="shared" si="20"/>
        <v>3000</v>
      </c>
      <c r="L637" s="327" t="s">
        <v>1209</v>
      </c>
      <c r="M637" s="291" t="s">
        <v>1196</v>
      </c>
    </row>
    <row r="638" spans="1:13">
      <c r="A638" s="400">
        <v>210</v>
      </c>
      <c r="B638" s="310">
        <v>2553</v>
      </c>
      <c r="C638" s="311" t="s">
        <v>1208</v>
      </c>
      <c r="D638" s="312" t="s">
        <v>1207</v>
      </c>
      <c r="E638" s="313" t="s">
        <v>2</v>
      </c>
      <c r="F638" s="313">
        <v>12</v>
      </c>
      <c r="G638" s="313" t="s">
        <v>128</v>
      </c>
      <c r="H638" s="313">
        <v>2</v>
      </c>
      <c r="I638" s="314">
        <v>2</v>
      </c>
      <c r="J638" s="411">
        <v>450</v>
      </c>
      <c r="K638" s="411">
        <f t="shared" si="20"/>
        <v>900</v>
      </c>
      <c r="L638" s="327" t="s">
        <v>1206</v>
      </c>
      <c r="M638" s="291" t="s">
        <v>1196</v>
      </c>
    </row>
    <row r="639" spans="1:13" ht="24" customHeight="1">
      <c r="A639" s="258"/>
      <c r="B639" s="258"/>
      <c r="C639" s="258"/>
      <c r="D639" s="258"/>
      <c r="E639" s="258"/>
      <c r="F639" s="258"/>
      <c r="G639" s="258"/>
      <c r="H639" s="258"/>
      <c r="I639" s="258"/>
      <c r="J639" s="254" t="s">
        <v>129</v>
      </c>
      <c r="K639" s="259">
        <f ca="1">SUM(K628:K638)</f>
        <v>2738130.5999999996</v>
      </c>
      <c r="L639" s="310"/>
      <c r="M639" s="291"/>
    </row>
    <row r="640" spans="1:13" ht="24" customHeight="1">
      <c r="A640" s="291"/>
      <c r="B640" s="253" t="s">
        <v>119</v>
      </c>
      <c r="C640" s="292" t="s">
        <v>120</v>
      </c>
      <c r="D640" s="291"/>
      <c r="E640" s="291"/>
      <c r="F640" s="291"/>
      <c r="G640" s="291"/>
      <c r="H640" s="332"/>
      <c r="I640" s="332"/>
      <c r="J640" s="291"/>
      <c r="K640" s="291"/>
      <c r="L640" s="253"/>
      <c r="M640" s="291"/>
    </row>
    <row r="641" spans="1:13" ht="24" customHeight="1">
      <c r="A641" s="291"/>
      <c r="B641" s="253"/>
      <c r="C641" s="292" t="s">
        <v>121</v>
      </c>
      <c r="D641" s="291"/>
      <c r="E641" s="291"/>
      <c r="F641" s="291"/>
      <c r="G641" s="291"/>
      <c r="H641" s="332"/>
      <c r="I641" s="332"/>
      <c r="J641" s="291"/>
      <c r="K641" s="291"/>
      <c r="L641" s="253"/>
      <c r="M641" s="291"/>
    </row>
    <row r="642" spans="1:13" ht="24" customHeight="1">
      <c r="A642" s="291"/>
      <c r="B642" s="253"/>
      <c r="C642" s="292"/>
      <c r="D642" s="291"/>
      <c r="E642" s="291"/>
      <c r="F642" s="291"/>
      <c r="G642" s="337" t="s">
        <v>148</v>
      </c>
      <c r="H642" s="338" t="s">
        <v>149</v>
      </c>
      <c r="I642" s="338"/>
      <c r="J642" s="338"/>
      <c r="K642" s="339" t="s">
        <v>150</v>
      </c>
      <c r="L642" s="339"/>
      <c r="M642" s="291"/>
    </row>
    <row r="643" spans="1:13" ht="21" customHeight="1">
      <c r="A643" s="291"/>
      <c r="B643" s="253"/>
      <c r="C643" s="292"/>
      <c r="D643" s="291"/>
      <c r="E643" s="291"/>
      <c r="F643" s="291"/>
      <c r="G643" s="339"/>
      <c r="H643" s="338" t="s">
        <v>1549</v>
      </c>
      <c r="I643" s="338"/>
      <c r="J643" s="338"/>
      <c r="K643" s="339"/>
      <c r="L643" s="339"/>
      <c r="M643" s="291"/>
    </row>
    <row r="644" spans="1:13" ht="36" customHeight="1">
      <c r="A644" s="291"/>
      <c r="B644" s="253"/>
      <c r="C644" s="292"/>
      <c r="D644" s="291"/>
      <c r="E644" s="291"/>
      <c r="F644" s="291"/>
      <c r="G644" s="337" t="s">
        <v>148</v>
      </c>
      <c r="H644" s="338" t="s">
        <v>149</v>
      </c>
      <c r="I644" s="338"/>
      <c r="J644" s="338"/>
      <c r="K644" s="339" t="s">
        <v>151</v>
      </c>
      <c r="L644" s="339"/>
      <c r="M644" s="291"/>
    </row>
    <row r="645" spans="1:13" ht="20.25" customHeight="1">
      <c r="A645" s="291"/>
      <c r="B645" s="253"/>
      <c r="C645" s="292"/>
      <c r="D645" s="291"/>
      <c r="E645" s="291"/>
      <c r="F645" s="291"/>
      <c r="G645" s="339"/>
      <c r="H645" s="338" t="s">
        <v>154</v>
      </c>
      <c r="I645" s="338"/>
      <c r="J645" s="338"/>
      <c r="K645" s="339"/>
      <c r="L645" s="339"/>
      <c r="M645" s="291"/>
    </row>
    <row r="646" spans="1:13" ht="34.5" customHeight="1">
      <c r="A646" s="291"/>
      <c r="B646" s="253"/>
      <c r="C646" s="292"/>
      <c r="D646" s="291"/>
      <c r="E646" s="291"/>
      <c r="F646" s="291"/>
      <c r="G646" s="337" t="s">
        <v>148</v>
      </c>
      <c r="H646" s="338" t="s">
        <v>149</v>
      </c>
      <c r="I646" s="338"/>
      <c r="J646" s="338"/>
      <c r="K646" s="339" t="s">
        <v>151</v>
      </c>
      <c r="L646" s="336"/>
      <c r="M646" s="291"/>
    </row>
    <row r="647" spans="1:13" ht="21" customHeight="1">
      <c r="A647" s="291"/>
      <c r="B647" s="253"/>
      <c r="C647" s="292"/>
      <c r="D647" s="291"/>
      <c r="E647" s="291"/>
      <c r="F647" s="291"/>
      <c r="G647" s="339"/>
      <c r="H647" s="338" t="s">
        <v>155</v>
      </c>
      <c r="I647" s="338"/>
      <c r="J647" s="338"/>
      <c r="K647" s="339"/>
      <c r="L647" s="336"/>
      <c r="M647" s="291"/>
    </row>
    <row r="648" spans="1:13" ht="31.5" customHeight="1">
      <c r="A648" s="291"/>
      <c r="B648" s="253"/>
      <c r="C648" s="292"/>
      <c r="D648" s="291"/>
      <c r="E648" s="291"/>
      <c r="F648" s="291"/>
      <c r="G648" s="337" t="s">
        <v>148</v>
      </c>
      <c r="H648" s="338" t="s">
        <v>149</v>
      </c>
      <c r="I648" s="338"/>
      <c r="J648" s="338"/>
      <c r="K648" s="339" t="s">
        <v>151</v>
      </c>
      <c r="L648" s="336"/>
      <c r="M648" s="291"/>
    </row>
    <row r="649" spans="1:13" ht="21" customHeight="1">
      <c r="A649" s="291"/>
      <c r="B649" s="253"/>
      <c r="C649" s="292"/>
      <c r="D649" s="291"/>
      <c r="E649" s="291"/>
      <c r="F649" s="291"/>
      <c r="G649" s="339"/>
      <c r="H649" s="338" t="s">
        <v>156</v>
      </c>
      <c r="I649" s="338"/>
      <c r="J649" s="338"/>
      <c r="K649" s="339"/>
      <c r="L649" s="336"/>
      <c r="M649" s="291"/>
    </row>
    <row r="650" spans="1:13" ht="33" customHeight="1">
      <c r="A650" s="291"/>
      <c r="B650" s="253"/>
      <c r="C650" s="292"/>
      <c r="D650" s="291"/>
      <c r="E650" s="291"/>
      <c r="F650" s="291"/>
      <c r="G650" s="337" t="s">
        <v>148</v>
      </c>
      <c r="H650" s="338" t="s">
        <v>149</v>
      </c>
      <c r="I650" s="338"/>
      <c r="J650" s="338"/>
      <c r="K650" s="336" t="s">
        <v>152</v>
      </c>
      <c r="L650" s="336"/>
      <c r="M650" s="291"/>
    </row>
    <row r="651" spans="1:13" ht="24" customHeight="1">
      <c r="A651" s="291"/>
      <c r="B651" s="253"/>
      <c r="C651" s="292"/>
      <c r="D651" s="291"/>
      <c r="E651" s="291"/>
      <c r="F651" s="291"/>
      <c r="G651" s="336"/>
      <c r="H651" s="338" t="s">
        <v>157</v>
      </c>
      <c r="I651" s="338"/>
      <c r="J651" s="338"/>
      <c r="K651" s="336"/>
      <c r="L651" s="336"/>
      <c r="M651" s="291"/>
    </row>
    <row r="652" spans="1:13" ht="24" customHeight="1">
      <c r="A652" s="291"/>
      <c r="B652" s="253"/>
      <c r="C652" s="292"/>
      <c r="D652" s="291"/>
      <c r="E652" s="291"/>
      <c r="F652" s="291"/>
      <c r="G652" s="336"/>
      <c r="H652" s="333"/>
      <c r="I652" s="333"/>
      <c r="J652" s="333"/>
      <c r="K652" s="336"/>
      <c r="L652" s="336"/>
      <c r="M652" s="291"/>
    </row>
    <row r="653" spans="1:13" ht="24" customHeight="1">
      <c r="A653" s="291"/>
      <c r="B653" s="253"/>
      <c r="C653" s="292"/>
      <c r="D653" s="291"/>
      <c r="E653" s="291"/>
      <c r="F653" s="291"/>
      <c r="G653" s="291"/>
      <c r="H653" s="291"/>
      <c r="I653" s="291"/>
      <c r="J653" s="291"/>
      <c r="K653" s="291"/>
      <c r="L653" s="253" t="s">
        <v>1086</v>
      </c>
      <c r="M653" s="291"/>
    </row>
    <row r="654" spans="1:13" ht="24" customHeight="1">
      <c r="A654" s="265" t="s">
        <v>158</v>
      </c>
      <c r="B654" s="265"/>
      <c r="C654" s="265"/>
      <c r="D654" s="265"/>
      <c r="E654" s="265"/>
      <c r="F654" s="265"/>
      <c r="G654" s="265"/>
      <c r="H654" s="265"/>
      <c r="I654" s="265"/>
      <c r="J654" s="265"/>
      <c r="K654" s="265"/>
      <c r="L654" s="265"/>
      <c r="M654" s="291"/>
    </row>
    <row r="655" spans="1:13" ht="24" customHeight="1">
      <c r="A655" s="266" t="s">
        <v>160</v>
      </c>
      <c r="B655" s="266"/>
      <c r="C655" s="266"/>
      <c r="D655" s="266"/>
      <c r="E655" s="266"/>
      <c r="F655" s="266"/>
      <c r="G655" s="266"/>
      <c r="H655" s="266"/>
      <c r="I655" s="266"/>
      <c r="J655" s="266"/>
      <c r="K655" s="266"/>
      <c r="L655" s="266"/>
      <c r="M655" s="291"/>
    </row>
    <row r="656" spans="1:13" ht="24" customHeight="1" thickBot="1">
      <c r="A656" s="267" t="s">
        <v>161</v>
      </c>
      <c r="B656" s="267"/>
      <c r="C656" s="267"/>
      <c r="D656" s="267"/>
      <c r="E656" s="267"/>
      <c r="F656" s="267"/>
      <c r="G656" s="267"/>
      <c r="H656" s="267"/>
      <c r="I656" s="267"/>
      <c r="J656" s="267"/>
      <c r="K656" s="267"/>
      <c r="L656" s="267"/>
      <c r="M656" s="291"/>
    </row>
    <row r="657" spans="1:14" ht="24" customHeight="1" thickTop="1">
      <c r="A657" s="293" t="s">
        <v>103</v>
      </c>
      <c r="B657" s="293" t="s">
        <v>122</v>
      </c>
      <c r="C657" s="293" t="s">
        <v>124</v>
      </c>
      <c r="D657" s="294" t="s">
        <v>0</v>
      </c>
      <c r="E657" s="293" t="s">
        <v>109</v>
      </c>
      <c r="F657" s="293" t="s">
        <v>110</v>
      </c>
      <c r="G657" s="295" t="s">
        <v>111</v>
      </c>
      <c r="H657" s="296" t="s">
        <v>1</v>
      </c>
      <c r="I657" s="297"/>
      <c r="J657" s="293" t="s">
        <v>125</v>
      </c>
      <c r="K657" s="293" t="s">
        <v>104</v>
      </c>
      <c r="L657" s="293" t="s">
        <v>112</v>
      </c>
      <c r="M657" s="291"/>
    </row>
    <row r="658" spans="1:14" ht="45.75" customHeight="1" thickBot="1">
      <c r="A658" s="298"/>
      <c r="B658" s="298"/>
      <c r="C658" s="298"/>
      <c r="D658" s="299"/>
      <c r="E658" s="298"/>
      <c r="F658" s="298"/>
      <c r="G658" s="300"/>
      <c r="H658" s="301" t="s">
        <v>113</v>
      </c>
      <c r="I658" s="302" t="s">
        <v>114</v>
      </c>
      <c r="J658" s="298"/>
      <c r="K658" s="298"/>
      <c r="L658" s="298"/>
      <c r="M658" s="291"/>
    </row>
    <row r="659" spans="1:14" ht="24" customHeight="1" thickTop="1">
      <c r="A659" s="304"/>
      <c r="B659" s="340"/>
      <c r="C659" s="305"/>
      <c r="D659" s="305"/>
      <c r="E659" s="304"/>
      <c r="F659" s="304"/>
      <c r="G659" s="307"/>
      <c r="H659" s="308"/>
      <c r="I659" s="308"/>
      <c r="J659" s="256" t="s">
        <v>132</v>
      </c>
      <c r="K659" s="257">
        <f ca="1">SUM(K639)</f>
        <v>2738130.5999999996</v>
      </c>
      <c r="L659" s="304"/>
      <c r="M659" s="291"/>
    </row>
    <row r="660" spans="1:14">
      <c r="A660" s="316">
        <v>211</v>
      </c>
      <c r="B660" s="310">
        <v>2553</v>
      </c>
      <c r="C660" s="311" t="s">
        <v>1222</v>
      </c>
      <c r="D660" s="312" t="s">
        <v>1221</v>
      </c>
      <c r="E660" s="313" t="s">
        <v>2</v>
      </c>
      <c r="F660" s="313">
        <v>12</v>
      </c>
      <c r="G660" s="313">
        <v>1</v>
      </c>
      <c r="H660" s="313">
        <v>2</v>
      </c>
      <c r="I660" s="314">
        <v>2</v>
      </c>
      <c r="J660" s="411">
        <v>680</v>
      </c>
      <c r="K660" s="411">
        <f>SUM(I660*J660)</f>
        <v>1360</v>
      </c>
      <c r="L660" s="327" t="s">
        <v>192</v>
      </c>
      <c r="M660" s="291" t="s">
        <v>1196</v>
      </c>
    </row>
    <row r="661" spans="1:14">
      <c r="A661" s="316">
        <v>212</v>
      </c>
      <c r="B661" s="310">
        <v>2554</v>
      </c>
      <c r="C661" s="311" t="s">
        <v>1220</v>
      </c>
      <c r="D661" s="312" t="s">
        <v>1219</v>
      </c>
      <c r="E661" s="310" t="s">
        <v>2</v>
      </c>
      <c r="F661" s="313">
        <v>11</v>
      </c>
      <c r="G661" s="313" t="s">
        <v>128</v>
      </c>
      <c r="H661" s="313">
        <v>1</v>
      </c>
      <c r="I661" s="314">
        <v>1</v>
      </c>
      <c r="J661" s="411">
        <v>900</v>
      </c>
      <c r="K661" s="411">
        <v>900</v>
      </c>
      <c r="L661" s="315" t="s">
        <v>1218</v>
      </c>
      <c r="M661" s="291" t="s">
        <v>1196</v>
      </c>
    </row>
    <row r="662" spans="1:14">
      <c r="A662" s="316">
        <v>213</v>
      </c>
      <c r="B662" s="310">
        <v>2554</v>
      </c>
      <c r="C662" s="311" t="s">
        <v>1217</v>
      </c>
      <c r="D662" s="312" t="s">
        <v>1216</v>
      </c>
      <c r="E662" s="310" t="s">
        <v>2</v>
      </c>
      <c r="F662" s="313">
        <v>11</v>
      </c>
      <c r="G662" s="313">
        <v>1</v>
      </c>
      <c r="H662" s="313">
        <v>1</v>
      </c>
      <c r="I662" s="314">
        <v>1</v>
      </c>
      <c r="J662" s="411">
        <v>3500</v>
      </c>
      <c r="K662" s="411">
        <v>3500</v>
      </c>
      <c r="L662" s="327" t="s">
        <v>1215</v>
      </c>
      <c r="M662" s="291" t="s">
        <v>1196</v>
      </c>
    </row>
    <row r="663" spans="1:14">
      <c r="A663" s="316">
        <v>214</v>
      </c>
      <c r="B663" s="310">
        <v>2549</v>
      </c>
      <c r="C663" s="311" t="s">
        <v>1238</v>
      </c>
      <c r="D663" s="312" t="s">
        <v>936</v>
      </c>
      <c r="E663" s="313" t="s">
        <v>750</v>
      </c>
      <c r="F663" s="313">
        <v>16</v>
      </c>
      <c r="G663" s="313" t="s">
        <v>128</v>
      </c>
      <c r="H663" s="313">
        <v>1</v>
      </c>
      <c r="I663" s="314">
        <v>1</v>
      </c>
      <c r="J663" s="255">
        <v>3100</v>
      </c>
      <c r="K663" s="255">
        <v>3100</v>
      </c>
      <c r="L663" s="327" t="s">
        <v>1237</v>
      </c>
      <c r="M663" s="291" t="s">
        <v>1236</v>
      </c>
    </row>
    <row r="664" spans="1:14">
      <c r="A664" s="316">
        <v>215</v>
      </c>
      <c r="B664" s="310">
        <v>2550</v>
      </c>
      <c r="C664" s="311" t="s">
        <v>1244</v>
      </c>
      <c r="D664" s="312" t="s">
        <v>1243</v>
      </c>
      <c r="E664" s="313" t="s">
        <v>750</v>
      </c>
      <c r="F664" s="313">
        <v>15</v>
      </c>
      <c r="G664" s="313" t="s">
        <v>128</v>
      </c>
      <c r="H664" s="313">
        <v>1</v>
      </c>
      <c r="I664" s="314">
        <v>1</v>
      </c>
      <c r="J664" s="255">
        <v>3500</v>
      </c>
      <c r="K664" s="255">
        <v>3500</v>
      </c>
      <c r="L664" s="327" t="s">
        <v>1242</v>
      </c>
      <c r="M664" s="291" t="s">
        <v>1236</v>
      </c>
    </row>
    <row r="665" spans="1:14">
      <c r="A665" s="316">
        <v>216</v>
      </c>
      <c r="B665" s="310">
        <v>2552</v>
      </c>
      <c r="C665" s="311" t="s">
        <v>1241</v>
      </c>
      <c r="D665" s="312" t="s">
        <v>1240</v>
      </c>
      <c r="E665" s="313" t="s">
        <v>759</v>
      </c>
      <c r="F665" s="313">
        <v>13</v>
      </c>
      <c r="G665" s="313" t="s">
        <v>128</v>
      </c>
      <c r="H665" s="313">
        <v>2</v>
      </c>
      <c r="I665" s="314">
        <v>2</v>
      </c>
      <c r="J665" s="255">
        <v>3900</v>
      </c>
      <c r="K665" s="255">
        <v>7800</v>
      </c>
      <c r="L665" s="327" t="s">
        <v>1239</v>
      </c>
      <c r="M665" s="291" t="s">
        <v>1236</v>
      </c>
    </row>
    <row r="666" spans="1:14" ht="24" customHeight="1">
      <c r="A666" s="316">
        <v>217</v>
      </c>
      <c r="B666" s="310">
        <v>2539</v>
      </c>
      <c r="C666" s="311" t="s">
        <v>1260</v>
      </c>
      <c r="D666" s="312" t="s">
        <v>1259</v>
      </c>
      <c r="E666" s="313" t="s">
        <v>2</v>
      </c>
      <c r="F666" s="313">
        <v>26</v>
      </c>
      <c r="G666" s="313" t="s">
        <v>383</v>
      </c>
      <c r="H666" s="314">
        <v>1</v>
      </c>
      <c r="I666" s="314">
        <v>1</v>
      </c>
      <c r="J666" s="254">
        <v>2300</v>
      </c>
      <c r="K666" s="412">
        <f>SUM(I666*J666)</f>
        <v>2300</v>
      </c>
      <c r="L666" s="342" t="s">
        <v>1258</v>
      </c>
      <c r="M666" s="291" t="s">
        <v>1252</v>
      </c>
      <c r="N666" s="260"/>
    </row>
    <row r="667" spans="1:14" ht="24" customHeight="1">
      <c r="A667" s="316">
        <v>218</v>
      </c>
      <c r="B667" s="310">
        <v>2540</v>
      </c>
      <c r="C667" s="311" t="s">
        <v>1257</v>
      </c>
      <c r="D667" s="312" t="s">
        <v>1255</v>
      </c>
      <c r="E667" s="313" t="s">
        <v>2</v>
      </c>
      <c r="F667" s="313">
        <v>25</v>
      </c>
      <c r="G667" s="313" t="s">
        <v>383</v>
      </c>
      <c r="H667" s="314">
        <v>1</v>
      </c>
      <c r="I667" s="314">
        <v>1</v>
      </c>
      <c r="J667" s="254">
        <v>2200</v>
      </c>
      <c r="K667" s="412">
        <f>SUM(I667*J667)</f>
        <v>2200</v>
      </c>
      <c r="L667" s="327" t="s">
        <v>1329</v>
      </c>
      <c r="M667" s="291" t="s">
        <v>1252</v>
      </c>
      <c r="N667" s="260"/>
    </row>
    <row r="668" spans="1:14" ht="24" customHeight="1">
      <c r="A668" s="316">
        <v>219</v>
      </c>
      <c r="B668" s="310">
        <v>2546</v>
      </c>
      <c r="C668" s="311" t="s">
        <v>1256</v>
      </c>
      <c r="D668" s="312" t="s">
        <v>1255</v>
      </c>
      <c r="E668" s="313" t="s">
        <v>3</v>
      </c>
      <c r="F668" s="313">
        <v>19</v>
      </c>
      <c r="G668" s="313" t="s">
        <v>383</v>
      </c>
      <c r="H668" s="314">
        <v>1</v>
      </c>
      <c r="I668" s="314">
        <v>1</v>
      </c>
      <c r="J668" s="254">
        <v>2600</v>
      </c>
      <c r="K668" s="412">
        <f>SUM(I668*J668)</f>
        <v>2600</v>
      </c>
      <c r="L668" s="327" t="s">
        <v>1329</v>
      </c>
      <c r="M668" s="291" t="s">
        <v>1252</v>
      </c>
      <c r="N668" s="260"/>
    </row>
    <row r="669" spans="1:14" ht="24" customHeight="1">
      <c r="A669" s="316">
        <v>220</v>
      </c>
      <c r="B669" s="310">
        <v>2546</v>
      </c>
      <c r="C669" s="311" t="s">
        <v>1254</v>
      </c>
      <c r="D669" s="312" t="s">
        <v>1253</v>
      </c>
      <c r="E669" s="313" t="s">
        <v>3</v>
      </c>
      <c r="F669" s="313">
        <v>19</v>
      </c>
      <c r="G669" s="313" t="s">
        <v>383</v>
      </c>
      <c r="H669" s="314">
        <v>1</v>
      </c>
      <c r="I669" s="314">
        <v>1</v>
      </c>
      <c r="J669" s="254">
        <v>2300</v>
      </c>
      <c r="K669" s="412">
        <f>SUM(I669*J669)</f>
        <v>2300</v>
      </c>
      <c r="L669" s="327" t="s">
        <v>1330</v>
      </c>
      <c r="M669" s="291" t="s">
        <v>1252</v>
      </c>
      <c r="N669" s="260"/>
    </row>
    <row r="670" spans="1:14" ht="24" customHeight="1">
      <c r="A670" s="258"/>
      <c r="B670" s="258"/>
      <c r="C670" s="258"/>
      <c r="D670" s="258"/>
      <c r="E670" s="258"/>
      <c r="F670" s="258"/>
      <c r="G670" s="258"/>
      <c r="H670" s="258"/>
      <c r="I670" s="258"/>
      <c r="J670" s="254" t="s">
        <v>129</v>
      </c>
      <c r="K670" s="259">
        <f ca="1">SUM(K659:K669)</f>
        <v>2767690.5999999996</v>
      </c>
      <c r="L670" s="310"/>
      <c r="M670" s="291"/>
    </row>
    <row r="671" spans="1:14" ht="24" customHeight="1">
      <c r="A671" s="291"/>
      <c r="B671" s="253" t="s">
        <v>119</v>
      </c>
      <c r="C671" s="292" t="s">
        <v>120</v>
      </c>
      <c r="D671" s="291"/>
      <c r="E671" s="291"/>
      <c r="F671" s="291"/>
      <c r="G671" s="291"/>
      <c r="H671" s="332"/>
      <c r="I671" s="332"/>
      <c r="J671" s="291"/>
      <c r="K671" s="291"/>
      <c r="L671" s="253"/>
      <c r="M671" s="291"/>
    </row>
    <row r="672" spans="1:14" ht="24" customHeight="1">
      <c r="A672" s="291"/>
      <c r="B672" s="253"/>
      <c r="C672" s="292" t="s">
        <v>121</v>
      </c>
      <c r="D672" s="291"/>
      <c r="E672" s="291"/>
      <c r="F672" s="291"/>
      <c r="G672" s="291"/>
      <c r="H672" s="332"/>
      <c r="I672" s="332"/>
      <c r="J672" s="291"/>
      <c r="K672" s="291"/>
      <c r="L672" s="253"/>
      <c r="M672" s="291"/>
    </row>
    <row r="673" spans="1:13" ht="24" customHeight="1">
      <c r="A673" s="291"/>
      <c r="B673" s="253"/>
      <c r="C673" s="292"/>
      <c r="D673" s="291"/>
      <c r="E673" s="291"/>
      <c r="F673" s="291"/>
      <c r="G673" s="337" t="s">
        <v>148</v>
      </c>
      <c r="H673" s="338" t="s">
        <v>149</v>
      </c>
      <c r="I673" s="338"/>
      <c r="J673" s="338"/>
      <c r="K673" s="339" t="s">
        <v>150</v>
      </c>
      <c r="L673" s="339"/>
      <c r="M673" s="291"/>
    </row>
    <row r="674" spans="1:13" ht="21" customHeight="1">
      <c r="A674" s="291"/>
      <c r="B674" s="253"/>
      <c r="C674" s="292"/>
      <c r="D674" s="291"/>
      <c r="E674" s="291"/>
      <c r="F674" s="291"/>
      <c r="G674" s="339"/>
      <c r="H674" s="338" t="s">
        <v>1549</v>
      </c>
      <c r="I674" s="338"/>
      <c r="J674" s="338"/>
      <c r="K674" s="339"/>
      <c r="L674" s="339"/>
      <c r="M674" s="291"/>
    </row>
    <row r="675" spans="1:13" ht="35.25" customHeight="1">
      <c r="A675" s="291"/>
      <c r="B675" s="253"/>
      <c r="C675" s="292"/>
      <c r="D675" s="291"/>
      <c r="E675" s="291"/>
      <c r="F675" s="291"/>
      <c r="G675" s="337" t="s">
        <v>148</v>
      </c>
      <c r="H675" s="338" t="s">
        <v>149</v>
      </c>
      <c r="I675" s="338"/>
      <c r="J675" s="338"/>
      <c r="K675" s="339" t="s">
        <v>151</v>
      </c>
      <c r="L675" s="339"/>
      <c r="M675" s="291"/>
    </row>
    <row r="676" spans="1:13" ht="20.25" customHeight="1">
      <c r="A676" s="291"/>
      <c r="B676" s="253"/>
      <c r="C676" s="292"/>
      <c r="D676" s="291"/>
      <c r="E676" s="291"/>
      <c r="F676" s="291"/>
      <c r="G676" s="339"/>
      <c r="H676" s="338" t="s">
        <v>154</v>
      </c>
      <c r="I676" s="338"/>
      <c r="J676" s="338"/>
      <c r="K676" s="339"/>
      <c r="L676" s="339"/>
      <c r="M676" s="291"/>
    </row>
    <row r="677" spans="1:13" ht="34.5" customHeight="1">
      <c r="A677" s="291"/>
      <c r="B677" s="253"/>
      <c r="C677" s="292"/>
      <c r="D677" s="291"/>
      <c r="E677" s="291"/>
      <c r="F677" s="291"/>
      <c r="G677" s="337" t="s">
        <v>148</v>
      </c>
      <c r="H677" s="338" t="s">
        <v>149</v>
      </c>
      <c r="I677" s="338"/>
      <c r="J677" s="338"/>
      <c r="K677" s="339" t="s">
        <v>151</v>
      </c>
      <c r="L677" s="336"/>
      <c r="M677" s="291"/>
    </row>
    <row r="678" spans="1:13" ht="21" customHeight="1">
      <c r="A678" s="291"/>
      <c r="B678" s="253"/>
      <c r="C678" s="292"/>
      <c r="D678" s="291"/>
      <c r="E678" s="291"/>
      <c r="F678" s="291"/>
      <c r="G678" s="339"/>
      <c r="H678" s="338" t="s">
        <v>155</v>
      </c>
      <c r="I678" s="338"/>
      <c r="J678" s="338"/>
      <c r="K678" s="339"/>
      <c r="L678" s="336"/>
      <c r="M678" s="291"/>
    </row>
    <row r="679" spans="1:13" ht="32.25" customHeight="1">
      <c r="A679" s="291"/>
      <c r="B679" s="253"/>
      <c r="C679" s="292"/>
      <c r="D679" s="291"/>
      <c r="E679" s="291"/>
      <c r="F679" s="291"/>
      <c r="G679" s="337" t="s">
        <v>148</v>
      </c>
      <c r="H679" s="338" t="s">
        <v>149</v>
      </c>
      <c r="I679" s="338"/>
      <c r="J679" s="338"/>
      <c r="K679" s="339" t="s">
        <v>151</v>
      </c>
      <c r="L679" s="336"/>
      <c r="M679" s="291"/>
    </row>
    <row r="680" spans="1:13" ht="21" customHeight="1">
      <c r="A680" s="291"/>
      <c r="B680" s="253"/>
      <c r="C680" s="292"/>
      <c r="D680" s="291"/>
      <c r="E680" s="291"/>
      <c r="F680" s="291"/>
      <c r="G680" s="339"/>
      <c r="H680" s="338" t="s">
        <v>156</v>
      </c>
      <c r="I680" s="338"/>
      <c r="J680" s="338"/>
      <c r="K680" s="339"/>
      <c r="L680" s="336"/>
      <c r="M680" s="291"/>
    </row>
    <row r="681" spans="1:13" ht="33.75" customHeight="1">
      <c r="A681" s="291"/>
      <c r="B681" s="253"/>
      <c r="C681" s="292"/>
      <c r="D681" s="291"/>
      <c r="E681" s="291"/>
      <c r="F681" s="291"/>
      <c r="G681" s="337" t="s">
        <v>148</v>
      </c>
      <c r="H681" s="338" t="s">
        <v>149</v>
      </c>
      <c r="I681" s="338"/>
      <c r="J681" s="338"/>
      <c r="K681" s="336" t="s">
        <v>152</v>
      </c>
      <c r="L681" s="336"/>
      <c r="M681" s="291"/>
    </row>
    <row r="682" spans="1:13" ht="24" customHeight="1">
      <c r="A682" s="291"/>
      <c r="B682" s="253"/>
      <c r="C682" s="292"/>
      <c r="D682" s="291"/>
      <c r="E682" s="291"/>
      <c r="F682" s="291"/>
      <c r="G682" s="336"/>
      <c r="H682" s="338" t="s">
        <v>157</v>
      </c>
      <c r="I682" s="338"/>
      <c r="J682" s="338"/>
      <c r="K682" s="336"/>
      <c r="L682" s="336"/>
      <c r="M682" s="291"/>
    </row>
    <row r="683" spans="1:13" ht="24" customHeight="1">
      <c r="A683" s="291"/>
      <c r="B683" s="253"/>
      <c r="C683" s="292"/>
      <c r="D683" s="291"/>
      <c r="E683" s="291"/>
      <c r="F683" s="291"/>
      <c r="G683" s="336"/>
      <c r="H683" s="333"/>
      <c r="I683" s="333"/>
      <c r="J683" s="333"/>
      <c r="K683" s="336"/>
      <c r="L683" s="336"/>
      <c r="M683" s="291"/>
    </row>
    <row r="684" spans="1:13" ht="24" customHeight="1">
      <c r="A684" s="291"/>
      <c r="B684" s="253"/>
      <c r="C684" s="292"/>
      <c r="D684" s="291"/>
      <c r="E684" s="291"/>
      <c r="F684" s="291"/>
      <c r="G684" s="291"/>
      <c r="H684" s="291"/>
      <c r="I684" s="291"/>
      <c r="J684" s="291"/>
      <c r="K684" s="291"/>
      <c r="L684" s="253" t="s">
        <v>1087</v>
      </c>
      <c r="M684" s="291"/>
    </row>
    <row r="685" spans="1:13" ht="24" customHeight="1">
      <c r="A685" s="265" t="s">
        <v>158</v>
      </c>
      <c r="B685" s="265"/>
      <c r="C685" s="265"/>
      <c r="D685" s="265"/>
      <c r="E685" s="265"/>
      <c r="F685" s="265"/>
      <c r="G685" s="265"/>
      <c r="H685" s="265"/>
      <c r="I685" s="265"/>
      <c r="J685" s="265"/>
      <c r="K685" s="265"/>
      <c r="L685" s="265"/>
      <c r="M685" s="291"/>
    </row>
    <row r="686" spans="1:13" ht="24" customHeight="1">
      <c r="A686" s="266" t="s">
        <v>160</v>
      </c>
      <c r="B686" s="266"/>
      <c r="C686" s="266"/>
      <c r="D686" s="266"/>
      <c r="E686" s="266"/>
      <c r="F686" s="266"/>
      <c r="G686" s="266"/>
      <c r="H686" s="266"/>
      <c r="I686" s="266"/>
      <c r="J686" s="266"/>
      <c r="K686" s="266"/>
      <c r="L686" s="266"/>
      <c r="M686" s="291"/>
    </row>
    <row r="687" spans="1:13" ht="24" customHeight="1" thickBot="1">
      <c r="A687" s="267" t="s">
        <v>161</v>
      </c>
      <c r="B687" s="267"/>
      <c r="C687" s="267"/>
      <c r="D687" s="267"/>
      <c r="E687" s="267"/>
      <c r="F687" s="267"/>
      <c r="G687" s="267"/>
      <c r="H687" s="267"/>
      <c r="I687" s="267"/>
      <c r="J687" s="267"/>
      <c r="K687" s="267"/>
      <c r="L687" s="267"/>
      <c r="M687" s="291"/>
    </row>
    <row r="688" spans="1:13" ht="24" customHeight="1" thickTop="1">
      <c r="A688" s="293" t="s">
        <v>103</v>
      </c>
      <c r="B688" s="293" t="s">
        <v>122</v>
      </c>
      <c r="C688" s="293" t="s">
        <v>124</v>
      </c>
      <c r="D688" s="294" t="s">
        <v>0</v>
      </c>
      <c r="E688" s="293" t="s">
        <v>109</v>
      </c>
      <c r="F688" s="293" t="s">
        <v>110</v>
      </c>
      <c r="G688" s="295" t="s">
        <v>111</v>
      </c>
      <c r="H688" s="296" t="s">
        <v>1</v>
      </c>
      <c r="I688" s="297"/>
      <c r="J688" s="293" t="s">
        <v>125</v>
      </c>
      <c r="K688" s="293" t="s">
        <v>104</v>
      </c>
      <c r="L688" s="293" t="s">
        <v>112</v>
      </c>
      <c r="M688" s="291"/>
    </row>
    <row r="689" spans="1:13" ht="45.75" customHeight="1" thickBot="1">
      <c r="A689" s="298"/>
      <c r="B689" s="298"/>
      <c r="C689" s="298"/>
      <c r="D689" s="299"/>
      <c r="E689" s="298"/>
      <c r="F689" s="298"/>
      <c r="G689" s="300"/>
      <c r="H689" s="301" t="s">
        <v>113</v>
      </c>
      <c r="I689" s="302" t="s">
        <v>114</v>
      </c>
      <c r="J689" s="298"/>
      <c r="K689" s="298"/>
      <c r="L689" s="298"/>
      <c r="M689" s="291"/>
    </row>
    <row r="690" spans="1:13" ht="24" customHeight="1" thickTop="1">
      <c r="A690" s="304"/>
      <c r="B690" s="340"/>
      <c r="C690" s="305"/>
      <c r="D690" s="305"/>
      <c r="E690" s="304"/>
      <c r="F690" s="304"/>
      <c r="G690" s="307"/>
      <c r="H690" s="308"/>
      <c r="I690" s="308"/>
      <c r="J690" s="256" t="s">
        <v>132</v>
      </c>
      <c r="K690" s="257">
        <f ca="1">SUM(K670)</f>
        <v>2767690.5999999996</v>
      </c>
      <c r="L690" s="304"/>
      <c r="M690" s="291"/>
    </row>
    <row r="691" spans="1:13" ht="24" customHeight="1">
      <c r="A691" s="316">
        <v>221</v>
      </c>
      <c r="B691" s="310">
        <v>2553</v>
      </c>
      <c r="C691" s="311" t="s">
        <v>1045</v>
      </c>
      <c r="D691" s="312" t="s">
        <v>1265</v>
      </c>
      <c r="E691" s="313" t="s">
        <v>2</v>
      </c>
      <c r="F691" s="313">
        <v>12</v>
      </c>
      <c r="G691" s="313" t="s">
        <v>128</v>
      </c>
      <c r="H691" s="313">
        <v>1</v>
      </c>
      <c r="I691" s="314">
        <v>1</v>
      </c>
      <c r="J691" s="255">
        <v>3700</v>
      </c>
      <c r="K691" s="255">
        <f t="shared" ref="K691:K696" si="21">SUM(I691*J691)</f>
        <v>3700</v>
      </c>
      <c r="L691" s="327" t="s">
        <v>213</v>
      </c>
      <c r="M691" s="291" t="s">
        <v>1262</v>
      </c>
    </row>
    <row r="692" spans="1:13" ht="24" customHeight="1">
      <c r="A692" s="316">
        <v>222</v>
      </c>
      <c r="B692" s="310">
        <v>2553</v>
      </c>
      <c r="C692" s="311" t="s">
        <v>1264</v>
      </c>
      <c r="D692" s="312" t="s">
        <v>1263</v>
      </c>
      <c r="E692" s="313" t="s">
        <v>2</v>
      </c>
      <c r="F692" s="313">
        <v>12</v>
      </c>
      <c r="G692" s="313" t="s">
        <v>128</v>
      </c>
      <c r="H692" s="313">
        <v>15</v>
      </c>
      <c r="I692" s="314">
        <v>15</v>
      </c>
      <c r="J692" s="255">
        <v>4238.5200000000004</v>
      </c>
      <c r="K692" s="255">
        <f t="shared" si="21"/>
        <v>63577.8</v>
      </c>
      <c r="L692" s="327" t="s">
        <v>1322</v>
      </c>
      <c r="M692" s="291" t="s">
        <v>1262</v>
      </c>
    </row>
    <row r="693" spans="1:13">
      <c r="A693" s="316">
        <v>223</v>
      </c>
      <c r="B693" s="329" t="s">
        <v>138</v>
      </c>
      <c r="C693" s="311" t="s">
        <v>1021</v>
      </c>
      <c r="D693" s="312" t="s">
        <v>1275</v>
      </c>
      <c r="E693" s="313" t="s">
        <v>759</v>
      </c>
      <c r="F693" s="313">
        <v>12</v>
      </c>
      <c r="G693" s="313" t="s">
        <v>128</v>
      </c>
      <c r="H693" s="313">
        <v>1</v>
      </c>
      <c r="I693" s="314">
        <v>1</v>
      </c>
      <c r="J693" s="255">
        <v>900</v>
      </c>
      <c r="K693" s="255">
        <f t="shared" si="21"/>
        <v>900</v>
      </c>
      <c r="L693" s="327" t="s">
        <v>1270</v>
      </c>
      <c r="M693" s="291" t="s">
        <v>1274</v>
      </c>
    </row>
    <row r="694" spans="1:13">
      <c r="A694" s="316">
        <v>224</v>
      </c>
      <c r="B694" s="310">
        <v>2553</v>
      </c>
      <c r="C694" s="311" t="s">
        <v>1273</v>
      </c>
      <c r="D694" s="312" t="s">
        <v>961</v>
      </c>
      <c r="E694" s="313" t="s">
        <v>759</v>
      </c>
      <c r="F694" s="313">
        <v>12</v>
      </c>
      <c r="G694" s="313" t="s">
        <v>128</v>
      </c>
      <c r="H694" s="313">
        <v>1</v>
      </c>
      <c r="I694" s="314">
        <v>1</v>
      </c>
      <c r="J694" s="255">
        <v>1100</v>
      </c>
      <c r="K694" s="255">
        <f t="shared" si="21"/>
        <v>1100</v>
      </c>
      <c r="L694" s="327" t="s">
        <v>1357</v>
      </c>
      <c r="M694" s="291" t="s">
        <v>1274</v>
      </c>
    </row>
    <row r="695" spans="1:13">
      <c r="A695" s="316">
        <v>225</v>
      </c>
      <c r="B695" s="310">
        <v>2553</v>
      </c>
      <c r="C695" s="311" t="s">
        <v>1272</v>
      </c>
      <c r="D695" s="312" t="s">
        <v>961</v>
      </c>
      <c r="E695" s="313" t="s">
        <v>759</v>
      </c>
      <c r="F695" s="313">
        <v>12</v>
      </c>
      <c r="G695" s="313" t="s">
        <v>128</v>
      </c>
      <c r="H695" s="313">
        <v>2</v>
      </c>
      <c r="I695" s="314">
        <v>2</v>
      </c>
      <c r="J695" s="255">
        <v>1150</v>
      </c>
      <c r="K695" s="255">
        <f t="shared" si="21"/>
        <v>2300</v>
      </c>
      <c r="L695" s="327" t="s">
        <v>1357</v>
      </c>
      <c r="M695" s="291" t="s">
        <v>1274</v>
      </c>
    </row>
    <row r="696" spans="1:13">
      <c r="A696" s="316">
        <v>226</v>
      </c>
      <c r="B696" s="310">
        <v>2553</v>
      </c>
      <c r="C696" s="311" t="s">
        <v>1022</v>
      </c>
      <c r="D696" s="312" t="s">
        <v>1271</v>
      </c>
      <c r="E696" s="313" t="s">
        <v>759</v>
      </c>
      <c r="F696" s="313">
        <v>12</v>
      </c>
      <c r="G696" s="313" t="s">
        <v>128</v>
      </c>
      <c r="H696" s="313">
        <v>1</v>
      </c>
      <c r="I696" s="314">
        <v>1</v>
      </c>
      <c r="J696" s="255">
        <v>3300</v>
      </c>
      <c r="K696" s="255">
        <f t="shared" si="21"/>
        <v>3300</v>
      </c>
      <c r="L696" s="327" t="s">
        <v>1270</v>
      </c>
      <c r="M696" s="291" t="s">
        <v>1274</v>
      </c>
    </row>
    <row r="697" spans="1:13" ht="24" customHeight="1" thickBot="1">
      <c r="A697" s="258"/>
      <c r="B697" s="258"/>
      <c r="C697" s="258"/>
      <c r="D697" s="258" t="s">
        <v>1418</v>
      </c>
      <c r="E697" s="263"/>
      <c r="F697" s="258"/>
      <c r="G697" s="258"/>
      <c r="H697" s="258"/>
      <c r="I697" s="258"/>
      <c r="J697" s="254" t="s">
        <v>123</v>
      </c>
      <c r="K697" s="264">
        <f ca="1">SUM(K690:K696)</f>
        <v>2842568.3999999994</v>
      </c>
      <c r="L697" s="310"/>
      <c r="M697" s="291"/>
    </row>
    <row r="698" spans="1:13" ht="24" customHeight="1" thickTop="1">
      <c r="A698" s="291"/>
      <c r="B698" s="253" t="s">
        <v>119</v>
      </c>
      <c r="C698" s="292" t="s">
        <v>120</v>
      </c>
      <c r="D698" s="291"/>
      <c r="E698" s="291"/>
      <c r="F698" s="291"/>
      <c r="G698" s="291"/>
      <c r="H698" s="332"/>
      <c r="I698" s="332"/>
      <c r="J698" s="291"/>
      <c r="K698" s="291"/>
      <c r="L698" s="253"/>
      <c r="M698" s="291"/>
    </row>
    <row r="699" spans="1:13" ht="24" customHeight="1">
      <c r="A699" s="291"/>
      <c r="B699" s="253"/>
      <c r="C699" s="292" t="s">
        <v>121</v>
      </c>
      <c r="D699" s="291"/>
      <c r="E699" s="291"/>
      <c r="F699" s="291"/>
      <c r="G699" s="291"/>
      <c r="H699" s="332"/>
      <c r="I699" s="332"/>
      <c r="J699" s="291"/>
      <c r="K699" s="291"/>
      <c r="L699" s="253"/>
      <c r="M699" s="291"/>
    </row>
    <row r="700" spans="1:13" ht="24" customHeight="1">
      <c r="A700" s="291"/>
      <c r="B700" s="253"/>
      <c r="C700" s="292"/>
      <c r="D700" s="291"/>
      <c r="E700" s="291"/>
      <c r="F700" s="291"/>
      <c r="G700" s="337" t="s">
        <v>148</v>
      </c>
      <c r="H700" s="338" t="s">
        <v>149</v>
      </c>
      <c r="I700" s="338"/>
      <c r="J700" s="338"/>
      <c r="K700" s="339" t="s">
        <v>150</v>
      </c>
      <c r="L700" s="339"/>
      <c r="M700" s="291"/>
    </row>
    <row r="701" spans="1:13" ht="22.5" customHeight="1">
      <c r="A701" s="291"/>
      <c r="B701" s="253"/>
      <c r="C701" s="292"/>
      <c r="D701" s="291"/>
      <c r="E701" s="291"/>
      <c r="F701" s="291"/>
      <c r="G701" s="339"/>
      <c r="H701" s="338" t="s">
        <v>1549</v>
      </c>
      <c r="I701" s="338"/>
      <c r="J701" s="338"/>
      <c r="K701" s="339"/>
      <c r="L701" s="339"/>
      <c r="M701" s="291"/>
    </row>
    <row r="702" spans="1:13" ht="42.75" customHeight="1">
      <c r="A702" s="291"/>
      <c r="B702" s="253"/>
      <c r="C702" s="292"/>
      <c r="D702" s="291"/>
      <c r="E702" s="291"/>
      <c r="F702" s="291"/>
      <c r="G702" s="337" t="s">
        <v>148</v>
      </c>
      <c r="H702" s="338" t="s">
        <v>149</v>
      </c>
      <c r="I702" s="338"/>
      <c r="J702" s="338"/>
      <c r="K702" s="339" t="s">
        <v>151</v>
      </c>
      <c r="L702" s="339"/>
      <c r="M702" s="291"/>
    </row>
    <row r="703" spans="1:13" ht="20.25" customHeight="1">
      <c r="A703" s="291"/>
      <c r="B703" s="253"/>
      <c r="C703" s="292"/>
      <c r="D703" s="291"/>
      <c r="E703" s="291"/>
      <c r="F703" s="291"/>
      <c r="G703" s="339"/>
      <c r="H703" s="338" t="s">
        <v>154</v>
      </c>
      <c r="I703" s="338"/>
      <c r="J703" s="338"/>
      <c r="K703" s="339"/>
      <c r="L703" s="339"/>
      <c r="M703" s="291"/>
    </row>
    <row r="704" spans="1:13" ht="40.5" customHeight="1">
      <c r="A704" s="291"/>
      <c r="B704" s="253"/>
      <c r="C704" s="292"/>
      <c r="D704" s="291"/>
      <c r="E704" s="291"/>
      <c r="F704" s="291"/>
      <c r="G704" s="337" t="s">
        <v>148</v>
      </c>
      <c r="H704" s="338" t="s">
        <v>149</v>
      </c>
      <c r="I704" s="338"/>
      <c r="J704" s="338"/>
      <c r="K704" s="339" t="s">
        <v>151</v>
      </c>
      <c r="L704" s="336"/>
      <c r="M704" s="291"/>
    </row>
    <row r="705" spans="1:13" ht="21" customHeight="1">
      <c r="A705" s="291"/>
      <c r="B705" s="253"/>
      <c r="C705" s="292"/>
      <c r="D705" s="291"/>
      <c r="E705" s="291"/>
      <c r="F705" s="291"/>
      <c r="G705" s="339"/>
      <c r="H705" s="338" t="s">
        <v>155</v>
      </c>
      <c r="I705" s="338"/>
      <c r="J705" s="338"/>
      <c r="K705" s="339"/>
      <c r="L705" s="336"/>
      <c r="M705" s="291"/>
    </row>
    <row r="706" spans="1:13" ht="40.5" customHeight="1">
      <c r="A706" s="291"/>
      <c r="B706" s="253"/>
      <c r="C706" s="292"/>
      <c r="D706" s="291"/>
      <c r="E706" s="291"/>
      <c r="F706" s="291"/>
      <c r="G706" s="337" t="s">
        <v>148</v>
      </c>
      <c r="H706" s="338" t="s">
        <v>149</v>
      </c>
      <c r="I706" s="338"/>
      <c r="J706" s="338"/>
      <c r="K706" s="339" t="s">
        <v>151</v>
      </c>
      <c r="L706" s="336"/>
      <c r="M706" s="291"/>
    </row>
    <row r="707" spans="1:13" ht="21" customHeight="1">
      <c r="A707" s="291"/>
      <c r="B707" s="253"/>
      <c r="C707" s="292"/>
      <c r="D707" s="291"/>
      <c r="E707" s="291"/>
      <c r="F707" s="291"/>
      <c r="G707" s="339"/>
      <c r="H707" s="338" t="s">
        <v>156</v>
      </c>
      <c r="I707" s="338"/>
      <c r="J707" s="338"/>
      <c r="K707" s="339"/>
      <c r="L707" s="336"/>
      <c r="M707" s="291"/>
    </row>
    <row r="708" spans="1:13" ht="39.75" customHeight="1">
      <c r="A708" s="291"/>
      <c r="B708" s="253"/>
      <c r="C708" s="292"/>
      <c r="D708" s="291"/>
      <c r="E708" s="291"/>
      <c r="F708" s="291"/>
      <c r="G708" s="337" t="s">
        <v>148</v>
      </c>
      <c r="H708" s="338" t="s">
        <v>149</v>
      </c>
      <c r="I708" s="338"/>
      <c r="J708" s="338"/>
      <c r="K708" s="336" t="s">
        <v>152</v>
      </c>
      <c r="L708" s="336"/>
      <c r="M708" s="291"/>
    </row>
    <row r="709" spans="1:13" ht="24" customHeight="1">
      <c r="A709" s="291"/>
      <c r="B709" s="253"/>
      <c r="C709" s="292"/>
      <c r="D709" s="291"/>
      <c r="E709" s="291"/>
      <c r="F709" s="291"/>
      <c r="G709" s="336"/>
      <c r="H709" s="338" t="s">
        <v>157</v>
      </c>
      <c r="I709" s="338"/>
      <c r="J709" s="338"/>
      <c r="K709" s="336"/>
      <c r="L709" s="336"/>
      <c r="M709" s="291"/>
    </row>
    <row r="710" spans="1:13" ht="24" customHeight="1">
      <c r="A710" s="291"/>
      <c r="B710" s="253"/>
      <c r="C710" s="292"/>
      <c r="D710" s="291"/>
      <c r="E710" s="291"/>
      <c r="F710" s="291"/>
      <c r="G710" s="291"/>
      <c r="H710" s="291"/>
      <c r="I710" s="291"/>
      <c r="J710" s="291"/>
      <c r="K710" s="291"/>
      <c r="L710" s="253"/>
      <c r="M710" s="291"/>
    </row>
  </sheetData>
  <mergeCells count="552">
    <mergeCell ref="H372:J372"/>
    <mergeCell ref="H363:J363"/>
    <mergeCell ref="H364:J364"/>
    <mergeCell ref="H365:J365"/>
    <mergeCell ref="H366:J366"/>
    <mergeCell ref="H367:J367"/>
    <mergeCell ref="H368:J368"/>
    <mergeCell ref="H369:J369"/>
    <mergeCell ref="H370:J370"/>
    <mergeCell ref="H371:J371"/>
    <mergeCell ref="H341:J341"/>
    <mergeCell ref="A344:L344"/>
    <mergeCell ref="A345:L345"/>
    <mergeCell ref="A346:L346"/>
    <mergeCell ref="A347:A348"/>
    <mergeCell ref="B347:B348"/>
    <mergeCell ref="C347:C348"/>
    <mergeCell ref="D347:D348"/>
    <mergeCell ref="E347:E348"/>
    <mergeCell ref="F347:F348"/>
    <mergeCell ref="G347:G348"/>
    <mergeCell ref="H347:I347"/>
    <mergeCell ref="J347:J348"/>
    <mergeCell ref="K347:K348"/>
    <mergeCell ref="L347:L348"/>
    <mergeCell ref="H332:J332"/>
    <mergeCell ref="H333:J333"/>
    <mergeCell ref="H334:J334"/>
    <mergeCell ref="H335:J335"/>
    <mergeCell ref="H336:J336"/>
    <mergeCell ref="H337:J337"/>
    <mergeCell ref="H338:J338"/>
    <mergeCell ref="H339:J339"/>
    <mergeCell ref="H340:J340"/>
    <mergeCell ref="H310:J310"/>
    <mergeCell ref="A313:L313"/>
    <mergeCell ref="A314:L314"/>
    <mergeCell ref="A315:L315"/>
    <mergeCell ref="A316:A317"/>
    <mergeCell ref="B316:B317"/>
    <mergeCell ref="C316:C317"/>
    <mergeCell ref="D316:D317"/>
    <mergeCell ref="E316:E317"/>
    <mergeCell ref="F316:F317"/>
    <mergeCell ref="G316:G317"/>
    <mergeCell ref="H316:I316"/>
    <mergeCell ref="J316:J317"/>
    <mergeCell ref="K316:K317"/>
    <mergeCell ref="L316:L317"/>
    <mergeCell ref="H301:J301"/>
    <mergeCell ref="H302:J302"/>
    <mergeCell ref="H303:J303"/>
    <mergeCell ref="H304:J304"/>
    <mergeCell ref="H305:J305"/>
    <mergeCell ref="H306:J306"/>
    <mergeCell ref="H307:J307"/>
    <mergeCell ref="H308:J308"/>
    <mergeCell ref="H309:J309"/>
    <mergeCell ref="H279:J279"/>
    <mergeCell ref="A282:L282"/>
    <mergeCell ref="A283:L283"/>
    <mergeCell ref="A284:L284"/>
    <mergeCell ref="A285:A286"/>
    <mergeCell ref="B285:B286"/>
    <mergeCell ref="C285:C286"/>
    <mergeCell ref="D285:D286"/>
    <mergeCell ref="E285:E286"/>
    <mergeCell ref="F285:F286"/>
    <mergeCell ref="G285:G286"/>
    <mergeCell ref="H285:I285"/>
    <mergeCell ref="J285:J286"/>
    <mergeCell ref="K285:K286"/>
    <mergeCell ref="L285:L286"/>
    <mergeCell ref="H270:J270"/>
    <mergeCell ref="H271:J271"/>
    <mergeCell ref="H272:J272"/>
    <mergeCell ref="H273:J273"/>
    <mergeCell ref="H274:J274"/>
    <mergeCell ref="H275:J275"/>
    <mergeCell ref="H276:J276"/>
    <mergeCell ref="H277:J277"/>
    <mergeCell ref="H278:J278"/>
    <mergeCell ref="A251:L251"/>
    <mergeCell ref="A252:L252"/>
    <mergeCell ref="A253:L253"/>
    <mergeCell ref="A254:A255"/>
    <mergeCell ref="B254:B255"/>
    <mergeCell ref="C254:C255"/>
    <mergeCell ref="D254:D255"/>
    <mergeCell ref="E254:E255"/>
    <mergeCell ref="F254:F255"/>
    <mergeCell ref="G254:G255"/>
    <mergeCell ref="H254:I254"/>
    <mergeCell ref="J254:J255"/>
    <mergeCell ref="K254:K255"/>
    <mergeCell ref="L254:L255"/>
    <mergeCell ref="H244:J244"/>
    <mergeCell ref="H245:J245"/>
    <mergeCell ref="H246:J246"/>
    <mergeCell ref="H247:J247"/>
    <mergeCell ref="H248:J248"/>
    <mergeCell ref="H239:J239"/>
    <mergeCell ref="H240:J240"/>
    <mergeCell ref="H241:J241"/>
    <mergeCell ref="H242:J242"/>
    <mergeCell ref="H243:J243"/>
    <mergeCell ref="A220:L220"/>
    <mergeCell ref="A221:L221"/>
    <mergeCell ref="A222:L222"/>
    <mergeCell ref="A223:A224"/>
    <mergeCell ref="B223:B224"/>
    <mergeCell ref="C223:C224"/>
    <mergeCell ref="D223:D224"/>
    <mergeCell ref="E223:E224"/>
    <mergeCell ref="F223:F224"/>
    <mergeCell ref="G223:G224"/>
    <mergeCell ref="H223:I223"/>
    <mergeCell ref="J223:J224"/>
    <mergeCell ref="K223:K224"/>
    <mergeCell ref="L223:L224"/>
    <mergeCell ref="H213:J213"/>
    <mergeCell ref="H214:J214"/>
    <mergeCell ref="H215:J215"/>
    <mergeCell ref="H216:J216"/>
    <mergeCell ref="H217:J217"/>
    <mergeCell ref="H208:J208"/>
    <mergeCell ref="H209:J209"/>
    <mergeCell ref="H210:J210"/>
    <mergeCell ref="H211:J211"/>
    <mergeCell ref="H212:J212"/>
    <mergeCell ref="A189:L189"/>
    <mergeCell ref="A190:L190"/>
    <mergeCell ref="A191:L191"/>
    <mergeCell ref="A192:A193"/>
    <mergeCell ref="B192:B193"/>
    <mergeCell ref="C192:C193"/>
    <mergeCell ref="D192:D193"/>
    <mergeCell ref="E192:E193"/>
    <mergeCell ref="F192:F193"/>
    <mergeCell ref="G192:G193"/>
    <mergeCell ref="H192:I192"/>
    <mergeCell ref="J192:J193"/>
    <mergeCell ref="K192:K193"/>
    <mergeCell ref="L192:L193"/>
    <mergeCell ref="H182:J182"/>
    <mergeCell ref="H183:J183"/>
    <mergeCell ref="H184:J184"/>
    <mergeCell ref="H185:J185"/>
    <mergeCell ref="H186:J186"/>
    <mergeCell ref="H177:J177"/>
    <mergeCell ref="H178:J178"/>
    <mergeCell ref="H179:J179"/>
    <mergeCell ref="H180:J180"/>
    <mergeCell ref="H181:J181"/>
    <mergeCell ref="A158:L158"/>
    <mergeCell ref="A159:L159"/>
    <mergeCell ref="A160:L160"/>
    <mergeCell ref="A161:A162"/>
    <mergeCell ref="B161:B162"/>
    <mergeCell ref="C161:C162"/>
    <mergeCell ref="D161:D162"/>
    <mergeCell ref="E161:E162"/>
    <mergeCell ref="F161:F162"/>
    <mergeCell ref="G161:G162"/>
    <mergeCell ref="H161:I161"/>
    <mergeCell ref="J161:J162"/>
    <mergeCell ref="K161:K162"/>
    <mergeCell ref="L161:L162"/>
    <mergeCell ref="H151:J151"/>
    <mergeCell ref="H152:J152"/>
    <mergeCell ref="H153:J153"/>
    <mergeCell ref="H154:J154"/>
    <mergeCell ref="H155:J155"/>
    <mergeCell ref="H146:J146"/>
    <mergeCell ref="H147:J147"/>
    <mergeCell ref="H148:J148"/>
    <mergeCell ref="H149:J149"/>
    <mergeCell ref="H150:J150"/>
    <mergeCell ref="A127:L127"/>
    <mergeCell ref="A128:L128"/>
    <mergeCell ref="A129:L129"/>
    <mergeCell ref="A130:A131"/>
    <mergeCell ref="B130:B131"/>
    <mergeCell ref="C130:C131"/>
    <mergeCell ref="D130:D131"/>
    <mergeCell ref="E130:E131"/>
    <mergeCell ref="F130:F131"/>
    <mergeCell ref="G130:G131"/>
    <mergeCell ref="H130:I130"/>
    <mergeCell ref="J130:J131"/>
    <mergeCell ref="K130:K131"/>
    <mergeCell ref="L130:L131"/>
    <mergeCell ref="K99:K100"/>
    <mergeCell ref="L99:L100"/>
    <mergeCell ref="H120:J120"/>
    <mergeCell ref="H121:J121"/>
    <mergeCell ref="H122:J122"/>
    <mergeCell ref="H123:J123"/>
    <mergeCell ref="H124:J124"/>
    <mergeCell ref="H115:J115"/>
    <mergeCell ref="H116:J116"/>
    <mergeCell ref="H117:J117"/>
    <mergeCell ref="H118:J118"/>
    <mergeCell ref="H119:J119"/>
    <mergeCell ref="A99:A100"/>
    <mergeCell ref="B99:B100"/>
    <mergeCell ref="C99:C100"/>
    <mergeCell ref="D99:D100"/>
    <mergeCell ref="E99:E100"/>
    <mergeCell ref="F99:F100"/>
    <mergeCell ref="G99:G100"/>
    <mergeCell ref="H99:I99"/>
    <mergeCell ref="J99:J100"/>
    <mergeCell ref="J37:J38"/>
    <mergeCell ref="A35:L35"/>
    <mergeCell ref="A36:L36"/>
    <mergeCell ref="K37:K38"/>
    <mergeCell ref="L37:L38"/>
    <mergeCell ref="H62:J62"/>
    <mergeCell ref="H53:J53"/>
    <mergeCell ref="H57:J57"/>
    <mergeCell ref="H61:J61"/>
    <mergeCell ref="A37:A38"/>
    <mergeCell ref="A96:L96"/>
    <mergeCell ref="A97:L97"/>
    <mergeCell ref="A98:L98"/>
    <mergeCell ref="A65:L65"/>
    <mergeCell ref="A66:L66"/>
    <mergeCell ref="H58:J58"/>
    <mergeCell ref="H54:J54"/>
    <mergeCell ref="H55:J55"/>
    <mergeCell ref="H56:J56"/>
    <mergeCell ref="H93:J93"/>
    <mergeCell ref="H84:J84"/>
    <mergeCell ref="H85:J85"/>
    <mergeCell ref="H86:J86"/>
    <mergeCell ref="H87:J87"/>
    <mergeCell ref="H88:J88"/>
    <mergeCell ref="H89:J89"/>
    <mergeCell ref="H90:J90"/>
    <mergeCell ref="H91:J91"/>
    <mergeCell ref="H92:J92"/>
    <mergeCell ref="H24:J24"/>
    <mergeCell ref="H28:J28"/>
    <mergeCell ref="L5:L6"/>
    <mergeCell ref="A2:L2"/>
    <mergeCell ref="A3:L3"/>
    <mergeCell ref="A4:L4"/>
    <mergeCell ref="H20:J20"/>
    <mergeCell ref="F5:F6"/>
    <mergeCell ref="G5:G6"/>
    <mergeCell ref="H5:I5"/>
    <mergeCell ref="J5:J6"/>
    <mergeCell ref="K5:K6"/>
    <mergeCell ref="A5:A6"/>
    <mergeCell ref="B5:B6"/>
    <mergeCell ref="C5:C6"/>
    <mergeCell ref="D5:D6"/>
    <mergeCell ref="E5:E6"/>
    <mergeCell ref="H21:J21"/>
    <mergeCell ref="H22:J22"/>
    <mergeCell ref="H23:J23"/>
    <mergeCell ref="H25:J25"/>
    <mergeCell ref="H27:J27"/>
    <mergeCell ref="H30:J30"/>
    <mergeCell ref="H31:J31"/>
    <mergeCell ref="H59:J59"/>
    <mergeCell ref="B37:B38"/>
    <mergeCell ref="C37:C38"/>
    <mergeCell ref="D37:D38"/>
    <mergeCell ref="A67:L67"/>
    <mergeCell ref="A68:A69"/>
    <mergeCell ref="B68:B69"/>
    <mergeCell ref="C68:C69"/>
    <mergeCell ref="D68:D69"/>
    <mergeCell ref="E68:E69"/>
    <mergeCell ref="F68:F69"/>
    <mergeCell ref="G68:G69"/>
    <mergeCell ref="H68:I68"/>
    <mergeCell ref="J68:J69"/>
    <mergeCell ref="K68:K69"/>
    <mergeCell ref="L68:L69"/>
    <mergeCell ref="E37:E38"/>
    <mergeCell ref="F37:F38"/>
    <mergeCell ref="G37:G38"/>
    <mergeCell ref="A34:L34"/>
    <mergeCell ref="H60:J60"/>
    <mergeCell ref="H37:I37"/>
    <mergeCell ref="A375:L375"/>
    <mergeCell ref="A376:L376"/>
    <mergeCell ref="A377:L377"/>
    <mergeCell ref="A378:A379"/>
    <mergeCell ref="B378:B379"/>
    <mergeCell ref="C378:C379"/>
    <mergeCell ref="D378:D379"/>
    <mergeCell ref="E378:E379"/>
    <mergeCell ref="F378:F379"/>
    <mergeCell ref="G378:G379"/>
    <mergeCell ref="H378:I378"/>
    <mergeCell ref="J378:J379"/>
    <mergeCell ref="K378:K379"/>
    <mergeCell ref="L378:L379"/>
    <mergeCell ref="H394:J394"/>
    <mergeCell ref="H395:J395"/>
    <mergeCell ref="H396:J396"/>
    <mergeCell ref="H397:J397"/>
    <mergeCell ref="H398:J398"/>
    <mergeCell ref="H399:J399"/>
    <mergeCell ref="H400:J400"/>
    <mergeCell ref="H401:J401"/>
    <mergeCell ref="H402:J402"/>
    <mergeCell ref="H403:J403"/>
    <mergeCell ref="A406:L406"/>
    <mergeCell ref="A407:L407"/>
    <mergeCell ref="A408:L408"/>
    <mergeCell ref="A409:A410"/>
    <mergeCell ref="B409:B410"/>
    <mergeCell ref="C409:C410"/>
    <mergeCell ref="D409:D410"/>
    <mergeCell ref="E409:E410"/>
    <mergeCell ref="F409:F410"/>
    <mergeCell ref="G409:G410"/>
    <mergeCell ref="H409:I409"/>
    <mergeCell ref="J409:J410"/>
    <mergeCell ref="K409:K410"/>
    <mergeCell ref="L409:L410"/>
    <mergeCell ref="H425:J425"/>
    <mergeCell ref="H426:J426"/>
    <mergeCell ref="H427:J427"/>
    <mergeCell ref="H428:J428"/>
    <mergeCell ref="H429:J429"/>
    <mergeCell ref="H430:J430"/>
    <mergeCell ref="H431:J431"/>
    <mergeCell ref="H432:J432"/>
    <mergeCell ref="H433:J433"/>
    <mergeCell ref="H434:J434"/>
    <mergeCell ref="A437:L437"/>
    <mergeCell ref="A438:L438"/>
    <mergeCell ref="A439:L439"/>
    <mergeCell ref="A440:A441"/>
    <mergeCell ref="B440:B441"/>
    <mergeCell ref="C440:C441"/>
    <mergeCell ref="D440:D441"/>
    <mergeCell ref="E440:E441"/>
    <mergeCell ref="F440:F441"/>
    <mergeCell ref="G440:G441"/>
    <mergeCell ref="H440:I440"/>
    <mergeCell ref="J440:J441"/>
    <mergeCell ref="K440:K441"/>
    <mergeCell ref="L440:L441"/>
    <mergeCell ref="H456:J456"/>
    <mergeCell ref="H457:J457"/>
    <mergeCell ref="H458:J458"/>
    <mergeCell ref="H459:J459"/>
    <mergeCell ref="H460:J460"/>
    <mergeCell ref="H461:J461"/>
    <mergeCell ref="H462:J462"/>
    <mergeCell ref="H463:J463"/>
    <mergeCell ref="H464:J464"/>
    <mergeCell ref="H465:J465"/>
    <mergeCell ref="A468:L468"/>
    <mergeCell ref="A469:L469"/>
    <mergeCell ref="A470:L470"/>
    <mergeCell ref="A471:A472"/>
    <mergeCell ref="B471:B472"/>
    <mergeCell ref="C471:C472"/>
    <mergeCell ref="D471:D472"/>
    <mergeCell ref="E471:E472"/>
    <mergeCell ref="F471:F472"/>
    <mergeCell ref="G471:G472"/>
    <mergeCell ref="H471:I471"/>
    <mergeCell ref="J471:J472"/>
    <mergeCell ref="K471:K472"/>
    <mergeCell ref="L471:L472"/>
    <mergeCell ref="H487:J487"/>
    <mergeCell ref="H488:J488"/>
    <mergeCell ref="H489:J489"/>
    <mergeCell ref="H490:J490"/>
    <mergeCell ref="H491:J491"/>
    <mergeCell ref="H492:J492"/>
    <mergeCell ref="H493:J493"/>
    <mergeCell ref="H494:J494"/>
    <mergeCell ref="H495:J495"/>
    <mergeCell ref="H496:J496"/>
    <mergeCell ref="A499:L499"/>
    <mergeCell ref="A500:L500"/>
    <mergeCell ref="A501:L501"/>
    <mergeCell ref="A502:A503"/>
    <mergeCell ref="B502:B503"/>
    <mergeCell ref="C502:C503"/>
    <mergeCell ref="D502:D503"/>
    <mergeCell ref="E502:E503"/>
    <mergeCell ref="F502:F503"/>
    <mergeCell ref="G502:G503"/>
    <mergeCell ref="H502:I502"/>
    <mergeCell ref="J502:J503"/>
    <mergeCell ref="K502:K503"/>
    <mergeCell ref="L502:L503"/>
    <mergeCell ref="H518:J518"/>
    <mergeCell ref="H519:J519"/>
    <mergeCell ref="H520:J520"/>
    <mergeCell ref="H521:J521"/>
    <mergeCell ref="H522:J522"/>
    <mergeCell ref="H523:J523"/>
    <mergeCell ref="H524:J524"/>
    <mergeCell ref="H525:J525"/>
    <mergeCell ref="H526:J526"/>
    <mergeCell ref="H527:J527"/>
    <mergeCell ref="A530:L530"/>
    <mergeCell ref="A531:L531"/>
    <mergeCell ref="A532:L532"/>
    <mergeCell ref="A533:A534"/>
    <mergeCell ref="B533:B534"/>
    <mergeCell ref="C533:C534"/>
    <mergeCell ref="D533:D534"/>
    <mergeCell ref="E533:E534"/>
    <mergeCell ref="F533:F534"/>
    <mergeCell ref="G533:G534"/>
    <mergeCell ref="H533:I533"/>
    <mergeCell ref="J533:J534"/>
    <mergeCell ref="K533:K534"/>
    <mergeCell ref="L533:L534"/>
    <mergeCell ref="H549:J549"/>
    <mergeCell ref="H550:J550"/>
    <mergeCell ref="H551:J551"/>
    <mergeCell ref="H552:J552"/>
    <mergeCell ref="H553:J553"/>
    <mergeCell ref="H554:J554"/>
    <mergeCell ref="H555:J555"/>
    <mergeCell ref="H556:J556"/>
    <mergeCell ref="H557:J557"/>
    <mergeCell ref="H558:J558"/>
    <mergeCell ref="A561:L561"/>
    <mergeCell ref="A562:L562"/>
    <mergeCell ref="A563:L563"/>
    <mergeCell ref="A564:A565"/>
    <mergeCell ref="B564:B565"/>
    <mergeCell ref="C564:C565"/>
    <mergeCell ref="D564:D565"/>
    <mergeCell ref="E564:E565"/>
    <mergeCell ref="F564:F565"/>
    <mergeCell ref="G564:G565"/>
    <mergeCell ref="H564:I564"/>
    <mergeCell ref="J564:J565"/>
    <mergeCell ref="K564:K565"/>
    <mergeCell ref="L564:L565"/>
    <mergeCell ref="H580:J580"/>
    <mergeCell ref="H581:J581"/>
    <mergeCell ref="H582:J582"/>
    <mergeCell ref="H583:J583"/>
    <mergeCell ref="H584:J584"/>
    <mergeCell ref="H585:J585"/>
    <mergeCell ref="H586:J586"/>
    <mergeCell ref="H587:J587"/>
    <mergeCell ref="H588:J588"/>
    <mergeCell ref="H589:J589"/>
    <mergeCell ref="A592:L592"/>
    <mergeCell ref="A593:L593"/>
    <mergeCell ref="A594:L594"/>
    <mergeCell ref="A595:A596"/>
    <mergeCell ref="B595:B596"/>
    <mergeCell ref="C595:C596"/>
    <mergeCell ref="D595:D596"/>
    <mergeCell ref="E595:E596"/>
    <mergeCell ref="F595:F596"/>
    <mergeCell ref="G595:G596"/>
    <mergeCell ref="H595:I595"/>
    <mergeCell ref="J595:J596"/>
    <mergeCell ref="K595:K596"/>
    <mergeCell ref="L595:L596"/>
    <mergeCell ref="H620:J620"/>
    <mergeCell ref="H611:J611"/>
    <mergeCell ref="H612:J612"/>
    <mergeCell ref="H613:J613"/>
    <mergeCell ref="H614:J614"/>
    <mergeCell ref="H615:J615"/>
    <mergeCell ref="H616:J616"/>
    <mergeCell ref="H617:J617"/>
    <mergeCell ref="H618:J618"/>
    <mergeCell ref="H619:J619"/>
    <mergeCell ref="A623:L623"/>
    <mergeCell ref="A624:L624"/>
    <mergeCell ref="A625:L625"/>
    <mergeCell ref="A626:A627"/>
    <mergeCell ref="B626:B627"/>
    <mergeCell ref="C626:C627"/>
    <mergeCell ref="D626:D627"/>
    <mergeCell ref="E626:E627"/>
    <mergeCell ref="F626:F627"/>
    <mergeCell ref="G626:G627"/>
    <mergeCell ref="H626:I626"/>
    <mergeCell ref="J626:J627"/>
    <mergeCell ref="K626:K627"/>
    <mergeCell ref="L626:L627"/>
    <mergeCell ref="H642:J642"/>
    <mergeCell ref="H643:J643"/>
    <mergeCell ref="H644:J644"/>
    <mergeCell ref="H645:J645"/>
    <mergeCell ref="H646:J646"/>
    <mergeCell ref="H647:J647"/>
    <mergeCell ref="H648:J648"/>
    <mergeCell ref="H649:J649"/>
    <mergeCell ref="H650:J650"/>
    <mergeCell ref="H651:J651"/>
    <mergeCell ref="A654:L654"/>
    <mergeCell ref="A655:L655"/>
    <mergeCell ref="A656:L656"/>
    <mergeCell ref="A657:A658"/>
    <mergeCell ref="B657:B658"/>
    <mergeCell ref="C657:C658"/>
    <mergeCell ref="D657:D658"/>
    <mergeCell ref="E657:E658"/>
    <mergeCell ref="F657:F658"/>
    <mergeCell ref="G657:G658"/>
    <mergeCell ref="H657:I657"/>
    <mergeCell ref="J657:J658"/>
    <mergeCell ref="K657:K658"/>
    <mergeCell ref="L657:L658"/>
    <mergeCell ref="H673:J673"/>
    <mergeCell ref="H674:J674"/>
    <mergeCell ref="H675:J675"/>
    <mergeCell ref="H676:J676"/>
    <mergeCell ref="H677:J677"/>
    <mergeCell ref="H678:J678"/>
    <mergeCell ref="H679:J679"/>
    <mergeCell ref="H680:J680"/>
    <mergeCell ref="H681:J681"/>
    <mergeCell ref="H682:J682"/>
    <mergeCell ref="A685:L685"/>
    <mergeCell ref="A686:L686"/>
    <mergeCell ref="A687:L687"/>
    <mergeCell ref="A688:A689"/>
    <mergeCell ref="B688:B689"/>
    <mergeCell ref="C688:C689"/>
    <mergeCell ref="D688:D689"/>
    <mergeCell ref="E688:E689"/>
    <mergeCell ref="F688:F689"/>
    <mergeCell ref="G688:G689"/>
    <mergeCell ref="H688:I688"/>
    <mergeCell ref="J688:J689"/>
    <mergeCell ref="K688:K689"/>
    <mergeCell ref="L688:L689"/>
    <mergeCell ref="H709:J709"/>
    <mergeCell ref="H700:J700"/>
    <mergeCell ref="H701:J701"/>
    <mergeCell ref="H702:J702"/>
    <mergeCell ref="H703:J703"/>
    <mergeCell ref="H704:J704"/>
    <mergeCell ref="H705:J705"/>
    <mergeCell ref="H706:J706"/>
    <mergeCell ref="H707:J707"/>
    <mergeCell ref="H708:J708"/>
  </mergeCells>
  <printOptions horizontalCentered="1"/>
  <pageMargins left="0.19685039370078741" right="0.19685039370078741" top="0.19685039370078741" bottom="0" header="0" footer="0"/>
  <pageSetup paperSize="9" scale="7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N1137"/>
  <sheetViews>
    <sheetView topLeftCell="A172" zoomScale="80" zoomScaleNormal="80" workbookViewId="0">
      <selection activeCell="M141" sqref="M141"/>
    </sheetView>
  </sheetViews>
  <sheetFormatPr defaultColWidth="9" defaultRowHeight="24" customHeight="1"/>
  <cols>
    <col min="1" max="1" width="5.7109375" style="1" customWidth="1"/>
    <col min="2" max="2" width="10.140625" style="39" customWidth="1"/>
    <col min="3" max="3" width="34.140625" style="53" customWidth="1"/>
    <col min="4" max="4" width="44" style="148" customWidth="1"/>
    <col min="5" max="5" width="7.28515625" style="1" customWidth="1"/>
    <col min="6" max="6" width="8.7109375" style="1" customWidth="1"/>
    <col min="7" max="7" width="5.85546875" style="1" customWidth="1"/>
    <col min="8" max="8" width="6.42578125" style="1" customWidth="1"/>
    <col min="9" max="9" width="5.42578125" style="1" customWidth="1"/>
    <col min="10" max="10" width="13.7109375" style="1" customWidth="1"/>
    <col min="11" max="11" width="15.5703125" style="1" customWidth="1"/>
    <col min="12" max="12" width="36.28515625" style="138" customWidth="1"/>
    <col min="13" max="13" width="20.42578125" style="1" customWidth="1"/>
    <col min="14" max="16384" width="9" style="1"/>
  </cols>
  <sheetData>
    <row r="1" spans="1:13" ht="24" customHeight="1">
      <c r="L1" s="138" t="s">
        <v>1419</v>
      </c>
    </row>
    <row r="2" spans="1:13" ht="24" customHeight="1">
      <c r="A2" s="269" t="s">
        <v>158</v>
      </c>
      <c r="B2" s="269"/>
      <c r="C2" s="269"/>
      <c r="D2" s="269"/>
      <c r="E2" s="269"/>
      <c r="F2" s="269"/>
      <c r="G2" s="269"/>
      <c r="H2" s="269"/>
      <c r="I2" s="269"/>
      <c r="J2" s="269"/>
      <c r="K2" s="269"/>
      <c r="L2" s="269"/>
    </row>
    <row r="3" spans="1:13" ht="24" customHeight="1">
      <c r="A3" s="270" t="s">
        <v>163</v>
      </c>
      <c r="B3" s="270"/>
      <c r="C3" s="270"/>
      <c r="D3" s="270"/>
      <c r="E3" s="270"/>
      <c r="F3" s="270"/>
      <c r="G3" s="270"/>
      <c r="H3" s="270"/>
      <c r="I3" s="270"/>
      <c r="J3" s="270"/>
      <c r="K3" s="270"/>
      <c r="L3" s="270"/>
    </row>
    <row r="4" spans="1:13" ht="24" customHeight="1" thickBot="1">
      <c r="A4" s="271" t="s">
        <v>164</v>
      </c>
      <c r="B4" s="271"/>
      <c r="C4" s="271"/>
      <c r="D4" s="271"/>
      <c r="E4" s="271"/>
      <c r="F4" s="271"/>
      <c r="G4" s="271"/>
      <c r="H4" s="271"/>
      <c r="I4" s="271"/>
      <c r="J4" s="271"/>
      <c r="K4" s="271"/>
      <c r="L4" s="271"/>
    </row>
    <row r="5" spans="1:13" ht="24" customHeight="1" thickTop="1">
      <c r="A5" s="272" t="s">
        <v>103</v>
      </c>
      <c r="B5" s="272" t="s">
        <v>122</v>
      </c>
      <c r="C5" s="272" t="s">
        <v>124</v>
      </c>
      <c r="D5" s="274" t="s">
        <v>0</v>
      </c>
      <c r="E5" s="272" t="s">
        <v>109</v>
      </c>
      <c r="F5" s="272" t="s">
        <v>110</v>
      </c>
      <c r="G5" s="276" t="s">
        <v>111</v>
      </c>
      <c r="H5" s="278" t="s">
        <v>1</v>
      </c>
      <c r="I5" s="279"/>
      <c r="J5" s="272" t="s">
        <v>125</v>
      </c>
      <c r="K5" s="272" t="s">
        <v>104</v>
      </c>
      <c r="L5" s="280" t="s">
        <v>112</v>
      </c>
    </row>
    <row r="6" spans="1:13" ht="46.5" customHeight="1" thickBot="1">
      <c r="A6" s="273"/>
      <c r="B6" s="273"/>
      <c r="C6" s="273"/>
      <c r="D6" s="275"/>
      <c r="E6" s="273"/>
      <c r="F6" s="273"/>
      <c r="G6" s="277"/>
      <c r="H6" s="51" t="s">
        <v>113</v>
      </c>
      <c r="I6" s="52" t="s">
        <v>114</v>
      </c>
      <c r="J6" s="273"/>
      <c r="K6" s="273"/>
      <c r="L6" s="281"/>
    </row>
    <row r="7" spans="1:13" s="199" customFormat="1" ht="24" customHeight="1" thickTop="1">
      <c r="A7" s="198">
        <v>1</v>
      </c>
      <c r="B7" s="205" t="s">
        <v>105</v>
      </c>
      <c r="C7" s="193" t="s">
        <v>6</v>
      </c>
      <c r="D7" s="194" t="s">
        <v>7</v>
      </c>
      <c r="E7" s="195" t="s">
        <v>2</v>
      </c>
      <c r="F7" s="195">
        <v>26</v>
      </c>
      <c r="G7" s="195">
        <v>4</v>
      </c>
      <c r="H7" s="196">
        <v>1</v>
      </c>
      <c r="I7" s="196">
        <v>1</v>
      </c>
      <c r="J7" s="197">
        <v>478800</v>
      </c>
      <c r="K7" s="197">
        <f>SUM(I7*J7)</f>
        <v>478800</v>
      </c>
      <c r="L7" s="206" t="s">
        <v>1512</v>
      </c>
      <c r="M7" s="199" t="s">
        <v>159</v>
      </c>
    </row>
    <row r="8" spans="1:13" s="199" customFormat="1" ht="24" customHeight="1">
      <c r="A8" s="207">
        <v>2</v>
      </c>
      <c r="B8" s="208" t="s">
        <v>105</v>
      </c>
      <c r="C8" s="209" t="s">
        <v>8</v>
      </c>
      <c r="D8" s="210" t="s">
        <v>99</v>
      </c>
      <c r="E8" s="201" t="s">
        <v>2</v>
      </c>
      <c r="F8" s="201">
        <v>26</v>
      </c>
      <c r="G8" s="201">
        <v>2</v>
      </c>
      <c r="H8" s="211">
        <v>1</v>
      </c>
      <c r="I8" s="211">
        <v>1</v>
      </c>
      <c r="J8" s="204">
        <v>30000</v>
      </c>
      <c r="K8" s="197">
        <f t="shared" ref="K8:K16" si="0">SUM(I8*J8)</f>
        <v>30000</v>
      </c>
      <c r="L8" s="212" t="s">
        <v>126</v>
      </c>
      <c r="M8" s="199" t="s">
        <v>159</v>
      </c>
    </row>
    <row r="9" spans="1:13" s="199" customFormat="1" ht="24" customHeight="1">
      <c r="A9" s="198">
        <v>3</v>
      </c>
      <c r="B9" s="208" t="s">
        <v>105</v>
      </c>
      <c r="C9" s="209" t="s">
        <v>9</v>
      </c>
      <c r="D9" s="210" t="s">
        <v>10</v>
      </c>
      <c r="E9" s="201" t="s">
        <v>2</v>
      </c>
      <c r="F9" s="201">
        <v>26</v>
      </c>
      <c r="G9" s="201" t="s">
        <v>128</v>
      </c>
      <c r="H9" s="211">
        <v>1</v>
      </c>
      <c r="I9" s="211">
        <v>1</v>
      </c>
      <c r="J9" s="204">
        <v>158800</v>
      </c>
      <c r="K9" s="197">
        <f t="shared" si="0"/>
        <v>158800</v>
      </c>
      <c r="L9" s="212" t="s">
        <v>1513</v>
      </c>
      <c r="M9" s="199" t="s">
        <v>159</v>
      </c>
    </row>
    <row r="10" spans="1:13" s="199" customFormat="1" ht="24" customHeight="1">
      <c r="A10" s="207">
        <v>4</v>
      </c>
      <c r="B10" s="208" t="s">
        <v>105</v>
      </c>
      <c r="C10" s="209" t="s">
        <v>11</v>
      </c>
      <c r="D10" s="210" t="s">
        <v>12</v>
      </c>
      <c r="E10" s="201" t="s">
        <v>2</v>
      </c>
      <c r="F10" s="201">
        <v>26</v>
      </c>
      <c r="G10" s="201" t="s">
        <v>128</v>
      </c>
      <c r="H10" s="211">
        <v>1</v>
      </c>
      <c r="I10" s="211">
        <v>1</v>
      </c>
      <c r="J10" s="204">
        <v>498800</v>
      </c>
      <c r="K10" s="197">
        <f t="shared" si="0"/>
        <v>498800</v>
      </c>
      <c r="L10" s="212" t="s">
        <v>1514</v>
      </c>
      <c r="M10" s="199" t="s">
        <v>159</v>
      </c>
    </row>
    <row r="11" spans="1:13" s="199" customFormat="1" ht="24" customHeight="1">
      <c r="A11" s="198">
        <v>5</v>
      </c>
      <c r="B11" s="208" t="s">
        <v>105</v>
      </c>
      <c r="C11" s="209" t="s">
        <v>13</v>
      </c>
      <c r="D11" s="210" t="s">
        <v>14</v>
      </c>
      <c r="E11" s="201" t="s">
        <v>2</v>
      </c>
      <c r="F11" s="201">
        <v>26</v>
      </c>
      <c r="G11" s="201">
        <v>3</v>
      </c>
      <c r="H11" s="211">
        <v>2</v>
      </c>
      <c r="I11" s="211">
        <v>2</v>
      </c>
      <c r="J11" s="204">
        <v>18500</v>
      </c>
      <c r="K11" s="197">
        <f t="shared" si="0"/>
        <v>37000</v>
      </c>
      <c r="L11" s="212" t="s">
        <v>115</v>
      </c>
      <c r="M11" s="199" t="s">
        <v>159</v>
      </c>
    </row>
    <row r="12" spans="1:13" s="199" customFormat="1" ht="24" customHeight="1">
      <c r="A12" s="207">
        <v>6</v>
      </c>
      <c r="B12" s="208" t="s">
        <v>105</v>
      </c>
      <c r="C12" s="209" t="s">
        <v>1560</v>
      </c>
      <c r="D12" s="209" t="s">
        <v>15</v>
      </c>
      <c r="E12" s="201" t="s">
        <v>2</v>
      </c>
      <c r="F12" s="201">
        <v>26</v>
      </c>
      <c r="G12" s="201" t="s">
        <v>128</v>
      </c>
      <c r="H12" s="211">
        <v>1</v>
      </c>
      <c r="I12" s="211">
        <v>1</v>
      </c>
      <c r="J12" s="204">
        <v>78000</v>
      </c>
      <c r="K12" s="197">
        <f t="shared" si="0"/>
        <v>78000</v>
      </c>
      <c r="L12" s="214" t="s">
        <v>1515</v>
      </c>
      <c r="M12" s="199" t="s">
        <v>159</v>
      </c>
    </row>
    <row r="13" spans="1:13" s="199" customFormat="1" ht="24" customHeight="1">
      <c r="A13" s="198">
        <v>7</v>
      </c>
      <c r="B13" s="208" t="s">
        <v>105</v>
      </c>
      <c r="C13" s="209" t="s">
        <v>16</v>
      </c>
      <c r="D13" s="209" t="s">
        <v>17</v>
      </c>
      <c r="E13" s="201" t="s">
        <v>2</v>
      </c>
      <c r="F13" s="201">
        <v>26</v>
      </c>
      <c r="G13" s="201" t="s">
        <v>128</v>
      </c>
      <c r="H13" s="211">
        <v>1</v>
      </c>
      <c r="I13" s="211">
        <v>1</v>
      </c>
      <c r="J13" s="204">
        <v>24000</v>
      </c>
      <c r="K13" s="197">
        <f t="shared" si="0"/>
        <v>24000</v>
      </c>
      <c r="L13" s="214" t="s">
        <v>117</v>
      </c>
      <c r="M13" s="199" t="s">
        <v>159</v>
      </c>
    </row>
    <row r="14" spans="1:13" s="199" customFormat="1" ht="24" customHeight="1">
      <c r="A14" s="207">
        <v>8</v>
      </c>
      <c r="B14" s="215" t="s">
        <v>106</v>
      </c>
      <c r="C14" s="209" t="s">
        <v>18</v>
      </c>
      <c r="D14" s="213" t="s">
        <v>102</v>
      </c>
      <c r="E14" s="201" t="s">
        <v>2</v>
      </c>
      <c r="F14" s="201">
        <v>25</v>
      </c>
      <c r="G14" s="201" t="s">
        <v>128</v>
      </c>
      <c r="H14" s="211">
        <v>1</v>
      </c>
      <c r="I14" s="211">
        <v>1</v>
      </c>
      <c r="J14" s="204">
        <v>178000</v>
      </c>
      <c r="K14" s="197">
        <f t="shared" si="0"/>
        <v>178000</v>
      </c>
      <c r="L14" s="214" t="s">
        <v>1516</v>
      </c>
      <c r="M14" s="199" t="s">
        <v>159</v>
      </c>
    </row>
    <row r="15" spans="1:13" s="199" customFormat="1" ht="24" customHeight="1">
      <c r="A15" s="198">
        <v>9</v>
      </c>
      <c r="B15" s="216" t="s">
        <v>106</v>
      </c>
      <c r="C15" s="217" t="s">
        <v>19</v>
      </c>
      <c r="D15" s="217" t="s">
        <v>20</v>
      </c>
      <c r="E15" s="218" t="s">
        <v>2</v>
      </c>
      <c r="F15" s="218">
        <v>25</v>
      </c>
      <c r="G15" s="218">
        <v>5</v>
      </c>
      <c r="H15" s="202">
        <v>2</v>
      </c>
      <c r="I15" s="202">
        <v>2</v>
      </c>
      <c r="J15" s="203">
        <v>46500</v>
      </c>
      <c r="K15" s="197">
        <f t="shared" si="0"/>
        <v>93000</v>
      </c>
      <c r="L15" s="219" t="s">
        <v>1517</v>
      </c>
      <c r="M15" s="199" t="s">
        <v>159</v>
      </c>
    </row>
    <row r="16" spans="1:13" s="199" customFormat="1" ht="24" customHeight="1">
      <c r="A16" s="207">
        <v>10</v>
      </c>
      <c r="B16" s="215" t="s">
        <v>106</v>
      </c>
      <c r="C16" s="209" t="s">
        <v>21</v>
      </c>
      <c r="D16" s="209" t="s">
        <v>22</v>
      </c>
      <c r="E16" s="207" t="s">
        <v>2</v>
      </c>
      <c r="F16" s="207">
        <v>25</v>
      </c>
      <c r="G16" s="201" t="s">
        <v>128</v>
      </c>
      <c r="H16" s="211">
        <v>1</v>
      </c>
      <c r="I16" s="211">
        <v>1</v>
      </c>
      <c r="J16" s="204">
        <v>72000</v>
      </c>
      <c r="K16" s="197">
        <f t="shared" si="0"/>
        <v>72000</v>
      </c>
      <c r="L16" s="214" t="s">
        <v>1518</v>
      </c>
      <c r="M16" s="199" t="s">
        <v>159</v>
      </c>
    </row>
    <row r="17" spans="1:13" ht="24" customHeight="1">
      <c r="A17" s="29"/>
      <c r="B17" s="20"/>
      <c r="C17" s="5"/>
      <c r="D17" s="125"/>
      <c r="E17" s="17"/>
      <c r="F17" s="17"/>
      <c r="G17" s="18"/>
      <c r="H17" s="4"/>
      <c r="I17" s="4"/>
      <c r="J17" s="59" t="s">
        <v>129</v>
      </c>
      <c r="K17" s="60">
        <f>SUM(K7:K16)</f>
        <v>1648400</v>
      </c>
      <c r="L17" s="140"/>
    </row>
    <row r="18" spans="1:13" ht="24" customHeight="1">
      <c r="A18" s="61"/>
      <c r="B18" s="62" t="s">
        <v>119</v>
      </c>
      <c r="C18" s="53" t="s">
        <v>120</v>
      </c>
      <c r="E18" s="39"/>
      <c r="F18" s="39"/>
      <c r="G18" s="63"/>
      <c r="H18" s="64"/>
      <c r="I18" s="64"/>
      <c r="J18" s="65"/>
      <c r="K18" s="65"/>
    </row>
    <row r="19" spans="1:13" ht="24" customHeight="1">
      <c r="A19" s="61"/>
      <c r="C19" s="53" t="s">
        <v>121</v>
      </c>
      <c r="E19" s="39"/>
      <c r="F19" s="39"/>
      <c r="G19" s="63"/>
      <c r="H19" s="64"/>
      <c r="I19" s="64"/>
      <c r="J19" s="65"/>
      <c r="K19" s="65"/>
    </row>
    <row r="20" spans="1:13" ht="22.5" customHeight="1">
      <c r="A20" s="61"/>
      <c r="B20" s="66"/>
      <c r="C20" s="67"/>
      <c r="D20" s="142"/>
      <c r="E20" s="39"/>
      <c r="G20" s="68" t="s">
        <v>148</v>
      </c>
      <c r="H20" s="268" t="s">
        <v>149</v>
      </c>
      <c r="I20" s="268"/>
      <c r="J20" s="268"/>
      <c r="K20" s="2" t="s">
        <v>150</v>
      </c>
      <c r="L20" s="141"/>
      <c r="M20" s="2"/>
    </row>
    <row r="21" spans="1:13" ht="24" customHeight="1">
      <c r="A21" s="61"/>
      <c r="B21" s="66"/>
      <c r="C21" s="67"/>
      <c r="D21" s="142"/>
      <c r="E21" s="39"/>
      <c r="F21" s="39"/>
      <c r="G21" s="2"/>
      <c r="H21" s="268" t="s">
        <v>1549</v>
      </c>
      <c r="I21" s="268"/>
      <c r="J21" s="268"/>
      <c r="K21" s="2"/>
      <c r="L21" s="141"/>
    </row>
    <row r="22" spans="1:13" ht="31.5" customHeight="1">
      <c r="A22" s="61"/>
      <c r="B22" s="66"/>
      <c r="C22" s="67"/>
      <c r="D22" s="142"/>
      <c r="E22" s="39"/>
      <c r="F22" s="39"/>
      <c r="G22" s="68" t="s">
        <v>148</v>
      </c>
      <c r="H22" s="268" t="s">
        <v>149</v>
      </c>
      <c r="I22" s="268"/>
      <c r="J22" s="268"/>
      <c r="K22" s="2" t="s">
        <v>151</v>
      </c>
      <c r="L22" s="141"/>
    </row>
    <row r="23" spans="1:13" ht="22.5" customHeight="1">
      <c r="A23" s="61"/>
      <c r="B23" s="66"/>
      <c r="C23" s="67"/>
      <c r="D23" s="142"/>
      <c r="E23" s="39"/>
      <c r="F23" s="39"/>
      <c r="G23" s="2"/>
      <c r="H23" s="268" t="s">
        <v>154</v>
      </c>
      <c r="I23" s="268"/>
      <c r="J23" s="268"/>
      <c r="K23" s="2"/>
      <c r="L23" s="141"/>
    </row>
    <row r="24" spans="1:13" ht="30" customHeight="1">
      <c r="A24" s="61"/>
      <c r="B24" s="66"/>
      <c r="C24" s="67"/>
      <c r="D24" s="142"/>
      <c r="E24" s="39"/>
      <c r="F24" s="39"/>
      <c r="G24" s="68" t="s">
        <v>148</v>
      </c>
      <c r="H24" s="268" t="s">
        <v>149</v>
      </c>
      <c r="I24" s="268"/>
      <c r="J24" s="268"/>
      <c r="K24" s="2" t="s">
        <v>151</v>
      </c>
      <c r="L24" s="142"/>
    </row>
    <row r="25" spans="1:13" ht="22.5" customHeight="1">
      <c r="A25" s="61"/>
      <c r="B25" s="66"/>
      <c r="C25" s="67"/>
      <c r="D25" s="142"/>
      <c r="E25" s="39"/>
      <c r="F25" s="39"/>
      <c r="G25" s="2"/>
      <c r="H25" s="268" t="s">
        <v>155</v>
      </c>
      <c r="I25" s="268"/>
      <c r="J25" s="268"/>
      <c r="K25" s="2"/>
      <c r="L25" s="142"/>
    </row>
    <row r="26" spans="1:13" ht="20.25" customHeight="1">
      <c r="A26" s="61"/>
      <c r="B26" s="66"/>
      <c r="C26" s="67"/>
      <c r="D26" s="142"/>
      <c r="E26" s="39"/>
      <c r="F26" s="39"/>
      <c r="G26" s="67"/>
      <c r="H26" s="64"/>
      <c r="I26" s="64"/>
      <c r="J26" s="64"/>
      <c r="K26" s="67"/>
      <c r="L26" s="142"/>
    </row>
    <row r="27" spans="1:13" ht="24" customHeight="1">
      <c r="A27" s="61"/>
      <c r="B27" s="66"/>
      <c r="C27" s="67"/>
      <c r="D27" s="142"/>
      <c r="E27" s="39"/>
      <c r="F27" s="39"/>
      <c r="G27" s="68" t="s">
        <v>148</v>
      </c>
      <c r="H27" s="268" t="s">
        <v>149</v>
      </c>
      <c r="I27" s="268"/>
      <c r="J27" s="268"/>
      <c r="K27" s="2" t="s">
        <v>151</v>
      </c>
      <c r="L27" s="142"/>
    </row>
    <row r="28" spans="1:13" ht="22.5" customHeight="1">
      <c r="A28" s="61"/>
      <c r="B28" s="66"/>
      <c r="C28" s="67"/>
      <c r="D28" s="142"/>
      <c r="E28" s="39"/>
      <c r="F28" s="39"/>
      <c r="G28" s="2"/>
      <c r="H28" s="268" t="s">
        <v>156</v>
      </c>
      <c r="I28" s="268"/>
      <c r="J28" s="268"/>
      <c r="K28" s="2"/>
      <c r="L28" s="142"/>
    </row>
    <row r="29" spans="1:13" ht="23.25" customHeight="1">
      <c r="A29" s="61"/>
      <c r="B29" s="66"/>
      <c r="C29" s="67"/>
      <c r="D29" s="142"/>
      <c r="E29" s="39"/>
      <c r="F29" s="39"/>
      <c r="G29" s="67"/>
      <c r="H29" s="64"/>
      <c r="I29" s="64"/>
      <c r="J29" s="64"/>
      <c r="K29" s="67"/>
      <c r="L29" s="142"/>
    </row>
    <row r="30" spans="1:13" ht="24" customHeight="1">
      <c r="A30" s="61"/>
      <c r="B30" s="66"/>
      <c r="C30" s="67"/>
      <c r="D30" s="142"/>
      <c r="E30" s="39"/>
      <c r="F30" s="39"/>
      <c r="G30" s="68" t="s">
        <v>148</v>
      </c>
      <c r="H30" s="268" t="s">
        <v>149</v>
      </c>
      <c r="I30" s="268"/>
      <c r="J30" s="268"/>
      <c r="K30" s="67" t="s">
        <v>152</v>
      </c>
      <c r="L30" s="142"/>
    </row>
    <row r="31" spans="1:13" ht="22.5" customHeight="1">
      <c r="A31" s="61"/>
      <c r="B31" s="66"/>
      <c r="C31" s="67"/>
      <c r="D31" s="142"/>
      <c r="E31" s="39"/>
      <c r="F31" s="39"/>
      <c r="G31" s="67"/>
      <c r="H31" s="268" t="s">
        <v>157</v>
      </c>
      <c r="I31" s="268"/>
      <c r="J31" s="268"/>
      <c r="K31" s="67"/>
      <c r="L31" s="142"/>
    </row>
    <row r="32" spans="1:13" ht="22.5" customHeight="1">
      <c r="A32" s="61"/>
      <c r="B32" s="66"/>
      <c r="C32" s="67"/>
      <c r="D32" s="142"/>
      <c r="E32" s="39"/>
      <c r="F32" s="39"/>
      <c r="G32" s="67"/>
      <c r="H32" s="64"/>
      <c r="I32" s="64"/>
      <c r="J32" s="64"/>
      <c r="K32" s="67"/>
      <c r="L32" s="142"/>
    </row>
    <row r="33" spans="1:13" ht="24" customHeight="1">
      <c r="L33" s="138" t="s">
        <v>1420</v>
      </c>
    </row>
    <row r="34" spans="1:13" ht="24" customHeight="1">
      <c r="A34" s="269" t="s">
        <v>158</v>
      </c>
      <c r="B34" s="269"/>
      <c r="C34" s="269"/>
      <c r="D34" s="269"/>
      <c r="E34" s="269"/>
      <c r="F34" s="269"/>
      <c r="G34" s="269"/>
      <c r="H34" s="269"/>
      <c r="I34" s="269"/>
      <c r="J34" s="269"/>
      <c r="K34" s="269"/>
      <c r="L34" s="269"/>
    </row>
    <row r="35" spans="1:13" ht="24" customHeight="1">
      <c r="A35" s="270" t="s">
        <v>163</v>
      </c>
      <c r="B35" s="270"/>
      <c r="C35" s="270"/>
      <c r="D35" s="270"/>
      <c r="E35" s="270"/>
      <c r="F35" s="270"/>
      <c r="G35" s="270"/>
      <c r="H35" s="270"/>
      <c r="I35" s="270"/>
      <c r="J35" s="270"/>
      <c r="K35" s="270"/>
      <c r="L35" s="270"/>
    </row>
    <row r="36" spans="1:13" ht="24" customHeight="1" thickBot="1">
      <c r="A36" s="271" t="s">
        <v>164</v>
      </c>
      <c r="B36" s="271"/>
      <c r="C36" s="271"/>
      <c r="D36" s="271"/>
      <c r="E36" s="271"/>
      <c r="F36" s="271"/>
      <c r="G36" s="271"/>
      <c r="H36" s="271"/>
      <c r="I36" s="271"/>
      <c r="J36" s="271"/>
      <c r="K36" s="271"/>
      <c r="L36" s="271"/>
    </row>
    <row r="37" spans="1:13" ht="24" customHeight="1" thickTop="1">
      <c r="A37" s="272" t="s">
        <v>103</v>
      </c>
      <c r="B37" s="272" t="s">
        <v>122</v>
      </c>
      <c r="C37" s="272" t="s">
        <v>124</v>
      </c>
      <c r="D37" s="274" t="s">
        <v>0</v>
      </c>
      <c r="E37" s="272" t="s">
        <v>109</v>
      </c>
      <c r="F37" s="272" t="s">
        <v>110</v>
      </c>
      <c r="G37" s="276" t="s">
        <v>111</v>
      </c>
      <c r="H37" s="278" t="s">
        <v>1</v>
      </c>
      <c r="I37" s="279"/>
      <c r="J37" s="272" t="s">
        <v>125</v>
      </c>
      <c r="K37" s="272" t="s">
        <v>104</v>
      </c>
      <c r="L37" s="280" t="s">
        <v>112</v>
      </c>
    </row>
    <row r="38" spans="1:13" ht="47.25" customHeight="1" thickBot="1">
      <c r="A38" s="273"/>
      <c r="B38" s="273"/>
      <c r="C38" s="273"/>
      <c r="D38" s="275"/>
      <c r="E38" s="273"/>
      <c r="F38" s="273"/>
      <c r="G38" s="277"/>
      <c r="H38" s="51" t="s">
        <v>113</v>
      </c>
      <c r="I38" s="52" t="s">
        <v>114</v>
      </c>
      <c r="J38" s="273"/>
      <c r="K38" s="273"/>
      <c r="L38" s="281"/>
    </row>
    <row r="39" spans="1:13" ht="24" customHeight="1" thickTop="1">
      <c r="A39" s="69"/>
      <c r="B39" s="70"/>
      <c r="C39" s="56"/>
      <c r="D39" s="165"/>
      <c r="E39" s="13"/>
      <c r="F39" s="13"/>
      <c r="G39" s="15"/>
      <c r="H39" s="57"/>
      <c r="I39" s="57"/>
      <c r="J39" s="71" t="s">
        <v>130</v>
      </c>
      <c r="K39" s="72">
        <f>SUM(K17)</f>
        <v>1648400</v>
      </c>
      <c r="L39" s="143"/>
    </row>
    <row r="40" spans="1:13" s="199" customFormat="1" ht="24" customHeight="1">
      <c r="A40" s="200">
        <v>11</v>
      </c>
      <c r="B40" s="215" t="s">
        <v>106</v>
      </c>
      <c r="C40" s="209" t="s">
        <v>23</v>
      </c>
      <c r="D40" s="209" t="s">
        <v>24</v>
      </c>
      <c r="E40" s="207" t="s">
        <v>2</v>
      </c>
      <c r="F40" s="207">
        <v>25</v>
      </c>
      <c r="G40" s="201" t="s">
        <v>128</v>
      </c>
      <c r="H40" s="211">
        <v>1</v>
      </c>
      <c r="I40" s="211">
        <v>1</v>
      </c>
      <c r="J40" s="204">
        <v>480000</v>
      </c>
      <c r="K40" s="204">
        <f>SUM(I40*J40)</f>
        <v>480000</v>
      </c>
      <c r="L40" s="214" t="s">
        <v>1519</v>
      </c>
      <c r="M40" s="199" t="s">
        <v>159</v>
      </c>
    </row>
    <row r="41" spans="1:13" s="199" customFormat="1" ht="24" customHeight="1">
      <c r="A41" s="207">
        <v>12</v>
      </c>
      <c r="B41" s="215" t="s">
        <v>106</v>
      </c>
      <c r="C41" s="209" t="s">
        <v>25</v>
      </c>
      <c r="D41" s="209" t="s">
        <v>26</v>
      </c>
      <c r="E41" s="207" t="s">
        <v>2</v>
      </c>
      <c r="F41" s="207">
        <v>25</v>
      </c>
      <c r="G41" s="201" t="s">
        <v>128</v>
      </c>
      <c r="H41" s="211">
        <v>1</v>
      </c>
      <c r="I41" s="211">
        <v>1</v>
      </c>
      <c r="J41" s="204">
        <v>96000</v>
      </c>
      <c r="K41" s="204">
        <f t="shared" ref="K41:K49" si="1">SUM(I41*J41)</f>
        <v>96000</v>
      </c>
      <c r="L41" s="214" t="s">
        <v>1520</v>
      </c>
      <c r="M41" s="199" t="s">
        <v>159</v>
      </c>
    </row>
    <row r="42" spans="1:13" s="199" customFormat="1" ht="24" customHeight="1">
      <c r="A42" s="200">
        <v>13</v>
      </c>
      <c r="B42" s="215" t="s">
        <v>106</v>
      </c>
      <c r="C42" s="209" t="s">
        <v>27</v>
      </c>
      <c r="D42" s="209" t="s">
        <v>28</v>
      </c>
      <c r="E42" s="207" t="s">
        <v>2</v>
      </c>
      <c r="F42" s="207">
        <v>25</v>
      </c>
      <c r="G42" s="201" t="s">
        <v>128</v>
      </c>
      <c r="H42" s="211">
        <v>1</v>
      </c>
      <c r="I42" s="211">
        <v>1</v>
      </c>
      <c r="J42" s="204">
        <v>39000</v>
      </c>
      <c r="K42" s="204">
        <f t="shared" si="1"/>
        <v>39000</v>
      </c>
      <c r="L42" s="214" t="s">
        <v>1521</v>
      </c>
      <c r="M42" s="199" t="s">
        <v>159</v>
      </c>
    </row>
    <row r="43" spans="1:13" s="199" customFormat="1" ht="24" customHeight="1">
      <c r="A43" s="207">
        <v>14</v>
      </c>
      <c r="B43" s="215" t="s">
        <v>106</v>
      </c>
      <c r="C43" s="209" t="s">
        <v>29</v>
      </c>
      <c r="D43" s="209" t="s">
        <v>95</v>
      </c>
      <c r="E43" s="207" t="s">
        <v>2</v>
      </c>
      <c r="F43" s="207">
        <v>25</v>
      </c>
      <c r="G43" s="201" t="s">
        <v>128</v>
      </c>
      <c r="H43" s="211">
        <v>1</v>
      </c>
      <c r="I43" s="211">
        <v>1</v>
      </c>
      <c r="J43" s="204">
        <v>142000</v>
      </c>
      <c r="K43" s="204">
        <f t="shared" si="1"/>
        <v>142000</v>
      </c>
      <c r="L43" s="214" t="s">
        <v>1522</v>
      </c>
      <c r="M43" s="199" t="s">
        <v>159</v>
      </c>
    </row>
    <row r="44" spans="1:13" s="199" customFormat="1" ht="24" customHeight="1">
      <c r="A44" s="200">
        <v>15</v>
      </c>
      <c r="B44" s="215" t="s">
        <v>106</v>
      </c>
      <c r="C44" s="209" t="s">
        <v>30</v>
      </c>
      <c r="D44" s="210" t="s">
        <v>31</v>
      </c>
      <c r="E44" s="207" t="s">
        <v>2</v>
      </c>
      <c r="F44" s="207">
        <v>25</v>
      </c>
      <c r="G44" s="201" t="s">
        <v>128</v>
      </c>
      <c r="H44" s="211">
        <v>1</v>
      </c>
      <c r="I44" s="211">
        <v>1</v>
      </c>
      <c r="J44" s="204">
        <v>41800</v>
      </c>
      <c r="K44" s="204">
        <f t="shared" si="1"/>
        <v>41800</v>
      </c>
      <c r="L44" s="214" t="s">
        <v>1523</v>
      </c>
      <c r="M44" s="199" t="s">
        <v>159</v>
      </c>
    </row>
    <row r="45" spans="1:13" s="199" customFormat="1" ht="24" customHeight="1">
      <c r="A45" s="207">
        <v>16</v>
      </c>
      <c r="B45" s="215" t="s">
        <v>106</v>
      </c>
      <c r="C45" s="209" t="s">
        <v>32</v>
      </c>
      <c r="D45" s="210" t="s">
        <v>33</v>
      </c>
      <c r="E45" s="207" t="s">
        <v>2</v>
      </c>
      <c r="F45" s="207">
        <v>25</v>
      </c>
      <c r="G45" s="201" t="s">
        <v>128</v>
      </c>
      <c r="H45" s="201">
        <v>1</v>
      </c>
      <c r="I45" s="201">
        <v>1</v>
      </c>
      <c r="J45" s="204">
        <v>95000</v>
      </c>
      <c r="K45" s="204">
        <f t="shared" si="1"/>
        <v>95000</v>
      </c>
      <c r="L45" s="214" t="s">
        <v>287</v>
      </c>
      <c r="M45" s="199" t="s">
        <v>159</v>
      </c>
    </row>
    <row r="46" spans="1:13" s="199" customFormat="1" ht="24" customHeight="1">
      <c r="A46" s="200">
        <v>17</v>
      </c>
      <c r="B46" s="215" t="s">
        <v>106</v>
      </c>
      <c r="C46" s="209" t="s">
        <v>34</v>
      </c>
      <c r="D46" s="210" t="s">
        <v>35</v>
      </c>
      <c r="E46" s="207" t="s">
        <v>2</v>
      </c>
      <c r="F46" s="207">
        <v>25</v>
      </c>
      <c r="G46" s="201" t="s">
        <v>128</v>
      </c>
      <c r="H46" s="201">
        <v>1</v>
      </c>
      <c r="I46" s="201">
        <v>1</v>
      </c>
      <c r="J46" s="204">
        <v>43800</v>
      </c>
      <c r="K46" s="204">
        <f t="shared" si="1"/>
        <v>43800</v>
      </c>
      <c r="L46" s="214" t="s">
        <v>1524</v>
      </c>
      <c r="M46" s="199" t="s">
        <v>159</v>
      </c>
    </row>
    <row r="47" spans="1:13" s="199" customFormat="1" ht="24" customHeight="1">
      <c r="A47" s="207">
        <v>18</v>
      </c>
      <c r="B47" s="215" t="s">
        <v>106</v>
      </c>
      <c r="C47" s="209" t="s">
        <v>36</v>
      </c>
      <c r="D47" s="210" t="s">
        <v>37</v>
      </c>
      <c r="E47" s="207" t="s">
        <v>2</v>
      </c>
      <c r="F47" s="207">
        <v>25</v>
      </c>
      <c r="G47" s="201" t="s">
        <v>128</v>
      </c>
      <c r="H47" s="201">
        <v>1</v>
      </c>
      <c r="I47" s="201">
        <v>1</v>
      </c>
      <c r="J47" s="204">
        <v>14500</v>
      </c>
      <c r="K47" s="204">
        <f t="shared" si="1"/>
        <v>14500</v>
      </c>
      <c r="L47" s="214" t="s">
        <v>1525</v>
      </c>
      <c r="M47" s="199" t="s">
        <v>159</v>
      </c>
    </row>
    <row r="48" spans="1:13" s="199" customFormat="1" ht="24" customHeight="1">
      <c r="A48" s="200">
        <v>19</v>
      </c>
      <c r="B48" s="215" t="s">
        <v>106</v>
      </c>
      <c r="C48" s="209" t="s">
        <v>38</v>
      </c>
      <c r="D48" s="210" t="s">
        <v>39</v>
      </c>
      <c r="E48" s="207" t="s">
        <v>2</v>
      </c>
      <c r="F48" s="207">
        <v>25</v>
      </c>
      <c r="G48" s="201" t="s">
        <v>128</v>
      </c>
      <c r="H48" s="211">
        <v>1</v>
      </c>
      <c r="I48" s="211">
        <v>1</v>
      </c>
      <c r="J48" s="204">
        <v>95000</v>
      </c>
      <c r="K48" s="204">
        <f t="shared" si="1"/>
        <v>95000</v>
      </c>
      <c r="L48" s="214" t="s">
        <v>1526</v>
      </c>
      <c r="M48" s="199" t="s">
        <v>159</v>
      </c>
    </row>
    <row r="49" spans="1:13" s="199" customFormat="1" ht="24" customHeight="1">
      <c r="A49" s="207">
        <v>20</v>
      </c>
      <c r="B49" s="215" t="s">
        <v>106</v>
      </c>
      <c r="C49" s="209" t="s">
        <v>40</v>
      </c>
      <c r="D49" s="210" t="s">
        <v>100</v>
      </c>
      <c r="E49" s="201" t="s">
        <v>2</v>
      </c>
      <c r="F49" s="207">
        <v>25</v>
      </c>
      <c r="G49" s="201" t="s">
        <v>128</v>
      </c>
      <c r="H49" s="211">
        <v>1</v>
      </c>
      <c r="I49" s="211">
        <v>1</v>
      </c>
      <c r="J49" s="204">
        <v>43800</v>
      </c>
      <c r="K49" s="204">
        <f t="shared" si="1"/>
        <v>43800</v>
      </c>
      <c r="L49" s="214" t="s">
        <v>1527</v>
      </c>
      <c r="M49" s="199" t="s">
        <v>159</v>
      </c>
    </row>
    <row r="50" spans="1:13" ht="24" customHeight="1">
      <c r="A50" s="29"/>
      <c r="B50" s="20"/>
      <c r="C50" s="5"/>
      <c r="D50" s="126"/>
      <c r="E50" s="18"/>
      <c r="F50" s="18"/>
      <c r="G50" s="18"/>
      <c r="H50" s="4"/>
      <c r="I50" s="4"/>
      <c r="J50" s="59" t="s">
        <v>129</v>
      </c>
      <c r="K50" s="60">
        <f>SUM(K39:K49)</f>
        <v>2739300</v>
      </c>
      <c r="L50" s="137"/>
    </row>
    <row r="51" spans="1:13" ht="24" customHeight="1">
      <c r="A51" s="61"/>
      <c r="B51" s="62" t="s">
        <v>119</v>
      </c>
      <c r="C51" s="53" t="s">
        <v>120</v>
      </c>
      <c r="E51" s="63"/>
      <c r="F51" s="63"/>
      <c r="G51" s="63"/>
      <c r="H51" s="64"/>
      <c r="I51" s="64"/>
      <c r="J51" s="65"/>
      <c r="K51" s="65"/>
    </row>
    <row r="52" spans="1:13" ht="24" customHeight="1">
      <c r="A52" s="61"/>
      <c r="C52" s="53" t="s">
        <v>121</v>
      </c>
      <c r="E52" s="63"/>
      <c r="F52" s="63"/>
      <c r="G52" s="63"/>
      <c r="H52" s="64"/>
      <c r="I52" s="64"/>
      <c r="J52" s="65"/>
      <c r="K52" s="65"/>
    </row>
    <row r="53" spans="1:13" ht="24" customHeight="1">
      <c r="A53" s="61"/>
      <c r="B53" s="66"/>
      <c r="C53" s="67"/>
      <c r="D53" s="141"/>
      <c r="E53" s="63"/>
      <c r="F53" s="63"/>
      <c r="G53" s="68" t="s">
        <v>148</v>
      </c>
      <c r="H53" s="268" t="s">
        <v>149</v>
      </c>
      <c r="I53" s="268"/>
      <c r="J53" s="268"/>
      <c r="K53" s="2" t="s">
        <v>150</v>
      </c>
      <c r="L53" s="141"/>
    </row>
    <row r="54" spans="1:13" ht="21" customHeight="1">
      <c r="A54" s="61"/>
      <c r="B54" s="66"/>
      <c r="C54" s="67"/>
      <c r="D54" s="141"/>
      <c r="E54" s="63"/>
      <c r="F54" s="63"/>
      <c r="G54" s="2"/>
      <c r="H54" s="268" t="s">
        <v>1549</v>
      </c>
      <c r="I54" s="268"/>
      <c r="J54" s="268"/>
      <c r="K54" s="2"/>
      <c r="L54" s="141"/>
    </row>
    <row r="55" spans="1:13" ht="30.75" customHeight="1">
      <c r="A55" s="61"/>
      <c r="B55" s="66"/>
      <c r="C55" s="67"/>
      <c r="D55" s="141"/>
      <c r="E55" s="63"/>
      <c r="F55" s="63"/>
      <c r="G55" s="68" t="s">
        <v>148</v>
      </c>
      <c r="H55" s="268" t="s">
        <v>149</v>
      </c>
      <c r="I55" s="268"/>
      <c r="J55" s="268"/>
      <c r="K55" s="2" t="s">
        <v>151</v>
      </c>
      <c r="L55" s="141"/>
    </row>
    <row r="56" spans="1:13" ht="19.5" customHeight="1">
      <c r="A56" s="61"/>
      <c r="B56" s="66"/>
      <c r="C56" s="67"/>
      <c r="D56" s="141"/>
      <c r="E56" s="63"/>
      <c r="F56" s="63"/>
      <c r="G56" s="2"/>
      <c r="H56" s="268" t="s">
        <v>154</v>
      </c>
      <c r="I56" s="268"/>
      <c r="J56" s="268"/>
      <c r="K56" s="2"/>
      <c r="L56" s="141"/>
    </row>
    <row r="57" spans="1:13" ht="34.5" customHeight="1">
      <c r="A57" s="61"/>
      <c r="B57" s="66"/>
      <c r="C57" s="67"/>
      <c r="D57" s="141"/>
      <c r="E57" s="63"/>
      <c r="F57" s="63"/>
      <c r="G57" s="68" t="s">
        <v>148</v>
      </c>
      <c r="H57" s="268" t="s">
        <v>149</v>
      </c>
      <c r="I57" s="268"/>
      <c r="J57" s="268"/>
      <c r="K57" s="2" t="s">
        <v>151</v>
      </c>
      <c r="L57" s="142"/>
    </row>
    <row r="58" spans="1:13" ht="21.75" customHeight="1">
      <c r="A58" s="61"/>
      <c r="B58" s="66"/>
      <c r="C58" s="67"/>
      <c r="D58" s="141"/>
      <c r="E58" s="63"/>
      <c r="F58" s="63"/>
      <c r="G58" s="2"/>
      <c r="H58" s="268" t="s">
        <v>155</v>
      </c>
      <c r="I58" s="268"/>
      <c r="J58" s="268"/>
      <c r="K58" s="2"/>
      <c r="L58" s="142"/>
    </row>
    <row r="59" spans="1:13" ht="35.25" customHeight="1">
      <c r="A59" s="61"/>
      <c r="B59" s="66"/>
      <c r="C59" s="67"/>
      <c r="D59" s="141"/>
      <c r="E59" s="63"/>
      <c r="F59" s="63"/>
      <c r="G59" s="68" t="s">
        <v>148</v>
      </c>
      <c r="H59" s="268" t="s">
        <v>149</v>
      </c>
      <c r="I59" s="268"/>
      <c r="J59" s="268"/>
      <c r="K59" s="2" t="s">
        <v>151</v>
      </c>
      <c r="L59" s="142"/>
    </row>
    <row r="60" spans="1:13" ht="21" customHeight="1">
      <c r="A60" s="61"/>
      <c r="B60" s="66"/>
      <c r="C60" s="67"/>
      <c r="D60" s="141"/>
      <c r="E60" s="63"/>
      <c r="F60" s="63"/>
      <c r="G60" s="2"/>
      <c r="H60" s="268" t="s">
        <v>156</v>
      </c>
      <c r="I60" s="268"/>
      <c r="J60" s="268"/>
      <c r="K60" s="2"/>
      <c r="L60" s="142"/>
    </row>
    <row r="61" spans="1:13" ht="33.75" customHeight="1">
      <c r="A61" s="61"/>
      <c r="B61" s="66"/>
      <c r="C61" s="67"/>
      <c r="D61" s="141"/>
      <c r="E61" s="63"/>
      <c r="F61" s="63"/>
      <c r="G61" s="68" t="s">
        <v>148</v>
      </c>
      <c r="H61" s="268" t="s">
        <v>149</v>
      </c>
      <c r="I61" s="268"/>
      <c r="J61" s="268"/>
      <c r="K61" s="67" t="s">
        <v>152</v>
      </c>
      <c r="L61" s="142"/>
    </row>
    <row r="62" spans="1:13" ht="24" customHeight="1">
      <c r="G62" s="67"/>
      <c r="H62" s="268" t="s">
        <v>157</v>
      </c>
      <c r="I62" s="268"/>
      <c r="J62" s="268"/>
      <c r="K62" s="67"/>
      <c r="L62" s="142"/>
    </row>
    <row r="63" spans="1:13" ht="24" customHeight="1">
      <c r="G63" s="67"/>
      <c r="H63" s="64"/>
      <c r="I63" s="64"/>
      <c r="J63" s="64"/>
      <c r="K63" s="67"/>
      <c r="L63" s="142"/>
    </row>
    <row r="64" spans="1:13" ht="24" customHeight="1">
      <c r="G64" s="67"/>
      <c r="H64" s="64"/>
      <c r="I64" s="64"/>
      <c r="J64" s="64"/>
      <c r="K64" s="67"/>
      <c r="L64" s="138" t="s">
        <v>1421</v>
      </c>
    </row>
    <row r="65" spans="1:13" ht="24" customHeight="1">
      <c r="A65" s="269" t="s">
        <v>158</v>
      </c>
      <c r="B65" s="269"/>
      <c r="C65" s="269"/>
      <c r="D65" s="269"/>
      <c r="E65" s="269"/>
      <c r="F65" s="269"/>
      <c r="G65" s="269"/>
      <c r="H65" s="269"/>
      <c r="I65" s="269"/>
      <c r="J65" s="269"/>
      <c r="K65" s="269"/>
      <c r="L65" s="269"/>
    </row>
    <row r="66" spans="1:13" ht="24" customHeight="1">
      <c r="A66" s="270" t="s">
        <v>163</v>
      </c>
      <c r="B66" s="270"/>
      <c r="C66" s="270"/>
      <c r="D66" s="270"/>
      <c r="E66" s="270"/>
      <c r="F66" s="270"/>
      <c r="G66" s="270"/>
      <c r="H66" s="270"/>
      <c r="I66" s="270"/>
      <c r="J66" s="270"/>
      <c r="K66" s="270"/>
      <c r="L66" s="270"/>
    </row>
    <row r="67" spans="1:13" ht="24" customHeight="1" thickBot="1">
      <c r="A67" s="271" t="s">
        <v>164</v>
      </c>
      <c r="B67" s="271"/>
      <c r="C67" s="271"/>
      <c r="D67" s="271"/>
      <c r="E67" s="271"/>
      <c r="F67" s="271"/>
      <c r="G67" s="271"/>
      <c r="H67" s="271"/>
      <c r="I67" s="271"/>
      <c r="J67" s="271"/>
      <c r="K67" s="271"/>
      <c r="L67" s="271"/>
    </row>
    <row r="68" spans="1:13" ht="24" customHeight="1" thickTop="1">
      <c r="A68" s="272" t="s">
        <v>103</v>
      </c>
      <c r="B68" s="272" t="s">
        <v>122</v>
      </c>
      <c r="C68" s="272" t="s">
        <v>124</v>
      </c>
      <c r="D68" s="274" t="s">
        <v>0</v>
      </c>
      <c r="E68" s="272" t="s">
        <v>109</v>
      </c>
      <c r="F68" s="272" t="s">
        <v>110</v>
      </c>
      <c r="G68" s="276" t="s">
        <v>111</v>
      </c>
      <c r="H68" s="278" t="s">
        <v>1</v>
      </c>
      <c r="I68" s="279"/>
      <c r="J68" s="272" t="s">
        <v>125</v>
      </c>
      <c r="K68" s="272" t="s">
        <v>104</v>
      </c>
      <c r="L68" s="280" t="s">
        <v>112</v>
      </c>
    </row>
    <row r="69" spans="1:13" ht="47.25" customHeight="1" thickBot="1">
      <c r="A69" s="273"/>
      <c r="B69" s="273"/>
      <c r="C69" s="273"/>
      <c r="D69" s="275"/>
      <c r="E69" s="273"/>
      <c r="F69" s="273"/>
      <c r="G69" s="277"/>
      <c r="H69" s="51" t="s">
        <v>113</v>
      </c>
      <c r="I69" s="52" t="s">
        <v>114</v>
      </c>
      <c r="J69" s="273"/>
      <c r="K69" s="273"/>
      <c r="L69" s="281"/>
    </row>
    <row r="70" spans="1:13" ht="24" customHeight="1" thickTop="1">
      <c r="A70" s="69"/>
      <c r="B70" s="70"/>
      <c r="C70" s="56"/>
      <c r="D70" s="165"/>
      <c r="E70" s="13"/>
      <c r="F70" s="13"/>
      <c r="G70" s="15"/>
      <c r="H70" s="57"/>
      <c r="I70" s="57"/>
      <c r="J70" s="71" t="s">
        <v>130</v>
      </c>
      <c r="K70" s="72">
        <f>SUM(K50)</f>
        <v>2739300</v>
      </c>
      <c r="L70" s="143"/>
    </row>
    <row r="71" spans="1:13" s="228" customFormat="1" ht="24" customHeight="1">
      <c r="A71" s="220">
        <v>21</v>
      </c>
      <c r="B71" s="221" t="s">
        <v>106</v>
      </c>
      <c r="C71" s="222" t="s">
        <v>41</v>
      </c>
      <c r="D71" s="229" t="s">
        <v>42</v>
      </c>
      <c r="E71" s="224" t="s">
        <v>2</v>
      </c>
      <c r="F71" s="224">
        <v>25</v>
      </c>
      <c r="G71" s="224" t="s">
        <v>128</v>
      </c>
      <c r="H71" s="225">
        <v>1</v>
      </c>
      <c r="I71" s="225">
        <v>1</v>
      </c>
      <c r="J71" s="226">
        <v>62000</v>
      </c>
      <c r="K71" s="226">
        <f>SUM(I71*J71)</f>
        <v>62000</v>
      </c>
      <c r="L71" s="227" t="s">
        <v>1528</v>
      </c>
      <c r="M71" s="228" t="s">
        <v>159</v>
      </c>
    </row>
    <row r="72" spans="1:13" s="228" customFormat="1" ht="24" customHeight="1">
      <c r="A72" s="223">
        <v>22</v>
      </c>
      <c r="B72" s="221" t="s">
        <v>106</v>
      </c>
      <c r="C72" s="222" t="s">
        <v>43</v>
      </c>
      <c r="D72" s="229" t="s">
        <v>44</v>
      </c>
      <c r="E72" s="224" t="s">
        <v>2</v>
      </c>
      <c r="F72" s="224">
        <v>25</v>
      </c>
      <c r="G72" s="224" t="s">
        <v>128</v>
      </c>
      <c r="H72" s="225">
        <v>1</v>
      </c>
      <c r="I72" s="225">
        <v>1</v>
      </c>
      <c r="J72" s="226">
        <v>84000</v>
      </c>
      <c r="K72" s="226">
        <f t="shared" ref="K72:K80" si="2">SUM(I72*J72)</f>
        <v>84000</v>
      </c>
      <c r="L72" s="227" t="s">
        <v>1529</v>
      </c>
      <c r="M72" s="228" t="s">
        <v>159</v>
      </c>
    </row>
    <row r="73" spans="1:13" s="228" customFormat="1" ht="24" customHeight="1">
      <c r="A73" s="220">
        <v>23</v>
      </c>
      <c r="B73" s="221" t="s">
        <v>106</v>
      </c>
      <c r="C73" s="222" t="s">
        <v>45</v>
      </c>
      <c r="D73" s="229" t="s">
        <v>46</v>
      </c>
      <c r="E73" s="224" t="s">
        <v>2</v>
      </c>
      <c r="F73" s="224">
        <v>25</v>
      </c>
      <c r="G73" s="224" t="s">
        <v>128</v>
      </c>
      <c r="H73" s="225">
        <v>1</v>
      </c>
      <c r="I73" s="225">
        <v>1</v>
      </c>
      <c r="J73" s="226">
        <v>84000</v>
      </c>
      <c r="K73" s="226">
        <f t="shared" si="2"/>
        <v>84000</v>
      </c>
      <c r="L73" s="227" t="s">
        <v>1530</v>
      </c>
      <c r="M73" s="228" t="s">
        <v>159</v>
      </c>
    </row>
    <row r="74" spans="1:13" s="228" customFormat="1" ht="24" customHeight="1">
      <c r="A74" s="223">
        <v>24</v>
      </c>
      <c r="B74" s="221" t="s">
        <v>106</v>
      </c>
      <c r="C74" s="222" t="s">
        <v>47</v>
      </c>
      <c r="D74" s="229" t="s">
        <v>48</v>
      </c>
      <c r="E74" s="224" t="s">
        <v>2</v>
      </c>
      <c r="F74" s="224">
        <v>25</v>
      </c>
      <c r="G74" s="224" t="s">
        <v>128</v>
      </c>
      <c r="H74" s="225">
        <v>1</v>
      </c>
      <c r="I74" s="225">
        <v>1</v>
      </c>
      <c r="J74" s="226">
        <v>28500</v>
      </c>
      <c r="K74" s="226">
        <f t="shared" si="2"/>
        <v>28500</v>
      </c>
      <c r="L74" s="227" t="s">
        <v>1531</v>
      </c>
      <c r="M74" s="228" t="s">
        <v>159</v>
      </c>
    </row>
    <row r="75" spans="1:13" s="228" customFormat="1" ht="24" customHeight="1">
      <c r="A75" s="220">
        <v>25</v>
      </c>
      <c r="B75" s="221" t="s">
        <v>106</v>
      </c>
      <c r="C75" s="222" t="s">
        <v>49</v>
      </c>
      <c r="D75" s="229" t="s">
        <v>50</v>
      </c>
      <c r="E75" s="224" t="s">
        <v>2</v>
      </c>
      <c r="F75" s="224">
        <v>25</v>
      </c>
      <c r="G75" s="224">
        <v>2</v>
      </c>
      <c r="H75" s="225">
        <v>1</v>
      </c>
      <c r="I75" s="225">
        <v>1</v>
      </c>
      <c r="J75" s="226">
        <v>56000</v>
      </c>
      <c r="K75" s="226">
        <f t="shared" si="2"/>
        <v>56000</v>
      </c>
      <c r="L75" s="232" t="s">
        <v>115</v>
      </c>
      <c r="M75" s="228" t="s">
        <v>159</v>
      </c>
    </row>
    <row r="76" spans="1:13" s="228" customFormat="1" ht="24" customHeight="1">
      <c r="A76" s="223">
        <v>26</v>
      </c>
      <c r="B76" s="221" t="s">
        <v>106</v>
      </c>
      <c r="C76" s="222" t="s">
        <v>51</v>
      </c>
      <c r="D76" s="229" t="s">
        <v>52</v>
      </c>
      <c r="E76" s="224" t="s">
        <v>2</v>
      </c>
      <c r="F76" s="224">
        <v>25</v>
      </c>
      <c r="G76" s="224" t="s">
        <v>128</v>
      </c>
      <c r="H76" s="225">
        <v>1</v>
      </c>
      <c r="I76" s="225">
        <v>1</v>
      </c>
      <c r="J76" s="226">
        <v>94000</v>
      </c>
      <c r="K76" s="226">
        <f t="shared" si="2"/>
        <v>94000</v>
      </c>
      <c r="L76" s="227" t="s">
        <v>1532</v>
      </c>
      <c r="M76" s="228" t="s">
        <v>159</v>
      </c>
    </row>
    <row r="77" spans="1:13" s="228" customFormat="1" ht="24" customHeight="1">
      <c r="A77" s="220">
        <v>27</v>
      </c>
      <c r="B77" s="221" t="s">
        <v>106</v>
      </c>
      <c r="C77" s="222" t="s">
        <v>53</v>
      </c>
      <c r="D77" s="229" t="s">
        <v>54</v>
      </c>
      <c r="E77" s="224" t="s">
        <v>2</v>
      </c>
      <c r="F77" s="224">
        <v>25</v>
      </c>
      <c r="G77" s="224" t="s">
        <v>128</v>
      </c>
      <c r="H77" s="225">
        <v>1</v>
      </c>
      <c r="I77" s="225">
        <v>1</v>
      </c>
      <c r="J77" s="226">
        <v>22500</v>
      </c>
      <c r="K77" s="226">
        <f t="shared" si="2"/>
        <v>22500</v>
      </c>
      <c r="L77" s="227" t="s">
        <v>1514</v>
      </c>
      <c r="M77" s="228" t="s">
        <v>159</v>
      </c>
    </row>
    <row r="78" spans="1:13" s="228" customFormat="1" ht="24" customHeight="1">
      <c r="A78" s="223">
        <v>28</v>
      </c>
      <c r="B78" s="221" t="s">
        <v>106</v>
      </c>
      <c r="C78" s="222" t="s">
        <v>55</v>
      </c>
      <c r="D78" s="233" t="s">
        <v>101</v>
      </c>
      <c r="E78" s="224" t="s">
        <v>2</v>
      </c>
      <c r="F78" s="224">
        <v>25</v>
      </c>
      <c r="G78" s="224" t="s">
        <v>128</v>
      </c>
      <c r="H78" s="225">
        <v>1</v>
      </c>
      <c r="I78" s="225">
        <v>1</v>
      </c>
      <c r="J78" s="226">
        <v>65000</v>
      </c>
      <c r="K78" s="226">
        <f t="shared" si="2"/>
        <v>65000</v>
      </c>
      <c r="L78" s="227" t="s">
        <v>1533</v>
      </c>
      <c r="M78" s="228" t="s">
        <v>159</v>
      </c>
    </row>
    <row r="79" spans="1:13" s="228" customFormat="1" ht="24" customHeight="1">
      <c r="A79" s="220">
        <v>29</v>
      </c>
      <c r="B79" s="221" t="s">
        <v>106</v>
      </c>
      <c r="C79" s="222" t="s">
        <v>56</v>
      </c>
      <c r="D79" s="229" t="s">
        <v>57</v>
      </c>
      <c r="E79" s="224" t="s">
        <v>2</v>
      </c>
      <c r="F79" s="224">
        <v>25</v>
      </c>
      <c r="G79" s="224" t="s">
        <v>128</v>
      </c>
      <c r="H79" s="225">
        <v>1</v>
      </c>
      <c r="I79" s="225">
        <v>1</v>
      </c>
      <c r="J79" s="226">
        <v>12000</v>
      </c>
      <c r="K79" s="226">
        <f t="shared" si="2"/>
        <v>12000</v>
      </c>
      <c r="L79" s="227" t="s">
        <v>1534</v>
      </c>
      <c r="M79" s="228" t="s">
        <v>159</v>
      </c>
    </row>
    <row r="80" spans="1:13" s="228" customFormat="1" ht="24" customHeight="1">
      <c r="A80" s="223">
        <v>30</v>
      </c>
      <c r="B80" s="221" t="s">
        <v>106</v>
      </c>
      <c r="C80" s="222" t="s">
        <v>58</v>
      </c>
      <c r="D80" s="229" t="s">
        <v>59</v>
      </c>
      <c r="E80" s="224" t="s">
        <v>2</v>
      </c>
      <c r="F80" s="224">
        <v>25</v>
      </c>
      <c r="G80" s="224" t="s">
        <v>128</v>
      </c>
      <c r="H80" s="225">
        <v>3</v>
      </c>
      <c r="I80" s="225">
        <v>3</v>
      </c>
      <c r="J80" s="226">
        <v>17800</v>
      </c>
      <c r="K80" s="226">
        <f t="shared" si="2"/>
        <v>53400</v>
      </c>
      <c r="L80" s="227" t="s">
        <v>1535</v>
      </c>
      <c r="M80" s="228" t="s">
        <v>159</v>
      </c>
    </row>
    <row r="81" spans="1:12" ht="24" customHeight="1">
      <c r="A81" s="73"/>
      <c r="B81" s="17"/>
      <c r="C81" s="6"/>
      <c r="D81" s="147"/>
      <c r="E81" s="73"/>
      <c r="F81" s="73"/>
      <c r="G81" s="73"/>
      <c r="H81" s="73"/>
      <c r="I81" s="73"/>
      <c r="J81" s="74" t="s">
        <v>129</v>
      </c>
      <c r="K81" s="75">
        <f>SUM(K70:K80)</f>
        <v>3300700</v>
      </c>
      <c r="L81" s="137"/>
    </row>
    <row r="82" spans="1:12" ht="24" customHeight="1">
      <c r="B82" s="62" t="s">
        <v>119</v>
      </c>
      <c r="C82" s="53" t="s">
        <v>120</v>
      </c>
      <c r="E82" s="63"/>
      <c r="F82" s="63"/>
      <c r="G82" s="63"/>
      <c r="H82" s="64"/>
      <c r="I82" s="64"/>
      <c r="J82" s="65"/>
      <c r="K82" s="65"/>
    </row>
    <row r="83" spans="1:12" ht="24" customHeight="1">
      <c r="C83" s="53" t="s">
        <v>121</v>
      </c>
      <c r="E83" s="63"/>
      <c r="F83" s="63"/>
      <c r="G83" s="63"/>
      <c r="H83" s="64"/>
      <c r="I83" s="64"/>
      <c r="J83" s="65"/>
      <c r="K83" s="65"/>
    </row>
    <row r="84" spans="1:12" ht="21.75" customHeight="1">
      <c r="B84" s="66"/>
      <c r="C84" s="67"/>
      <c r="D84" s="141"/>
      <c r="E84" s="63"/>
      <c r="F84" s="63"/>
      <c r="G84" s="68" t="s">
        <v>148</v>
      </c>
      <c r="H84" s="268" t="s">
        <v>149</v>
      </c>
      <c r="I84" s="268"/>
      <c r="J84" s="268"/>
      <c r="K84" s="2" t="s">
        <v>150</v>
      </c>
      <c r="L84" s="141"/>
    </row>
    <row r="85" spans="1:12" ht="22.5" customHeight="1">
      <c r="B85" s="66"/>
      <c r="C85" s="67"/>
      <c r="D85" s="141"/>
      <c r="E85" s="63"/>
      <c r="F85" s="63"/>
      <c r="G85" s="2"/>
      <c r="H85" s="268" t="s">
        <v>1549</v>
      </c>
      <c r="I85" s="268"/>
      <c r="J85" s="268"/>
      <c r="K85" s="2"/>
      <c r="L85" s="141"/>
    </row>
    <row r="86" spans="1:12" ht="33" customHeight="1">
      <c r="B86" s="66"/>
      <c r="C86" s="67"/>
      <c r="D86" s="141"/>
      <c r="E86" s="63"/>
      <c r="F86" s="63"/>
      <c r="G86" s="68" t="s">
        <v>148</v>
      </c>
      <c r="H86" s="268" t="s">
        <v>149</v>
      </c>
      <c r="I86" s="268"/>
      <c r="J86" s="268"/>
      <c r="K86" s="2" t="s">
        <v>151</v>
      </c>
      <c r="L86" s="141"/>
    </row>
    <row r="87" spans="1:12" ht="22.5" customHeight="1">
      <c r="B87" s="66"/>
      <c r="C87" s="67"/>
      <c r="D87" s="141"/>
      <c r="E87" s="63"/>
      <c r="F87" s="63"/>
      <c r="G87" s="2"/>
      <c r="H87" s="268" t="s">
        <v>154</v>
      </c>
      <c r="I87" s="268"/>
      <c r="J87" s="268"/>
      <c r="K87" s="2"/>
      <c r="L87" s="141"/>
    </row>
    <row r="88" spans="1:12" ht="32.25" customHeight="1">
      <c r="B88" s="66"/>
      <c r="C88" s="67"/>
      <c r="D88" s="141"/>
      <c r="E88" s="63"/>
      <c r="F88" s="63"/>
      <c r="G88" s="68" t="s">
        <v>148</v>
      </c>
      <c r="H88" s="268" t="s">
        <v>149</v>
      </c>
      <c r="I88" s="268"/>
      <c r="J88" s="268"/>
      <c r="K88" s="2" t="s">
        <v>151</v>
      </c>
      <c r="L88" s="142"/>
    </row>
    <row r="89" spans="1:12" ht="22.5" customHeight="1">
      <c r="B89" s="66"/>
      <c r="C89" s="67"/>
      <c r="D89" s="141"/>
      <c r="E89" s="63"/>
      <c r="F89" s="63"/>
      <c r="G89" s="2"/>
      <c r="H89" s="268" t="s">
        <v>155</v>
      </c>
      <c r="I89" s="268"/>
      <c r="J89" s="268"/>
      <c r="K89" s="2"/>
      <c r="L89" s="142"/>
    </row>
    <row r="90" spans="1:12" ht="34.5" customHeight="1">
      <c r="B90" s="66"/>
      <c r="C90" s="67"/>
      <c r="D90" s="141"/>
      <c r="E90" s="63"/>
      <c r="F90" s="63"/>
      <c r="G90" s="68" t="s">
        <v>148</v>
      </c>
      <c r="H90" s="268" t="s">
        <v>149</v>
      </c>
      <c r="I90" s="268"/>
      <c r="J90" s="268"/>
      <c r="K90" s="2" t="s">
        <v>151</v>
      </c>
      <c r="L90" s="142"/>
    </row>
    <row r="91" spans="1:12" ht="20.25" customHeight="1">
      <c r="B91" s="66"/>
      <c r="C91" s="67"/>
      <c r="D91" s="141"/>
      <c r="E91" s="63"/>
      <c r="F91" s="63"/>
      <c r="G91" s="2"/>
      <c r="H91" s="268" t="s">
        <v>156</v>
      </c>
      <c r="I91" s="268"/>
      <c r="J91" s="268"/>
      <c r="K91" s="2"/>
      <c r="L91" s="142"/>
    </row>
    <row r="92" spans="1:12" ht="33.75" customHeight="1">
      <c r="G92" s="68" t="s">
        <v>148</v>
      </c>
      <c r="H92" s="268" t="s">
        <v>149</v>
      </c>
      <c r="I92" s="268"/>
      <c r="J92" s="268"/>
      <c r="K92" s="67" t="s">
        <v>152</v>
      </c>
      <c r="L92" s="142"/>
    </row>
    <row r="93" spans="1:12" ht="21.75" customHeight="1">
      <c r="G93" s="67"/>
      <c r="H93" s="268" t="s">
        <v>157</v>
      </c>
      <c r="I93" s="268"/>
      <c r="J93" s="268"/>
      <c r="K93" s="67"/>
      <c r="L93" s="142"/>
    </row>
    <row r="94" spans="1:12" ht="21.75" customHeight="1">
      <c r="G94" s="67"/>
      <c r="H94" s="64"/>
      <c r="I94" s="64"/>
      <c r="J94" s="64"/>
      <c r="K94" s="67"/>
      <c r="L94" s="142"/>
    </row>
    <row r="95" spans="1:12" ht="24" customHeight="1">
      <c r="G95" s="67"/>
      <c r="H95" s="64"/>
      <c r="I95" s="64"/>
      <c r="J95" s="64"/>
      <c r="K95" s="67"/>
      <c r="L95" s="138" t="s">
        <v>1422</v>
      </c>
    </row>
    <row r="96" spans="1:12" ht="24" customHeight="1">
      <c r="A96" s="269" t="s">
        <v>158</v>
      </c>
      <c r="B96" s="269"/>
      <c r="C96" s="269"/>
      <c r="D96" s="269"/>
      <c r="E96" s="269"/>
      <c r="F96" s="269"/>
      <c r="G96" s="269"/>
      <c r="H96" s="269"/>
      <c r="I96" s="269"/>
      <c r="J96" s="269"/>
      <c r="K96" s="269"/>
      <c r="L96" s="269"/>
    </row>
    <row r="97" spans="1:13" ht="24" customHeight="1">
      <c r="A97" s="270" t="s">
        <v>163</v>
      </c>
      <c r="B97" s="270"/>
      <c r="C97" s="270"/>
      <c r="D97" s="270"/>
      <c r="E97" s="270"/>
      <c r="F97" s="270"/>
      <c r="G97" s="270"/>
      <c r="H97" s="270"/>
      <c r="I97" s="270"/>
      <c r="J97" s="270"/>
      <c r="K97" s="270"/>
      <c r="L97" s="270"/>
    </row>
    <row r="98" spans="1:13" ht="24" customHeight="1" thickBot="1">
      <c r="A98" s="271" t="s">
        <v>164</v>
      </c>
      <c r="B98" s="271"/>
      <c r="C98" s="271"/>
      <c r="D98" s="271"/>
      <c r="E98" s="271"/>
      <c r="F98" s="271"/>
      <c r="G98" s="271"/>
      <c r="H98" s="271"/>
      <c r="I98" s="271"/>
      <c r="J98" s="271"/>
      <c r="K98" s="271"/>
      <c r="L98" s="271"/>
    </row>
    <row r="99" spans="1:13" ht="24" customHeight="1" thickTop="1">
      <c r="A99" s="272" t="s">
        <v>103</v>
      </c>
      <c r="B99" s="272" t="s">
        <v>122</v>
      </c>
      <c r="C99" s="272" t="s">
        <v>124</v>
      </c>
      <c r="D99" s="274" t="s">
        <v>0</v>
      </c>
      <c r="E99" s="272" t="s">
        <v>109</v>
      </c>
      <c r="F99" s="272" t="s">
        <v>110</v>
      </c>
      <c r="G99" s="276" t="s">
        <v>111</v>
      </c>
      <c r="H99" s="278" t="s">
        <v>1</v>
      </c>
      <c r="I99" s="279"/>
      <c r="J99" s="272" t="s">
        <v>125</v>
      </c>
      <c r="K99" s="272" t="s">
        <v>104</v>
      </c>
      <c r="L99" s="280" t="s">
        <v>112</v>
      </c>
    </row>
    <row r="100" spans="1:13" ht="46.5" customHeight="1" thickBot="1">
      <c r="A100" s="273"/>
      <c r="B100" s="273"/>
      <c r="C100" s="273"/>
      <c r="D100" s="275"/>
      <c r="E100" s="273"/>
      <c r="F100" s="273"/>
      <c r="G100" s="277"/>
      <c r="H100" s="51" t="s">
        <v>113</v>
      </c>
      <c r="I100" s="52" t="s">
        <v>114</v>
      </c>
      <c r="J100" s="273"/>
      <c r="K100" s="273"/>
      <c r="L100" s="281"/>
    </row>
    <row r="101" spans="1:13" ht="24" customHeight="1" thickTop="1">
      <c r="A101" s="69"/>
      <c r="B101" s="70"/>
      <c r="C101" s="56"/>
      <c r="D101" s="165"/>
      <c r="E101" s="13"/>
      <c r="F101" s="13"/>
      <c r="G101" s="15"/>
      <c r="H101" s="57"/>
      <c r="I101" s="57"/>
      <c r="J101" s="71" t="s">
        <v>132</v>
      </c>
      <c r="K101" s="72">
        <f>SUM(K81)</f>
        <v>3300700</v>
      </c>
      <c r="L101" s="143"/>
    </row>
    <row r="102" spans="1:13" s="199" customFormat="1" ht="24" customHeight="1">
      <c r="A102" s="200">
        <v>31</v>
      </c>
      <c r="B102" s="215" t="s">
        <v>106</v>
      </c>
      <c r="C102" s="209" t="s">
        <v>60</v>
      </c>
      <c r="D102" s="210" t="s">
        <v>61</v>
      </c>
      <c r="E102" s="201" t="s">
        <v>2</v>
      </c>
      <c r="F102" s="201">
        <v>25</v>
      </c>
      <c r="G102" s="201" t="s">
        <v>128</v>
      </c>
      <c r="H102" s="211">
        <v>3</v>
      </c>
      <c r="I102" s="211">
        <v>3</v>
      </c>
      <c r="J102" s="204">
        <v>12800</v>
      </c>
      <c r="K102" s="204">
        <f>SUM(I102*J102)</f>
        <v>38400</v>
      </c>
      <c r="L102" s="214" t="s">
        <v>1536</v>
      </c>
      <c r="M102" s="199" t="s">
        <v>159</v>
      </c>
    </row>
    <row r="103" spans="1:13" s="199" customFormat="1" ht="24" customHeight="1">
      <c r="A103" s="207">
        <v>32</v>
      </c>
      <c r="B103" s="215" t="s">
        <v>106</v>
      </c>
      <c r="C103" s="209" t="s">
        <v>62</v>
      </c>
      <c r="D103" s="210" t="s">
        <v>96</v>
      </c>
      <c r="E103" s="201" t="s">
        <v>2</v>
      </c>
      <c r="F103" s="201">
        <v>25</v>
      </c>
      <c r="G103" s="201" t="s">
        <v>128</v>
      </c>
      <c r="H103" s="211">
        <v>5</v>
      </c>
      <c r="I103" s="211">
        <v>5</v>
      </c>
      <c r="J103" s="204">
        <v>8400</v>
      </c>
      <c r="K103" s="204">
        <f t="shared" ref="K103:K111" si="3">SUM(I103*J103)</f>
        <v>42000</v>
      </c>
      <c r="L103" s="214" t="s">
        <v>1537</v>
      </c>
      <c r="M103" s="199" t="s">
        <v>159</v>
      </c>
    </row>
    <row r="104" spans="1:13" s="199" customFormat="1" ht="24" customHeight="1">
      <c r="A104" s="200">
        <v>33</v>
      </c>
      <c r="B104" s="215" t="s">
        <v>106</v>
      </c>
      <c r="C104" s="209" t="s">
        <v>63</v>
      </c>
      <c r="D104" s="210" t="s">
        <v>97</v>
      </c>
      <c r="E104" s="201" t="s">
        <v>2</v>
      </c>
      <c r="F104" s="201">
        <v>25</v>
      </c>
      <c r="G104" s="201" t="s">
        <v>128</v>
      </c>
      <c r="H104" s="211">
        <v>5</v>
      </c>
      <c r="I104" s="211">
        <v>5</v>
      </c>
      <c r="J104" s="204">
        <v>8400</v>
      </c>
      <c r="K104" s="204">
        <f t="shared" si="3"/>
        <v>42000</v>
      </c>
      <c r="L104" s="214" t="s">
        <v>1537</v>
      </c>
      <c r="M104" s="199" t="s">
        <v>159</v>
      </c>
    </row>
    <row r="105" spans="1:13" ht="24" customHeight="1">
      <c r="A105" s="29">
        <v>34</v>
      </c>
      <c r="B105" s="20" t="s">
        <v>106</v>
      </c>
      <c r="C105" s="5" t="s">
        <v>64</v>
      </c>
      <c r="D105" s="126" t="s">
        <v>65</v>
      </c>
      <c r="E105" s="17" t="s">
        <v>2</v>
      </c>
      <c r="F105" s="17">
        <v>25</v>
      </c>
      <c r="G105" s="17">
        <v>3</v>
      </c>
      <c r="H105" s="4">
        <v>3</v>
      </c>
      <c r="I105" s="4">
        <v>3</v>
      </c>
      <c r="J105" s="3">
        <v>36500</v>
      </c>
      <c r="K105" s="3">
        <f t="shared" si="3"/>
        <v>109500</v>
      </c>
      <c r="L105" s="135" t="s">
        <v>115</v>
      </c>
      <c r="M105" s="1" t="s">
        <v>159</v>
      </c>
    </row>
    <row r="106" spans="1:13" s="199" customFormat="1" ht="24" customHeight="1">
      <c r="A106" s="200">
        <v>35</v>
      </c>
      <c r="B106" s="207">
        <v>2541</v>
      </c>
      <c r="C106" s="209" t="s">
        <v>66</v>
      </c>
      <c r="D106" s="210" t="s">
        <v>67</v>
      </c>
      <c r="E106" s="207" t="s">
        <v>2</v>
      </c>
      <c r="F106" s="207">
        <v>24</v>
      </c>
      <c r="G106" s="201" t="s">
        <v>128</v>
      </c>
      <c r="H106" s="211">
        <v>1</v>
      </c>
      <c r="I106" s="211">
        <v>1</v>
      </c>
      <c r="J106" s="204">
        <v>29700</v>
      </c>
      <c r="K106" s="204">
        <f t="shared" si="3"/>
        <v>29700</v>
      </c>
      <c r="L106" s="214" t="s">
        <v>1538</v>
      </c>
      <c r="M106" s="199" t="s">
        <v>159</v>
      </c>
    </row>
    <row r="107" spans="1:13" s="199" customFormat="1" ht="24" customHeight="1">
      <c r="A107" s="207">
        <v>36</v>
      </c>
      <c r="B107" s="207">
        <v>2541</v>
      </c>
      <c r="C107" s="209" t="s">
        <v>68</v>
      </c>
      <c r="D107" s="210" t="s">
        <v>69</v>
      </c>
      <c r="E107" s="207" t="s">
        <v>2</v>
      </c>
      <c r="F107" s="207">
        <v>24</v>
      </c>
      <c r="G107" s="201" t="s">
        <v>128</v>
      </c>
      <c r="H107" s="211">
        <v>1</v>
      </c>
      <c r="I107" s="211">
        <v>1</v>
      </c>
      <c r="J107" s="204">
        <v>49800</v>
      </c>
      <c r="K107" s="204">
        <f t="shared" si="3"/>
        <v>49800</v>
      </c>
      <c r="L107" s="235" t="s">
        <v>1539</v>
      </c>
      <c r="M107" s="199" t="s">
        <v>159</v>
      </c>
    </row>
    <row r="108" spans="1:13" s="199" customFormat="1" ht="24" customHeight="1">
      <c r="A108" s="200">
        <v>37</v>
      </c>
      <c r="B108" s="207">
        <v>2544</v>
      </c>
      <c r="C108" s="209" t="s">
        <v>70</v>
      </c>
      <c r="D108" s="236" t="s">
        <v>71</v>
      </c>
      <c r="E108" s="207" t="s">
        <v>2</v>
      </c>
      <c r="F108" s="207">
        <v>21</v>
      </c>
      <c r="G108" s="201" t="s">
        <v>128</v>
      </c>
      <c r="H108" s="211">
        <v>1</v>
      </c>
      <c r="I108" s="211">
        <v>1</v>
      </c>
      <c r="J108" s="237">
        <v>50900</v>
      </c>
      <c r="K108" s="204">
        <f t="shared" si="3"/>
        <v>50900</v>
      </c>
      <c r="L108" s="214" t="s">
        <v>115</v>
      </c>
      <c r="M108" s="199" t="s">
        <v>159</v>
      </c>
    </row>
    <row r="109" spans="1:13" s="199" customFormat="1" ht="24" customHeight="1">
      <c r="A109" s="207">
        <v>38</v>
      </c>
      <c r="B109" s="207">
        <v>2544</v>
      </c>
      <c r="C109" s="209" t="s">
        <v>72</v>
      </c>
      <c r="D109" s="209" t="s">
        <v>73</v>
      </c>
      <c r="E109" s="207" t="s">
        <v>2</v>
      </c>
      <c r="F109" s="207">
        <v>21</v>
      </c>
      <c r="G109" s="201" t="s">
        <v>128</v>
      </c>
      <c r="H109" s="211">
        <v>1</v>
      </c>
      <c r="I109" s="211">
        <v>1</v>
      </c>
      <c r="J109" s="237">
        <v>68900</v>
      </c>
      <c r="K109" s="204">
        <f t="shared" si="3"/>
        <v>68900</v>
      </c>
      <c r="L109" s="214" t="s">
        <v>1540</v>
      </c>
      <c r="M109" s="199" t="s">
        <v>159</v>
      </c>
    </row>
    <row r="110" spans="1:13" s="231" customFormat="1" ht="24" customHeight="1">
      <c r="A110" s="230">
        <v>39</v>
      </c>
      <c r="B110" s="192">
        <v>2544</v>
      </c>
      <c r="C110" s="238" t="s">
        <v>74</v>
      </c>
      <c r="D110" s="5" t="s">
        <v>75</v>
      </c>
      <c r="E110" s="29" t="s">
        <v>2</v>
      </c>
      <c r="F110" s="29">
        <v>21</v>
      </c>
      <c r="G110" s="18" t="s">
        <v>128</v>
      </c>
      <c r="H110" s="4">
        <v>1</v>
      </c>
      <c r="I110" s="4">
        <v>1</v>
      </c>
      <c r="J110" s="76">
        <v>880000</v>
      </c>
      <c r="K110" s="3">
        <f t="shared" si="3"/>
        <v>880000</v>
      </c>
      <c r="L110" s="234" t="s">
        <v>1546</v>
      </c>
      <c r="M110" s="1" t="s">
        <v>159</v>
      </c>
    </row>
    <row r="111" spans="1:13" s="199" customFormat="1" ht="24" customHeight="1">
      <c r="A111" s="207">
        <v>40</v>
      </c>
      <c r="B111" s="208" t="s">
        <v>107</v>
      </c>
      <c r="C111" s="209" t="s">
        <v>76</v>
      </c>
      <c r="D111" s="209" t="s">
        <v>5</v>
      </c>
      <c r="E111" s="201" t="s">
        <v>2</v>
      </c>
      <c r="F111" s="201">
        <v>19</v>
      </c>
      <c r="G111" s="201" t="s">
        <v>128</v>
      </c>
      <c r="H111" s="211">
        <v>1</v>
      </c>
      <c r="I111" s="211">
        <v>1</v>
      </c>
      <c r="J111" s="237">
        <v>33000</v>
      </c>
      <c r="K111" s="204">
        <f t="shared" si="3"/>
        <v>33000</v>
      </c>
      <c r="L111" s="214" t="s">
        <v>1376</v>
      </c>
      <c r="M111" s="199" t="s">
        <v>159</v>
      </c>
    </row>
    <row r="112" spans="1:13" ht="24" customHeight="1">
      <c r="A112" s="29"/>
      <c r="B112" s="58"/>
      <c r="C112" s="5"/>
      <c r="D112" s="125"/>
      <c r="E112" s="18"/>
      <c r="F112" s="18"/>
      <c r="G112" s="18"/>
      <c r="H112" s="4"/>
      <c r="I112" s="4"/>
      <c r="J112" s="59" t="s">
        <v>129</v>
      </c>
      <c r="K112" s="59">
        <f>SUM(K101:K111)</f>
        <v>4644900</v>
      </c>
      <c r="L112" s="144"/>
    </row>
    <row r="113" spans="1:12" ht="24" customHeight="1">
      <c r="A113" s="61"/>
      <c r="B113" s="62" t="s">
        <v>119</v>
      </c>
      <c r="C113" s="53" t="s">
        <v>120</v>
      </c>
      <c r="E113" s="63"/>
      <c r="F113" s="63"/>
      <c r="G113" s="63"/>
      <c r="H113" s="64"/>
      <c r="I113" s="64"/>
      <c r="J113" s="65"/>
      <c r="K113" s="65"/>
    </row>
    <row r="114" spans="1:12" ht="24" customHeight="1">
      <c r="A114" s="61"/>
      <c r="C114" s="53" t="s">
        <v>121</v>
      </c>
      <c r="E114" s="63"/>
      <c r="F114" s="63"/>
      <c r="G114" s="63"/>
      <c r="H114" s="64"/>
      <c r="I114" s="64"/>
      <c r="J114" s="65"/>
      <c r="K114" s="65"/>
    </row>
    <row r="115" spans="1:12" ht="21.75" customHeight="1">
      <c r="A115" s="61"/>
      <c r="B115" s="66"/>
      <c r="C115" s="67"/>
      <c r="D115" s="141"/>
      <c r="E115" s="63"/>
      <c r="F115" s="63"/>
      <c r="G115" s="68" t="s">
        <v>148</v>
      </c>
      <c r="H115" s="268" t="s">
        <v>149</v>
      </c>
      <c r="I115" s="268"/>
      <c r="J115" s="268"/>
      <c r="K115" s="2" t="s">
        <v>150</v>
      </c>
      <c r="L115" s="141"/>
    </row>
    <row r="116" spans="1:12" ht="21.75" customHeight="1">
      <c r="A116" s="61"/>
      <c r="B116" s="66"/>
      <c r="C116" s="67"/>
      <c r="D116" s="141"/>
      <c r="E116" s="63"/>
      <c r="F116" s="63"/>
      <c r="G116" s="2"/>
      <c r="H116" s="268" t="s">
        <v>1549</v>
      </c>
      <c r="I116" s="268"/>
      <c r="J116" s="268"/>
      <c r="K116" s="2"/>
      <c r="L116" s="141"/>
    </row>
    <row r="117" spans="1:12" ht="34.5" customHeight="1">
      <c r="A117" s="61"/>
      <c r="B117" s="66"/>
      <c r="C117" s="67"/>
      <c r="D117" s="141"/>
      <c r="E117" s="63"/>
      <c r="F117" s="63"/>
      <c r="G117" s="68" t="s">
        <v>148</v>
      </c>
      <c r="H117" s="268" t="s">
        <v>149</v>
      </c>
      <c r="I117" s="268"/>
      <c r="J117" s="268"/>
      <c r="K117" s="2" t="s">
        <v>151</v>
      </c>
      <c r="L117" s="141"/>
    </row>
    <row r="118" spans="1:12" ht="21" customHeight="1">
      <c r="A118" s="61"/>
      <c r="B118" s="66"/>
      <c r="C118" s="67"/>
      <c r="D118" s="141"/>
      <c r="E118" s="63"/>
      <c r="F118" s="63"/>
      <c r="G118" s="2"/>
      <c r="H118" s="268" t="s">
        <v>154</v>
      </c>
      <c r="I118" s="268"/>
      <c r="J118" s="268"/>
      <c r="K118" s="2"/>
      <c r="L118" s="141"/>
    </row>
    <row r="119" spans="1:12" ht="30.75" customHeight="1">
      <c r="A119" s="61"/>
      <c r="B119" s="66"/>
      <c r="C119" s="67"/>
      <c r="D119" s="141"/>
      <c r="E119" s="63"/>
      <c r="F119" s="63"/>
      <c r="G119" s="68" t="s">
        <v>148</v>
      </c>
      <c r="H119" s="268" t="s">
        <v>149</v>
      </c>
      <c r="I119" s="268"/>
      <c r="J119" s="268"/>
      <c r="K119" s="2" t="s">
        <v>151</v>
      </c>
      <c r="L119" s="142"/>
    </row>
    <row r="120" spans="1:12" ht="21" customHeight="1">
      <c r="A120" s="61"/>
      <c r="B120" s="77"/>
      <c r="C120" s="67"/>
      <c r="D120" s="142"/>
      <c r="E120" s="63"/>
      <c r="F120" s="63"/>
      <c r="G120" s="2"/>
      <c r="H120" s="268" t="s">
        <v>155</v>
      </c>
      <c r="I120" s="268"/>
      <c r="J120" s="268"/>
      <c r="K120" s="2"/>
      <c r="L120" s="142"/>
    </row>
    <row r="121" spans="1:12" ht="36" customHeight="1">
      <c r="A121" s="61"/>
      <c r="B121" s="77"/>
      <c r="C121" s="67"/>
      <c r="D121" s="142"/>
      <c r="E121" s="63"/>
      <c r="F121" s="63"/>
      <c r="G121" s="68" t="s">
        <v>148</v>
      </c>
      <c r="H121" s="268" t="s">
        <v>149</v>
      </c>
      <c r="I121" s="268"/>
      <c r="J121" s="268"/>
      <c r="K121" s="2" t="s">
        <v>151</v>
      </c>
      <c r="L121" s="142"/>
    </row>
    <row r="122" spans="1:12" ht="21.75" customHeight="1">
      <c r="A122" s="61"/>
      <c r="B122" s="77"/>
      <c r="C122" s="67"/>
      <c r="D122" s="142"/>
      <c r="E122" s="63"/>
      <c r="F122" s="63"/>
      <c r="G122" s="2"/>
      <c r="H122" s="268" t="s">
        <v>156</v>
      </c>
      <c r="I122" s="268"/>
      <c r="J122" s="268"/>
      <c r="K122" s="2"/>
      <c r="L122" s="142"/>
    </row>
    <row r="123" spans="1:12" ht="33" customHeight="1">
      <c r="A123" s="61"/>
      <c r="B123" s="77"/>
      <c r="C123" s="67"/>
      <c r="D123" s="142"/>
      <c r="E123" s="63"/>
      <c r="F123" s="63"/>
      <c r="G123" s="68" t="s">
        <v>148</v>
      </c>
      <c r="H123" s="268" t="s">
        <v>149</v>
      </c>
      <c r="I123" s="268"/>
      <c r="J123" s="268"/>
      <c r="K123" s="67" t="s">
        <v>152</v>
      </c>
      <c r="L123" s="142"/>
    </row>
    <row r="124" spans="1:12" ht="24" customHeight="1">
      <c r="G124" s="67"/>
      <c r="H124" s="268" t="s">
        <v>157</v>
      </c>
      <c r="I124" s="268"/>
      <c r="J124" s="268"/>
      <c r="K124" s="67"/>
      <c r="L124" s="142"/>
    </row>
    <row r="125" spans="1:12" ht="24" customHeight="1">
      <c r="G125" s="67"/>
      <c r="H125" s="64"/>
      <c r="I125" s="64"/>
      <c r="J125" s="64"/>
      <c r="K125" s="67"/>
      <c r="L125" s="142"/>
    </row>
    <row r="126" spans="1:12" ht="24" customHeight="1">
      <c r="G126" s="67"/>
      <c r="H126" s="64"/>
      <c r="I126" s="64"/>
      <c r="J126" s="64"/>
      <c r="K126" s="67"/>
      <c r="L126" s="138" t="s">
        <v>1423</v>
      </c>
    </row>
    <row r="127" spans="1:12" ht="24" customHeight="1">
      <c r="A127" s="269" t="s">
        <v>158</v>
      </c>
      <c r="B127" s="269"/>
      <c r="C127" s="269"/>
      <c r="D127" s="269"/>
      <c r="E127" s="269"/>
      <c r="F127" s="269"/>
      <c r="G127" s="269"/>
      <c r="H127" s="269"/>
      <c r="I127" s="269"/>
      <c r="J127" s="269"/>
      <c r="K127" s="269"/>
      <c r="L127" s="269"/>
    </row>
    <row r="128" spans="1:12" ht="24" customHeight="1">
      <c r="A128" s="270" t="s">
        <v>163</v>
      </c>
      <c r="B128" s="270"/>
      <c r="C128" s="270"/>
      <c r="D128" s="270"/>
      <c r="E128" s="270"/>
      <c r="F128" s="270"/>
      <c r="G128" s="270"/>
      <c r="H128" s="270"/>
      <c r="I128" s="270"/>
      <c r="J128" s="270"/>
      <c r="K128" s="270"/>
      <c r="L128" s="270"/>
    </row>
    <row r="129" spans="1:13" ht="24" customHeight="1" thickBot="1">
      <c r="A129" s="271" t="s">
        <v>164</v>
      </c>
      <c r="B129" s="271"/>
      <c r="C129" s="271"/>
      <c r="D129" s="271"/>
      <c r="E129" s="271"/>
      <c r="F129" s="271"/>
      <c r="G129" s="271"/>
      <c r="H129" s="271"/>
      <c r="I129" s="271"/>
      <c r="J129" s="271"/>
      <c r="K129" s="271"/>
      <c r="L129" s="271"/>
    </row>
    <row r="130" spans="1:13" ht="24" customHeight="1" thickTop="1">
      <c r="A130" s="272" t="s">
        <v>103</v>
      </c>
      <c r="B130" s="272" t="s">
        <v>122</v>
      </c>
      <c r="C130" s="272" t="s">
        <v>124</v>
      </c>
      <c r="D130" s="274" t="s">
        <v>0</v>
      </c>
      <c r="E130" s="272" t="s">
        <v>109</v>
      </c>
      <c r="F130" s="272" t="s">
        <v>110</v>
      </c>
      <c r="G130" s="276" t="s">
        <v>111</v>
      </c>
      <c r="H130" s="278" t="s">
        <v>1</v>
      </c>
      <c r="I130" s="279"/>
      <c r="J130" s="272" t="s">
        <v>125</v>
      </c>
      <c r="K130" s="272" t="s">
        <v>104</v>
      </c>
      <c r="L130" s="280" t="s">
        <v>112</v>
      </c>
    </row>
    <row r="131" spans="1:13" ht="45" customHeight="1" thickBot="1">
      <c r="A131" s="273"/>
      <c r="B131" s="273"/>
      <c r="C131" s="273"/>
      <c r="D131" s="275"/>
      <c r="E131" s="273"/>
      <c r="F131" s="273"/>
      <c r="G131" s="277"/>
      <c r="H131" s="51" t="s">
        <v>113</v>
      </c>
      <c r="I131" s="52" t="s">
        <v>114</v>
      </c>
      <c r="J131" s="273"/>
      <c r="K131" s="273"/>
      <c r="L131" s="281"/>
    </row>
    <row r="132" spans="1:13" ht="24" customHeight="1" thickTop="1">
      <c r="A132" s="69"/>
      <c r="B132" s="70"/>
      <c r="C132" s="56"/>
      <c r="D132" s="165"/>
      <c r="E132" s="13"/>
      <c r="F132" s="13"/>
      <c r="G132" s="15"/>
      <c r="H132" s="57"/>
      <c r="I132" s="57"/>
      <c r="J132" s="71" t="s">
        <v>132</v>
      </c>
      <c r="K132" s="72">
        <f>SUM(K112)</f>
        <v>4644900</v>
      </c>
      <c r="L132" s="143"/>
    </row>
    <row r="133" spans="1:13" s="199" customFormat="1" ht="24" customHeight="1">
      <c r="A133" s="200">
        <v>41</v>
      </c>
      <c r="B133" s="208" t="s">
        <v>107</v>
      </c>
      <c r="C133" s="209" t="s">
        <v>77</v>
      </c>
      <c r="D133" s="236" t="s">
        <v>78</v>
      </c>
      <c r="E133" s="201" t="s">
        <v>2</v>
      </c>
      <c r="F133" s="201">
        <v>19</v>
      </c>
      <c r="G133" s="201" t="s">
        <v>128</v>
      </c>
      <c r="H133" s="211">
        <v>1</v>
      </c>
      <c r="I133" s="211">
        <v>1</v>
      </c>
      <c r="J133" s="239">
        <v>234490</v>
      </c>
      <c r="K133" s="204">
        <f>SUM(I133*J133)</f>
        <v>234490</v>
      </c>
      <c r="L133" s="214" t="s">
        <v>1541</v>
      </c>
      <c r="M133" s="199" t="s">
        <v>159</v>
      </c>
    </row>
    <row r="134" spans="1:13" s="199" customFormat="1" ht="24" customHeight="1">
      <c r="A134" s="207">
        <v>42</v>
      </c>
      <c r="B134" s="208" t="s">
        <v>107</v>
      </c>
      <c r="C134" s="209" t="s">
        <v>79</v>
      </c>
      <c r="D134" s="210" t="s">
        <v>80</v>
      </c>
      <c r="E134" s="201" t="s">
        <v>2</v>
      </c>
      <c r="F134" s="201">
        <v>19</v>
      </c>
      <c r="G134" s="201" t="s">
        <v>128</v>
      </c>
      <c r="H134" s="211">
        <v>1</v>
      </c>
      <c r="I134" s="211">
        <v>1</v>
      </c>
      <c r="J134" s="204">
        <v>45903</v>
      </c>
      <c r="K134" s="204">
        <f t="shared" ref="K134:K142" si="4">SUM(I134*J134)</f>
        <v>45903</v>
      </c>
      <c r="L134" s="214" t="s">
        <v>1542</v>
      </c>
      <c r="M134" s="199" t="s">
        <v>159</v>
      </c>
    </row>
    <row r="135" spans="1:13" s="199" customFormat="1" ht="24" customHeight="1">
      <c r="A135" s="200">
        <v>43</v>
      </c>
      <c r="B135" s="208" t="s">
        <v>107</v>
      </c>
      <c r="C135" s="209" t="s">
        <v>81</v>
      </c>
      <c r="D135" s="210" t="s">
        <v>82</v>
      </c>
      <c r="E135" s="201" t="s">
        <v>2</v>
      </c>
      <c r="F135" s="201">
        <v>19</v>
      </c>
      <c r="G135" s="201" t="s">
        <v>128</v>
      </c>
      <c r="H135" s="211">
        <v>1</v>
      </c>
      <c r="I135" s="211">
        <v>1</v>
      </c>
      <c r="J135" s="204">
        <v>40000</v>
      </c>
      <c r="K135" s="204">
        <f t="shared" si="4"/>
        <v>40000</v>
      </c>
      <c r="L135" s="214" t="s">
        <v>1197</v>
      </c>
      <c r="M135" s="199" t="s">
        <v>159</v>
      </c>
    </row>
    <row r="136" spans="1:13" s="199" customFormat="1" ht="24" customHeight="1">
      <c r="A136" s="207">
        <v>44</v>
      </c>
      <c r="B136" s="207">
        <v>2547</v>
      </c>
      <c r="C136" s="209" t="s">
        <v>83</v>
      </c>
      <c r="D136" s="210" t="s">
        <v>84</v>
      </c>
      <c r="E136" s="207" t="s">
        <v>2</v>
      </c>
      <c r="F136" s="207">
        <v>18</v>
      </c>
      <c r="G136" s="201" t="s">
        <v>128</v>
      </c>
      <c r="H136" s="211">
        <v>1</v>
      </c>
      <c r="I136" s="211">
        <v>1</v>
      </c>
      <c r="J136" s="204">
        <v>27300</v>
      </c>
      <c r="K136" s="204">
        <f t="shared" si="4"/>
        <v>27300</v>
      </c>
      <c r="L136" s="214" t="s">
        <v>118</v>
      </c>
      <c r="M136" s="199" t="s">
        <v>159</v>
      </c>
    </row>
    <row r="137" spans="1:13" s="199" customFormat="1" ht="24" customHeight="1">
      <c r="A137" s="200">
        <v>45</v>
      </c>
      <c r="B137" s="207">
        <v>2549</v>
      </c>
      <c r="C137" s="209" t="s">
        <v>89</v>
      </c>
      <c r="D137" s="210" t="s">
        <v>90</v>
      </c>
      <c r="E137" s="201" t="s">
        <v>98</v>
      </c>
      <c r="F137" s="201">
        <v>16</v>
      </c>
      <c r="G137" s="201" t="s">
        <v>128</v>
      </c>
      <c r="H137" s="211">
        <v>1</v>
      </c>
      <c r="I137" s="211">
        <v>1</v>
      </c>
      <c r="J137" s="204">
        <v>45000</v>
      </c>
      <c r="K137" s="204">
        <f t="shared" si="4"/>
        <v>45000</v>
      </c>
      <c r="L137" s="214" t="s">
        <v>1543</v>
      </c>
      <c r="M137" s="199" t="s">
        <v>159</v>
      </c>
    </row>
    <row r="138" spans="1:13" s="199" customFormat="1" ht="24" customHeight="1">
      <c r="A138" s="207">
        <v>46</v>
      </c>
      <c r="B138" s="240" t="s">
        <v>108</v>
      </c>
      <c r="C138" s="209" t="s">
        <v>91</v>
      </c>
      <c r="D138" s="210" t="s">
        <v>92</v>
      </c>
      <c r="E138" s="201" t="s">
        <v>2</v>
      </c>
      <c r="F138" s="201">
        <v>13</v>
      </c>
      <c r="G138" s="201">
        <v>2</v>
      </c>
      <c r="H138" s="211">
        <v>1</v>
      </c>
      <c r="I138" s="211">
        <v>1</v>
      </c>
      <c r="J138" s="204">
        <v>59100</v>
      </c>
      <c r="K138" s="204">
        <f t="shared" si="4"/>
        <v>59100</v>
      </c>
      <c r="L138" s="214" t="s">
        <v>115</v>
      </c>
      <c r="M138" s="199" t="s">
        <v>159</v>
      </c>
    </row>
    <row r="139" spans="1:13" ht="24" customHeight="1">
      <c r="A139" s="38">
        <v>47</v>
      </c>
      <c r="B139" s="79"/>
      <c r="C139" s="5"/>
      <c r="D139" s="126" t="s">
        <v>93</v>
      </c>
      <c r="E139" s="18" t="s">
        <v>2</v>
      </c>
      <c r="F139" s="18" t="s">
        <v>128</v>
      </c>
      <c r="G139" s="18" t="s">
        <v>128</v>
      </c>
      <c r="H139" s="4">
        <v>1</v>
      </c>
      <c r="I139" s="4">
        <v>1</v>
      </c>
      <c r="J139" s="3">
        <v>6200</v>
      </c>
      <c r="K139" s="3">
        <f t="shared" si="4"/>
        <v>6200</v>
      </c>
      <c r="L139" s="137" t="s">
        <v>1384</v>
      </c>
      <c r="M139" s="1" t="s">
        <v>159</v>
      </c>
    </row>
    <row r="140" spans="1:13" s="228" customFormat="1" ht="24" customHeight="1">
      <c r="A140" s="223">
        <v>48</v>
      </c>
      <c r="B140" s="241"/>
      <c r="C140" s="222"/>
      <c r="D140" s="229" t="s">
        <v>94</v>
      </c>
      <c r="E140" s="223" t="s">
        <v>4</v>
      </c>
      <c r="F140" s="224" t="s">
        <v>128</v>
      </c>
      <c r="G140" s="224" t="s">
        <v>128</v>
      </c>
      <c r="H140" s="225">
        <v>2</v>
      </c>
      <c r="I140" s="225">
        <v>2</v>
      </c>
      <c r="J140" s="226">
        <v>16217.5</v>
      </c>
      <c r="K140" s="226">
        <f t="shared" si="4"/>
        <v>32435</v>
      </c>
      <c r="L140" s="227" t="s">
        <v>1544</v>
      </c>
      <c r="M140" s="228" t="s">
        <v>159</v>
      </c>
    </row>
    <row r="141" spans="1:13" s="199" customFormat="1" ht="24" customHeight="1">
      <c r="A141" s="200">
        <v>49</v>
      </c>
      <c r="B141" s="208" t="s">
        <v>105</v>
      </c>
      <c r="C141" s="242" t="s">
        <v>133</v>
      </c>
      <c r="D141" s="243" t="s">
        <v>14</v>
      </c>
      <c r="E141" s="201" t="s">
        <v>2</v>
      </c>
      <c r="F141" s="244">
        <v>26</v>
      </c>
      <c r="G141" s="201" t="s">
        <v>128</v>
      </c>
      <c r="H141" s="244">
        <v>1</v>
      </c>
      <c r="I141" s="211">
        <v>1</v>
      </c>
      <c r="J141" s="245">
        <v>18500</v>
      </c>
      <c r="K141" s="204">
        <f t="shared" si="4"/>
        <v>18500</v>
      </c>
      <c r="L141" s="212" t="s">
        <v>134</v>
      </c>
      <c r="M141" s="199" t="s">
        <v>162</v>
      </c>
    </row>
    <row r="142" spans="1:13" ht="24" customHeight="1">
      <c r="A142" s="29">
        <v>50</v>
      </c>
      <c r="B142" s="58" t="s">
        <v>107</v>
      </c>
      <c r="C142" s="80" t="s">
        <v>135</v>
      </c>
      <c r="D142" s="166" t="s">
        <v>136</v>
      </c>
      <c r="E142" s="18" t="s">
        <v>2</v>
      </c>
      <c r="F142" s="81">
        <v>19</v>
      </c>
      <c r="G142" s="18" t="s">
        <v>128</v>
      </c>
      <c r="H142" s="81">
        <v>1</v>
      </c>
      <c r="I142" s="4">
        <v>1</v>
      </c>
      <c r="J142" s="28">
        <v>19795</v>
      </c>
      <c r="K142" s="3">
        <f t="shared" si="4"/>
        <v>19795</v>
      </c>
      <c r="L142" s="135" t="s">
        <v>137</v>
      </c>
      <c r="M142" s="1" t="s">
        <v>162</v>
      </c>
    </row>
    <row r="143" spans="1:13" ht="24" customHeight="1">
      <c r="A143" s="82"/>
      <c r="B143" s="82"/>
      <c r="C143" s="82"/>
      <c r="D143" s="167"/>
      <c r="E143" s="82"/>
      <c r="F143" s="82"/>
      <c r="G143" s="82"/>
      <c r="H143" s="82"/>
      <c r="I143" s="82"/>
      <c r="J143" s="59" t="s">
        <v>129</v>
      </c>
      <c r="K143" s="75">
        <f>SUM(K132:K142)</f>
        <v>5173623</v>
      </c>
      <c r="L143" s="140"/>
    </row>
    <row r="144" spans="1:13" ht="24" customHeight="1">
      <c r="B144" s="62" t="s">
        <v>119</v>
      </c>
      <c r="C144" s="53" t="s">
        <v>120</v>
      </c>
      <c r="H144" s="63"/>
      <c r="I144" s="63"/>
    </row>
    <row r="145" spans="1:12" ht="24" customHeight="1">
      <c r="C145" s="53" t="s">
        <v>121</v>
      </c>
      <c r="H145" s="63"/>
      <c r="I145" s="63"/>
    </row>
    <row r="146" spans="1:12" ht="24" customHeight="1">
      <c r="G146" s="68" t="s">
        <v>148</v>
      </c>
      <c r="H146" s="268" t="s">
        <v>149</v>
      </c>
      <c r="I146" s="268"/>
      <c r="J146" s="268"/>
      <c r="K146" s="2" t="s">
        <v>150</v>
      </c>
      <c r="L146" s="141"/>
    </row>
    <row r="147" spans="1:12" ht="21.75" customHeight="1">
      <c r="G147" s="2"/>
      <c r="H147" s="268" t="s">
        <v>1549</v>
      </c>
      <c r="I147" s="268"/>
      <c r="J147" s="268"/>
      <c r="K147" s="2"/>
      <c r="L147" s="141"/>
    </row>
    <row r="148" spans="1:12" ht="30.75" customHeight="1">
      <c r="G148" s="68" t="s">
        <v>148</v>
      </c>
      <c r="H148" s="268" t="s">
        <v>149</v>
      </c>
      <c r="I148" s="268"/>
      <c r="J148" s="268"/>
      <c r="K148" s="2" t="s">
        <v>151</v>
      </c>
      <c r="L148" s="141"/>
    </row>
    <row r="149" spans="1:12" ht="23.25" customHeight="1">
      <c r="G149" s="2"/>
      <c r="H149" s="268" t="s">
        <v>154</v>
      </c>
      <c r="I149" s="268"/>
      <c r="J149" s="268"/>
      <c r="K149" s="2"/>
      <c r="L149" s="141"/>
    </row>
    <row r="150" spans="1:12" ht="32.25" customHeight="1">
      <c r="G150" s="68" t="s">
        <v>148</v>
      </c>
      <c r="H150" s="268" t="s">
        <v>149</v>
      </c>
      <c r="I150" s="268"/>
      <c r="J150" s="268"/>
      <c r="K150" s="2" t="s">
        <v>151</v>
      </c>
    </row>
    <row r="151" spans="1:12" ht="21" customHeight="1">
      <c r="G151" s="2"/>
      <c r="H151" s="268" t="s">
        <v>155</v>
      </c>
      <c r="I151" s="268"/>
      <c r="J151" s="268"/>
      <c r="K151" s="2"/>
      <c r="L151" s="145"/>
    </row>
    <row r="152" spans="1:12" ht="32.25" customHeight="1">
      <c r="G152" s="68" t="s">
        <v>148</v>
      </c>
      <c r="H152" s="268" t="s">
        <v>149</v>
      </c>
      <c r="I152" s="268"/>
      <c r="J152" s="268"/>
      <c r="K152" s="2" t="s">
        <v>151</v>
      </c>
      <c r="L152" s="142"/>
    </row>
    <row r="153" spans="1:12" ht="24" customHeight="1">
      <c r="G153" s="2"/>
      <c r="H153" s="268" t="s">
        <v>156</v>
      </c>
      <c r="I153" s="268"/>
      <c r="J153" s="268"/>
      <c r="K153" s="2"/>
      <c r="L153" s="142"/>
    </row>
    <row r="154" spans="1:12" ht="35.25" customHeight="1">
      <c r="G154" s="68" t="s">
        <v>148</v>
      </c>
      <c r="H154" s="268" t="s">
        <v>149</v>
      </c>
      <c r="I154" s="268"/>
      <c r="J154" s="268"/>
      <c r="K154" s="67" t="s">
        <v>152</v>
      </c>
      <c r="L154" s="142"/>
    </row>
    <row r="155" spans="1:12" ht="24" customHeight="1">
      <c r="G155" s="67"/>
      <c r="H155" s="268" t="s">
        <v>157</v>
      </c>
      <c r="I155" s="268"/>
      <c r="J155" s="268"/>
      <c r="K155" s="67"/>
      <c r="L155" s="142"/>
    </row>
    <row r="156" spans="1:12" ht="24" customHeight="1">
      <c r="G156" s="67"/>
      <c r="H156" s="64"/>
      <c r="I156" s="64"/>
      <c r="J156" s="64"/>
      <c r="K156" s="67"/>
      <c r="L156" s="142"/>
    </row>
    <row r="157" spans="1:12" ht="22.5" customHeight="1">
      <c r="L157" s="138" t="s">
        <v>1424</v>
      </c>
    </row>
    <row r="158" spans="1:12" ht="24" customHeight="1">
      <c r="A158" s="269" t="s">
        <v>158</v>
      </c>
      <c r="B158" s="269"/>
      <c r="C158" s="269"/>
      <c r="D158" s="269"/>
      <c r="E158" s="269"/>
      <c r="F158" s="269"/>
      <c r="G158" s="269"/>
      <c r="H158" s="269"/>
      <c r="I158" s="269"/>
      <c r="J158" s="269"/>
      <c r="K158" s="269"/>
      <c r="L158" s="269"/>
    </row>
    <row r="159" spans="1:12" ht="24" customHeight="1">
      <c r="A159" s="270" t="s">
        <v>163</v>
      </c>
      <c r="B159" s="270"/>
      <c r="C159" s="270"/>
      <c r="D159" s="270"/>
      <c r="E159" s="270"/>
      <c r="F159" s="270"/>
      <c r="G159" s="270"/>
      <c r="H159" s="270"/>
      <c r="I159" s="270"/>
      <c r="J159" s="270"/>
      <c r="K159" s="270"/>
      <c r="L159" s="270"/>
    </row>
    <row r="160" spans="1:12" ht="24" customHeight="1" thickBot="1">
      <c r="A160" s="271" t="s">
        <v>164</v>
      </c>
      <c r="B160" s="271"/>
      <c r="C160" s="271"/>
      <c r="D160" s="271"/>
      <c r="E160" s="271"/>
      <c r="F160" s="271"/>
      <c r="G160" s="271"/>
      <c r="H160" s="271"/>
      <c r="I160" s="271"/>
      <c r="J160" s="271"/>
      <c r="K160" s="271"/>
      <c r="L160" s="271"/>
    </row>
    <row r="161" spans="1:13" ht="24" customHeight="1" thickTop="1">
      <c r="A161" s="272" t="s">
        <v>103</v>
      </c>
      <c r="B161" s="272" t="s">
        <v>122</v>
      </c>
      <c r="C161" s="272" t="s">
        <v>124</v>
      </c>
      <c r="D161" s="274" t="s">
        <v>0</v>
      </c>
      <c r="E161" s="272" t="s">
        <v>109</v>
      </c>
      <c r="F161" s="272" t="s">
        <v>110</v>
      </c>
      <c r="G161" s="276" t="s">
        <v>111</v>
      </c>
      <c r="H161" s="278" t="s">
        <v>1</v>
      </c>
      <c r="I161" s="279"/>
      <c r="J161" s="272" t="s">
        <v>125</v>
      </c>
      <c r="K161" s="272" t="s">
        <v>104</v>
      </c>
      <c r="L161" s="280" t="s">
        <v>112</v>
      </c>
    </row>
    <row r="162" spans="1:13" ht="47.25" customHeight="1" thickBot="1">
      <c r="A162" s="273"/>
      <c r="B162" s="273"/>
      <c r="C162" s="273"/>
      <c r="D162" s="275"/>
      <c r="E162" s="273"/>
      <c r="F162" s="273"/>
      <c r="G162" s="277"/>
      <c r="H162" s="51" t="s">
        <v>113</v>
      </c>
      <c r="I162" s="52" t="s">
        <v>114</v>
      </c>
      <c r="J162" s="273"/>
      <c r="K162" s="273"/>
      <c r="L162" s="281"/>
    </row>
    <row r="163" spans="1:13" ht="24" customHeight="1" thickTop="1">
      <c r="A163" s="35"/>
      <c r="B163" s="35"/>
      <c r="C163" s="35"/>
      <c r="D163" s="168"/>
      <c r="E163" s="35"/>
      <c r="F163" s="83"/>
      <c r="G163" s="34"/>
      <c r="H163" s="84"/>
      <c r="I163" s="85"/>
      <c r="J163" s="86" t="s">
        <v>132</v>
      </c>
      <c r="K163" s="87">
        <f>SUM(K143)</f>
        <v>5173623</v>
      </c>
      <c r="L163" s="146"/>
    </row>
    <row r="164" spans="1:13" s="228" customFormat="1" ht="24" customHeight="1">
      <c r="A164" s="223">
        <v>51</v>
      </c>
      <c r="B164" s="246" t="s">
        <v>138</v>
      </c>
      <c r="C164" s="247" t="s">
        <v>139</v>
      </c>
      <c r="D164" s="248" t="s">
        <v>140</v>
      </c>
      <c r="E164" s="224" t="s">
        <v>2</v>
      </c>
      <c r="F164" s="249">
        <v>12</v>
      </c>
      <c r="G164" s="224" t="s">
        <v>128</v>
      </c>
      <c r="H164" s="250">
        <v>2</v>
      </c>
      <c r="I164" s="225">
        <v>2</v>
      </c>
      <c r="J164" s="226">
        <v>15000</v>
      </c>
      <c r="K164" s="226">
        <f>SUM(I164*J164)</f>
        <v>30000</v>
      </c>
      <c r="L164" s="232" t="s">
        <v>141</v>
      </c>
      <c r="M164" s="228" t="s">
        <v>162</v>
      </c>
    </row>
    <row r="165" spans="1:13" s="228" customFormat="1" ht="24" customHeight="1">
      <c r="A165" s="223">
        <v>52</v>
      </c>
      <c r="B165" s="246" t="s">
        <v>138</v>
      </c>
      <c r="C165" s="247" t="s">
        <v>142</v>
      </c>
      <c r="D165" s="248" t="s">
        <v>143</v>
      </c>
      <c r="E165" s="224" t="s">
        <v>2</v>
      </c>
      <c r="F165" s="249">
        <v>12</v>
      </c>
      <c r="G165" s="224" t="s">
        <v>128</v>
      </c>
      <c r="H165" s="250">
        <v>1</v>
      </c>
      <c r="I165" s="250">
        <v>1</v>
      </c>
      <c r="J165" s="226">
        <v>25000</v>
      </c>
      <c r="K165" s="226">
        <f t="shared" ref="K165:K173" si="5">SUM(I165*J165)</f>
        <v>25000</v>
      </c>
      <c r="L165" s="232" t="s">
        <v>144</v>
      </c>
      <c r="M165" s="228" t="s">
        <v>162</v>
      </c>
    </row>
    <row r="166" spans="1:13" ht="24" customHeight="1">
      <c r="A166" s="29">
        <v>53</v>
      </c>
      <c r="B166" s="58" t="s">
        <v>105</v>
      </c>
      <c r="C166" s="5" t="s">
        <v>184</v>
      </c>
      <c r="D166" s="126" t="s">
        <v>183</v>
      </c>
      <c r="E166" s="18" t="s">
        <v>2</v>
      </c>
      <c r="F166" s="18">
        <v>26</v>
      </c>
      <c r="G166" s="18" t="s">
        <v>128</v>
      </c>
      <c r="H166" s="4">
        <v>20</v>
      </c>
      <c r="I166" s="4">
        <v>20</v>
      </c>
      <c r="J166" s="3">
        <v>9990</v>
      </c>
      <c r="K166" s="3">
        <f t="shared" si="5"/>
        <v>199800</v>
      </c>
      <c r="L166" s="135" t="s">
        <v>1305</v>
      </c>
      <c r="M166" s="1" t="s">
        <v>293</v>
      </c>
    </row>
    <row r="167" spans="1:13" ht="24" customHeight="1">
      <c r="A167" s="29">
        <v>54</v>
      </c>
      <c r="B167" s="58" t="s">
        <v>105</v>
      </c>
      <c r="C167" s="24" t="s">
        <v>182</v>
      </c>
      <c r="D167" s="169" t="s">
        <v>181</v>
      </c>
      <c r="E167" s="21" t="s">
        <v>2</v>
      </c>
      <c r="F167" s="18">
        <v>26</v>
      </c>
      <c r="G167" s="18" t="s">
        <v>128</v>
      </c>
      <c r="H167" s="30">
        <v>10</v>
      </c>
      <c r="I167" s="30">
        <v>10</v>
      </c>
      <c r="J167" s="11">
        <v>34970</v>
      </c>
      <c r="K167" s="3">
        <f t="shared" si="5"/>
        <v>349700</v>
      </c>
      <c r="L167" s="135" t="s">
        <v>1305</v>
      </c>
      <c r="M167" s="1" t="s">
        <v>293</v>
      </c>
    </row>
    <row r="168" spans="1:13" ht="24" customHeight="1">
      <c r="A168" s="29">
        <v>55</v>
      </c>
      <c r="B168" s="58" t="s">
        <v>105</v>
      </c>
      <c r="C168" s="5" t="s">
        <v>180</v>
      </c>
      <c r="D168" s="126" t="s">
        <v>179</v>
      </c>
      <c r="E168" s="18" t="s">
        <v>2</v>
      </c>
      <c r="F168" s="18">
        <v>26</v>
      </c>
      <c r="G168" s="18" t="s">
        <v>128</v>
      </c>
      <c r="H168" s="4">
        <v>20</v>
      </c>
      <c r="I168" s="4">
        <v>20</v>
      </c>
      <c r="J168" s="3">
        <v>14980</v>
      </c>
      <c r="K168" s="3">
        <f t="shared" si="5"/>
        <v>299600</v>
      </c>
      <c r="L168" s="135" t="s">
        <v>178</v>
      </c>
      <c r="M168" s="1" t="s">
        <v>293</v>
      </c>
    </row>
    <row r="169" spans="1:13" ht="24" customHeight="1">
      <c r="A169" s="29">
        <v>56</v>
      </c>
      <c r="B169" s="58" t="s">
        <v>105</v>
      </c>
      <c r="C169" s="5" t="s">
        <v>177</v>
      </c>
      <c r="D169" s="126" t="s">
        <v>176</v>
      </c>
      <c r="E169" s="18" t="s">
        <v>2</v>
      </c>
      <c r="F169" s="18">
        <v>26</v>
      </c>
      <c r="G169" s="18" t="s">
        <v>128</v>
      </c>
      <c r="H169" s="4">
        <v>9</v>
      </c>
      <c r="I169" s="4">
        <v>9</v>
      </c>
      <c r="J169" s="3">
        <v>57950</v>
      </c>
      <c r="K169" s="3">
        <f t="shared" si="5"/>
        <v>521550</v>
      </c>
      <c r="L169" s="135" t="s">
        <v>1306</v>
      </c>
      <c r="M169" s="1" t="s">
        <v>293</v>
      </c>
    </row>
    <row r="170" spans="1:13" ht="24" customHeight="1">
      <c r="A170" s="29">
        <v>57</v>
      </c>
      <c r="B170" s="58" t="s">
        <v>105</v>
      </c>
      <c r="C170" s="24" t="s">
        <v>175</v>
      </c>
      <c r="D170" s="169" t="s">
        <v>174</v>
      </c>
      <c r="E170" s="21" t="s">
        <v>2</v>
      </c>
      <c r="F170" s="18">
        <v>26</v>
      </c>
      <c r="G170" s="18" t="s">
        <v>128</v>
      </c>
      <c r="H170" s="18">
        <v>10</v>
      </c>
      <c r="I170" s="18">
        <v>10</v>
      </c>
      <c r="J170" s="11">
        <v>57950</v>
      </c>
      <c r="K170" s="3">
        <f t="shared" si="5"/>
        <v>579500</v>
      </c>
      <c r="L170" s="135" t="s">
        <v>1307</v>
      </c>
      <c r="M170" s="1" t="s">
        <v>293</v>
      </c>
    </row>
    <row r="171" spans="1:13" ht="24" customHeight="1">
      <c r="A171" s="29">
        <v>58</v>
      </c>
      <c r="B171" s="58" t="s">
        <v>105</v>
      </c>
      <c r="C171" s="5" t="s">
        <v>173</v>
      </c>
      <c r="D171" s="126" t="s">
        <v>172</v>
      </c>
      <c r="E171" s="18" t="s">
        <v>2</v>
      </c>
      <c r="F171" s="18">
        <v>26</v>
      </c>
      <c r="G171" s="18" t="s">
        <v>128</v>
      </c>
      <c r="H171" s="18">
        <v>9</v>
      </c>
      <c r="I171" s="18">
        <v>9</v>
      </c>
      <c r="J171" s="3">
        <v>57950</v>
      </c>
      <c r="K171" s="3">
        <f t="shared" si="5"/>
        <v>521550</v>
      </c>
      <c r="L171" s="135" t="s">
        <v>171</v>
      </c>
      <c r="M171" s="1" t="s">
        <v>293</v>
      </c>
    </row>
    <row r="172" spans="1:13" ht="24" customHeight="1">
      <c r="A172" s="29">
        <v>59</v>
      </c>
      <c r="B172" s="58" t="s">
        <v>106</v>
      </c>
      <c r="C172" s="5" t="s">
        <v>170</v>
      </c>
      <c r="D172" s="125" t="s">
        <v>169</v>
      </c>
      <c r="E172" s="18" t="s">
        <v>2</v>
      </c>
      <c r="F172" s="18">
        <v>25</v>
      </c>
      <c r="G172" s="18" t="s">
        <v>128</v>
      </c>
      <c r="H172" s="4">
        <v>20</v>
      </c>
      <c r="I172" s="4">
        <v>20</v>
      </c>
      <c r="J172" s="3">
        <v>7918</v>
      </c>
      <c r="K172" s="3">
        <f t="shared" si="5"/>
        <v>158360</v>
      </c>
      <c r="L172" s="135" t="s">
        <v>168</v>
      </c>
      <c r="M172" s="1" t="s">
        <v>293</v>
      </c>
    </row>
    <row r="173" spans="1:13" ht="24" customHeight="1">
      <c r="A173" s="29">
        <v>60</v>
      </c>
      <c r="B173" s="58" t="s">
        <v>106</v>
      </c>
      <c r="C173" s="5" t="s">
        <v>167</v>
      </c>
      <c r="D173" s="125" t="s">
        <v>166</v>
      </c>
      <c r="E173" s="18" t="s">
        <v>2</v>
      </c>
      <c r="F173" s="18">
        <v>25</v>
      </c>
      <c r="G173" s="18" t="s">
        <v>128</v>
      </c>
      <c r="H173" s="4">
        <v>1</v>
      </c>
      <c r="I173" s="4">
        <v>1</v>
      </c>
      <c r="J173" s="3">
        <v>186700</v>
      </c>
      <c r="K173" s="3">
        <f t="shared" si="5"/>
        <v>186700</v>
      </c>
      <c r="L173" s="135" t="s">
        <v>165</v>
      </c>
      <c r="M173" s="1" t="s">
        <v>293</v>
      </c>
    </row>
    <row r="174" spans="1:13" ht="24" customHeight="1">
      <c r="A174" s="73"/>
      <c r="B174" s="82"/>
      <c r="C174" s="82"/>
      <c r="D174" s="167"/>
      <c r="E174" s="82"/>
      <c r="F174" s="82"/>
      <c r="G174" s="82"/>
      <c r="H174" s="82"/>
      <c r="I174" s="82"/>
      <c r="J174" s="74" t="s">
        <v>129</v>
      </c>
      <c r="K174" s="89">
        <f>SUM(K163:K173)</f>
        <v>8045383</v>
      </c>
      <c r="L174" s="147"/>
    </row>
    <row r="175" spans="1:13" ht="24" customHeight="1">
      <c r="A175" s="62"/>
      <c r="B175" s="62" t="s">
        <v>119</v>
      </c>
      <c r="C175" s="53" t="s">
        <v>120</v>
      </c>
      <c r="H175" s="63"/>
      <c r="I175" s="63"/>
      <c r="L175" s="148"/>
    </row>
    <row r="176" spans="1:13" ht="24" customHeight="1">
      <c r="A176" s="62"/>
      <c r="C176" s="53" t="s">
        <v>121</v>
      </c>
      <c r="H176" s="63"/>
      <c r="I176" s="63"/>
      <c r="L176" s="148"/>
    </row>
    <row r="177" spans="1:12" ht="21.75" customHeight="1">
      <c r="A177" s="90"/>
      <c r="G177" s="68" t="s">
        <v>148</v>
      </c>
      <c r="H177" s="268" t="s">
        <v>149</v>
      </c>
      <c r="I177" s="268"/>
      <c r="J177" s="268"/>
      <c r="K177" s="2" t="s">
        <v>150</v>
      </c>
      <c r="L177" s="141"/>
    </row>
    <row r="178" spans="1:12" ht="21.75" customHeight="1">
      <c r="A178" s="90"/>
      <c r="G178" s="2"/>
      <c r="H178" s="268" t="s">
        <v>1549</v>
      </c>
      <c r="I178" s="268"/>
      <c r="J178" s="268"/>
      <c r="K178" s="2"/>
      <c r="L178" s="141"/>
    </row>
    <row r="179" spans="1:12" ht="31.5" customHeight="1">
      <c r="G179" s="68" t="s">
        <v>148</v>
      </c>
      <c r="H179" s="268" t="s">
        <v>149</v>
      </c>
      <c r="I179" s="268"/>
      <c r="J179" s="268"/>
      <c r="K179" s="2" t="s">
        <v>151</v>
      </c>
      <c r="L179" s="141"/>
    </row>
    <row r="180" spans="1:12" ht="21.75" customHeight="1">
      <c r="G180" s="2"/>
      <c r="H180" s="268" t="s">
        <v>154</v>
      </c>
      <c r="I180" s="268"/>
      <c r="J180" s="268"/>
      <c r="K180" s="2"/>
      <c r="L180" s="141"/>
    </row>
    <row r="181" spans="1:12" ht="34.5" customHeight="1">
      <c r="G181" s="68" t="s">
        <v>148</v>
      </c>
      <c r="H181" s="268" t="s">
        <v>149</v>
      </c>
      <c r="I181" s="268"/>
      <c r="J181" s="268"/>
      <c r="K181" s="2" t="s">
        <v>151</v>
      </c>
      <c r="L181" s="142"/>
    </row>
    <row r="182" spans="1:12" ht="21" customHeight="1">
      <c r="G182" s="2"/>
      <c r="H182" s="268" t="s">
        <v>155</v>
      </c>
      <c r="I182" s="268"/>
      <c r="J182" s="268"/>
      <c r="K182" s="2"/>
      <c r="L182" s="142"/>
    </row>
    <row r="183" spans="1:12" ht="35.25" customHeight="1">
      <c r="G183" s="68" t="s">
        <v>148</v>
      </c>
      <c r="H183" s="268" t="s">
        <v>149</v>
      </c>
      <c r="I183" s="268"/>
      <c r="J183" s="268"/>
      <c r="K183" s="2" t="s">
        <v>151</v>
      </c>
      <c r="L183" s="142"/>
    </row>
    <row r="184" spans="1:12" ht="19.5" customHeight="1">
      <c r="G184" s="2"/>
      <c r="H184" s="268" t="s">
        <v>156</v>
      </c>
      <c r="I184" s="268"/>
      <c r="J184" s="268"/>
      <c r="K184" s="2"/>
      <c r="L184" s="142"/>
    </row>
    <row r="185" spans="1:12" ht="36.75" customHeight="1">
      <c r="G185" s="68" t="s">
        <v>148</v>
      </c>
      <c r="H185" s="268" t="s">
        <v>149</v>
      </c>
      <c r="I185" s="268"/>
      <c r="J185" s="268"/>
      <c r="K185" s="67" t="s">
        <v>152</v>
      </c>
      <c r="L185" s="142"/>
    </row>
    <row r="186" spans="1:12" ht="23.25" customHeight="1">
      <c r="G186" s="67"/>
      <c r="H186" s="268" t="s">
        <v>157</v>
      </c>
      <c r="I186" s="268"/>
      <c r="J186" s="268"/>
      <c r="K186" s="67"/>
      <c r="L186" s="142"/>
    </row>
    <row r="187" spans="1:12" ht="23.25" customHeight="1">
      <c r="G187" s="67"/>
      <c r="H187" s="64"/>
      <c r="I187" s="64"/>
      <c r="J187" s="64"/>
      <c r="K187" s="67"/>
      <c r="L187" s="142"/>
    </row>
    <row r="188" spans="1:12" ht="22.5" customHeight="1">
      <c r="L188" s="138" t="s">
        <v>1425</v>
      </c>
    </row>
    <row r="189" spans="1:12" ht="24" customHeight="1">
      <c r="A189" s="269" t="s">
        <v>158</v>
      </c>
      <c r="B189" s="269"/>
      <c r="C189" s="269"/>
      <c r="D189" s="269"/>
      <c r="E189" s="269"/>
      <c r="F189" s="269"/>
      <c r="G189" s="269"/>
      <c r="H189" s="269"/>
      <c r="I189" s="269"/>
      <c r="J189" s="269"/>
      <c r="K189" s="269"/>
      <c r="L189" s="269"/>
    </row>
    <row r="190" spans="1:12" ht="24" customHeight="1">
      <c r="A190" s="270" t="s">
        <v>163</v>
      </c>
      <c r="B190" s="270"/>
      <c r="C190" s="270"/>
      <c r="D190" s="270"/>
      <c r="E190" s="270"/>
      <c r="F190" s="270"/>
      <c r="G190" s="270"/>
      <c r="H190" s="270"/>
      <c r="I190" s="270"/>
      <c r="J190" s="270"/>
      <c r="K190" s="270"/>
      <c r="L190" s="270"/>
    </row>
    <row r="191" spans="1:12" ht="24" customHeight="1" thickBot="1">
      <c r="A191" s="271" t="s">
        <v>164</v>
      </c>
      <c r="B191" s="271"/>
      <c r="C191" s="271"/>
      <c r="D191" s="271"/>
      <c r="E191" s="271"/>
      <c r="F191" s="271"/>
      <c r="G191" s="271"/>
      <c r="H191" s="271"/>
      <c r="I191" s="271"/>
      <c r="J191" s="271"/>
      <c r="K191" s="271"/>
      <c r="L191" s="271"/>
    </row>
    <row r="192" spans="1:12" ht="24" customHeight="1" thickTop="1">
      <c r="A192" s="272" t="s">
        <v>103</v>
      </c>
      <c r="B192" s="272" t="s">
        <v>122</v>
      </c>
      <c r="C192" s="272" t="s">
        <v>124</v>
      </c>
      <c r="D192" s="274" t="s">
        <v>0</v>
      </c>
      <c r="E192" s="272" t="s">
        <v>109</v>
      </c>
      <c r="F192" s="272" t="s">
        <v>110</v>
      </c>
      <c r="G192" s="276" t="s">
        <v>111</v>
      </c>
      <c r="H192" s="278" t="s">
        <v>1</v>
      </c>
      <c r="I192" s="279"/>
      <c r="J192" s="272" t="s">
        <v>125</v>
      </c>
      <c r="K192" s="272" t="s">
        <v>104</v>
      </c>
      <c r="L192" s="280" t="s">
        <v>112</v>
      </c>
    </row>
    <row r="193" spans="1:13" ht="45" customHeight="1" thickBot="1">
      <c r="A193" s="273"/>
      <c r="B193" s="273"/>
      <c r="C193" s="273"/>
      <c r="D193" s="275"/>
      <c r="E193" s="273"/>
      <c r="F193" s="273"/>
      <c r="G193" s="277"/>
      <c r="H193" s="51" t="s">
        <v>113</v>
      </c>
      <c r="I193" s="52" t="s">
        <v>114</v>
      </c>
      <c r="J193" s="273"/>
      <c r="K193" s="273"/>
      <c r="L193" s="281"/>
    </row>
    <row r="194" spans="1:13" ht="24" customHeight="1" thickTop="1">
      <c r="A194" s="35"/>
      <c r="B194" s="35"/>
      <c r="C194" s="35"/>
      <c r="D194" s="168"/>
      <c r="E194" s="35"/>
      <c r="F194" s="83"/>
      <c r="G194" s="34"/>
      <c r="H194" s="84"/>
      <c r="I194" s="85"/>
      <c r="J194" s="86" t="s">
        <v>132</v>
      </c>
      <c r="K194" s="87">
        <f>SUM(K174)</f>
        <v>8045383</v>
      </c>
      <c r="L194" s="146"/>
    </row>
    <row r="195" spans="1:13" ht="24" customHeight="1">
      <c r="A195" s="38">
        <v>61</v>
      </c>
      <c r="B195" s="58" t="s">
        <v>106</v>
      </c>
      <c r="C195" s="5" t="s">
        <v>190</v>
      </c>
      <c r="D195" s="125" t="s">
        <v>189</v>
      </c>
      <c r="E195" s="18" t="s">
        <v>2</v>
      </c>
      <c r="F195" s="18">
        <v>25</v>
      </c>
      <c r="G195" s="18" t="s">
        <v>128</v>
      </c>
      <c r="H195" s="4">
        <v>2</v>
      </c>
      <c r="I195" s="4">
        <v>2</v>
      </c>
      <c r="J195" s="3">
        <v>65000</v>
      </c>
      <c r="K195" s="3">
        <f>SUM(I195*J195)</f>
        <v>130000</v>
      </c>
      <c r="L195" s="135" t="s">
        <v>1485</v>
      </c>
      <c r="M195" s="1" t="s">
        <v>293</v>
      </c>
    </row>
    <row r="196" spans="1:13" ht="24" customHeight="1">
      <c r="A196" s="38">
        <v>62</v>
      </c>
      <c r="B196" s="58" t="s">
        <v>188</v>
      </c>
      <c r="C196" s="5" t="s">
        <v>187</v>
      </c>
      <c r="D196" s="126" t="s">
        <v>186</v>
      </c>
      <c r="E196" s="18" t="s">
        <v>2</v>
      </c>
      <c r="F196" s="18">
        <v>24</v>
      </c>
      <c r="G196" s="18" t="s">
        <v>128</v>
      </c>
      <c r="H196" s="18">
        <v>2</v>
      </c>
      <c r="I196" s="18">
        <v>2</v>
      </c>
      <c r="J196" s="3">
        <v>14780</v>
      </c>
      <c r="K196" s="3">
        <f t="shared" ref="K196:K204" si="6">SUM(I196*J196)</f>
        <v>29560</v>
      </c>
      <c r="L196" s="135" t="s">
        <v>185</v>
      </c>
      <c r="M196" s="1" t="s">
        <v>293</v>
      </c>
    </row>
    <row r="197" spans="1:13" ht="24" customHeight="1">
      <c r="A197" s="38">
        <v>63</v>
      </c>
      <c r="B197" s="20" t="s">
        <v>203</v>
      </c>
      <c r="C197" s="5" t="s">
        <v>209</v>
      </c>
      <c r="D197" s="126" t="s">
        <v>208</v>
      </c>
      <c r="E197" s="18" t="s">
        <v>2</v>
      </c>
      <c r="F197" s="18">
        <v>20</v>
      </c>
      <c r="G197" s="18" t="s">
        <v>128</v>
      </c>
      <c r="H197" s="18">
        <v>1</v>
      </c>
      <c r="I197" s="18">
        <v>1</v>
      </c>
      <c r="J197" s="3">
        <v>149500</v>
      </c>
      <c r="K197" s="3">
        <f t="shared" si="6"/>
        <v>149500</v>
      </c>
      <c r="L197" s="137" t="s">
        <v>1459</v>
      </c>
      <c r="M197" s="1" t="s">
        <v>293</v>
      </c>
    </row>
    <row r="198" spans="1:13" ht="24" customHeight="1">
      <c r="A198" s="38">
        <v>64</v>
      </c>
      <c r="B198" s="20" t="s">
        <v>203</v>
      </c>
      <c r="C198" s="5" t="s">
        <v>207</v>
      </c>
      <c r="D198" s="126" t="s">
        <v>206</v>
      </c>
      <c r="E198" s="17" t="s">
        <v>2</v>
      </c>
      <c r="F198" s="18">
        <v>20</v>
      </c>
      <c r="G198" s="18" t="s">
        <v>128</v>
      </c>
      <c r="H198" s="18">
        <v>1</v>
      </c>
      <c r="I198" s="18">
        <v>1</v>
      </c>
      <c r="J198" s="3">
        <v>249500</v>
      </c>
      <c r="K198" s="3">
        <f t="shared" si="6"/>
        <v>249500</v>
      </c>
      <c r="L198" s="137" t="s">
        <v>1486</v>
      </c>
      <c r="M198" s="1" t="s">
        <v>293</v>
      </c>
    </row>
    <row r="199" spans="1:13" ht="24" customHeight="1">
      <c r="A199" s="38">
        <v>65</v>
      </c>
      <c r="B199" s="20" t="s">
        <v>203</v>
      </c>
      <c r="C199" s="5" t="s">
        <v>205</v>
      </c>
      <c r="D199" s="126" t="s">
        <v>204</v>
      </c>
      <c r="E199" s="17" t="s">
        <v>3</v>
      </c>
      <c r="F199" s="18">
        <v>20</v>
      </c>
      <c r="G199" s="18" t="s">
        <v>128</v>
      </c>
      <c r="H199" s="18">
        <v>1</v>
      </c>
      <c r="I199" s="18">
        <v>1</v>
      </c>
      <c r="J199" s="3">
        <v>6200</v>
      </c>
      <c r="K199" s="3">
        <f t="shared" si="6"/>
        <v>6200</v>
      </c>
      <c r="L199" s="135" t="s">
        <v>1487</v>
      </c>
      <c r="M199" s="1" t="s">
        <v>293</v>
      </c>
    </row>
    <row r="200" spans="1:13" ht="24" customHeight="1">
      <c r="A200" s="38">
        <v>66</v>
      </c>
      <c r="B200" s="20" t="s">
        <v>203</v>
      </c>
      <c r="C200" s="5" t="s">
        <v>202</v>
      </c>
      <c r="D200" s="126" t="s">
        <v>201</v>
      </c>
      <c r="E200" s="17" t="s">
        <v>2</v>
      </c>
      <c r="F200" s="18">
        <v>20</v>
      </c>
      <c r="G200" s="18" t="s">
        <v>128</v>
      </c>
      <c r="H200" s="18">
        <v>5</v>
      </c>
      <c r="I200" s="18">
        <v>5</v>
      </c>
      <c r="J200" s="3">
        <v>20000</v>
      </c>
      <c r="K200" s="3">
        <f t="shared" si="6"/>
        <v>100000</v>
      </c>
      <c r="L200" s="135" t="s">
        <v>200</v>
      </c>
      <c r="M200" s="1" t="s">
        <v>293</v>
      </c>
    </row>
    <row r="201" spans="1:13" ht="24" customHeight="1">
      <c r="A201" s="38">
        <v>67</v>
      </c>
      <c r="B201" s="20" t="s">
        <v>107</v>
      </c>
      <c r="C201" s="5" t="s">
        <v>199</v>
      </c>
      <c r="D201" s="125" t="s">
        <v>198</v>
      </c>
      <c r="E201" s="17" t="s">
        <v>2</v>
      </c>
      <c r="F201" s="18">
        <v>19</v>
      </c>
      <c r="G201" s="18" t="s">
        <v>128</v>
      </c>
      <c r="H201" s="18">
        <v>2</v>
      </c>
      <c r="I201" s="18">
        <v>2</v>
      </c>
      <c r="J201" s="3">
        <v>79850</v>
      </c>
      <c r="K201" s="3">
        <f t="shared" si="6"/>
        <v>159700</v>
      </c>
      <c r="L201" s="135" t="s">
        <v>197</v>
      </c>
      <c r="M201" s="1" t="s">
        <v>293</v>
      </c>
    </row>
    <row r="202" spans="1:13" ht="24" customHeight="1">
      <c r="A202" s="38">
        <v>68</v>
      </c>
      <c r="B202" s="20" t="s">
        <v>107</v>
      </c>
      <c r="C202" s="5" t="s">
        <v>196</v>
      </c>
      <c r="D202" s="126" t="s">
        <v>5</v>
      </c>
      <c r="E202" s="17" t="s">
        <v>3</v>
      </c>
      <c r="F202" s="18">
        <v>19</v>
      </c>
      <c r="G202" s="18" t="s">
        <v>128</v>
      </c>
      <c r="H202" s="18">
        <v>1</v>
      </c>
      <c r="I202" s="18">
        <v>1</v>
      </c>
      <c r="J202" s="3">
        <v>33000</v>
      </c>
      <c r="K202" s="3">
        <f t="shared" si="6"/>
        <v>33000</v>
      </c>
      <c r="L202" s="135" t="s">
        <v>195</v>
      </c>
      <c r="M202" s="1" t="s">
        <v>293</v>
      </c>
    </row>
    <row r="203" spans="1:13" ht="24" customHeight="1">
      <c r="A203" s="38">
        <v>69</v>
      </c>
      <c r="B203" s="20" t="s">
        <v>107</v>
      </c>
      <c r="C203" s="5" t="s">
        <v>194</v>
      </c>
      <c r="D203" s="126" t="s">
        <v>193</v>
      </c>
      <c r="E203" s="18" t="s">
        <v>3</v>
      </c>
      <c r="F203" s="18">
        <v>19</v>
      </c>
      <c r="G203" s="18" t="s">
        <v>128</v>
      </c>
      <c r="H203" s="18">
        <v>1</v>
      </c>
      <c r="I203" s="18">
        <v>1</v>
      </c>
      <c r="J203" s="3">
        <v>8500</v>
      </c>
      <c r="K203" s="3">
        <f t="shared" si="6"/>
        <v>8500</v>
      </c>
      <c r="L203" s="135" t="s">
        <v>192</v>
      </c>
      <c r="M203" s="1" t="s">
        <v>293</v>
      </c>
    </row>
    <row r="204" spans="1:13" ht="24" customHeight="1">
      <c r="A204" s="38">
        <v>70</v>
      </c>
      <c r="B204" s="70" t="s">
        <v>107</v>
      </c>
      <c r="C204" s="56" t="s">
        <v>191</v>
      </c>
      <c r="D204" s="163" t="s">
        <v>1547</v>
      </c>
      <c r="E204" s="15" t="s">
        <v>3</v>
      </c>
      <c r="F204" s="18">
        <v>19</v>
      </c>
      <c r="G204" s="18" t="s">
        <v>128</v>
      </c>
      <c r="H204" s="57">
        <v>1</v>
      </c>
      <c r="I204" s="57">
        <v>1</v>
      </c>
      <c r="J204" s="12">
        <v>22000</v>
      </c>
      <c r="K204" s="3">
        <f t="shared" si="6"/>
        <v>22000</v>
      </c>
      <c r="L204" s="139" t="s">
        <v>1488</v>
      </c>
      <c r="M204" s="1" t="s">
        <v>293</v>
      </c>
    </row>
    <row r="205" spans="1:13" ht="24" customHeight="1">
      <c r="A205" s="73"/>
      <c r="B205" s="82"/>
      <c r="C205" s="82"/>
      <c r="D205" s="167"/>
      <c r="E205" s="82"/>
      <c r="F205" s="82"/>
      <c r="G205" s="82"/>
      <c r="H205" s="82"/>
      <c r="I205" s="82"/>
      <c r="J205" s="74" t="s">
        <v>129</v>
      </c>
      <c r="K205" s="89">
        <f>SUM(K194:K204)</f>
        <v>8933343</v>
      </c>
      <c r="L205" s="147"/>
    </row>
    <row r="206" spans="1:13" ht="24" customHeight="1">
      <c r="A206" s="62"/>
      <c r="B206" s="62" t="s">
        <v>119</v>
      </c>
      <c r="C206" s="53" t="s">
        <v>120</v>
      </c>
      <c r="H206" s="63"/>
      <c r="I206" s="63"/>
      <c r="L206" s="148"/>
    </row>
    <row r="207" spans="1:13" ht="24" customHeight="1">
      <c r="A207" s="62"/>
      <c r="C207" s="53" t="s">
        <v>121</v>
      </c>
      <c r="H207" s="63"/>
      <c r="I207" s="63"/>
      <c r="L207" s="148"/>
    </row>
    <row r="208" spans="1:13" ht="24" customHeight="1">
      <c r="A208" s="90"/>
      <c r="G208" s="68" t="s">
        <v>148</v>
      </c>
      <c r="H208" s="268" t="s">
        <v>149</v>
      </c>
      <c r="I208" s="268"/>
      <c r="J208" s="268"/>
      <c r="K208" s="2" t="s">
        <v>150</v>
      </c>
      <c r="L208" s="141"/>
    </row>
    <row r="209" spans="1:12" ht="23.25" customHeight="1">
      <c r="A209" s="90"/>
      <c r="G209" s="2"/>
      <c r="H209" s="268" t="s">
        <v>1549</v>
      </c>
      <c r="I209" s="268"/>
      <c r="J209" s="268"/>
      <c r="K209" s="2"/>
      <c r="L209" s="141"/>
    </row>
    <row r="210" spans="1:12" ht="34.5" customHeight="1">
      <c r="G210" s="68" t="s">
        <v>148</v>
      </c>
      <c r="H210" s="268" t="s">
        <v>149</v>
      </c>
      <c r="I210" s="268"/>
      <c r="J210" s="268"/>
      <c r="K210" s="2" t="s">
        <v>151</v>
      </c>
      <c r="L210" s="141"/>
    </row>
    <row r="211" spans="1:12" ht="21" customHeight="1">
      <c r="G211" s="2"/>
      <c r="H211" s="268" t="s">
        <v>154</v>
      </c>
      <c r="I211" s="268"/>
      <c r="J211" s="268"/>
      <c r="K211" s="2"/>
      <c r="L211" s="141"/>
    </row>
    <row r="212" spans="1:12" ht="30.75" customHeight="1">
      <c r="G212" s="68" t="s">
        <v>148</v>
      </c>
      <c r="H212" s="268" t="s">
        <v>149</v>
      </c>
      <c r="I212" s="268"/>
      <c r="J212" s="268"/>
      <c r="K212" s="2" t="s">
        <v>151</v>
      </c>
      <c r="L212" s="142"/>
    </row>
    <row r="213" spans="1:12" ht="21.75" customHeight="1">
      <c r="G213" s="2"/>
      <c r="H213" s="268" t="s">
        <v>155</v>
      </c>
      <c r="I213" s="268"/>
      <c r="J213" s="268"/>
      <c r="K213" s="2"/>
      <c r="L213" s="142"/>
    </row>
    <row r="214" spans="1:12" ht="33" customHeight="1">
      <c r="G214" s="68" t="s">
        <v>148</v>
      </c>
      <c r="H214" s="268" t="s">
        <v>149</v>
      </c>
      <c r="I214" s="268"/>
      <c r="J214" s="268"/>
      <c r="K214" s="2" t="s">
        <v>151</v>
      </c>
      <c r="L214" s="142"/>
    </row>
    <row r="215" spans="1:12" ht="21.75" customHeight="1">
      <c r="G215" s="2"/>
      <c r="H215" s="268" t="s">
        <v>156</v>
      </c>
      <c r="I215" s="268"/>
      <c r="J215" s="268"/>
      <c r="K215" s="2"/>
      <c r="L215" s="142"/>
    </row>
    <row r="216" spans="1:12" ht="32.25" customHeight="1">
      <c r="G216" s="68" t="s">
        <v>148</v>
      </c>
      <c r="H216" s="268" t="s">
        <v>149</v>
      </c>
      <c r="I216" s="268"/>
      <c r="J216" s="268"/>
      <c r="K216" s="67" t="s">
        <v>152</v>
      </c>
      <c r="L216" s="142"/>
    </row>
    <row r="217" spans="1:12" ht="24" customHeight="1">
      <c r="G217" s="67"/>
      <c r="H217" s="268" t="s">
        <v>157</v>
      </c>
      <c r="I217" s="268"/>
      <c r="J217" s="268"/>
      <c r="K217" s="67"/>
      <c r="L217" s="142"/>
    </row>
    <row r="218" spans="1:12" ht="24" customHeight="1">
      <c r="G218" s="67"/>
      <c r="H218" s="64"/>
      <c r="I218" s="64"/>
      <c r="J218" s="64"/>
      <c r="K218" s="67"/>
      <c r="L218" s="142"/>
    </row>
    <row r="219" spans="1:12" ht="24" customHeight="1">
      <c r="L219" s="138" t="s">
        <v>1426</v>
      </c>
    </row>
    <row r="220" spans="1:12" ht="24" customHeight="1">
      <c r="A220" s="269" t="s">
        <v>158</v>
      </c>
      <c r="B220" s="269"/>
      <c r="C220" s="269"/>
      <c r="D220" s="269"/>
      <c r="E220" s="269"/>
      <c r="F220" s="269"/>
      <c r="G220" s="269"/>
      <c r="H220" s="269"/>
      <c r="I220" s="269"/>
      <c r="J220" s="269"/>
      <c r="K220" s="269"/>
      <c r="L220" s="269"/>
    </row>
    <row r="221" spans="1:12" ht="24" customHeight="1">
      <c r="A221" s="270" t="s">
        <v>163</v>
      </c>
      <c r="B221" s="270"/>
      <c r="C221" s="270"/>
      <c r="D221" s="270"/>
      <c r="E221" s="270"/>
      <c r="F221" s="270"/>
      <c r="G221" s="270"/>
      <c r="H221" s="270"/>
      <c r="I221" s="270"/>
      <c r="J221" s="270"/>
      <c r="K221" s="270"/>
      <c r="L221" s="270"/>
    </row>
    <row r="222" spans="1:12" ht="24" customHeight="1" thickBot="1">
      <c r="A222" s="271" t="s">
        <v>164</v>
      </c>
      <c r="B222" s="271"/>
      <c r="C222" s="271"/>
      <c r="D222" s="271"/>
      <c r="E222" s="271"/>
      <c r="F222" s="271"/>
      <c r="G222" s="271"/>
      <c r="H222" s="271"/>
      <c r="I222" s="271"/>
      <c r="J222" s="271"/>
      <c r="K222" s="271"/>
      <c r="L222" s="271"/>
    </row>
    <row r="223" spans="1:12" ht="24" customHeight="1" thickTop="1">
      <c r="A223" s="272" t="s">
        <v>103</v>
      </c>
      <c r="B223" s="272" t="s">
        <v>122</v>
      </c>
      <c r="C223" s="272" t="s">
        <v>124</v>
      </c>
      <c r="D223" s="274" t="s">
        <v>0</v>
      </c>
      <c r="E223" s="272" t="s">
        <v>109</v>
      </c>
      <c r="F223" s="272" t="s">
        <v>110</v>
      </c>
      <c r="G223" s="276" t="s">
        <v>111</v>
      </c>
      <c r="H223" s="278" t="s">
        <v>1</v>
      </c>
      <c r="I223" s="279"/>
      <c r="J223" s="272" t="s">
        <v>125</v>
      </c>
      <c r="K223" s="272" t="s">
        <v>104</v>
      </c>
      <c r="L223" s="280" t="s">
        <v>112</v>
      </c>
    </row>
    <row r="224" spans="1:12" ht="45.75" customHeight="1" thickBot="1">
      <c r="A224" s="273"/>
      <c r="B224" s="273"/>
      <c r="C224" s="273"/>
      <c r="D224" s="275"/>
      <c r="E224" s="273"/>
      <c r="F224" s="273"/>
      <c r="G224" s="277"/>
      <c r="H224" s="51" t="s">
        <v>113</v>
      </c>
      <c r="I224" s="52" t="s">
        <v>114</v>
      </c>
      <c r="J224" s="273"/>
      <c r="K224" s="273"/>
      <c r="L224" s="281"/>
    </row>
    <row r="225" spans="1:13" ht="24" customHeight="1" thickTop="1">
      <c r="A225" s="35"/>
      <c r="B225" s="35"/>
      <c r="C225" s="35"/>
      <c r="D225" s="168"/>
      <c r="E225" s="35"/>
      <c r="F225" s="83"/>
      <c r="G225" s="34"/>
      <c r="H225" s="84"/>
      <c r="I225" s="85"/>
      <c r="J225" s="86" t="s">
        <v>132</v>
      </c>
      <c r="K225" s="87">
        <f>SUM(K205)</f>
        <v>8933343</v>
      </c>
      <c r="L225" s="146"/>
    </row>
    <row r="226" spans="1:13" ht="24" customHeight="1">
      <c r="A226" s="38">
        <v>71</v>
      </c>
      <c r="B226" s="20" t="s">
        <v>107</v>
      </c>
      <c r="C226" s="5" t="s">
        <v>235</v>
      </c>
      <c r="D226" s="126" t="s">
        <v>234</v>
      </c>
      <c r="E226" s="18" t="s">
        <v>3</v>
      </c>
      <c r="F226" s="18">
        <v>19</v>
      </c>
      <c r="G226" s="18" t="s">
        <v>128</v>
      </c>
      <c r="H226" s="4">
        <v>1</v>
      </c>
      <c r="I226" s="4">
        <v>1</v>
      </c>
      <c r="J226" s="3">
        <v>13589</v>
      </c>
      <c r="K226" s="3">
        <f>SUM(I226*J226)</f>
        <v>13589</v>
      </c>
      <c r="L226" s="135" t="s">
        <v>233</v>
      </c>
      <c r="M226" s="1" t="s">
        <v>293</v>
      </c>
    </row>
    <row r="227" spans="1:13" ht="24" customHeight="1">
      <c r="A227" s="38">
        <v>72</v>
      </c>
      <c r="B227" s="20" t="s">
        <v>107</v>
      </c>
      <c r="C227" s="5" t="s">
        <v>232</v>
      </c>
      <c r="D227" s="126" t="s">
        <v>231</v>
      </c>
      <c r="E227" s="18" t="s">
        <v>2</v>
      </c>
      <c r="F227" s="18">
        <v>19</v>
      </c>
      <c r="G227" s="18" t="s">
        <v>128</v>
      </c>
      <c r="H227" s="4">
        <v>5</v>
      </c>
      <c r="I227" s="4">
        <v>5</v>
      </c>
      <c r="J227" s="3">
        <v>14970</v>
      </c>
      <c r="K227" s="3">
        <f t="shared" ref="K227:K235" si="7">SUM(I227*J227)</f>
        <v>74850</v>
      </c>
      <c r="L227" s="135" t="s">
        <v>230</v>
      </c>
      <c r="M227" s="1" t="s">
        <v>293</v>
      </c>
    </row>
    <row r="228" spans="1:13" ht="24" customHeight="1">
      <c r="A228" s="38">
        <v>73</v>
      </c>
      <c r="B228" s="20" t="s">
        <v>107</v>
      </c>
      <c r="C228" s="5" t="s">
        <v>229</v>
      </c>
      <c r="D228" s="126" t="s">
        <v>228</v>
      </c>
      <c r="E228" s="18" t="s">
        <v>2</v>
      </c>
      <c r="F228" s="18">
        <v>19</v>
      </c>
      <c r="G228" s="18" t="s">
        <v>128</v>
      </c>
      <c r="H228" s="4">
        <v>2</v>
      </c>
      <c r="I228" s="4">
        <v>2</v>
      </c>
      <c r="J228" s="3">
        <v>44900</v>
      </c>
      <c r="K228" s="3">
        <f t="shared" si="7"/>
        <v>89800</v>
      </c>
      <c r="L228" s="135" t="s">
        <v>227</v>
      </c>
      <c r="M228" s="1" t="s">
        <v>293</v>
      </c>
    </row>
    <row r="229" spans="1:13" ht="24" customHeight="1">
      <c r="A229" s="38">
        <v>74</v>
      </c>
      <c r="B229" s="20" t="s">
        <v>222</v>
      </c>
      <c r="C229" s="5" t="s">
        <v>226</v>
      </c>
      <c r="D229" s="125" t="s">
        <v>225</v>
      </c>
      <c r="E229" s="18" t="s">
        <v>2</v>
      </c>
      <c r="F229" s="18">
        <v>18</v>
      </c>
      <c r="G229" s="18" t="s">
        <v>128</v>
      </c>
      <c r="H229" s="4">
        <v>1</v>
      </c>
      <c r="I229" s="4">
        <v>1</v>
      </c>
      <c r="J229" s="3">
        <v>22500</v>
      </c>
      <c r="K229" s="3">
        <f t="shared" si="7"/>
        <v>22500</v>
      </c>
      <c r="L229" s="135" t="s">
        <v>1489</v>
      </c>
      <c r="M229" s="1" t="s">
        <v>293</v>
      </c>
    </row>
    <row r="230" spans="1:13" ht="24" customHeight="1">
      <c r="A230" s="38">
        <v>75</v>
      </c>
      <c r="B230" s="20" t="s">
        <v>222</v>
      </c>
      <c r="C230" s="5" t="s">
        <v>221</v>
      </c>
      <c r="D230" s="126" t="s">
        <v>220</v>
      </c>
      <c r="E230" s="18" t="s">
        <v>3</v>
      </c>
      <c r="F230" s="18">
        <v>18</v>
      </c>
      <c r="G230" s="18" t="s">
        <v>128</v>
      </c>
      <c r="H230" s="4">
        <v>1</v>
      </c>
      <c r="I230" s="4">
        <v>1</v>
      </c>
      <c r="J230" s="3">
        <v>6990</v>
      </c>
      <c r="K230" s="3">
        <f t="shared" si="7"/>
        <v>6990</v>
      </c>
      <c r="L230" s="137" t="s">
        <v>219</v>
      </c>
      <c r="M230" s="1" t="s">
        <v>293</v>
      </c>
    </row>
    <row r="231" spans="1:13" ht="24" customHeight="1">
      <c r="A231" s="38">
        <v>76</v>
      </c>
      <c r="B231" s="20" t="s">
        <v>218</v>
      </c>
      <c r="C231" s="5" t="s">
        <v>240</v>
      </c>
      <c r="D231" s="126" t="s">
        <v>239</v>
      </c>
      <c r="E231" s="18" t="s">
        <v>98</v>
      </c>
      <c r="F231" s="18">
        <v>17</v>
      </c>
      <c r="G231" s="18" t="s">
        <v>128</v>
      </c>
      <c r="H231" s="4">
        <v>2</v>
      </c>
      <c r="I231" s="4">
        <v>2</v>
      </c>
      <c r="J231" s="3">
        <v>10250</v>
      </c>
      <c r="K231" s="3">
        <f t="shared" si="7"/>
        <v>20500</v>
      </c>
      <c r="L231" s="135" t="s">
        <v>238</v>
      </c>
      <c r="M231" s="1" t="s">
        <v>293</v>
      </c>
    </row>
    <row r="232" spans="1:13" ht="24" customHeight="1">
      <c r="A232" s="38">
        <v>77</v>
      </c>
      <c r="B232" s="58" t="s">
        <v>218</v>
      </c>
      <c r="C232" s="5" t="s">
        <v>263</v>
      </c>
      <c r="D232" s="126" t="s">
        <v>262</v>
      </c>
      <c r="E232" s="18" t="s">
        <v>3</v>
      </c>
      <c r="F232" s="18">
        <v>17</v>
      </c>
      <c r="G232" s="18" t="s">
        <v>128</v>
      </c>
      <c r="H232" s="30">
        <v>1</v>
      </c>
      <c r="I232" s="30">
        <v>1</v>
      </c>
      <c r="J232" s="3">
        <v>37000</v>
      </c>
      <c r="K232" s="3">
        <f t="shared" si="7"/>
        <v>37000</v>
      </c>
      <c r="L232" s="135" t="s">
        <v>1490</v>
      </c>
      <c r="M232" s="1" t="s">
        <v>293</v>
      </c>
    </row>
    <row r="233" spans="1:13" ht="24" customHeight="1">
      <c r="A233" s="38">
        <v>78</v>
      </c>
      <c r="B233" s="58" t="s">
        <v>249</v>
      </c>
      <c r="C233" s="5" t="s">
        <v>261</v>
      </c>
      <c r="D233" s="126" t="s">
        <v>260</v>
      </c>
      <c r="E233" s="18" t="s">
        <v>3</v>
      </c>
      <c r="F233" s="18">
        <v>16</v>
      </c>
      <c r="G233" s="18" t="s">
        <v>128</v>
      </c>
      <c r="H233" s="30">
        <v>1</v>
      </c>
      <c r="I233" s="30">
        <v>1</v>
      </c>
      <c r="J233" s="3">
        <v>43870</v>
      </c>
      <c r="K233" s="3">
        <f t="shared" si="7"/>
        <v>43870</v>
      </c>
      <c r="L233" s="135" t="s">
        <v>259</v>
      </c>
      <c r="M233" s="1" t="s">
        <v>293</v>
      </c>
    </row>
    <row r="234" spans="1:13" ht="24" customHeight="1">
      <c r="A234" s="38">
        <v>79</v>
      </c>
      <c r="B234" s="58" t="s">
        <v>249</v>
      </c>
      <c r="C234" s="5" t="s">
        <v>258</v>
      </c>
      <c r="D234" s="126" t="s">
        <v>257</v>
      </c>
      <c r="E234" s="18" t="s">
        <v>3</v>
      </c>
      <c r="F234" s="18">
        <v>16</v>
      </c>
      <c r="G234" s="18" t="s">
        <v>128</v>
      </c>
      <c r="H234" s="30">
        <v>1</v>
      </c>
      <c r="I234" s="30">
        <v>1</v>
      </c>
      <c r="J234" s="3">
        <v>50290</v>
      </c>
      <c r="K234" s="3">
        <f t="shared" si="7"/>
        <v>50290</v>
      </c>
      <c r="L234" s="135" t="s">
        <v>256</v>
      </c>
      <c r="M234" s="1" t="s">
        <v>293</v>
      </c>
    </row>
    <row r="235" spans="1:13" ht="24" customHeight="1">
      <c r="A235" s="38">
        <v>80</v>
      </c>
      <c r="B235" s="58" t="s">
        <v>249</v>
      </c>
      <c r="C235" s="5" t="s">
        <v>252</v>
      </c>
      <c r="D235" s="126" t="s">
        <v>251</v>
      </c>
      <c r="E235" s="17" t="s">
        <v>3</v>
      </c>
      <c r="F235" s="18">
        <v>16</v>
      </c>
      <c r="G235" s="18" t="s">
        <v>128</v>
      </c>
      <c r="H235" s="4">
        <v>10</v>
      </c>
      <c r="I235" s="4">
        <v>10</v>
      </c>
      <c r="J235" s="3">
        <v>8185.5</v>
      </c>
      <c r="K235" s="3">
        <f t="shared" si="7"/>
        <v>81855</v>
      </c>
      <c r="L235" s="135" t="s">
        <v>250</v>
      </c>
      <c r="M235" s="1" t="s">
        <v>293</v>
      </c>
    </row>
    <row r="236" spans="1:13" ht="24" customHeight="1">
      <c r="A236" s="73"/>
      <c r="B236" s="82"/>
      <c r="C236" s="82"/>
      <c r="D236" s="167"/>
      <c r="E236" s="82"/>
      <c r="F236" s="82"/>
      <c r="G236" s="82"/>
      <c r="H236" s="82"/>
      <c r="I236" s="82"/>
      <c r="J236" s="74" t="s">
        <v>129</v>
      </c>
      <c r="K236" s="89">
        <f>SUM(K225:K235)</f>
        <v>9374587</v>
      </c>
      <c r="L236" s="147"/>
    </row>
    <row r="237" spans="1:13" ht="24" customHeight="1">
      <c r="A237" s="62"/>
      <c r="B237" s="62" t="s">
        <v>119</v>
      </c>
      <c r="C237" s="53" t="s">
        <v>120</v>
      </c>
      <c r="H237" s="63"/>
      <c r="I237" s="63"/>
      <c r="L237" s="148"/>
    </row>
    <row r="238" spans="1:13" ht="24" customHeight="1">
      <c r="A238" s="62"/>
      <c r="C238" s="53" t="s">
        <v>121</v>
      </c>
      <c r="H238" s="63"/>
      <c r="I238" s="63"/>
      <c r="L238" s="148"/>
    </row>
    <row r="239" spans="1:13" ht="24" customHeight="1">
      <c r="A239" s="90"/>
      <c r="G239" s="68" t="s">
        <v>148</v>
      </c>
      <c r="H239" s="268" t="s">
        <v>149</v>
      </c>
      <c r="I239" s="268"/>
      <c r="J239" s="268"/>
      <c r="K239" s="2" t="s">
        <v>150</v>
      </c>
      <c r="L239" s="141"/>
    </row>
    <row r="240" spans="1:13" ht="22.5" customHeight="1">
      <c r="A240" s="90"/>
      <c r="G240" s="2"/>
      <c r="H240" s="268" t="s">
        <v>1549</v>
      </c>
      <c r="I240" s="268"/>
      <c r="J240" s="268"/>
      <c r="K240" s="2"/>
      <c r="L240" s="141"/>
    </row>
    <row r="241" spans="1:12" ht="30.75" customHeight="1">
      <c r="G241" s="68" t="s">
        <v>148</v>
      </c>
      <c r="H241" s="268" t="s">
        <v>149</v>
      </c>
      <c r="I241" s="268"/>
      <c r="J241" s="268"/>
      <c r="K241" s="2" t="s">
        <v>151</v>
      </c>
      <c r="L241" s="141"/>
    </row>
    <row r="242" spans="1:12" ht="21.75" customHeight="1">
      <c r="G242" s="2"/>
      <c r="H242" s="268" t="s">
        <v>154</v>
      </c>
      <c r="I242" s="268"/>
      <c r="J242" s="268"/>
      <c r="K242" s="2"/>
      <c r="L242" s="141"/>
    </row>
    <row r="243" spans="1:12" ht="34.5" customHeight="1">
      <c r="G243" s="68" t="s">
        <v>148</v>
      </c>
      <c r="H243" s="268" t="s">
        <v>149</v>
      </c>
      <c r="I243" s="268"/>
      <c r="J243" s="268"/>
      <c r="K243" s="2" t="s">
        <v>151</v>
      </c>
      <c r="L243" s="142"/>
    </row>
    <row r="244" spans="1:12" ht="21.75" customHeight="1">
      <c r="G244" s="2"/>
      <c r="H244" s="268" t="s">
        <v>155</v>
      </c>
      <c r="I244" s="268"/>
      <c r="J244" s="268"/>
      <c r="K244" s="2"/>
      <c r="L244" s="142"/>
    </row>
    <row r="245" spans="1:12" ht="33.75" customHeight="1">
      <c r="G245" s="68" t="s">
        <v>148</v>
      </c>
      <c r="H245" s="268" t="s">
        <v>149</v>
      </c>
      <c r="I245" s="268"/>
      <c r="J245" s="268"/>
      <c r="K245" s="2" t="s">
        <v>151</v>
      </c>
      <c r="L245" s="142"/>
    </row>
    <row r="246" spans="1:12" ht="21.75" customHeight="1">
      <c r="G246" s="2"/>
      <c r="H246" s="268" t="s">
        <v>156</v>
      </c>
      <c r="I246" s="268"/>
      <c r="J246" s="268"/>
      <c r="K246" s="2"/>
      <c r="L246" s="142"/>
    </row>
    <row r="247" spans="1:12" ht="31.5" customHeight="1">
      <c r="G247" s="68" t="s">
        <v>148</v>
      </c>
      <c r="H247" s="268" t="s">
        <v>149</v>
      </c>
      <c r="I247" s="268"/>
      <c r="J247" s="268"/>
      <c r="K247" s="67" t="s">
        <v>152</v>
      </c>
      <c r="L247" s="142"/>
    </row>
    <row r="248" spans="1:12" ht="24" customHeight="1">
      <c r="G248" s="67"/>
      <c r="H248" s="268" t="s">
        <v>157</v>
      </c>
      <c r="I248" s="268"/>
      <c r="J248" s="268"/>
      <c r="K248" s="67"/>
      <c r="L248" s="142"/>
    </row>
    <row r="249" spans="1:12" ht="24" customHeight="1">
      <c r="G249" s="67"/>
      <c r="H249" s="64"/>
      <c r="I249" s="64"/>
      <c r="J249" s="64"/>
      <c r="K249" s="67"/>
      <c r="L249" s="142"/>
    </row>
    <row r="250" spans="1:12" ht="24" customHeight="1">
      <c r="L250" s="138" t="s">
        <v>1427</v>
      </c>
    </row>
    <row r="251" spans="1:12" ht="24" customHeight="1">
      <c r="A251" s="269" t="s">
        <v>158</v>
      </c>
      <c r="B251" s="269"/>
      <c r="C251" s="269"/>
      <c r="D251" s="269"/>
      <c r="E251" s="269"/>
      <c r="F251" s="269"/>
      <c r="G251" s="269"/>
      <c r="H251" s="269"/>
      <c r="I251" s="269"/>
      <c r="J251" s="269"/>
      <c r="K251" s="269"/>
      <c r="L251" s="269"/>
    </row>
    <row r="252" spans="1:12" ht="24" customHeight="1">
      <c r="A252" s="270" t="s">
        <v>163</v>
      </c>
      <c r="B252" s="270"/>
      <c r="C252" s="270"/>
      <c r="D252" s="270"/>
      <c r="E252" s="270"/>
      <c r="F252" s="270"/>
      <c r="G252" s="270"/>
      <c r="H252" s="270"/>
      <c r="I252" s="270"/>
      <c r="J252" s="270"/>
      <c r="K252" s="270"/>
      <c r="L252" s="270"/>
    </row>
    <row r="253" spans="1:12" ht="24" customHeight="1" thickBot="1">
      <c r="A253" s="271" t="s">
        <v>164</v>
      </c>
      <c r="B253" s="271"/>
      <c r="C253" s="271"/>
      <c r="D253" s="271"/>
      <c r="E253" s="271"/>
      <c r="F253" s="271"/>
      <c r="G253" s="271"/>
      <c r="H253" s="271"/>
      <c r="I253" s="271"/>
      <c r="J253" s="271"/>
      <c r="K253" s="271"/>
      <c r="L253" s="271"/>
    </row>
    <row r="254" spans="1:12" ht="24" customHeight="1" thickTop="1">
      <c r="A254" s="272" t="s">
        <v>103</v>
      </c>
      <c r="B254" s="272" t="s">
        <v>122</v>
      </c>
      <c r="C254" s="272" t="s">
        <v>124</v>
      </c>
      <c r="D254" s="274" t="s">
        <v>0</v>
      </c>
      <c r="E254" s="272" t="s">
        <v>109</v>
      </c>
      <c r="F254" s="272" t="s">
        <v>110</v>
      </c>
      <c r="G254" s="276" t="s">
        <v>111</v>
      </c>
      <c r="H254" s="278" t="s">
        <v>1</v>
      </c>
      <c r="I254" s="279"/>
      <c r="J254" s="272" t="s">
        <v>125</v>
      </c>
      <c r="K254" s="272" t="s">
        <v>104</v>
      </c>
      <c r="L254" s="280" t="s">
        <v>112</v>
      </c>
    </row>
    <row r="255" spans="1:12" ht="46.5" customHeight="1" thickBot="1">
      <c r="A255" s="273"/>
      <c r="B255" s="273"/>
      <c r="C255" s="273"/>
      <c r="D255" s="275"/>
      <c r="E255" s="273"/>
      <c r="F255" s="273"/>
      <c r="G255" s="277"/>
      <c r="H255" s="51" t="s">
        <v>113</v>
      </c>
      <c r="I255" s="52" t="s">
        <v>114</v>
      </c>
      <c r="J255" s="273"/>
      <c r="K255" s="273"/>
      <c r="L255" s="281"/>
    </row>
    <row r="256" spans="1:12" ht="24" customHeight="1" thickTop="1">
      <c r="A256" s="35"/>
      <c r="B256" s="35"/>
      <c r="C256" s="35"/>
      <c r="D256" s="168"/>
      <c r="E256" s="35"/>
      <c r="F256" s="83"/>
      <c r="G256" s="34"/>
      <c r="H256" s="84"/>
      <c r="I256" s="85"/>
      <c r="J256" s="86" t="s">
        <v>132</v>
      </c>
      <c r="K256" s="87">
        <f>SUM(K236)</f>
        <v>9374587</v>
      </c>
      <c r="L256" s="146"/>
    </row>
    <row r="257" spans="1:13" ht="24" customHeight="1">
      <c r="A257" s="38">
        <v>81</v>
      </c>
      <c r="B257" s="58" t="s">
        <v>249</v>
      </c>
      <c r="C257" s="5" t="s">
        <v>248</v>
      </c>
      <c r="D257" s="126" t="s">
        <v>247</v>
      </c>
      <c r="E257" s="17" t="s">
        <v>3</v>
      </c>
      <c r="F257" s="18">
        <v>16</v>
      </c>
      <c r="G257" s="18" t="s">
        <v>128</v>
      </c>
      <c r="H257" s="4">
        <v>1</v>
      </c>
      <c r="I257" s="4">
        <v>1</v>
      </c>
      <c r="J257" s="3">
        <v>29000</v>
      </c>
      <c r="K257" s="3">
        <f>SUM(I257*J257)</f>
        <v>29000</v>
      </c>
      <c r="L257" s="135" t="s">
        <v>246</v>
      </c>
      <c r="M257" s="1" t="s">
        <v>293</v>
      </c>
    </row>
    <row r="258" spans="1:13" ht="24" customHeight="1">
      <c r="A258" s="38">
        <v>82</v>
      </c>
      <c r="B258" s="58" t="s">
        <v>245</v>
      </c>
      <c r="C258" s="5" t="s">
        <v>292</v>
      </c>
      <c r="D258" s="126" t="s">
        <v>291</v>
      </c>
      <c r="E258" s="18" t="s">
        <v>3</v>
      </c>
      <c r="F258" s="18">
        <v>15</v>
      </c>
      <c r="G258" s="18" t="s">
        <v>128</v>
      </c>
      <c r="H258" s="4">
        <v>1</v>
      </c>
      <c r="I258" s="4">
        <v>1</v>
      </c>
      <c r="J258" s="3">
        <v>7383</v>
      </c>
      <c r="K258" s="3">
        <f t="shared" ref="K258:K266" si="8">SUM(I258*J258)</f>
        <v>7383</v>
      </c>
      <c r="L258" s="135" t="s">
        <v>290</v>
      </c>
      <c r="M258" s="1" t="s">
        <v>293</v>
      </c>
    </row>
    <row r="259" spans="1:13" ht="24" customHeight="1">
      <c r="A259" s="38">
        <v>83</v>
      </c>
      <c r="B259" s="58" t="s">
        <v>245</v>
      </c>
      <c r="C259" s="5" t="s">
        <v>289</v>
      </c>
      <c r="D259" s="126" t="s">
        <v>288</v>
      </c>
      <c r="E259" s="18" t="s">
        <v>2</v>
      </c>
      <c r="F259" s="18">
        <v>15</v>
      </c>
      <c r="G259" s="18" t="s">
        <v>128</v>
      </c>
      <c r="H259" s="4">
        <v>1</v>
      </c>
      <c r="I259" s="4">
        <v>1</v>
      </c>
      <c r="J259" s="3">
        <v>44960</v>
      </c>
      <c r="K259" s="3">
        <f t="shared" si="8"/>
        <v>44960</v>
      </c>
      <c r="L259" s="135" t="s">
        <v>287</v>
      </c>
      <c r="M259" s="1" t="s">
        <v>293</v>
      </c>
    </row>
    <row r="260" spans="1:13" ht="24" customHeight="1">
      <c r="A260" s="38">
        <v>84</v>
      </c>
      <c r="B260" s="58" t="s">
        <v>286</v>
      </c>
      <c r="C260" s="5" t="s">
        <v>285</v>
      </c>
      <c r="D260" s="126" t="s">
        <v>284</v>
      </c>
      <c r="E260" s="18" t="s">
        <v>3</v>
      </c>
      <c r="F260" s="18">
        <v>14</v>
      </c>
      <c r="G260" s="18" t="s">
        <v>128</v>
      </c>
      <c r="H260" s="4">
        <v>1</v>
      </c>
      <c r="I260" s="4">
        <v>1</v>
      </c>
      <c r="J260" s="3">
        <v>44800</v>
      </c>
      <c r="K260" s="3">
        <f t="shared" si="8"/>
        <v>44800</v>
      </c>
      <c r="L260" s="135" t="s">
        <v>283</v>
      </c>
      <c r="M260" s="1" t="s">
        <v>293</v>
      </c>
    </row>
    <row r="261" spans="1:13" ht="24" customHeight="1">
      <c r="A261" s="38">
        <v>85</v>
      </c>
      <c r="B261" s="58" t="s">
        <v>108</v>
      </c>
      <c r="C261" s="5" t="s">
        <v>282</v>
      </c>
      <c r="D261" s="126" t="s">
        <v>281</v>
      </c>
      <c r="E261" s="18" t="s">
        <v>2</v>
      </c>
      <c r="F261" s="18">
        <v>13</v>
      </c>
      <c r="G261" s="18" t="s">
        <v>128</v>
      </c>
      <c r="H261" s="4">
        <v>1</v>
      </c>
      <c r="I261" s="4">
        <v>1</v>
      </c>
      <c r="J261" s="3">
        <v>25000</v>
      </c>
      <c r="K261" s="3">
        <f t="shared" si="8"/>
        <v>25000</v>
      </c>
      <c r="L261" s="135" t="s">
        <v>280</v>
      </c>
      <c r="M261" s="1" t="s">
        <v>293</v>
      </c>
    </row>
    <row r="262" spans="1:13" ht="24" customHeight="1">
      <c r="A262" s="38">
        <v>86</v>
      </c>
      <c r="B262" s="58" t="s">
        <v>108</v>
      </c>
      <c r="C262" s="5" t="s">
        <v>279</v>
      </c>
      <c r="D262" s="126" t="s">
        <v>278</v>
      </c>
      <c r="E262" s="18" t="s">
        <v>2</v>
      </c>
      <c r="F262" s="18">
        <v>13</v>
      </c>
      <c r="G262" s="18" t="s">
        <v>128</v>
      </c>
      <c r="H262" s="4">
        <v>1</v>
      </c>
      <c r="I262" s="4">
        <v>1</v>
      </c>
      <c r="J262" s="3">
        <v>14990</v>
      </c>
      <c r="K262" s="3">
        <f t="shared" si="8"/>
        <v>14990</v>
      </c>
      <c r="L262" s="135" t="s">
        <v>1296</v>
      </c>
      <c r="M262" s="1" t="s">
        <v>293</v>
      </c>
    </row>
    <row r="263" spans="1:13" ht="24" customHeight="1">
      <c r="A263" s="38">
        <v>87</v>
      </c>
      <c r="B263" s="58" t="s">
        <v>105</v>
      </c>
      <c r="C263" s="5" t="s">
        <v>314</v>
      </c>
      <c r="D263" s="126" t="s">
        <v>313</v>
      </c>
      <c r="E263" s="18" t="s">
        <v>2</v>
      </c>
      <c r="F263" s="18">
        <v>26</v>
      </c>
      <c r="G263" s="18" t="s">
        <v>295</v>
      </c>
      <c r="H263" s="4">
        <v>1</v>
      </c>
      <c r="I263" s="4">
        <v>1</v>
      </c>
      <c r="J263" s="3">
        <v>499900</v>
      </c>
      <c r="K263" s="3">
        <f t="shared" si="8"/>
        <v>499900</v>
      </c>
      <c r="L263" s="135" t="s">
        <v>287</v>
      </c>
      <c r="M263" s="1" t="s">
        <v>294</v>
      </c>
    </row>
    <row r="264" spans="1:13" ht="24" customHeight="1">
      <c r="A264" s="38">
        <v>88</v>
      </c>
      <c r="B264" s="58" t="s">
        <v>105</v>
      </c>
      <c r="C264" s="5" t="s">
        <v>312</v>
      </c>
      <c r="D264" s="126" t="s">
        <v>311</v>
      </c>
      <c r="E264" s="18" t="s">
        <v>2</v>
      </c>
      <c r="F264" s="18">
        <v>26</v>
      </c>
      <c r="G264" s="18" t="s">
        <v>295</v>
      </c>
      <c r="H264" s="4">
        <v>7</v>
      </c>
      <c r="I264" s="4">
        <v>7</v>
      </c>
      <c r="J264" s="3">
        <v>49972</v>
      </c>
      <c r="K264" s="3">
        <f t="shared" si="8"/>
        <v>349804</v>
      </c>
      <c r="L264" s="135" t="s">
        <v>1293</v>
      </c>
      <c r="M264" s="1" t="s">
        <v>294</v>
      </c>
    </row>
    <row r="265" spans="1:13" ht="24" customHeight="1">
      <c r="A265" s="38">
        <v>89</v>
      </c>
      <c r="B265" s="58" t="s">
        <v>105</v>
      </c>
      <c r="C265" s="5" t="s">
        <v>310</v>
      </c>
      <c r="D265" s="126" t="s">
        <v>309</v>
      </c>
      <c r="E265" s="18" t="s">
        <v>2</v>
      </c>
      <c r="F265" s="18">
        <v>26</v>
      </c>
      <c r="G265" s="18" t="s">
        <v>295</v>
      </c>
      <c r="H265" s="4">
        <v>10</v>
      </c>
      <c r="I265" s="4">
        <v>10</v>
      </c>
      <c r="J265" s="3">
        <v>14970</v>
      </c>
      <c r="K265" s="3">
        <f t="shared" si="8"/>
        <v>149700</v>
      </c>
      <c r="L265" s="135" t="s">
        <v>1289</v>
      </c>
      <c r="M265" s="1" t="s">
        <v>294</v>
      </c>
    </row>
    <row r="266" spans="1:13" ht="24" customHeight="1">
      <c r="A266" s="38">
        <v>90</v>
      </c>
      <c r="B266" s="58" t="s">
        <v>105</v>
      </c>
      <c r="C266" s="56" t="s">
        <v>308</v>
      </c>
      <c r="D266" s="126" t="s">
        <v>307</v>
      </c>
      <c r="E266" s="18" t="s">
        <v>2</v>
      </c>
      <c r="F266" s="18">
        <v>26</v>
      </c>
      <c r="G266" s="18" t="s">
        <v>295</v>
      </c>
      <c r="H266" s="4">
        <v>6</v>
      </c>
      <c r="I266" s="4">
        <v>6</v>
      </c>
      <c r="J266" s="3">
        <v>9950</v>
      </c>
      <c r="K266" s="3">
        <f t="shared" si="8"/>
        <v>59700</v>
      </c>
      <c r="L266" s="135" t="s">
        <v>1290</v>
      </c>
      <c r="M266" s="1" t="s">
        <v>294</v>
      </c>
    </row>
    <row r="267" spans="1:13" ht="24" customHeight="1">
      <c r="A267" s="73"/>
      <c r="B267" s="82"/>
      <c r="C267" s="82"/>
      <c r="D267" s="167"/>
      <c r="E267" s="82"/>
      <c r="F267" s="82"/>
      <c r="G267" s="82"/>
      <c r="H267" s="82"/>
      <c r="I267" s="82"/>
      <c r="J267" s="74" t="s">
        <v>129</v>
      </c>
      <c r="K267" s="89">
        <f>SUM(K256:K266)</f>
        <v>10599824</v>
      </c>
      <c r="L267" s="147"/>
    </row>
    <row r="268" spans="1:13" ht="24" customHeight="1">
      <c r="A268" s="62"/>
      <c r="B268" s="62" t="s">
        <v>119</v>
      </c>
      <c r="C268" s="53" t="s">
        <v>120</v>
      </c>
      <c r="H268" s="63"/>
      <c r="I268" s="63"/>
      <c r="L268" s="148"/>
    </row>
    <row r="269" spans="1:13" ht="24" customHeight="1">
      <c r="A269" s="62"/>
      <c r="C269" s="53" t="s">
        <v>121</v>
      </c>
      <c r="H269" s="63"/>
      <c r="I269" s="63"/>
      <c r="L269" s="148"/>
    </row>
    <row r="270" spans="1:13" ht="21.75" customHeight="1">
      <c r="A270" s="90"/>
      <c r="G270" s="68" t="s">
        <v>148</v>
      </c>
      <c r="H270" s="268" t="s">
        <v>149</v>
      </c>
      <c r="I270" s="268"/>
      <c r="J270" s="268"/>
      <c r="K270" s="2" t="s">
        <v>150</v>
      </c>
      <c r="L270" s="141"/>
    </row>
    <row r="271" spans="1:13" ht="22.5" customHeight="1">
      <c r="A271" s="90"/>
      <c r="G271" s="2"/>
      <c r="H271" s="268" t="s">
        <v>1549</v>
      </c>
      <c r="I271" s="268"/>
      <c r="J271" s="268"/>
      <c r="K271" s="2"/>
      <c r="L271" s="141"/>
    </row>
    <row r="272" spans="1:13" ht="35.25" customHeight="1">
      <c r="G272" s="68" t="s">
        <v>148</v>
      </c>
      <c r="H272" s="268" t="s">
        <v>149</v>
      </c>
      <c r="I272" s="268"/>
      <c r="J272" s="268"/>
      <c r="K272" s="2" t="s">
        <v>151</v>
      </c>
      <c r="L272" s="141"/>
    </row>
    <row r="273" spans="1:13" ht="24" customHeight="1">
      <c r="G273" s="2"/>
      <c r="H273" s="268" t="s">
        <v>154</v>
      </c>
      <c r="I273" s="268"/>
      <c r="J273" s="268"/>
      <c r="K273" s="2"/>
      <c r="L273" s="141"/>
    </row>
    <row r="274" spans="1:13" ht="32.25" customHeight="1">
      <c r="G274" s="68" t="s">
        <v>148</v>
      </c>
      <c r="H274" s="268" t="s">
        <v>149</v>
      </c>
      <c r="I274" s="268"/>
      <c r="J274" s="268"/>
      <c r="K274" s="2" t="s">
        <v>151</v>
      </c>
      <c r="L274" s="142"/>
    </row>
    <row r="275" spans="1:13" ht="23.25" customHeight="1">
      <c r="G275" s="2"/>
      <c r="H275" s="268" t="s">
        <v>155</v>
      </c>
      <c r="I275" s="268"/>
      <c r="J275" s="268"/>
      <c r="K275" s="2"/>
      <c r="L275" s="142"/>
    </row>
    <row r="276" spans="1:13" ht="34.5" customHeight="1">
      <c r="G276" s="68" t="s">
        <v>148</v>
      </c>
      <c r="H276" s="268" t="s">
        <v>149</v>
      </c>
      <c r="I276" s="268"/>
      <c r="J276" s="268"/>
      <c r="K276" s="2" t="s">
        <v>151</v>
      </c>
      <c r="L276" s="142"/>
    </row>
    <row r="277" spans="1:13" ht="20.25" customHeight="1">
      <c r="G277" s="2"/>
      <c r="H277" s="268" t="s">
        <v>156</v>
      </c>
      <c r="I277" s="268"/>
      <c r="J277" s="268"/>
      <c r="K277" s="2"/>
      <c r="L277" s="142"/>
    </row>
    <row r="278" spans="1:13" ht="30.75" customHeight="1">
      <c r="G278" s="68" t="s">
        <v>148</v>
      </c>
      <c r="H278" s="268" t="s">
        <v>149</v>
      </c>
      <c r="I278" s="268"/>
      <c r="J278" s="268"/>
      <c r="K278" s="67" t="s">
        <v>152</v>
      </c>
      <c r="L278" s="142"/>
    </row>
    <row r="279" spans="1:13" ht="21.75" customHeight="1">
      <c r="G279" s="67"/>
      <c r="H279" s="268" t="s">
        <v>157</v>
      </c>
      <c r="I279" s="268"/>
      <c r="J279" s="268"/>
      <c r="K279" s="67"/>
      <c r="L279" s="142"/>
    </row>
    <row r="280" spans="1:13" ht="21.75" customHeight="1">
      <c r="G280" s="67"/>
      <c r="H280" s="64"/>
      <c r="I280" s="64"/>
      <c r="J280" s="64"/>
      <c r="K280" s="67"/>
      <c r="L280" s="142"/>
    </row>
    <row r="281" spans="1:13" ht="22.5" customHeight="1">
      <c r="L281" s="138" t="s">
        <v>1428</v>
      </c>
    </row>
    <row r="282" spans="1:13" ht="22.5" customHeight="1">
      <c r="A282" s="269" t="s">
        <v>158</v>
      </c>
      <c r="B282" s="269"/>
      <c r="C282" s="269"/>
      <c r="D282" s="269"/>
      <c r="E282" s="269"/>
      <c r="F282" s="269"/>
      <c r="G282" s="269"/>
      <c r="H282" s="269"/>
      <c r="I282" s="269"/>
      <c r="J282" s="269"/>
      <c r="K282" s="269"/>
      <c r="L282" s="269"/>
    </row>
    <row r="283" spans="1:13" ht="21.75" customHeight="1">
      <c r="A283" s="270" t="s">
        <v>163</v>
      </c>
      <c r="B283" s="270"/>
      <c r="C283" s="270"/>
      <c r="D283" s="270"/>
      <c r="E283" s="270"/>
      <c r="F283" s="270"/>
      <c r="G283" s="270"/>
      <c r="H283" s="270"/>
      <c r="I283" s="270"/>
      <c r="J283" s="270"/>
      <c r="K283" s="270"/>
      <c r="L283" s="270"/>
    </row>
    <row r="284" spans="1:13" ht="24" customHeight="1" thickBot="1">
      <c r="A284" s="271" t="s">
        <v>164</v>
      </c>
      <c r="B284" s="271"/>
      <c r="C284" s="271"/>
      <c r="D284" s="271"/>
      <c r="E284" s="271"/>
      <c r="F284" s="271"/>
      <c r="G284" s="271"/>
      <c r="H284" s="271"/>
      <c r="I284" s="271"/>
      <c r="J284" s="271"/>
      <c r="K284" s="271"/>
      <c r="L284" s="271"/>
    </row>
    <row r="285" spans="1:13" ht="24" customHeight="1" thickTop="1">
      <c r="A285" s="272" t="s">
        <v>103</v>
      </c>
      <c r="B285" s="272" t="s">
        <v>122</v>
      </c>
      <c r="C285" s="272" t="s">
        <v>124</v>
      </c>
      <c r="D285" s="274" t="s">
        <v>0</v>
      </c>
      <c r="E285" s="272" t="s">
        <v>109</v>
      </c>
      <c r="F285" s="272" t="s">
        <v>110</v>
      </c>
      <c r="G285" s="276" t="s">
        <v>111</v>
      </c>
      <c r="H285" s="278" t="s">
        <v>1</v>
      </c>
      <c r="I285" s="279"/>
      <c r="J285" s="272" t="s">
        <v>125</v>
      </c>
      <c r="K285" s="272" t="s">
        <v>104</v>
      </c>
      <c r="L285" s="280" t="s">
        <v>112</v>
      </c>
    </row>
    <row r="286" spans="1:13" ht="45.75" customHeight="1" thickBot="1">
      <c r="A286" s="273"/>
      <c r="B286" s="273"/>
      <c r="C286" s="273"/>
      <c r="D286" s="275"/>
      <c r="E286" s="273"/>
      <c r="F286" s="273"/>
      <c r="G286" s="277"/>
      <c r="H286" s="51" t="s">
        <v>113</v>
      </c>
      <c r="I286" s="52" t="s">
        <v>114</v>
      </c>
      <c r="J286" s="273"/>
      <c r="K286" s="273"/>
      <c r="L286" s="281"/>
    </row>
    <row r="287" spans="1:13" ht="24" customHeight="1" thickTop="1">
      <c r="A287" s="35"/>
      <c r="B287" s="35"/>
      <c r="C287" s="35"/>
      <c r="D287" s="168"/>
      <c r="E287" s="35"/>
      <c r="F287" s="83"/>
      <c r="G287" s="34"/>
      <c r="H287" s="84"/>
      <c r="I287" s="85"/>
      <c r="J287" s="86" t="s">
        <v>132</v>
      </c>
      <c r="K287" s="87">
        <f>SUM(K267)</f>
        <v>10599824</v>
      </c>
      <c r="L287" s="146"/>
    </row>
    <row r="288" spans="1:13" ht="24" customHeight="1">
      <c r="A288" s="29">
        <v>91</v>
      </c>
      <c r="B288" s="58" t="s">
        <v>105</v>
      </c>
      <c r="C288" s="91" t="s">
        <v>334</v>
      </c>
      <c r="D288" s="164" t="s">
        <v>333</v>
      </c>
      <c r="E288" s="18" t="s">
        <v>2</v>
      </c>
      <c r="F288" s="18">
        <v>26</v>
      </c>
      <c r="G288" s="18" t="s">
        <v>295</v>
      </c>
      <c r="H288" s="30">
        <v>1</v>
      </c>
      <c r="I288" s="30">
        <v>1</v>
      </c>
      <c r="J288" s="11">
        <v>484700</v>
      </c>
      <c r="K288" s="12">
        <f>SUM(I288*J288)</f>
        <v>484700</v>
      </c>
      <c r="L288" s="135" t="s">
        <v>1291</v>
      </c>
      <c r="M288" s="1" t="s">
        <v>294</v>
      </c>
    </row>
    <row r="289" spans="1:13" ht="24" customHeight="1">
      <c r="A289" s="29">
        <v>92</v>
      </c>
      <c r="B289" s="58" t="s">
        <v>105</v>
      </c>
      <c r="C289" s="5" t="s">
        <v>332</v>
      </c>
      <c r="D289" s="125" t="s">
        <v>331</v>
      </c>
      <c r="E289" s="18" t="s">
        <v>2</v>
      </c>
      <c r="F289" s="18">
        <v>26</v>
      </c>
      <c r="G289" s="18" t="s">
        <v>295</v>
      </c>
      <c r="H289" s="4">
        <v>2</v>
      </c>
      <c r="I289" s="4">
        <v>2</v>
      </c>
      <c r="J289" s="3">
        <v>9975</v>
      </c>
      <c r="K289" s="12">
        <f t="shared" ref="K289:K297" si="9">SUM(I289*J289)</f>
        <v>19950</v>
      </c>
      <c r="L289" s="135" t="s">
        <v>1292</v>
      </c>
      <c r="M289" s="1" t="s">
        <v>294</v>
      </c>
    </row>
    <row r="290" spans="1:13" ht="24" customHeight="1">
      <c r="A290" s="29">
        <v>93</v>
      </c>
      <c r="B290" s="58" t="s">
        <v>105</v>
      </c>
      <c r="C290" s="5" t="s">
        <v>330</v>
      </c>
      <c r="D290" s="125" t="s">
        <v>329</v>
      </c>
      <c r="E290" s="18" t="s">
        <v>2</v>
      </c>
      <c r="F290" s="18">
        <v>26</v>
      </c>
      <c r="G290" s="18" t="s">
        <v>295</v>
      </c>
      <c r="H290" s="4">
        <v>2</v>
      </c>
      <c r="I290" s="4">
        <v>2</v>
      </c>
      <c r="J290" s="3">
        <v>17200</v>
      </c>
      <c r="K290" s="12">
        <f t="shared" si="9"/>
        <v>34400</v>
      </c>
      <c r="L290" s="135" t="s">
        <v>1293</v>
      </c>
      <c r="M290" s="1" t="s">
        <v>294</v>
      </c>
    </row>
    <row r="291" spans="1:13" ht="24" customHeight="1">
      <c r="A291" s="29">
        <v>94</v>
      </c>
      <c r="B291" s="58" t="s">
        <v>105</v>
      </c>
      <c r="C291" s="56" t="s">
        <v>328</v>
      </c>
      <c r="D291" s="125" t="s">
        <v>327</v>
      </c>
      <c r="E291" s="18" t="s">
        <v>2</v>
      </c>
      <c r="F291" s="18">
        <v>26</v>
      </c>
      <c r="G291" s="18" t="s">
        <v>295</v>
      </c>
      <c r="H291" s="4">
        <v>2</v>
      </c>
      <c r="I291" s="4">
        <v>2</v>
      </c>
      <c r="J291" s="3">
        <v>7950</v>
      </c>
      <c r="K291" s="12">
        <f t="shared" si="9"/>
        <v>15900</v>
      </c>
      <c r="L291" s="135" t="s">
        <v>1292</v>
      </c>
      <c r="M291" s="1" t="s">
        <v>294</v>
      </c>
    </row>
    <row r="292" spans="1:13" ht="24" customHeight="1">
      <c r="A292" s="29">
        <v>95</v>
      </c>
      <c r="B292" s="58" t="s">
        <v>105</v>
      </c>
      <c r="C292" s="56" t="s">
        <v>326</v>
      </c>
      <c r="D292" s="125" t="s">
        <v>325</v>
      </c>
      <c r="E292" s="18" t="s">
        <v>2</v>
      </c>
      <c r="F292" s="18">
        <v>26</v>
      </c>
      <c r="G292" s="18" t="s">
        <v>295</v>
      </c>
      <c r="H292" s="4">
        <v>1</v>
      </c>
      <c r="I292" s="4">
        <v>1</v>
      </c>
      <c r="J292" s="3">
        <v>79500</v>
      </c>
      <c r="K292" s="12">
        <f t="shared" si="9"/>
        <v>79500</v>
      </c>
      <c r="L292" s="135" t="s">
        <v>1294</v>
      </c>
      <c r="M292" s="1" t="s">
        <v>294</v>
      </c>
    </row>
    <row r="293" spans="1:13" s="7" customFormat="1" ht="45.75" customHeight="1">
      <c r="A293" s="190">
        <v>96</v>
      </c>
      <c r="B293" s="92" t="s">
        <v>105</v>
      </c>
      <c r="C293" s="93" t="s">
        <v>324</v>
      </c>
      <c r="D293" s="170" t="s">
        <v>323</v>
      </c>
      <c r="E293" s="42" t="s">
        <v>2</v>
      </c>
      <c r="F293" s="42">
        <v>26</v>
      </c>
      <c r="G293" s="42" t="s">
        <v>295</v>
      </c>
      <c r="H293" s="94">
        <v>2</v>
      </c>
      <c r="I293" s="94">
        <v>2</v>
      </c>
      <c r="J293" s="41">
        <v>7925</v>
      </c>
      <c r="K293" s="95">
        <f t="shared" si="9"/>
        <v>15850</v>
      </c>
      <c r="L293" s="149" t="s">
        <v>1295</v>
      </c>
      <c r="M293" s="1" t="s">
        <v>294</v>
      </c>
    </row>
    <row r="294" spans="1:13" ht="24" customHeight="1">
      <c r="A294" s="29">
        <v>97</v>
      </c>
      <c r="B294" s="58" t="s">
        <v>106</v>
      </c>
      <c r="C294" s="5" t="s">
        <v>322</v>
      </c>
      <c r="D294" s="126" t="s">
        <v>321</v>
      </c>
      <c r="E294" s="18" t="s">
        <v>2</v>
      </c>
      <c r="F294" s="17">
        <v>25</v>
      </c>
      <c r="G294" s="18" t="s">
        <v>295</v>
      </c>
      <c r="H294" s="4">
        <v>1</v>
      </c>
      <c r="I294" s="4">
        <v>1</v>
      </c>
      <c r="J294" s="3">
        <v>925000</v>
      </c>
      <c r="K294" s="12">
        <f t="shared" si="9"/>
        <v>925000</v>
      </c>
      <c r="L294" s="135" t="s">
        <v>1293</v>
      </c>
      <c r="M294" s="1" t="s">
        <v>294</v>
      </c>
    </row>
    <row r="295" spans="1:13" ht="24" customHeight="1">
      <c r="A295" s="29">
        <v>98</v>
      </c>
      <c r="B295" s="58" t="s">
        <v>106</v>
      </c>
      <c r="C295" s="5" t="s">
        <v>320</v>
      </c>
      <c r="D295" s="126" t="s">
        <v>319</v>
      </c>
      <c r="E295" s="18" t="s">
        <v>2</v>
      </c>
      <c r="F295" s="17">
        <v>25</v>
      </c>
      <c r="G295" s="18" t="s">
        <v>295</v>
      </c>
      <c r="H295" s="4">
        <v>1</v>
      </c>
      <c r="I295" s="4">
        <v>1</v>
      </c>
      <c r="J295" s="3">
        <v>541900</v>
      </c>
      <c r="K295" s="12">
        <f t="shared" si="9"/>
        <v>541900</v>
      </c>
      <c r="L295" s="135" t="s">
        <v>1293</v>
      </c>
      <c r="M295" s="1" t="s">
        <v>294</v>
      </c>
    </row>
    <row r="296" spans="1:13" ht="24" customHeight="1">
      <c r="A296" s="29">
        <v>99</v>
      </c>
      <c r="B296" s="58" t="s">
        <v>106</v>
      </c>
      <c r="C296" s="5" t="s">
        <v>318</v>
      </c>
      <c r="D296" s="126" t="s">
        <v>317</v>
      </c>
      <c r="E296" s="18" t="s">
        <v>2</v>
      </c>
      <c r="F296" s="17">
        <v>25</v>
      </c>
      <c r="G296" s="18" t="s">
        <v>295</v>
      </c>
      <c r="H296" s="4">
        <v>1</v>
      </c>
      <c r="I296" s="4">
        <v>1</v>
      </c>
      <c r="J296" s="3">
        <v>121300</v>
      </c>
      <c r="K296" s="12">
        <f t="shared" si="9"/>
        <v>121300</v>
      </c>
      <c r="L296" s="135" t="s">
        <v>1293</v>
      </c>
      <c r="M296" s="1" t="s">
        <v>294</v>
      </c>
    </row>
    <row r="297" spans="1:13" ht="24" customHeight="1">
      <c r="A297" s="29">
        <v>100</v>
      </c>
      <c r="B297" s="58" t="s">
        <v>106</v>
      </c>
      <c r="C297" s="5" t="s">
        <v>316</v>
      </c>
      <c r="D297" s="126" t="s">
        <v>315</v>
      </c>
      <c r="E297" s="18" t="s">
        <v>2</v>
      </c>
      <c r="F297" s="17">
        <v>25</v>
      </c>
      <c r="G297" s="18" t="s">
        <v>295</v>
      </c>
      <c r="H297" s="4">
        <v>5</v>
      </c>
      <c r="I297" s="4">
        <v>5</v>
      </c>
      <c r="J297" s="3">
        <v>89880</v>
      </c>
      <c r="K297" s="12">
        <f t="shared" si="9"/>
        <v>449400</v>
      </c>
      <c r="L297" s="135" t="s">
        <v>1293</v>
      </c>
      <c r="M297" s="1" t="s">
        <v>294</v>
      </c>
    </row>
    <row r="298" spans="1:13" ht="24" customHeight="1">
      <c r="A298" s="73"/>
      <c r="B298" s="82"/>
      <c r="C298" s="82"/>
      <c r="D298" s="167"/>
      <c r="E298" s="82"/>
      <c r="F298" s="82"/>
      <c r="G298" s="82"/>
      <c r="H298" s="82"/>
      <c r="I298" s="82"/>
      <c r="J298" s="74" t="s">
        <v>129</v>
      </c>
      <c r="K298" s="89">
        <f>SUM(K287:K297)</f>
        <v>13287724</v>
      </c>
      <c r="L298" s="147"/>
    </row>
    <row r="299" spans="1:13" ht="21.75" customHeight="1">
      <c r="A299" s="62"/>
      <c r="B299" s="62" t="s">
        <v>119</v>
      </c>
      <c r="C299" s="53" t="s">
        <v>120</v>
      </c>
      <c r="H299" s="63"/>
      <c r="I299" s="63"/>
      <c r="L299" s="148"/>
    </row>
    <row r="300" spans="1:13" ht="22.5" customHeight="1">
      <c r="A300" s="62"/>
      <c r="C300" s="53" t="s">
        <v>121</v>
      </c>
      <c r="H300" s="63"/>
      <c r="I300" s="63"/>
      <c r="L300" s="148"/>
    </row>
    <row r="301" spans="1:13" ht="21.75" customHeight="1">
      <c r="A301" s="90"/>
      <c r="G301" s="68" t="s">
        <v>148</v>
      </c>
      <c r="H301" s="268" t="s">
        <v>149</v>
      </c>
      <c r="I301" s="268"/>
      <c r="J301" s="268"/>
      <c r="K301" s="2" t="s">
        <v>150</v>
      </c>
      <c r="L301" s="141"/>
    </row>
    <row r="302" spans="1:13" ht="21.75" customHeight="1">
      <c r="A302" s="90"/>
      <c r="G302" s="2"/>
      <c r="H302" s="268" t="s">
        <v>1549</v>
      </c>
      <c r="I302" s="268"/>
      <c r="J302" s="268"/>
      <c r="K302" s="2"/>
      <c r="L302" s="141"/>
    </row>
    <row r="303" spans="1:13" ht="36" customHeight="1">
      <c r="G303" s="68" t="s">
        <v>148</v>
      </c>
      <c r="H303" s="268" t="s">
        <v>149</v>
      </c>
      <c r="I303" s="268"/>
      <c r="J303" s="268"/>
      <c r="K303" s="2" t="s">
        <v>151</v>
      </c>
      <c r="L303" s="141"/>
    </row>
    <row r="304" spans="1:13" ht="21.75" customHeight="1">
      <c r="G304" s="2"/>
      <c r="H304" s="268" t="s">
        <v>154</v>
      </c>
      <c r="I304" s="268"/>
      <c r="J304" s="268"/>
      <c r="K304" s="2"/>
      <c r="L304" s="141"/>
    </row>
    <row r="305" spans="1:13" ht="32.25" customHeight="1">
      <c r="G305" s="68" t="s">
        <v>148</v>
      </c>
      <c r="H305" s="268" t="s">
        <v>149</v>
      </c>
      <c r="I305" s="268"/>
      <c r="J305" s="268"/>
      <c r="K305" s="2" t="s">
        <v>151</v>
      </c>
      <c r="L305" s="142"/>
    </row>
    <row r="306" spans="1:13" ht="21.75" customHeight="1">
      <c r="G306" s="2"/>
      <c r="H306" s="268" t="s">
        <v>155</v>
      </c>
      <c r="I306" s="268"/>
      <c r="J306" s="268"/>
      <c r="K306" s="2"/>
      <c r="L306" s="142"/>
    </row>
    <row r="307" spans="1:13" ht="27" customHeight="1">
      <c r="G307" s="68" t="s">
        <v>148</v>
      </c>
      <c r="H307" s="268" t="s">
        <v>149</v>
      </c>
      <c r="I307" s="268"/>
      <c r="J307" s="268"/>
      <c r="K307" s="2" t="s">
        <v>151</v>
      </c>
      <c r="L307" s="142"/>
    </row>
    <row r="308" spans="1:13" ht="18.75" customHeight="1">
      <c r="G308" s="2"/>
      <c r="H308" s="268" t="s">
        <v>156</v>
      </c>
      <c r="I308" s="268"/>
      <c r="J308" s="268"/>
      <c r="K308" s="2"/>
      <c r="L308" s="142"/>
    </row>
    <row r="309" spans="1:13" ht="29.25" customHeight="1">
      <c r="G309" s="68" t="s">
        <v>148</v>
      </c>
      <c r="H309" s="268" t="s">
        <v>149</v>
      </c>
      <c r="I309" s="268"/>
      <c r="J309" s="268"/>
      <c r="K309" s="67" t="s">
        <v>152</v>
      </c>
      <c r="L309" s="142"/>
    </row>
    <row r="310" spans="1:13" ht="23.25" customHeight="1">
      <c r="G310" s="67"/>
      <c r="H310" s="268" t="s">
        <v>157</v>
      </c>
      <c r="I310" s="268"/>
      <c r="J310" s="268"/>
      <c r="K310" s="67"/>
      <c r="L310" s="142"/>
    </row>
    <row r="311" spans="1:13" ht="23.25" customHeight="1">
      <c r="G311" s="67"/>
      <c r="H311" s="64"/>
      <c r="I311" s="64"/>
      <c r="J311" s="64"/>
      <c r="K311" s="67"/>
      <c r="L311" s="142"/>
    </row>
    <row r="312" spans="1:13" ht="21.75" customHeight="1">
      <c r="L312" s="138" t="s">
        <v>1429</v>
      </c>
    </row>
    <row r="313" spans="1:13" ht="24" customHeight="1">
      <c r="A313" s="269" t="s">
        <v>158</v>
      </c>
      <c r="B313" s="269"/>
      <c r="C313" s="269"/>
      <c r="D313" s="269"/>
      <c r="E313" s="269"/>
      <c r="F313" s="269"/>
      <c r="G313" s="269"/>
      <c r="H313" s="269"/>
      <c r="I313" s="269"/>
      <c r="J313" s="269"/>
      <c r="K313" s="269"/>
      <c r="L313" s="269"/>
    </row>
    <row r="314" spans="1:13" ht="24" customHeight="1">
      <c r="A314" s="270" t="s">
        <v>163</v>
      </c>
      <c r="B314" s="270"/>
      <c r="C314" s="270"/>
      <c r="D314" s="270"/>
      <c r="E314" s="270"/>
      <c r="F314" s="270"/>
      <c r="G314" s="270"/>
      <c r="H314" s="270"/>
      <c r="I314" s="270"/>
      <c r="J314" s="270"/>
      <c r="K314" s="270"/>
      <c r="L314" s="270"/>
    </row>
    <row r="315" spans="1:13" ht="24" customHeight="1" thickBot="1">
      <c r="A315" s="271" t="s">
        <v>164</v>
      </c>
      <c r="B315" s="271"/>
      <c r="C315" s="271"/>
      <c r="D315" s="271"/>
      <c r="E315" s="271"/>
      <c r="F315" s="271"/>
      <c r="G315" s="271"/>
      <c r="H315" s="271"/>
      <c r="I315" s="271"/>
      <c r="J315" s="271"/>
      <c r="K315" s="271"/>
      <c r="L315" s="271"/>
    </row>
    <row r="316" spans="1:13" ht="24" customHeight="1" thickTop="1">
      <c r="A316" s="272" t="s">
        <v>103</v>
      </c>
      <c r="B316" s="272" t="s">
        <v>122</v>
      </c>
      <c r="C316" s="272" t="s">
        <v>124</v>
      </c>
      <c r="D316" s="274" t="s">
        <v>0</v>
      </c>
      <c r="E316" s="272" t="s">
        <v>109</v>
      </c>
      <c r="F316" s="272" t="s">
        <v>110</v>
      </c>
      <c r="G316" s="276" t="s">
        <v>111</v>
      </c>
      <c r="H316" s="278" t="s">
        <v>1</v>
      </c>
      <c r="I316" s="279"/>
      <c r="J316" s="272" t="s">
        <v>125</v>
      </c>
      <c r="K316" s="272" t="s">
        <v>104</v>
      </c>
      <c r="L316" s="280" t="s">
        <v>112</v>
      </c>
    </row>
    <row r="317" spans="1:13" ht="45.75" customHeight="1" thickBot="1">
      <c r="A317" s="273"/>
      <c r="B317" s="273"/>
      <c r="C317" s="273"/>
      <c r="D317" s="275"/>
      <c r="E317" s="273"/>
      <c r="F317" s="273"/>
      <c r="G317" s="277"/>
      <c r="H317" s="51" t="s">
        <v>113</v>
      </c>
      <c r="I317" s="52" t="s">
        <v>114</v>
      </c>
      <c r="J317" s="273"/>
      <c r="K317" s="273"/>
      <c r="L317" s="281"/>
    </row>
    <row r="318" spans="1:13" ht="24" customHeight="1" thickTop="1">
      <c r="A318" s="35"/>
      <c r="B318" s="35"/>
      <c r="C318" s="35"/>
      <c r="D318" s="168"/>
      <c r="E318" s="35"/>
      <c r="F318" s="83"/>
      <c r="G318" s="34"/>
      <c r="H318" s="84"/>
      <c r="I318" s="85"/>
      <c r="J318" s="86" t="s">
        <v>132</v>
      </c>
      <c r="K318" s="87">
        <f>SUM(K298)</f>
        <v>13287724</v>
      </c>
      <c r="L318" s="146"/>
    </row>
    <row r="319" spans="1:13" ht="24" customHeight="1">
      <c r="A319" s="29">
        <v>101</v>
      </c>
      <c r="B319" s="58" t="s">
        <v>106</v>
      </c>
      <c r="C319" s="5" t="s">
        <v>356</v>
      </c>
      <c r="D319" s="126" t="s">
        <v>355</v>
      </c>
      <c r="E319" s="18" t="s">
        <v>2</v>
      </c>
      <c r="F319" s="17">
        <v>25</v>
      </c>
      <c r="G319" s="18" t="s">
        <v>295</v>
      </c>
      <c r="H319" s="4">
        <v>5</v>
      </c>
      <c r="I319" s="4">
        <v>5</v>
      </c>
      <c r="J319" s="3">
        <v>34882</v>
      </c>
      <c r="K319" s="12">
        <f>SUM(I319*J319)</f>
        <v>174410</v>
      </c>
      <c r="L319" s="135" t="s">
        <v>1293</v>
      </c>
      <c r="M319" s="1" t="s">
        <v>294</v>
      </c>
    </row>
    <row r="320" spans="1:13" ht="24" customHeight="1">
      <c r="A320" s="29">
        <v>102</v>
      </c>
      <c r="B320" s="58" t="s">
        <v>106</v>
      </c>
      <c r="C320" s="5" t="s">
        <v>354</v>
      </c>
      <c r="D320" s="126" t="s">
        <v>353</v>
      </c>
      <c r="E320" s="18" t="s">
        <v>2</v>
      </c>
      <c r="F320" s="17">
        <v>25</v>
      </c>
      <c r="G320" s="18" t="s">
        <v>295</v>
      </c>
      <c r="H320" s="4">
        <v>5</v>
      </c>
      <c r="I320" s="4">
        <v>5</v>
      </c>
      <c r="J320" s="3">
        <v>34882</v>
      </c>
      <c r="K320" s="12">
        <f t="shared" ref="K320:K328" si="10">SUM(I320*J320)</f>
        <v>174410</v>
      </c>
      <c r="L320" s="135" t="s">
        <v>1293</v>
      </c>
      <c r="M320" s="1" t="s">
        <v>294</v>
      </c>
    </row>
    <row r="321" spans="1:13" ht="24" customHeight="1">
      <c r="A321" s="29">
        <v>103</v>
      </c>
      <c r="B321" s="58" t="s">
        <v>106</v>
      </c>
      <c r="C321" s="5" t="s">
        <v>352</v>
      </c>
      <c r="D321" s="126" t="s">
        <v>351</v>
      </c>
      <c r="E321" s="18" t="s">
        <v>2</v>
      </c>
      <c r="F321" s="17">
        <v>25</v>
      </c>
      <c r="G321" s="18" t="s">
        <v>295</v>
      </c>
      <c r="H321" s="4">
        <v>1</v>
      </c>
      <c r="I321" s="4">
        <v>1</v>
      </c>
      <c r="J321" s="3">
        <v>499690</v>
      </c>
      <c r="K321" s="12">
        <f t="shared" si="10"/>
        <v>499690</v>
      </c>
      <c r="L321" s="135" t="s">
        <v>1293</v>
      </c>
      <c r="M321" s="1" t="s">
        <v>294</v>
      </c>
    </row>
    <row r="322" spans="1:13" ht="24" customHeight="1">
      <c r="A322" s="29">
        <v>104</v>
      </c>
      <c r="B322" s="58" t="s">
        <v>106</v>
      </c>
      <c r="C322" s="5" t="s">
        <v>350</v>
      </c>
      <c r="D322" s="126" t="s">
        <v>349</v>
      </c>
      <c r="E322" s="18" t="s">
        <v>2</v>
      </c>
      <c r="F322" s="17">
        <v>25</v>
      </c>
      <c r="G322" s="18" t="s">
        <v>295</v>
      </c>
      <c r="H322" s="4">
        <v>1</v>
      </c>
      <c r="I322" s="4">
        <v>1</v>
      </c>
      <c r="J322" s="3">
        <v>179760</v>
      </c>
      <c r="K322" s="12">
        <f t="shared" si="10"/>
        <v>179760</v>
      </c>
      <c r="L322" s="135" t="s">
        <v>1293</v>
      </c>
      <c r="M322" s="1" t="s">
        <v>294</v>
      </c>
    </row>
    <row r="323" spans="1:13" ht="24" customHeight="1">
      <c r="A323" s="29">
        <v>105</v>
      </c>
      <c r="B323" s="58" t="s">
        <v>106</v>
      </c>
      <c r="C323" s="56" t="s">
        <v>348</v>
      </c>
      <c r="D323" s="126" t="s">
        <v>347</v>
      </c>
      <c r="E323" s="18" t="s">
        <v>2</v>
      </c>
      <c r="F323" s="17">
        <v>25</v>
      </c>
      <c r="G323" s="18" t="s">
        <v>295</v>
      </c>
      <c r="H323" s="4">
        <v>5</v>
      </c>
      <c r="I323" s="4">
        <v>5</v>
      </c>
      <c r="J323" s="3">
        <v>92234</v>
      </c>
      <c r="K323" s="12">
        <f t="shared" si="10"/>
        <v>461170</v>
      </c>
      <c r="L323" s="135" t="s">
        <v>1293</v>
      </c>
      <c r="M323" s="1" t="s">
        <v>294</v>
      </c>
    </row>
    <row r="324" spans="1:13" ht="24" customHeight="1">
      <c r="A324" s="29">
        <v>106</v>
      </c>
      <c r="B324" s="58" t="s">
        <v>106</v>
      </c>
      <c r="C324" s="56" t="s">
        <v>346</v>
      </c>
      <c r="D324" s="126" t="s">
        <v>345</v>
      </c>
      <c r="E324" s="18" t="s">
        <v>2</v>
      </c>
      <c r="F324" s="17">
        <v>25</v>
      </c>
      <c r="G324" s="18" t="s">
        <v>295</v>
      </c>
      <c r="H324" s="4">
        <v>5</v>
      </c>
      <c r="I324" s="4">
        <v>5</v>
      </c>
      <c r="J324" s="3">
        <v>59706</v>
      </c>
      <c r="K324" s="12">
        <f t="shared" si="10"/>
        <v>298530</v>
      </c>
      <c r="L324" s="135" t="s">
        <v>1293</v>
      </c>
      <c r="M324" s="1" t="s">
        <v>294</v>
      </c>
    </row>
    <row r="325" spans="1:13" ht="24" customHeight="1">
      <c r="A325" s="29">
        <v>107</v>
      </c>
      <c r="B325" s="17">
        <v>2541</v>
      </c>
      <c r="C325" s="56" t="s">
        <v>344</v>
      </c>
      <c r="D325" s="126" t="s">
        <v>343</v>
      </c>
      <c r="E325" s="18" t="s">
        <v>2</v>
      </c>
      <c r="F325" s="17">
        <v>24</v>
      </c>
      <c r="G325" s="18" t="s">
        <v>128</v>
      </c>
      <c r="H325" s="4">
        <v>1</v>
      </c>
      <c r="I325" s="4">
        <v>1</v>
      </c>
      <c r="J325" s="3">
        <v>200000</v>
      </c>
      <c r="K325" s="12">
        <f t="shared" si="10"/>
        <v>200000</v>
      </c>
      <c r="L325" s="137" t="s">
        <v>1491</v>
      </c>
      <c r="M325" s="1" t="s">
        <v>294</v>
      </c>
    </row>
    <row r="326" spans="1:13" ht="24" customHeight="1">
      <c r="A326" s="29">
        <v>108</v>
      </c>
      <c r="B326" s="17">
        <v>2541</v>
      </c>
      <c r="C326" s="56" t="s">
        <v>342</v>
      </c>
      <c r="D326" s="126" t="s">
        <v>341</v>
      </c>
      <c r="E326" s="18" t="s">
        <v>2</v>
      </c>
      <c r="F326" s="17">
        <v>24</v>
      </c>
      <c r="G326" s="18" t="s">
        <v>128</v>
      </c>
      <c r="H326" s="4">
        <v>1</v>
      </c>
      <c r="I326" s="4">
        <v>1</v>
      </c>
      <c r="J326" s="3">
        <v>48950</v>
      </c>
      <c r="K326" s="12">
        <f t="shared" si="10"/>
        <v>48950</v>
      </c>
      <c r="L326" s="137" t="s">
        <v>246</v>
      </c>
      <c r="M326" s="1" t="s">
        <v>294</v>
      </c>
    </row>
    <row r="327" spans="1:13" ht="24" customHeight="1">
      <c r="A327" s="29">
        <v>109</v>
      </c>
      <c r="B327" s="17">
        <v>2541</v>
      </c>
      <c r="C327" s="56" t="s">
        <v>340</v>
      </c>
      <c r="D327" s="126" t="s">
        <v>339</v>
      </c>
      <c r="E327" s="18" t="s">
        <v>2</v>
      </c>
      <c r="F327" s="17">
        <v>24</v>
      </c>
      <c r="G327" s="18" t="s">
        <v>128</v>
      </c>
      <c r="H327" s="4">
        <v>1</v>
      </c>
      <c r="I327" s="4">
        <v>1</v>
      </c>
      <c r="J327" s="3">
        <v>29700</v>
      </c>
      <c r="K327" s="12">
        <f t="shared" si="10"/>
        <v>29700</v>
      </c>
      <c r="L327" s="137" t="s">
        <v>338</v>
      </c>
      <c r="M327" s="1" t="s">
        <v>294</v>
      </c>
    </row>
    <row r="328" spans="1:13" ht="24" customHeight="1">
      <c r="A328" s="29">
        <v>110</v>
      </c>
      <c r="B328" s="17">
        <v>2541</v>
      </c>
      <c r="C328" s="56" t="s">
        <v>337</v>
      </c>
      <c r="D328" s="126" t="s">
        <v>336</v>
      </c>
      <c r="E328" s="18" t="s">
        <v>2</v>
      </c>
      <c r="F328" s="17">
        <v>24</v>
      </c>
      <c r="G328" s="18" t="s">
        <v>128</v>
      </c>
      <c r="H328" s="4">
        <v>1</v>
      </c>
      <c r="I328" s="4">
        <v>1</v>
      </c>
      <c r="J328" s="3">
        <v>115060</v>
      </c>
      <c r="K328" s="12">
        <f t="shared" si="10"/>
        <v>115060</v>
      </c>
      <c r="L328" s="137" t="s">
        <v>335</v>
      </c>
      <c r="M328" s="1" t="s">
        <v>294</v>
      </c>
    </row>
    <row r="329" spans="1:13" ht="24" customHeight="1">
      <c r="A329" s="73"/>
      <c r="B329" s="82"/>
      <c r="C329" s="82"/>
      <c r="D329" s="167"/>
      <c r="E329" s="82"/>
      <c r="F329" s="82"/>
      <c r="G329" s="82"/>
      <c r="H329" s="82"/>
      <c r="I329" s="82"/>
      <c r="J329" s="74" t="s">
        <v>129</v>
      </c>
      <c r="K329" s="89">
        <f>SUM(K318:K328)</f>
        <v>15469404</v>
      </c>
      <c r="L329" s="147"/>
    </row>
    <row r="330" spans="1:13" ht="24" customHeight="1">
      <c r="A330" s="62"/>
      <c r="B330" s="62" t="s">
        <v>119</v>
      </c>
      <c r="C330" s="53" t="s">
        <v>120</v>
      </c>
      <c r="H330" s="63"/>
      <c r="I330" s="63"/>
      <c r="L330" s="148"/>
    </row>
    <row r="331" spans="1:13" ht="24" customHeight="1">
      <c r="A331" s="62"/>
      <c r="C331" s="53" t="s">
        <v>121</v>
      </c>
      <c r="H331" s="63"/>
      <c r="I331" s="63"/>
      <c r="L331" s="148"/>
    </row>
    <row r="332" spans="1:13" ht="24" customHeight="1">
      <c r="A332" s="90"/>
      <c r="G332" s="68" t="s">
        <v>148</v>
      </c>
      <c r="H332" s="268" t="s">
        <v>149</v>
      </c>
      <c r="I332" s="268"/>
      <c r="J332" s="268"/>
      <c r="K332" s="2" t="s">
        <v>150</v>
      </c>
      <c r="L332" s="141"/>
    </row>
    <row r="333" spans="1:13" ht="20.25" customHeight="1">
      <c r="A333" s="90"/>
      <c r="G333" s="2"/>
      <c r="H333" s="268" t="s">
        <v>1549</v>
      </c>
      <c r="I333" s="268"/>
      <c r="J333" s="268"/>
      <c r="K333" s="2"/>
      <c r="L333" s="141"/>
    </row>
    <row r="334" spans="1:13" ht="34.5" customHeight="1">
      <c r="G334" s="68" t="s">
        <v>148</v>
      </c>
      <c r="H334" s="268" t="s">
        <v>149</v>
      </c>
      <c r="I334" s="268"/>
      <c r="J334" s="268"/>
      <c r="K334" s="2" t="s">
        <v>151</v>
      </c>
      <c r="L334" s="141"/>
    </row>
    <row r="335" spans="1:13" ht="21.75" customHeight="1">
      <c r="G335" s="2"/>
      <c r="H335" s="268" t="s">
        <v>154</v>
      </c>
      <c r="I335" s="268"/>
      <c r="J335" s="268"/>
      <c r="K335" s="2"/>
      <c r="L335" s="141"/>
    </row>
    <row r="336" spans="1:13" ht="33" customHeight="1">
      <c r="G336" s="68" t="s">
        <v>148</v>
      </c>
      <c r="H336" s="268" t="s">
        <v>149</v>
      </c>
      <c r="I336" s="268"/>
      <c r="J336" s="268"/>
      <c r="K336" s="2" t="s">
        <v>151</v>
      </c>
      <c r="L336" s="142"/>
    </row>
    <row r="337" spans="1:13" ht="21.75" customHeight="1">
      <c r="G337" s="2"/>
      <c r="H337" s="268" t="s">
        <v>155</v>
      </c>
      <c r="I337" s="268"/>
      <c r="J337" s="268"/>
      <c r="K337" s="2"/>
      <c r="L337" s="142"/>
    </row>
    <row r="338" spans="1:13" ht="34.5" customHeight="1">
      <c r="G338" s="68" t="s">
        <v>148</v>
      </c>
      <c r="H338" s="268" t="s">
        <v>149</v>
      </c>
      <c r="I338" s="268"/>
      <c r="J338" s="268"/>
      <c r="K338" s="2" t="s">
        <v>151</v>
      </c>
      <c r="L338" s="142"/>
    </row>
    <row r="339" spans="1:13" ht="22.5" customHeight="1">
      <c r="G339" s="2"/>
      <c r="H339" s="268" t="s">
        <v>156</v>
      </c>
      <c r="I339" s="268"/>
      <c r="J339" s="268"/>
      <c r="K339" s="2"/>
      <c r="L339" s="142"/>
    </row>
    <row r="340" spans="1:13" ht="33" customHeight="1">
      <c r="G340" s="68" t="s">
        <v>148</v>
      </c>
      <c r="H340" s="268" t="s">
        <v>149</v>
      </c>
      <c r="I340" s="268"/>
      <c r="J340" s="268"/>
      <c r="K340" s="67" t="s">
        <v>152</v>
      </c>
      <c r="L340" s="142"/>
    </row>
    <row r="341" spans="1:13" ht="24" customHeight="1">
      <c r="G341" s="67"/>
      <c r="H341" s="268" t="s">
        <v>157</v>
      </c>
      <c r="I341" s="268"/>
      <c r="J341" s="268"/>
      <c r="K341" s="67"/>
      <c r="L341" s="142"/>
    </row>
    <row r="342" spans="1:13" ht="24" customHeight="1">
      <c r="G342" s="67"/>
      <c r="H342" s="64"/>
      <c r="I342" s="64"/>
      <c r="J342" s="64"/>
      <c r="K342" s="67"/>
      <c r="L342" s="142"/>
    </row>
    <row r="343" spans="1:13" ht="22.5" customHeight="1">
      <c r="L343" s="138" t="s">
        <v>1430</v>
      </c>
    </row>
    <row r="344" spans="1:13" ht="24" customHeight="1">
      <c r="A344" s="269" t="s">
        <v>158</v>
      </c>
      <c r="B344" s="269"/>
      <c r="C344" s="269"/>
      <c r="D344" s="269"/>
      <c r="E344" s="269"/>
      <c r="F344" s="269"/>
      <c r="G344" s="269"/>
      <c r="H344" s="269"/>
      <c r="I344" s="269"/>
      <c r="J344" s="269"/>
      <c r="K344" s="269"/>
      <c r="L344" s="269"/>
    </row>
    <row r="345" spans="1:13" ht="24" customHeight="1">
      <c r="A345" s="270" t="s">
        <v>163</v>
      </c>
      <c r="B345" s="270"/>
      <c r="C345" s="270"/>
      <c r="D345" s="270"/>
      <c r="E345" s="270"/>
      <c r="F345" s="270"/>
      <c r="G345" s="270"/>
      <c r="H345" s="270"/>
      <c r="I345" s="270"/>
      <c r="J345" s="270"/>
      <c r="K345" s="270"/>
      <c r="L345" s="270"/>
    </row>
    <row r="346" spans="1:13" ht="24" customHeight="1" thickBot="1">
      <c r="A346" s="271" t="s">
        <v>164</v>
      </c>
      <c r="B346" s="271"/>
      <c r="C346" s="271"/>
      <c r="D346" s="271"/>
      <c r="E346" s="271"/>
      <c r="F346" s="271"/>
      <c r="G346" s="271"/>
      <c r="H346" s="271"/>
      <c r="I346" s="271"/>
      <c r="J346" s="271"/>
      <c r="K346" s="271"/>
      <c r="L346" s="271"/>
    </row>
    <row r="347" spans="1:13" ht="24" customHeight="1" thickTop="1">
      <c r="A347" s="272" t="s">
        <v>103</v>
      </c>
      <c r="B347" s="272" t="s">
        <v>122</v>
      </c>
      <c r="C347" s="272" t="s">
        <v>124</v>
      </c>
      <c r="D347" s="274" t="s">
        <v>0</v>
      </c>
      <c r="E347" s="272" t="s">
        <v>109</v>
      </c>
      <c r="F347" s="272" t="s">
        <v>110</v>
      </c>
      <c r="G347" s="276" t="s">
        <v>111</v>
      </c>
      <c r="H347" s="278" t="s">
        <v>1</v>
      </c>
      <c r="I347" s="279"/>
      <c r="J347" s="272" t="s">
        <v>125</v>
      </c>
      <c r="K347" s="272" t="s">
        <v>104</v>
      </c>
      <c r="L347" s="280" t="s">
        <v>112</v>
      </c>
    </row>
    <row r="348" spans="1:13" ht="45" customHeight="1" thickBot="1">
      <c r="A348" s="273"/>
      <c r="B348" s="273"/>
      <c r="C348" s="273"/>
      <c r="D348" s="275"/>
      <c r="E348" s="273"/>
      <c r="F348" s="273"/>
      <c r="G348" s="277"/>
      <c r="H348" s="51" t="s">
        <v>113</v>
      </c>
      <c r="I348" s="52" t="s">
        <v>114</v>
      </c>
      <c r="J348" s="273"/>
      <c r="K348" s="273"/>
      <c r="L348" s="281"/>
    </row>
    <row r="349" spans="1:13" ht="24" customHeight="1" thickTop="1">
      <c r="A349" s="35"/>
      <c r="B349" s="35"/>
      <c r="C349" s="35"/>
      <c r="D349" s="168"/>
      <c r="E349" s="35"/>
      <c r="F349" s="83"/>
      <c r="G349" s="34"/>
      <c r="H349" s="84"/>
      <c r="I349" s="85"/>
      <c r="J349" s="86" t="s">
        <v>132</v>
      </c>
      <c r="K349" s="87">
        <f>SUM(K329)</f>
        <v>15469404</v>
      </c>
      <c r="L349" s="146"/>
    </row>
    <row r="350" spans="1:13" ht="24" customHeight="1">
      <c r="A350" s="29">
        <v>111</v>
      </c>
      <c r="B350" s="17">
        <v>2541</v>
      </c>
      <c r="C350" s="5" t="s">
        <v>381</v>
      </c>
      <c r="D350" s="126" t="s">
        <v>380</v>
      </c>
      <c r="E350" s="18" t="s">
        <v>2</v>
      </c>
      <c r="F350" s="17">
        <v>24</v>
      </c>
      <c r="G350" s="18" t="s">
        <v>128</v>
      </c>
      <c r="H350" s="4">
        <v>1</v>
      </c>
      <c r="I350" s="4">
        <v>1</v>
      </c>
      <c r="J350" s="3">
        <v>46750</v>
      </c>
      <c r="K350" s="12">
        <f>SUM(I350*J350)</f>
        <v>46750</v>
      </c>
      <c r="L350" s="137" t="s">
        <v>379</v>
      </c>
      <c r="M350" s="1" t="s">
        <v>294</v>
      </c>
    </row>
    <row r="351" spans="1:13" ht="24" customHeight="1">
      <c r="A351" s="29">
        <v>112</v>
      </c>
      <c r="B351" s="17">
        <v>2541</v>
      </c>
      <c r="C351" s="56" t="s">
        <v>378</v>
      </c>
      <c r="D351" s="163" t="s">
        <v>377</v>
      </c>
      <c r="E351" s="18" t="s">
        <v>2</v>
      </c>
      <c r="F351" s="17">
        <v>24</v>
      </c>
      <c r="G351" s="18" t="s">
        <v>128</v>
      </c>
      <c r="H351" s="4">
        <v>1</v>
      </c>
      <c r="I351" s="4">
        <v>1</v>
      </c>
      <c r="J351" s="12">
        <v>44990</v>
      </c>
      <c r="K351" s="12">
        <f t="shared" ref="K351:K359" si="11">SUM(I351*J351)</f>
        <v>44990</v>
      </c>
      <c r="L351" s="137" t="s">
        <v>1344</v>
      </c>
      <c r="M351" s="1" t="s">
        <v>294</v>
      </c>
    </row>
    <row r="352" spans="1:13" ht="24" customHeight="1">
      <c r="A352" s="29">
        <v>113</v>
      </c>
      <c r="B352" s="58" t="s">
        <v>365</v>
      </c>
      <c r="C352" s="5" t="s">
        <v>376</v>
      </c>
      <c r="D352" s="126" t="s">
        <v>375</v>
      </c>
      <c r="E352" s="18" t="s">
        <v>2</v>
      </c>
      <c r="F352" s="17">
        <v>23</v>
      </c>
      <c r="G352" s="18" t="s">
        <v>128</v>
      </c>
      <c r="H352" s="4">
        <v>1</v>
      </c>
      <c r="I352" s="4">
        <v>1</v>
      </c>
      <c r="J352" s="3">
        <v>271500</v>
      </c>
      <c r="K352" s="12">
        <f t="shared" si="11"/>
        <v>271500</v>
      </c>
      <c r="L352" s="137" t="s">
        <v>213</v>
      </c>
      <c r="M352" s="1" t="s">
        <v>294</v>
      </c>
    </row>
    <row r="353" spans="1:13" ht="24" customHeight="1">
      <c r="A353" s="29">
        <v>114</v>
      </c>
      <c r="B353" s="58" t="s">
        <v>365</v>
      </c>
      <c r="C353" s="5" t="s">
        <v>374</v>
      </c>
      <c r="D353" s="126" t="s">
        <v>373</v>
      </c>
      <c r="E353" s="18" t="s">
        <v>2</v>
      </c>
      <c r="F353" s="17">
        <v>23</v>
      </c>
      <c r="G353" s="18" t="s">
        <v>128</v>
      </c>
      <c r="H353" s="4">
        <v>1</v>
      </c>
      <c r="I353" s="4">
        <v>1</v>
      </c>
      <c r="J353" s="3">
        <v>58300</v>
      </c>
      <c r="K353" s="12">
        <f t="shared" si="11"/>
        <v>58300</v>
      </c>
      <c r="L353" s="137" t="s">
        <v>1479</v>
      </c>
      <c r="M353" s="1" t="s">
        <v>294</v>
      </c>
    </row>
    <row r="354" spans="1:13" ht="24" customHeight="1">
      <c r="A354" s="29">
        <v>115</v>
      </c>
      <c r="B354" s="58" t="s">
        <v>365</v>
      </c>
      <c r="C354" s="5" t="s">
        <v>372</v>
      </c>
      <c r="D354" s="126" t="s">
        <v>371</v>
      </c>
      <c r="E354" s="18" t="s">
        <v>2</v>
      </c>
      <c r="F354" s="17">
        <v>23</v>
      </c>
      <c r="G354" s="18" t="s">
        <v>128</v>
      </c>
      <c r="H354" s="4">
        <v>1</v>
      </c>
      <c r="I354" s="4">
        <v>1</v>
      </c>
      <c r="J354" s="3">
        <v>46200</v>
      </c>
      <c r="K354" s="12">
        <f t="shared" si="11"/>
        <v>46200</v>
      </c>
      <c r="L354" s="137" t="s">
        <v>1480</v>
      </c>
      <c r="M354" s="1" t="s">
        <v>294</v>
      </c>
    </row>
    <row r="355" spans="1:13" ht="24" customHeight="1">
      <c r="A355" s="29">
        <v>116</v>
      </c>
      <c r="B355" s="58" t="s">
        <v>365</v>
      </c>
      <c r="C355" s="5" t="s">
        <v>370</v>
      </c>
      <c r="D355" s="126" t="s">
        <v>369</v>
      </c>
      <c r="E355" s="18" t="s">
        <v>2</v>
      </c>
      <c r="F355" s="17">
        <v>23</v>
      </c>
      <c r="G355" s="18" t="s">
        <v>128</v>
      </c>
      <c r="H355" s="4">
        <v>1</v>
      </c>
      <c r="I355" s="4">
        <v>1</v>
      </c>
      <c r="J355" s="3">
        <v>42900</v>
      </c>
      <c r="K355" s="12">
        <f t="shared" si="11"/>
        <v>42900</v>
      </c>
      <c r="L355" s="137" t="s">
        <v>368</v>
      </c>
      <c r="M355" s="1" t="s">
        <v>294</v>
      </c>
    </row>
    <row r="356" spans="1:13" ht="24" customHeight="1">
      <c r="A356" s="29">
        <v>117</v>
      </c>
      <c r="B356" s="58" t="s">
        <v>365</v>
      </c>
      <c r="C356" s="5" t="s">
        <v>367</v>
      </c>
      <c r="D356" s="126" t="s">
        <v>366</v>
      </c>
      <c r="E356" s="18" t="s">
        <v>2</v>
      </c>
      <c r="F356" s="17">
        <v>23</v>
      </c>
      <c r="G356" s="18" t="s">
        <v>128</v>
      </c>
      <c r="H356" s="4">
        <v>1</v>
      </c>
      <c r="I356" s="4">
        <v>1</v>
      </c>
      <c r="J356" s="3">
        <v>11000</v>
      </c>
      <c r="K356" s="12">
        <f t="shared" si="11"/>
        <v>11000</v>
      </c>
      <c r="L356" s="137" t="s">
        <v>1297</v>
      </c>
      <c r="M356" s="1" t="s">
        <v>294</v>
      </c>
    </row>
    <row r="357" spans="1:13" ht="24" customHeight="1">
      <c r="A357" s="29">
        <v>118</v>
      </c>
      <c r="B357" s="58" t="s">
        <v>365</v>
      </c>
      <c r="C357" s="5" t="s">
        <v>364</v>
      </c>
      <c r="D357" s="126" t="s">
        <v>363</v>
      </c>
      <c r="E357" s="18" t="s">
        <v>2</v>
      </c>
      <c r="F357" s="17">
        <v>23</v>
      </c>
      <c r="G357" s="18" t="s">
        <v>128</v>
      </c>
      <c r="H357" s="4">
        <v>1</v>
      </c>
      <c r="I357" s="4">
        <v>1</v>
      </c>
      <c r="J357" s="3">
        <v>12100</v>
      </c>
      <c r="K357" s="12">
        <f t="shared" si="11"/>
        <v>12100</v>
      </c>
      <c r="L357" s="137" t="s">
        <v>1297</v>
      </c>
      <c r="M357" s="1" t="s">
        <v>294</v>
      </c>
    </row>
    <row r="358" spans="1:13" ht="24" customHeight="1">
      <c r="A358" s="29">
        <v>119</v>
      </c>
      <c r="B358" s="29">
        <v>2545</v>
      </c>
      <c r="C358" s="5" t="s">
        <v>362</v>
      </c>
      <c r="D358" s="126" t="s">
        <v>361</v>
      </c>
      <c r="E358" s="18" t="s">
        <v>2</v>
      </c>
      <c r="F358" s="17">
        <v>20</v>
      </c>
      <c r="G358" s="18" t="s">
        <v>128</v>
      </c>
      <c r="H358" s="4">
        <v>1</v>
      </c>
      <c r="I358" s="4">
        <v>1</v>
      </c>
      <c r="J358" s="3">
        <v>176550</v>
      </c>
      <c r="K358" s="12">
        <f t="shared" si="11"/>
        <v>176550</v>
      </c>
      <c r="L358" s="137" t="s">
        <v>360</v>
      </c>
      <c r="M358" s="1" t="s">
        <v>294</v>
      </c>
    </row>
    <row r="359" spans="1:13" ht="24" customHeight="1">
      <c r="A359" s="29">
        <v>120</v>
      </c>
      <c r="B359" s="29">
        <v>2545</v>
      </c>
      <c r="C359" s="5" t="s">
        <v>359</v>
      </c>
      <c r="D359" s="126" t="s">
        <v>358</v>
      </c>
      <c r="E359" s="18" t="s">
        <v>2</v>
      </c>
      <c r="F359" s="17">
        <v>20</v>
      </c>
      <c r="G359" s="18" t="s">
        <v>128</v>
      </c>
      <c r="H359" s="4">
        <v>1</v>
      </c>
      <c r="I359" s="4">
        <v>1</v>
      </c>
      <c r="J359" s="96">
        <v>131182</v>
      </c>
      <c r="K359" s="12">
        <f t="shared" si="11"/>
        <v>131182</v>
      </c>
      <c r="L359" s="137" t="s">
        <v>357</v>
      </c>
      <c r="M359" s="1" t="s">
        <v>294</v>
      </c>
    </row>
    <row r="360" spans="1:13" ht="24" customHeight="1">
      <c r="A360" s="73"/>
      <c r="B360" s="82"/>
      <c r="C360" s="82"/>
      <c r="D360" s="167"/>
      <c r="E360" s="82"/>
      <c r="F360" s="82"/>
      <c r="G360" s="82"/>
      <c r="H360" s="82"/>
      <c r="I360" s="82"/>
      <c r="J360" s="74" t="s">
        <v>129</v>
      </c>
      <c r="K360" s="89">
        <f>SUM(K349:K359)</f>
        <v>16310876</v>
      </c>
      <c r="L360" s="147"/>
    </row>
    <row r="361" spans="1:13" ht="24" customHeight="1">
      <c r="A361" s="62"/>
      <c r="B361" s="62" t="s">
        <v>119</v>
      </c>
      <c r="C361" s="53" t="s">
        <v>120</v>
      </c>
      <c r="H361" s="63"/>
      <c r="I361" s="63"/>
      <c r="L361" s="148"/>
    </row>
    <row r="362" spans="1:13" ht="24" customHeight="1">
      <c r="A362" s="62"/>
      <c r="C362" s="53" t="s">
        <v>121</v>
      </c>
      <c r="H362" s="63"/>
      <c r="I362" s="63"/>
      <c r="L362" s="148"/>
    </row>
    <row r="363" spans="1:13" ht="22.5" customHeight="1">
      <c r="A363" s="90"/>
      <c r="G363" s="68" t="s">
        <v>148</v>
      </c>
      <c r="H363" s="268" t="s">
        <v>149</v>
      </c>
      <c r="I363" s="268"/>
      <c r="J363" s="268"/>
      <c r="K363" s="2" t="s">
        <v>150</v>
      </c>
      <c r="L363" s="141"/>
    </row>
    <row r="364" spans="1:13" ht="23.25" customHeight="1">
      <c r="A364" s="90"/>
      <c r="G364" s="2"/>
      <c r="H364" s="268" t="s">
        <v>1549</v>
      </c>
      <c r="I364" s="268"/>
      <c r="J364" s="268"/>
      <c r="K364" s="2"/>
      <c r="L364" s="141"/>
    </row>
    <row r="365" spans="1:13" ht="33.75" customHeight="1">
      <c r="G365" s="68" t="s">
        <v>148</v>
      </c>
      <c r="H365" s="268" t="s">
        <v>149</v>
      </c>
      <c r="I365" s="268"/>
      <c r="J365" s="268"/>
      <c r="K365" s="2" t="s">
        <v>151</v>
      </c>
      <c r="L365" s="141"/>
    </row>
    <row r="366" spans="1:13" ht="21.75" customHeight="1">
      <c r="G366" s="2"/>
      <c r="H366" s="268" t="s">
        <v>154</v>
      </c>
      <c r="I366" s="268"/>
      <c r="J366" s="268"/>
      <c r="K366" s="2"/>
      <c r="L366" s="141"/>
    </row>
    <row r="367" spans="1:13" ht="37.5" customHeight="1">
      <c r="G367" s="68" t="s">
        <v>148</v>
      </c>
      <c r="H367" s="268" t="s">
        <v>149</v>
      </c>
      <c r="I367" s="268"/>
      <c r="J367" s="268"/>
      <c r="K367" s="2" t="s">
        <v>151</v>
      </c>
      <c r="L367" s="142"/>
    </row>
    <row r="368" spans="1:13" ht="22.5" customHeight="1">
      <c r="G368" s="2"/>
      <c r="H368" s="268" t="s">
        <v>155</v>
      </c>
      <c r="I368" s="268"/>
      <c r="J368" s="268"/>
      <c r="K368" s="2"/>
      <c r="L368" s="142"/>
    </row>
    <row r="369" spans="1:13" ht="33" customHeight="1">
      <c r="G369" s="68" t="s">
        <v>148</v>
      </c>
      <c r="H369" s="268" t="s">
        <v>149</v>
      </c>
      <c r="I369" s="268"/>
      <c r="J369" s="268"/>
      <c r="K369" s="2" t="s">
        <v>151</v>
      </c>
      <c r="L369" s="142"/>
    </row>
    <row r="370" spans="1:13" ht="20.25" customHeight="1">
      <c r="G370" s="2"/>
      <c r="H370" s="268" t="s">
        <v>156</v>
      </c>
      <c r="I370" s="268"/>
      <c r="J370" s="268"/>
      <c r="K370" s="2"/>
      <c r="L370" s="142"/>
    </row>
    <row r="371" spans="1:13" ht="29.25" customHeight="1">
      <c r="G371" s="68" t="s">
        <v>148</v>
      </c>
      <c r="H371" s="268" t="s">
        <v>149</v>
      </c>
      <c r="I371" s="268"/>
      <c r="J371" s="268"/>
      <c r="K371" s="67" t="s">
        <v>152</v>
      </c>
      <c r="L371" s="142"/>
    </row>
    <row r="372" spans="1:13" ht="24" customHeight="1">
      <c r="G372" s="67"/>
      <c r="H372" s="268" t="s">
        <v>157</v>
      </c>
      <c r="I372" s="268"/>
      <c r="J372" s="268"/>
      <c r="K372" s="67"/>
      <c r="L372" s="142"/>
    </row>
    <row r="373" spans="1:13" ht="24" customHeight="1">
      <c r="G373" s="67"/>
      <c r="H373" s="64"/>
      <c r="I373" s="64"/>
      <c r="J373" s="64"/>
      <c r="K373" s="67"/>
      <c r="L373" s="142"/>
    </row>
    <row r="374" spans="1:13" ht="21.75" customHeight="1">
      <c r="L374" s="138" t="s">
        <v>1431</v>
      </c>
    </row>
    <row r="375" spans="1:13" ht="24" customHeight="1">
      <c r="A375" s="269" t="s">
        <v>158</v>
      </c>
      <c r="B375" s="269"/>
      <c r="C375" s="269"/>
      <c r="D375" s="269"/>
      <c r="E375" s="269"/>
      <c r="F375" s="269"/>
      <c r="G375" s="269"/>
      <c r="H375" s="269"/>
      <c r="I375" s="269"/>
      <c r="J375" s="269"/>
      <c r="K375" s="269"/>
      <c r="L375" s="269"/>
    </row>
    <row r="376" spans="1:13" ht="24" customHeight="1">
      <c r="A376" s="270" t="s">
        <v>163</v>
      </c>
      <c r="B376" s="270"/>
      <c r="C376" s="270"/>
      <c r="D376" s="270"/>
      <c r="E376" s="270"/>
      <c r="F376" s="270"/>
      <c r="G376" s="270"/>
      <c r="H376" s="270"/>
      <c r="I376" s="270"/>
      <c r="J376" s="270"/>
      <c r="K376" s="270"/>
      <c r="L376" s="270"/>
    </row>
    <row r="377" spans="1:13" ht="24" customHeight="1" thickBot="1">
      <c r="A377" s="271" t="s">
        <v>164</v>
      </c>
      <c r="B377" s="271"/>
      <c r="C377" s="271"/>
      <c r="D377" s="271"/>
      <c r="E377" s="271"/>
      <c r="F377" s="271"/>
      <c r="G377" s="271"/>
      <c r="H377" s="271"/>
      <c r="I377" s="271"/>
      <c r="J377" s="271"/>
      <c r="K377" s="271"/>
      <c r="L377" s="271"/>
    </row>
    <row r="378" spans="1:13" ht="24" customHeight="1" thickTop="1">
      <c r="A378" s="272" t="s">
        <v>103</v>
      </c>
      <c r="B378" s="272" t="s">
        <v>122</v>
      </c>
      <c r="C378" s="272" t="s">
        <v>124</v>
      </c>
      <c r="D378" s="274" t="s">
        <v>0</v>
      </c>
      <c r="E378" s="272" t="s">
        <v>109</v>
      </c>
      <c r="F378" s="272" t="s">
        <v>110</v>
      </c>
      <c r="G378" s="276" t="s">
        <v>111</v>
      </c>
      <c r="H378" s="278" t="s">
        <v>1</v>
      </c>
      <c r="I378" s="279"/>
      <c r="J378" s="272" t="s">
        <v>125</v>
      </c>
      <c r="K378" s="272" t="s">
        <v>104</v>
      </c>
      <c r="L378" s="280" t="s">
        <v>112</v>
      </c>
    </row>
    <row r="379" spans="1:13" ht="45.75" customHeight="1" thickBot="1">
      <c r="A379" s="273"/>
      <c r="B379" s="273"/>
      <c r="C379" s="273"/>
      <c r="D379" s="275"/>
      <c r="E379" s="273"/>
      <c r="F379" s="273"/>
      <c r="G379" s="277"/>
      <c r="H379" s="51" t="s">
        <v>113</v>
      </c>
      <c r="I379" s="52" t="s">
        <v>114</v>
      </c>
      <c r="J379" s="273"/>
      <c r="K379" s="273"/>
      <c r="L379" s="281"/>
    </row>
    <row r="380" spans="1:13" ht="24" customHeight="1" thickTop="1">
      <c r="A380" s="97"/>
      <c r="B380" s="13"/>
      <c r="C380" s="50"/>
      <c r="D380" s="171"/>
      <c r="E380" s="97"/>
      <c r="F380" s="97"/>
      <c r="G380" s="97"/>
      <c r="H380" s="97"/>
      <c r="I380" s="97"/>
      <c r="J380" s="86" t="s">
        <v>132</v>
      </c>
      <c r="K380" s="87">
        <f>SUM(K360)</f>
        <v>16310876</v>
      </c>
      <c r="L380" s="143"/>
      <c r="M380" s="1" t="s">
        <v>1457</v>
      </c>
    </row>
    <row r="381" spans="1:13" s="131" customFormat="1">
      <c r="A381" s="123">
        <v>121</v>
      </c>
      <c r="B381" s="124" t="s">
        <v>396</v>
      </c>
      <c r="C381" s="5" t="s">
        <v>395</v>
      </c>
      <c r="D381" s="126" t="s">
        <v>393</v>
      </c>
      <c r="E381" s="127" t="s">
        <v>98</v>
      </c>
      <c r="F381" s="128">
        <v>19</v>
      </c>
      <c r="G381" s="128" t="s">
        <v>383</v>
      </c>
      <c r="H381" s="129">
        <v>1</v>
      </c>
      <c r="I381" s="129">
        <v>1</v>
      </c>
      <c r="J381" s="130">
        <v>69950</v>
      </c>
      <c r="K381" s="130">
        <f>SUM(I381*J381)</f>
        <v>69950</v>
      </c>
      <c r="L381" s="135" t="s">
        <v>382</v>
      </c>
      <c r="M381" s="131" t="s">
        <v>397</v>
      </c>
    </row>
    <row r="382" spans="1:13" s="131" customFormat="1">
      <c r="A382" s="123">
        <v>122</v>
      </c>
      <c r="B382" s="124" t="s">
        <v>107</v>
      </c>
      <c r="C382" s="5" t="s">
        <v>394</v>
      </c>
      <c r="D382" s="126" t="s">
        <v>393</v>
      </c>
      <c r="E382" s="127" t="s">
        <v>98</v>
      </c>
      <c r="F382" s="128">
        <v>19</v>
      </c>
      <c r="G382" s="128" t="s">
        <v>383</v>
      </c>
      <c r="H382" s="129">
        <v>1</v>
      </c>
      <c r="I382" s="129">
        <v>1</v>
      </c>
      <c r="J382" s="130">
        <v>86000</v>
      </c>
      <c r="K382" s="130">
        <f t="shared" ref="K382:K390" si="12">SUM(I382*J382)</f>
        <v>86000</v>
      </c>
      <c r="L382" s="135" t="s">
        <v>382</v>
      </c>
      <c r="M382" s="131" t="s">
        <v>397</v>
      </c>
    </row>
    <row r="383" spans="1:13" s="131" customFormat="1">
      <c r="A383" s="123">
        <v>123</v>
      </c>
      <c r="B383" s="132" t="s">
        <v>386</v>
      </c>
      <c r="C383" s="5" t="s">
        <v>392</v>
      </c>
      <c r="D383" s="133" t="s">
        <v>391</v>
      </c>
      <c r="E383" s="127" t="s">
        <v>98</v>
      </c>
      <c r="F383" s="128">
        <v>3</v>
      </c>
      <c r="G383" s="128" t="s">
        <v>383</v>
      </c>
      <c r="H383" s="129">
        <v>6</v>
      </c>
      <c r="I383" s="129">
        <v>6</v>
      </c>
      <c r="J383" s="130">
        <v>38000</v>
      </c>
      <c r="K383" s="130">
        <f t="shared" si="12"/>
        <v>228000</v>
      </c>
      <c r="L383" s="135" t="s">
        <v>382</v>
      </c>
      <c r="M383" s="131" t="s">
        <v>397</v>
      </c>
    </row>
    <row r="384" spans="1:13" s="131" customFormat="1">
      <c r="A384" s="123">
        <v>124</v>
      </c>
      <c r="B384" s="132" t="s">
        <v>386</v>
      </c>
      <c r="C384" s="5" t="s">
        <v>390</v>
      </c>
      <c r="D384" s="133" t="s">
        <v>389</v>
      </c>
      <c r="E384" s="127" t="s">
        <v>98</v>
      </c>
      <c r="F384" s="128">
        <v>3</v>
      </c>
      <c r="G384" s="128" t="s">
        <v>383</v>
      </c>
      <c r="H384" s="129">
        <v>2</v>
      </c>
      <c r="I384" s="129">
        <v>2</v>
      </c>
      <c r="J384" s="130">
        <v>31000</v>
      </c>
      <c r="K384" s="130">
        <f t="shared" si="12"/>
        <v>62000</v>
      </c>
      <c r="L384" s="135" t="s">
        <v>382</v>
      </c>
      <c r="M384" s="131" t="s">
        <v>397</v>
      </c>
    </row>
    <row r="385" spans="1:13" s="131" customFormat="1">
      <c r="A385" s="123">
        <v>125</v>
      </c>
      <c r="B385" s="132" t="s">
        <v>386</v>
      </c>
      <c r="C385" s="5" t="s">
        <v>388</v>
      </c>
      <c r="D385" s="133" t="s">
        <v>387</v>
      </c>
      <c r="E385" s="127" t="s">
        <v>98</v>
      </c>
      <c r="F385" s="128">
        <v>3</v>
      </c>
      <c r="G385" s="128" t="s">
        <v>383</v>
      </c>
      <c r="H385" s="129">
        <v>1</v>
      </c>
      <c r="I385" s="129">
        <v>1</v>
      </c>
      <c r="J385" s="130">
        <v>35000</v>
      </c>
      <c r="K385" s="130">
        <f t="shared" si="12"/>
        <v>35000</v>
      </c>
      <c r="L385" s="135" t="s">
        <v>382</v>
      </c>
      <c r="M385" s="131" t="s">
        <v>397</v>
      </c>
    </row>
    <row r="386" spans="1:13" s="131" customFormat="1" ht="24" customHeight="1">
      <c r="A386" s="123">
        <v>126</v>
      </c>
      <c r="B386" s="132" t="s">
        <v>386</v>
      </c>
      <c r="C386" s="5" t="s">
        <v>385</v>
      </c>
      <c r="D386" s="133" t="s">
        <v>384</v>
      </c>
      <c r="E386" s="127" t="s">
        <v>98</v>
      </c>
      <c r="F386" s="128">
        <v>3</v>
      </c>
      <c r="G386" s="128" t="s">
        <v>383</v>
      </c>
      <c r="H386" s="129">
        <v>1</v>
      </c>
      <c r="I386" s="129">
        <v>1</v>
      </c>
      <c r="J386" s="130">
        <v>25000</v>
      </c>
      <c r="K386" s="130">
        <f t="shared" si="12"/>
        <v>25000</v>
      </c>
      <c r="L386" s="135" t="s">
        <v>382</v>
      </c>
      <c r="M386" s="131" t="s">
        <v>397</v>
      </c>
    </row>
    <row r="387" spans="1:13" s="131" customFormat="1">
      <c r="A387" s="123">
        <v>127</v>
      </c>
      <c r="B387" s="134" t="s">
        <v>105</v>
      </c>
      <c r="C387" s="5" t="s">
        <v>415</v>
      </c>
      <c r="D387" s="126" t="s">
        <v>414</v>
      </c>
      <c r="E387" s="127" t="s">
        <v>2</v>
      </c>
      <c r="F387" s="127">
        <v>26</v>
      </c>
      <c r="G387" s="127">
        <v>2</v>
      </c>
      <c r="H387" s="127">
        <v>1</v>
      </c>
      <c r="I387" s="129">
        <v>1</v>
      </c>
      <c r="J387" s="130">
        <v>15400</v>
      </c>
      <c r="K387" s="130">
        <f t="shared" si="12"/>
        <v>15400</v>
      </c>
      <c r="L387" s="135" t="s">
        <v>1492</v>
      </c>
      <c r="M387" s="131" t="s">
        <v>402</v>
      </c>
    </row>
    <row r="388" spans="1:13">
      <c r="A388" s="123">
        <v>128</v>
      </c>
      <c r="B388" s="29">
        <v>2539</v>
      </c>
      <c r="C388" s="5" t="s">
        <v>413</v>
      </c>
      <c r="D388" s="126" t="s">
        <v>412</v>
      </c>
      <c r="E388" s="18" t="s">
        <v>2</v>
      </c>
      <c r="F388" s="18">
        <v>26</v>
      </c>
      <c r="G388" s="18" t="s">
        <v>128</v>
      </c>
      <c r="H388" s="18">
        <v>1</v>
      </c>
      <c r="I388" s="4">
        <v>1</v>
      </c>
      <c r="J388" s="3">
        <v>40000</v>
      </c>
      <c r="K388" s="130">
        <f t="shared" si="12"/>
        <v>40000</v>
      </c>
      <c r="L388" s="135" t="s">
        <v>287</v>
      </c>
      <c r="M388" s="1" t="s">
        <v>402</v>
      </c>
    </row>
    <row r="389" spans="1:13">
      <c r="A389" s="123">
        <v>129</v>
      </c>
      <c r="B389" s="29">
        <v>2539</v>
      </c>
      <c r="C389" s="5" t="s">
        <v>411</v>
      </c>
      <c r="D389" s="126" t="s">
        <v>410</v>
      </c>
      <c r="E389" s="18" t="s">
        <v>2</v>
      </c>
      <c r="F389" s="18">
        <v>26</v>
      </c>
      <c r="G389" s="18">
        <v>2</v>
      </c>
      <c r="H389" s="18">
        <v>1</v>
      </c>
      <c r="I389" s="4">
        <v>1</v>
      </c>
      <c r="J389" s="3">
        <v>199700</v>
      </c>
      <c r="K389" s="130">
        <f t="shared" si="12"/>
        <v>199700</v>
      </c>
      <c r="L389" s="135" t="s">
        <v>1288</v>
      </c>
      <c r="M389" s="1" t="s">
        <v>402</v>
      </c>
    </row>
    <row r="390" spans="1:13">
      <c r="A390" s="123">
        <v>130</v>
      </c>
      <c r="B390" s="29">
        <v>2546</v>
      </c>
      <c r="C390" s="5" t="s">
        <v>409</v>
      </c>
      <c r="D390" s="126" t="s">
        <v>5</v>
      </c>
      <c r="E390" s="18" t="s">
        <v>3</v>
      </c>
      <c r="F390" s="18">
        <v>19</v>
      </c>
      <c r="G390" s="18">
        <v>5</v>
      </c>
      <c r="H390" s="18">
        <v>1</v>
      </c>
      <c r="I390" s="4">
        <v>1</v>
      </c>
      <c r="J390" s="3">
        <v>33000</v>
      </c>
      <c r="K390" s="130">
        <f t="shared" si="12"/>
        <v>33000</v>
      </c>
      <c r="L390" s="135" t="s">
        <v>408</v>
      </c>
      <c r="M390" s="1" t="s">
        <v>402</v>
      </c>
    </row>
    <row r="391" spans="1:13" ht="24" customHeight="1">
      <c r="A391" s="73"/>
      <c r="B391" s="82"/>
      <c r="C391" s="82"/>
      <c r="D391" s="167"/>
      <c r="E391" s="82"/>
      <c r="F391" s="82"/>
      <c r="G391" s="82"/>
      <c r="H391" s="82"/>
      <c r="I391" s="82"/>
      <c r="J391" s="74" t="s">
        <v>129</v>
      </c>
      <c r="K391" s="89">
        <f>SUM(K380:K390)</f>
        <v>17104926</v>
      </c>
      <c r="L391" s="147"/>
    </row>
    <row r="392" spans="1:13" ht="24" customHeight="1">
      <c r="A392" s="62"/>
      <c r="B392" s="62" t="s">
        <v>119</v>
      </c>
      <c r="C392" s="53" t="s">
        <v>120</v>
      </c>
      <c r="H392" s="63"/>
      <c r="I392" s="63"/>
      <c r="L392" s="148"/>
    </row>
    <row r="393" spans="1:13" ht="24" customHeight="1">
      <c r="A393" s="62"/>
      <c r="C393" s="53" t="s">
        <v>121</v>
      </c>
      <c r="H393" s="63"/>
      <c r="I393" s="63"/>
      <c r="L393" s="148"/>
    </row>
    <row r="394" spans="1:13" ht="22.5" customHeight="1">
      <c r="A394" s="90"/>
      <c r="G394" s="68" t="s">
        <v>148</v>
      </c>
      <c r="H394" s="268" t="s">
        <v>149</v>
      </c>
      <c r="I394" s="268"/>
      <c r="J394" s="268"/>
      <c r="K394" s="2" t="s">
        <v>150</v>
      </c>
      <c r="L394" s="141"/>
    </row>
    <row r="395" spans="1:13" ht="23.25" customHeight="1">
      <c r="A395" s="90"/>
      <c r="G395" s="2"/>
      <c r="H395" s="268" t="s">
        <v>1549</v>
      </c>
      <c r="I395" s="268"/>
      <c r="J395" s="268"/>
      <c r="K395" s="2"/>
      <c r="L395" s="141"/>
    </row>
    <row r="396" spans="1:13" ht="35.25" customHeight="1">
      <c r="G396" s="68" t="s">
        <v>148</v>
      </c>
      <c r="H396" s="268" t="s">
        <v>149</v>
      </c>
      <c r="I396" s="268"/>
      <c r="J396" s="268"/>
      <c r="K396" s="2" t="s">
        <v>151</v>
      </c>
      <c r="L396" s="141"/>
    </row>
    <row r="397" spans="1:13" ht="20.25" customHeight="1">
      <c r="G397" s="2"/>
      <c r="H397" s="268" t="s">
        <v>154</v>
      </c>
      <c r="I397" s="268"/>
      <c r="J397" s="268"/>
      <c r="K397" s="2"/>
      <c r="L397" s="141"/>
    </row>
    <row r="398" spans="1:13" ht="35.25" customHeight="1">
      <c r="G398" s="68" t="s">
        <v>148</v>
      </c>
      <c r="H398" s="268" t="s">
        <v>149</v>
      </c>
      <c r="I398" s="268"/>
      <c r="J398" s="268"/>
      <c r="K398" s="2" t="s">
        <v>151</v>
      </c>
      <c r="L398" s="142"/>
    </row>
    <row r="399" spans="1:13" ht="20.25" customHeight="1">
      <c r="G399" s="2"/>
      <c r="H399" s="268" t="s">
        <v>155</v>
      </c>
      <c r="I399" s="268"/>
      <c r="J399" s="268"/>
      <c r="K399" s="2"/>
      <c r="L399" s="142"/>
    </row>
    <row r="400" spans="1:13" ht="33.75" customHeight="1">
      <c r="G400" s="68" t="s">
        <v>148</v>
      </c>
      <c r="H400" s="268" t="s">
        <v>149</v>
      </c>
      <c r="I400" s="268"/>
      <c r="J400" s="268"/>
      <c r="K400" s="2" t="s">
        <v>151</v>
      </c>
      <c r="L400" s="142"/>
    </row>
    <row r="401" spans="1:13" ht="20.25" customHeight="1">
      <c r="G401" s="2"/>
      <c r="H401" s="268" t="s">
        <v>156</v>
      </c>
      <c r="I401" s="268"/>
      <c r="J401" s="268"/>
      <c r="K401" s="2"/>
      <c r="L401" s="142"/>
    </row>
    <row r="402" spans="1:13" ht="32.25" customHeight="1">
      <c r="G402" s="68" t="s">
        <v>148</v>
      </c>
      <c r="H402" s="268" t="s">
        <v>149</v>
      </c>
      <c r="I402" s="268"/>
      <c r="J402" s="268"/>
      <c r="K402" s="67" t="s">
        <v>152</v>
      </c>
      <c r="L402" s="142"/>
    </row>
    <row r="403" spans="1:13" ht="24.75" customHeight="1">
      <c r="G403" s="67"/>
      <c r="H403" s="268" t="s">
        <v>157</v>
      </c>
      <c r="I403" s="268"/>
      <c r="J403" s="268"/>
      <c r="K403" s="67"/>
      <c r="L403" s="142"/>
    </row>
    <row r="404" spans="1:13" ht="24.75" customHeight="1">
      <c r="G404" s="67"/>
      <c r="H404" s="64"/>
      <c r="I404" s="64"/>
      <c r="J404" s="64"/>
      <c r="K404" s="67"/>
      <c r="L404" s="142"/>
    </row>
    <row r="405" spans="1:13" ht="24" customHeight="1">
      <c r="L405" s="138" t="s">
        <v>1432</v>
      </c>
    </row>
    <row r="406" spans="1:13" ht="24" customHeight="1">
      <c r="A406" s="269" t="s">
        <v>158</v>
      </c>
      <c r="B406" s="269"/>
      <c r="C406" s="269"/>
      <c r="D406" s="269"/>
      <c r="E406" s="269"/>
      <c r="F406" s="269"/>
      <c r="G406" s="269"/>
      <c r="H406" s="269"/>
      <c r="I406" s="269"/>
      <c r="J406" s="269"/>
      <c r="K406" s="269"/>
      <c r="L406" s="269"/>
    </row>
    <row r="407" spans="1:13" ht="24" customHeight="1">
      <c r="A407" s="270" t="s">
        <v>163</v>
      </c>
      <c r="B407" s="270"/>
      <c r="C407" s="270"/>
      <c r="D407" s="270"/>
      <c r="E407" s="270"/>
      <c r="F407" s="270"/>
      <c r="G407" s="270"/>
      <c r="H407" s="270"/>
      <c r="I407" s="270"/>
      <c r="J407" s="270"/>
      <c r="K407" s="270"/>
      <c r="L407" s="270"/>
    </row>
    <row r="408" spans="1:13" ht="24" customHeight="1" thickBot="1">
      <c r="A408" s="271" t="s">
        <v>164</v>
      </c>
      <c r="B408" s="271"/>
      <c r="C408" s="271"/>
      <c r="D408" s="271"/>
      <c r="E408" s="271"/>
      <c r="F408" s="271"/>
      <c r="G408" s="271"/>
      <c r="H408" s="271"/>
      <c r="I408" s="271"/>
      <c r="J408" s="271"/>
      <c r="K408" s="271"/>
      <c r="L408" s="271"/>
    </row>
    <row r="409" spans="1:13" ht="24" customHeight="1" thickTop="1">
      <c r="A409" s="272" t="s">
        <v>103</v>
      </c>
      <c r="B409" s="272" t="s">
        <v>122</v>
      </c>
      <c r="C409" s="272" t="s">
        <v>124</v>
      </c>
      <c r="D409" s="274" t="s">
        <v>0</v>
      </c>
      <c r="E409" s="272" t="s">
        <v>109</v>
      </c>
      <c r="F409" s="272" t="s">
        <v>110</v>
      </c>
      <c r="G409" s="276" t="s">
        <v>111</v>
      </c>
      <c r="H409" s="278" t="s">
        <v>1</v>
      </c>
      <c r="I409" s="279"/>
      <c r="J409" s="272" t="s">
        <v>125</v>
      </c>
      <c r="K409" s="272" t="s">
        <v>104</v>
      </c>
      <c r="L409" s="280" t="s">
        <v>112</v>
      </c>
    </row>
    <row r="410" spans="1:13" ht="46.5" customHeight="1" thickBot="1">
      <c r="A410" s="273"/>
      <c r="B410" s="273"/>
      <c r="C410" s="273"/>
      <c r="D410" s="275"/>
      <c r="E410" s="273"/>
      <c r="F410" s="273"/>
      <c r="G410" s="277"/>
      <c r="H410" s="51" t="s">
        <v>113</v>
      </c>
      <c r="I410" s="52" t="s">
        <v>114</v>
      </c>
      <c r="J410" s="273"/>
      <c r="K410" s="273"/>
      <c r="L410" s="281"/>
    </row>
    <row r="411" spans="1:13" ht="24" customHeight="1" thickTop="1">
      <c r="A411" s="35"/>
      <c r="B411" s="35"/>
      <c r="C411" s="35"/>
      <c r="D411" s="168"/>
      <c r="E411" s="35"/>
      <c r="F411" s="83"/>
      <c r="G411" s="34"/>
      <c r="H411" s="84"/>
      <c r="I411" s="85"/>
      <c r="J411" s="86" t="s">
        <v>132</v>
      </c>
      <c r="K411" s="87">
        <f>SUM(K391)</f>
        <v>17104926</v>
      </c>
      <c r="L411" s="146"/>
    </row>
    <row r="412" spans="1:13">
      <c r="A412" s="38">
        <v>131</v>
      </c>
      <c r="B412" s="29">
        <v>2547</v>
      </c>
      <c r="C412" s="5" t="s">
        <v>423</v>
      </c>
      <c r="D412" s="126" t="s">
        <v>422</v>
      </c>
      <c r="E412" s="18" t="s">
        <v>2</v>
      </c>
      <c r="F412" s="18">
        <v>18</v>
      </c>
      <c r="G412" s="18" t="s">
        <v>128</v>
      </c>
      <c r="H412" s="18">
        <v>1</v>
      </c>
      <c r="I412" s="4">
        <v>1</v>
      </c>
      <c r="J412" s="3">
        <v>28000</v>
      </c>
      <c r="K412" s="3">
        <f>SUM(I412*J412)</f>
        <v>28000</v>
      </c>
      <c r="L412" s="135" t="s">
        <v>1510</v>
      </c>
      <c r="M412" s="1" t="s">
        <v>402</v>
      </c>
    </row>
    <row r="413" spans="1:13">
      <c r="A413" s="38">
        <v>132</v>
      </c>
      <c r="B413" s="58" t="s">
        <v>108</v>
      </c>
      <c r="C413" s="5" t="s">
        <v>421</v>
      </c>
      <c r="D413" s="126" t="s">
        <v>420</v>
      </c>
      <c r="E413" s="18" t="s">
        <v>2</v>
      </c>
      <c r="F413" s="18">
        <v>13</v>
      </c>
      <c r="G413" s="18" t="s">
        <v>128</v>
      </c>
      <c r="H413" s="18">
        <v>1</v>
      </c>
      <c r="I413" s="4">
        <v>1</v>
      </c>
      <c r="J413" s="3">
        <v>22900</v>
      </c>
      <c r="K413" s="3">
        <f t="shared" ref="K413:K421" si="13">SUM(I413*J413)</f>
        <v>22900</v>
      </c>
      <c r="L413" s="135" t="s">
        <v>1511</v>
      </c>
      <c r="M413" s="1" t="s">
        <v>402</v>
      </c>
    </row>
    <row r="414" spans="1:13">
      <c r="A414" s="38">
        <v>133</v>
      </c>
      <c r="B414" s="20" t="s">
        <v>138</v>
      </c>
      <c r="C414" s="5" t="s">
        <v>419</v>
      </c>
      <c r="D414" s="125" t="s">
        <v>418</v>
      </c>
      <c r="E414" s="18" t="s">
        <v>2</v>
      </c>
      <c r="F414" s="18">
        <v>12</v>
      </c>
      <c r="G414" s="18" t="s">
        <v>128</v>
      </c>
      <c r="H414" s="18">
        <v>1</v>
      </c>
      <c r="I414" s="4">
        <v>1</v>
      </c>
      <c r="J414" s="3">
        <v>40000</v>
      </c>
      <c r="K414" s="3">
        <f t="shared" si="13"/>
        <v>40000</v>
      </c>
      <c r="L414" s="137" t="s">
        <v>1509</v>
      </c>
      <c r="M414" s="1" t="s">
        <v>402</v>
      </c>
    </row>
    <row r="415" spans="1:13">
      <c r="A415" s="38">
        <v>134</v>
      </c>
      <c r="B415" s="98" t="s">
        <v>138</v>
      </c>
      <c r="C415" s="5" t="s">
        <v>417</v>
      </c>
      <c r="D415" s="126" t="s">
        <v>416</v>
      </c>
      <c r="E415" s="18" t="s">
        <v>2</v>
      </c>
      <c r="F415" s="18">
        <v>12</v>
      </c>
      <c r="G415" s="18" t="s">
        <v>128</v>
      </c>
      <c r="H415" s="18">
        <v>4</v>
      </c>
      <c r="I415" s="4">
        <v>2</v>
      </c>
      <c r="J415" s="3">
        <v>23000</v>
      </c>
      <c r="K415" s="3">
        <f t="shared" si="13"/>
        <v>46000</v>
      </c>
      <c r="L415" s="150" t="s">
        <v>1509</v>
      </c>
      <c r="M415" s="1" t="s">
        <v>402</v>
      </c>
    </row>
    <row r="416" spans="1:13">
      <c r="A416" s="38">
        <v>135</v>
      </c>
      <c r="B416" s="29">
        <v>2539</v>
      </c>
      <c r="C416" s="5" t="s">
        <v>443</v>
      </c>
      <c r="D416" s="126" t="s">
        <v>442</v>
      </c>
      <c r="E416" s="18" t="s">
        <v>2</v>
      </c>
      <c r="F416" s="18">
        <v>26</v>
      </c>
      <c r="G416" s="18" t="s">
        <v>383</v>
      </c>
      <c r="H416" s="18">
        <v>1</v>
      </c>
      <c r="I416" s="4">
        <v>1</v>
      </c>
      <c r="J416" s="3">
        <v>99900</v>
      </c>
      <c r="K416" s="3">
        <f t="shared" si="13"/>
        <v>99900</v>
      </c>
      <c r="L416" s="135" t="s">
        <v>287</v>
      </c>
      <c r="M416" s="1" t="s">
        <v>1552</v>
      </c>
    </row>
    <row r="417" spans="1:13">
      <c r="A417" s="38">
        <v>136</v>
      </c>
      <c r="B417" s="29">
        <v>2539</v>
      </c>
      <c r="C417" s="5" t="s">
        <v>441</v>
      </c>
      <c r="D417" s="126" t="s">
        <v>440</v>
      </c>
      <c r="E417" s="18" t="s">
        <v>2</v>
      </c>
      <c r="F417" s="18">
        <v>26</v>
      </c>
      <c r="G417" s="18" t="s">
        <v>383</v>
      </c>
      <c r="H417" s="18">
        <v>1</v>
      </c>
      <c r="I417" s="4">
        <v>1</v>
      </c>
      <c r="J417" s="3">
        <v>69800</v>
      </c>
      <c r="K417" s="3">
        <f t="shared" si="13"/>
        <v>69800</v>
      </c>
      <c r="L417" s="135" t="s">
        <v>287</v>
      </c>
      <c r="M417" s="1" t="s">
        <v>1552</v>
      </c>
    </row>
    <row r="418" spans="1:13">
      <c r="A418" s="38">
        <v>137</v>
      </c>
      <c r="B418" s="29">
        <v>2546</v>
      </c>
      <c r="C418" s="5" t="s">
        <v>395</v>
      </c>
      <c r="D418" s="126" t="s">
        <v>393</v>
      </c>
      <c r="E418" s="18" t="s">
        <v>98</v>
      </c>
      <c r="F418" s="18">
        <v>19</v>
      </c>
      <c r="G418" s="18" t="s">
        <v>383</v>
      </c>
      <c r="H418" s="18">
        <v>1</v>
      </c>
      <c r="I418" s="4">
        <v>1</v>
      </c>
      <c r="J418" s="3">
        <v>69950</v>
      </c>
      <c r="K418" s="3">
        <f t="shared" si="13"/>
        <v>69950</v>
      </c>
      <c r="L418" s="135" t="s">
        <v>1293</v>
      </c>
      <c r="M418" s="1" t="s">
        <v>1552</v>
      </c>
    </row>
    <row r="419" spans="1:13">
      <c r="A419" s="38">
        <v>138</v>
      </c>
      <c r="B419" s="29">
        <v>2546</v>
      </c>
      <c r="C419" s="5" t="s">
        <v>394</v>
      </c>
      <c r="D419" s="126" t="s">
        <v>393</v>
      </c>
      <c r="E419" s="18" t="s">
        <v>98</v>
      </c>
      <c r="F419" s="18">
        <v>19</v>
      </c>
      <c r="G419" s="18" t="s">
        <v>383</v>
      </c>
      <c r="H419" s="18">
        <v>1</v>
      </c>
      <c r="I419" s="4">
        <v>1</v>
      </c>
      <c r="J419" s="3">
        <v>86000</v>
      </c>
      <c r="K419" s="3">
        <f t="shared" si="13"/>
        <v>86000</v>
      </c>
      <c r="L419" s="135" t="s">
        <v>1293</v>
      </c>
      <c r="M419" s="1" t="s">
        <v>1552</v>
      </c>
    </row>
    <row r="420" spans="1:13">
      <c r="A420" s="38">
        <v>139</v>
      </c>
      <c r="B420" s="78" t="s">
        <v>245</v>
      </c>
      <c r="C420" s="5" t="s">
        <v>439</v>
      </c>
      <c r="D420" s="126" t="s">
        <v>438</v>
      </c>
      <c r="E420" s="18" t="s">
        <v>3</v>
      </c>
      <c r="F420" s="18">
        <v>15</v>
      </c>
      <c r="G420" s="18" t="s">
        <v>383</v>
      </c>
      <c r="H420" s="18">
        <v>1</v>
      </c>
      <c r="I420" s="4">
        <v>1</v>
      </c>
      <c r="J420" s="3">
        <v>6000</v>
      </c>
      <c r="K420" s="3">
        <f t="shared" si="13"/>
        <v>6000</v>
      </c>
      <c r="L420" s="135" t="s">
        <v>437</v>
      </c>
      <c r="M420" s="1" t="s">
        <v>1552</v>
      </c>
    </row>
    <row r="421" spans="1:13">
      <c r="A421" s="38">
        <v>140</v>
      </c>
      <c r="B421" s="17">
        <v>2550</v>
      </c>
      <c r="C421" s="99" t="s">
        <v>436</v>
      </c>
      <c r="D421" s="126" t="s">
        <v>435</v>
      </c>
      <c r="E421" s="17" t="s">
        <v>3</v>
      </c>
      <c r="F421" s="17">
        <v>15</v>
      </c>
      <c r="G421" s="18" t="s">
        <v>383</v>
      </c>
      <c r="H421" s="17">
        <v>1</v>
      </c>
      <c r="I421" s="4">
        <v>1</v>
      </c>
      <c r="J421" s="3">
        <v>20000</v>
      </c>
      <c r="K421" s="3">
        <f t="shared" si="13"/>
        <v>20000</v>
      </c>
      <c r="L421" s="137" t="s">
        <v>434</v>
      </c>
      <c r="M421" s="1" t="s">
        <v>1552</v>
      </c>
    </row>
    <row r="422" spans="1:13" ht="24" customHeight="1">
      <c r="A422" s="73"/>
      <c r="B422" s="82"/>
      <c r="C422" s="82"/>
      <c r="D422" s="167"/>
      <c r="E422" s="82"/>
      <c r="F422" s="82"/>
      <c r="G422" s="82"/>
      <c r="H422" s="82"/>
      <c r="I422" s="82"/>
      <c r="J422" s="74" t="s">
        <v>129</v>
      </c>
      <c r="K422" s="89">
        <f>SUM(K411:K421)</f>
        <v>17593476</v>
      </c>
      <c r="L422" s="147"/>
    </row>
    <row r="423" spans="1:13" ht="24" customHeight="1">
      <c r="A423" s="62"/>
      <c r="B423" s="62" t="s">
        <v>119</v>
      </c>
      <c r="C423" s="53" t="s">
        <v>120</v>
      </c>
      <c r="H423" s="63"/>
      <c r="I423" s="63"/>
      <c r="L423" s="148"/>
    </row>
    <row r="424" spans="1:13" ht="24" customHeight="1">
      <c r="A424" s="62"/>
      <c r="C424" s="53" t="s">
        <v>121</v>
      </c>
      <c r="H424" s="63"/>
      <c r="I424" s="63"/>
      <c r="L424" s="148"/>
    </row>
    <row r="425" spans="1:13" ht="21.75" customHeight="1">
      <c r="A425" s="90"/>
      <c r="G425" s="68" t="s">
        <v>148</v>
      </c>
      <c r="H425" s="268" t="s">
        <v>149</v>
      </c>
      <c r="I425" s="268"/>
      <c r="J425" s="268"/>
      <c r="K425" s="2" t="s">
        <v>150</v>
      </c>
      <c r="L425" s="141"/>
    </row>
    <row r="426" spans="1:13" ht="21" customHeight="1">
      <c r="A426" s="90"/>
      <c r="G426" s="2"/>
      <c r="H426" s="268" t="s">
        <v>1549</v>
      </c>
      <c r="I426" s="268"/>
      <c r="J426" s="268"/>
      <c r="K426" s="2"/>
      <c r="L426" s="141"/>
    </row>
    <row r="427" spans="1:13" ht="32.25" customHeight="1">
      <c r="G427" s="68" t="s">
        <v>148</v>
      </c>
      <c r="H427" s="268" t="s">
        <v>149</v>
      </c>
      <c r="I427" s="268"/>
      <c r="J427" s="268"/>
      <c r="K427" s="2" t="s">
        <v>151</v>
      </c>
      <c r="L427" s="141"/>
    </row>
    <row r="428" spans="1:13" ht="20.25" customHeight="1">
      <c r="G428" s="2"/>
      <c r="H428" s="268" t="s">
        <v>154</v>
      </c>
      <c r="I428" s="268"/>
      <c r="J428" s="268"/>
      <c r="K428" s="2"/>
      <c r="L428" s="141"/>
    </row>
    <row r="429" spans="1:13" ht="34.5" customHeight="1">
      <c r="G429" s="68" t="s">
        <v>148</v>
      </c>
      <c r="H429" s="268" t="s">
        <v>149</v>
      </c>
      <c r="I429" s="268"/>
      <c r="J429" s="268"/>
      <c r="K429" s="2" t="s">
        <v>151</v>
      </c>
      <c r="L429" s="142"/>
    </row>
    <row r="430" spans="1:13" ht="21.75" customHeight="1">
      <c r="G430" s="2"/>
      <c r="H430" s="268" t="s">
        <v>155</v>
      </c>
      <c r="I430" s="268"/>
      <c r="J430" s="268"/>
      <c r="K430" s="2"/>
      <c r="L430" s="142"/>
    </row>
    <row r="431" spans="1:13" ht="34.5" customHeight="1">
      <c r="G431" s="68" t="s">
        <v>148</v>
      </c>
      <c r="H431" s="268" t="s">
        <v>149</v>
      </c>
      <c r="I431" s="268"/>
      <c r="J431" s="268"/>
      <c r="K431" s="2" t="s">
        <v>151</v>
      </c>
      <c r="L431" s="142"/>
    </row>
    <row r="432" spans="1:13" ht="19.5" customHeight="1">
      <c r="G432" s="2"/>
      <c r="H432" s="268" t="s">
        <v>156</v>
      </c>
      <c r="I432" s="268"/>
      <c r="J432" s="268"/>
      <c r="K432" s="2"/>
      <c r="L432" s="142"/>
    </row>
    <row r="433" spans="1:14" ht="39" customHeight="1">
      <c r="G433" s="68" t="s">
        <v>148</v>
      </c>
      <c r="H433" s="268" t="s">
        <v>149</v>
      </c>
      <c r="I433" s="268"/>
      <c r="J433" s="268"/>
      <c r="K433" s="67" t="s">
        <v>152</v>
      </c>
      <c r="L433" s="142"/>
    </row>
    <row r="434" spans="1:14" ht="21.75" customHeight="1">
      <c r="G434" s="67"/>
      <c r="H434" s="268" t="s">
        <v>157</v>
      </c>
      <c r="I434" s="268"/>
      <c r="J434" s="268"/>
      <c r="K434" s="67"/>
      <c r="L434" s="142"/>
    </row>
    <row r="435" spans="1:14" ht="21.75" customHeight="1">
      <c r="G435" s="67"/>
      <c r="H435" s="64"/>
      <c r="I435" s="64"/>
      <c r="J435" s="64"/>
      <c r="K435" s="67"/>
      <c r="L435" s="142"/>
    </row>
    <row r="436" spans="1:14" ht="24" customHeight="1">
      <c r="L436" s="138" t="s">
        <v>1433</v>
      </c>
    </row>
    <row r="437" spans="1:14" ht="24" customHeight="1">
      <c r="A437" s="269" t="s">
        <v>158</v>
      </c>
      <c r="B437" s="269"/>
      <c r="C437" s="269"/>
      <c r="D437" s="269"/>
      <c r="E437" s="269"/>
      <c r="F437" s="269"/>
      <c r="G437" s="269"/>
      <c r="H437" s="269"/>
      <c r="I437" s="269"/>
      <c r="J437" s="269"/>
      <c r="K437" s="269"/>
      <c r="L437" s="269"/>
    </row>
    <row r="438" spans="1:14" ht="24" customHeight="1">
      <c r="A438" s="270" t="s">
        <v>163</v>
      </c>
      <c r="B438" s="270"/>
      <c r="C438" s="270"/>
      <c r="D438" s="270"/>
      <c r="E438" s="270"/>
      <c r="F438" s="270"/>
      <c r="G438" s="270"/>
      <c r="H438" s="270"/>
      <c r="I438" s="270"/>
      <c r="J438" s="270"/>
      <c r="K438" s="270"/>
      <c r="L438" s="270"/>
    </row>
    <row r="439" spans="1:14" ht="24" customHeight="1" thickBot="1">
      <c r="A439" s="271" t="s">
        <v>164</v>
      </c>
      <c r="B439" s="271"/>
      <c r="C439" s="271"/>
      <c r="D439" s="271"/>
      <c r="E439" s="271"/>
      <c r="F439" s="271"/>
      <c r="G439" s="271"/>
      <c r="H439" s="271"/>
      <c r="I439" s="271"/>
      <c r="J439" s="271"/>
      <c r="K439" s="271"/>
      <c r="L439" s="271"/>
    </row>
    <row r="440" spans="1:14" ht="24" customHeight="1" thickTop="1">
      <c r="A440" s="272" t="s">
        <v>103</v>
      </c>
      <c r="B440" s="272" t="s">
        <v>122</v>
      </c>
      <c r="C440" s="272" t="s">
        <v>124</v>
      </c>
      <c r="D440" s="274" t="s">
        <v>0</v>
      </c>
      <c r="E440" s="272" t="s">
        <v>109</v>
      </c>
      <c r="F440" s="272" t="s">
        <v>110</v>
      </c>
      <c r="G440" s="276" t="s">
        <v>111</v>
      </c>
      <c r="H440" s="278" t="s">
        <v>1</v>
      </c>
      <c r="I440" s="279"/>
      <c r="J440" s="272" t="s">
        <v>125</v>
      </c>
      <c r="K440" s="272" t="s">
        <v>104</v>
      </c>
      <c r="L440" s="280" t="s">
        <v>112</v>
      </c>
    </row>
    <row r="441" spans="1:14" ht="48.75" customHeight="1" thickBot="1">
      <c r="A441" s="273"/>
      <c r="B441" s="273"/>
      <c r="C441" s="273"/>
      <c r="D441" s="275"/>
      <c r="E441" s="273"/>
      <c r="F441" s="273"/>
      <c r="G441" s="277"/>
      <c r="H441" s="51" t="s">
        <v>113</v>
      </c>
      <c r="I441" s="52" t="s">
        <v>114</v>
      </c>
      <c r="J441" s="273"/>
      <c r="K441" s="273"/>
      <c r="L441" s="281"/>
    </row>
    <row r="442" spans="1:14" ht="24" customHeight="1" thickTop="1">
      <c r="A442" s="35"/>
      <c r="B442" s="35"/>
      <c r="C442" s="35"/>
      <c r="D442" s="168"/>
      <c r="E442" s="35"/>
      <c r="F442" s="83"/>
      <c r="G442" s="34"/>
      <c r="H442" s="84"/>
      <c r="I442" s="85"/>
      <c r="J442" s="86" t="s">
        <v>132</v>
      </c>
      <c r="K442" s="87">
        <f>SUM(K422)</f>
        <v>17593476</v>
      </c>
      <c r="L442" s="146"/>
    </row>
    <row r="443" spans="1:14">
      <c r="A443" s="38">
        <v>141</v>
      </c>
      <c r="B443" s="29">
        <v>2555</v>
      </c>
      <c r="C443" s="5" t="s">
        <v>1545</v>
      </c>
      <c r="D443" s="126" t="s">
        <v>444</v>
      </c>
      <c r="E443" s="18" t="s">
        <v>2</v>
      </c>
      <c r="F443" s="18">
        <v>10</v>
      </c>
      <c r="G443" s="18" t="s">
        <v>383</v>
      </c>
      <c r="H443" s="18">
        <v>1</v>
      </c>
      <c r="I443" s="4">
        <v>1</v>
      </c>
      <c r="J443" s="3">
        <v>222453</v>
      </c>
      <c r="K443" s="3">
        <f t="shared" ref="K443:K452" si="14">SUM(I443*J443)</f>
        <v>222453</v>
      </c>
      <c r="L443" s="135" t="s">
        <v>1302</v>
      </c>
      <c r="M443" s="1" t="s">
        <v>1552</v>
      </c>
    </row>
    <row r="444" spans="1:14">
      <c r="A444" s="29">
        <v>142</v>
      </c>
      <c r="B444" s="17">
        <v>2550</v>
      </c>
      <c r="C444" s="5" t="s">
        <v>472</v>
      </c>
      <c r="D444" s="126" t="s">
        <v>465</v>
      </c>
      <c r="E444" s="18" t="s">
        <v>2</v>
      </c>
      <c r="F444" s="18">
        <v>15</v>
      </c>
      <c r="G444" s="18" t="s">
        <v>128</v>
      </c>
      <c r="H444" s="4">
        <v>40</v>
      </c>
      <c r="I444" s="4">
        <v>40</v>
      </c>
      <c r="J444" s="9">
        <v>8500</v>
      </c>
      <c r="K444" s="9">
        <f t="shared" si="14"/>
        <v>340000</v>
      </c>
      <c r="L444" s="135" t="s">
        <v>1303</v>
      </c>
      <c r="M444" s="1" t="s">
        <v>1548</v>
      </c>
      <c r="N444" s="8"/>
    </row>
    <row r="445" spans="1:14">
      <c r="A445" s="38">
        <v>143</v>
      </c>
      <c r="B445" s="17">
        <v>2550</v>
      </c>
      <c r="C445" s="5" t="s">
        <v>471</v>
      </c>
      <c r="D445" s="126" t="s">
        <v>470</v>
      </c>
      <c r="E445" s="18" t="s">
        <v>2</v>
      </c>
      <c r="F445" s="18">
        <v>15</v>
      </c>
      <c r="G445" s="18" t="s">
        <v>128</v>
      </c>
      <c r="H445" s="4">
        <v>1</v>
      </c>
      <c r="I445" s="4">
        <v>1</v>
      </c>
      <c r="J445" s="9">
        <v>24000</v>
      </c>
      <c r="K445" s="9">
        <f t="shared" si="14"/>
        <v>24000</v>
      </c>
      <c r="L445" s="135" t="s">
        <v>1304</v>
      </c>
      <c r="M445" s="1" t="s">
        <v>1548</v>
      </c>
      <c r="N445" s="8"/>
    </row>
    <row r="446" spans="1:14">
      <c r="A446" s="29">
        <v>144</v>
      </c>
      <c r="B446" s="17">
        <v>2553</v>
      </c>
      <c r="C446" s="5" t="s">
        <v>469</v>
      </c>
      <c r="D446" s="126" t="s">
        <v>468</v>
      </c>
      <c r="E446" s="18" t="s">
        <v>2</v>
      </c>
      <c r="F446" s="18">
        <v>12</v>
      </c>
      <c r="G446" s="18" t="s">
        <v>128</v>
      </c>
      <c r="H446" s="4">
        <v>1</v>
      </c>
      <c r="I446" s="4">
        <v>1</v>
      </c>
      <c r="J446" s="9">
        <v>17000</v>
      </c>
      <c r="K446" s="9">
        <f t="shared" si="14"/>
        <v>17000</v>
      </c>
      <c r="L446" s="137" t="s">
        <v>467</v>
      </c>
      <c r="M446" s="1" t="s">
        <v>1548</v>
      </c>
      <c r="N446" s="8"/>
    </row>
    <row r="447" spans="1:14">
      <c r="A447" s="38">
        <v>145</v>
      </c>
      <c r="B447" s="17">
        <v>2553</v>
      </c>
      <c r="C447" s="5" t="s">
        <v>466</v>
      </c>
      <c r="D447" s="126" t="s">
        <v>465</v>
      </c>
      <c r="E447" s="18" t="s">
        <v>2</v>
      </c>
      <c r="F447" s="18">
        <v>12</v>
      </c>
      <c r="G447" s="18" t="s">
        <v>128</v>
      </c>
      <c r="H447" s="4">
        <v>10</v>
      </c>
      <c r="I447" s="4">
        <v>10</v>
      </c>
      <c r="J447" s="9">
        <v>12000</v>
      </c>
      <c r="K447" s="9">
        <f t="shared" si="14"/>
        <v>120000</v>
      </c>
      <c r="L447" s="137" t="s">
        <v>1303</v>
      </c>
      <c r="M447" s="1" t="s">
        <v>1548</v>
      </c>
      <c r="N447" s="8"/>
    </row>
    <row r="448" spans="1:14">
      <c r="A448" s="29">
        <v>146</v>
      </c>
      <c r="B448" s="17">
        <v>2553</v>
      </c>
      <c r="C448" s="5" t="s">
        <v>464</v>
      </c>
      <c r="D448" s="126" t="s">
        <v>463</v>
      </c>
      <c r="E448" s="18" t="s">
        <v>2</v>
      </c>
      <c r="F448" s="18">
        <v>12</v>
      </c>
      <c r="G448" s="18" t="s">
        <v>128</v>
      </c>
      <c r="H448" s="4">
        <v>1</v>
      </c>
      <c r="I448" s="4">
        <v>1</v>
      </c>
      <c r="J448" s="9">
        <v>20000</v>
      </c>
      <c r="K448" s="9">
        <f t="shared" si="14"/>
        <v>20000</v>
      </c>
      <c r="L448" s="137" t="s">
        <v>462</v>
      </c>
      <c r="M448" s="1" t="s">
        <v>1548</v>
      </c>
      <c r="N448" s="8"/>
    </row>
    <row r="449" spans="1:14">
      <c r="A449" s="38">
        <v>147</v>
      </c>
      <c r="B449" s="17">
        <v>2553</v>
      </c>
      <c r="C449" s="5" t="s">
        <v>461</v>
      </c>
      <c r="D449" s="126" t="s">
        <v>460</v>
      </c>
      <c r="E449" s="17" t="s">
        <v>2</v>
      </c>
      <c r="F449" s="17">
        <v>12</v>
      </c>
      <c r="G449" s="18" t="s">
        <v>128</v>
      </c>
      <c r="H449" s="4">
        <v>1</v>
      </c>
      <c r="I449" s="4">
        <v>1</v>
      </c>
      <c r="J449" s="9">
        <v>11214.95</v>
      </c>
      <c r="K449" s="9">
        <f t="shared" si="14"/>
        <v>11214.95</v>
      </c>
      <c r="L449" s="137" t="s">
        <v>213</v>
      </c>
      <c r="M449" s="1" t="s">
        <v>1548</v>
      </c>
      <c r="N449" s="8"/>
    </row>
    <row r="450" spans="1:14">
      <c r="A450" s="29">
        <v>148</v>
      </c>
      <c r="B450" s="17">
        <v>2553</v>
      </c>
      <c r="C450" s="5" t="s">
        <v>459</v>
      </c>
      <c r="D450" s="126" t="s">
        <v>458</v>
      </c>
      <c r="E450" s="17" t="s">
        <v>2</v>
      </c>
      <c r="F450" s="17">
        <v>12</v>
      </c>
      <c r="G450" s="18" t="s">
        <v>128</v>
      </c>
      <c r="H450" s="4">
        <v>1</v>
      </c>
      <c r="I450" s="4">
        <v>1</v>
      </c>
      <c r="J450" s="9">
        <v>7009.35</v>
      </c>
      <c r="K450" s="9">
        <f t="shared" si="14"/>
        <v>7009.35</v>
      </c>
      <c r="L450" s="137" t="s">
        <v>213</v>
      </c>
      <c r="M450" s="1" t="s">
        <v>1548</v>
      </c>
      <c r="N450" s="8"/>
    </row>
    <row r="451" spans="1:14">
      <c r="A451" s="38">
        <v>149</v>
      </c>
      <c r="B451" s="17">
        <v>2553</v>
      </c>
      <c r="C451" s="5" t="s">
        <v>457</v>
      </c>
      <c r="D451" s="126" t="s">
        <v>456</v>
      </c>
      <c r="E451" s="17" t="s">
        <v>2</v>
      </c>
      <c r="F451" s="17">
        <v>12</v>
      </c>
      <c r="G451" s="18" t="s">
        <v>128</v>
      </c>
      <c r="H451" s="4">
        <v>1</v>
      </c>
      <c r="I451" s="4">
        <v>1</v>
      </c>
      <c r="J451" s="9">
        <v>34900</v>
      </c>
      <c r="K451" s="9">
        <f t="shared" si="14"/>
        <v>34900</v>
      </c>
      <c r="L451" s="137" t="s">
        <v>1493</v>
      </c>
      <c r="M451" s="1" t="s">
        <v>1548</v>
      </c>
      <c r="N451" s="8"/>
    </row>
    <row r="452" spans="1:14" ht="24" customHeight="1">
      <c r="A452" s="29">
        <v>150</v>
      </c>
      <c r="B452" s="100">
        <v>2553</v>
      </c>
      <c r="C452" s="43" t="s">
        <v>455</v>
      </c>
      <c r="D452" s="172" t="s">
        <v>454</v>
      </c>
      <c r="E452" s="27" t="s">
        <v>2</v>
      </c>
      <c r="F452" s="27">
        <v>12</v>
      </c>
      <c r="G452" s="42" t="s">
        <v>128</v>
      </c>
      <c r="H452" s="46">
        <v>20</v>
      </c>
      <c r="I452" s="46">
        <v>20</v>
      </c>
      <c r="J452" s="41">
        <v>26450</v>
      </c>
      <c r="K452" s="10">
        <f t="shared" si="14"/>
        <v>529000</v>
      </c>
      <c r="L452" s="151" t="s">
        <v>1494</v>
      </c>
      <c r="M452" s="1" t="s">
        <v>1548</v>
      </c>
    </row>
    <row r="453" spans="1:14" ht="24" customHeight="1">
      <c r="A453" s="73"/>
      <c r="B453" s="82"/>
      <c r="C453" s="82"/>
      <c r="D453" s="167"/>
      <c r="E453" s="82"/>
      <c r="F453" s="82" t="s">
        <v>1506</v>
      </c>
      <c r="G453" s="82"/>
      <c r="H453" s="82"/>
      <c r="I453" s="82"/>
      <c r="J453" s="74" t="s">
        <v>129</v>
      </c>
      <c r="K453" s="89">
        <f>SUM(K442:K452)</f>
        <v>18919053.300000001</v>
      </c>
      <c r="L453" s="147"/>
    </row>
    <row r="454" spans="1:14" ht="24" customHeight="1">
      <c r="A454" s="62"/>
      <c r="B454" s="62" t="s">
        <v>119</v>
      </c>
      <c r="C454" s="53" t="s">
        <v>120</v>
      </c>
      <c r="H454" s="63"/>
      <c r="I454" s="63"/>
      <c r="L454" s="148"/>
    </row>
    <row r="455" spans="1:14" ht="24" customHeight="1">
      <c r="A455" s="62"/>
      <c r="C455" s="53" t="s">
        <v>121</v>
      </c>
      <c r="H455" s="63"/>
      <c r="I455" s="63"/>
      <c r="L455" s="148"/>
    </row>
    <row r="456" spans="1:14" ht="22.5" customHeight="1">
      <c r="A456" s="90"/>
      <c r="G456" s="68" t="s">
        <v>148</v>
      </c>
      <c r="H456" s="268" t="s">
        <v>149</v>
      </c>
      <c r="I456" s="268"/>
      <c r="J456" s="268"/>
      <c r="K456" s="2" t="s">
        <v>150</v>
      </c>
      <c r="L456" s="141"/>
    </row>
    <row r="457" spans="1:14" ht="23.25" customHeight="1">
      <c r="A457" s="90"/>
      <c r="G457" s="2"/>
      <c r="H457" s="268" t="s">
        <v>1549</v>
      </c>
      <c r="I457" s="268"/>
      <c r="J457" s="268"/>
      <c r="K457" s="2"/>
      <c r="L457" s="141"/>
    </row>
    <row r="458" spans="1:14" ht="33.75" customHeight="1">
      <c r="G458" s="68" t="s">
        <v>148</v>
      </c>
      <c r="H458" s="268" t="s">
        <v>149</v>
      </c>
      <c r="I458" s="268"/>
      <c r="J458" s="268"/>
      <c r="K458" s="2" t="s">
        <v>151</v>
      </c>
      <c r="L458" s="141"/>
    </row>
    <row r="459" spans="1:14" ht="21.75" customHeight="1">
      <c r="G459" s="2"/>
      <c r="H459" s="268" t="s">
        <v>154</v>
      </c>
      <c r="I459" s="268"/>
      <c r="J459" s="268"/>
      <c r="K459" s="2"/>
      <c r="L459" s="141"/>
    </row>
    <row r="460" spans="1:14" ht="32.25" customHeight="1">
      <c r="G460" s="68" t="s">
        <v>148</v>
      </c>
      <c r="H460" s="268" t="s">
        <v>149</v>
      </c>
      <c r="I460" s="268"/>
      <c r="J460" s="268"/>
      <c r="K460" s="2" t="s">
        <v>151</v>
      </c>
      <c r="L460" s="142"/>
    </row>
    <row r="461" spans="1:14" ht="21.75" customHeight="1">
      <c r="G461" s="2"/>
      <c r="H461" s="268" t="s">
        <v>155</v>
      </c>
      <c r="I461" s="268"/>
      <c r="J461" s="268"/>
      <c r="K461" s="2"/>
      <c r="L461" s="142"/>
    </row>
    <row r="462" spans="1:14" ht="33" customHeight="1">
      <c r="G462" s="68" t="s">
        <v>148</v>
      </c>
      <c r="H462" s="268" t="s">
        <v>149</v>
      </c>
      <c r="I462" s="268"/>
      <c r="J462" s="268"/>
      <c r="K462" s="2" t="s">
        <v>151</v>
      </c>
      <c r="L462" s="142"/>
    </row>
    <row r="463" spans="1:14" ht="20.25" customHeight="1">
      <c r="G463" s="2"/>
      <c r="H463" s="268" t="s">
        <v>156</v>
      </c>
      <c r="I463" s="268"/>
      <c r="J463" s="268"/>
      <c r="K463" s="2"/>
      <c r="L463" s="142"/>
    </row>
    <row r="464" spans="1:14" ht="31.5" customHeight="1">
      <c r="G464" s="68" t="s">
        <v>148</v>
      </c>
      <c r="H464" s="268" t="s">
        <v>149</v>
      </c>
      <c r="I464" s="268"/>
      <c r="J464" s="268"/>
      <c r="K464" s="67" t="s">
        <v>152</v>
      </c>
      <c r="L464" s="142"/>
    </row>
    <row r="465" spans="1:13" ht="24" customHeight="1">
      <c r="G465" s="67"/>
      <c r="H465" s="268" t="s">
        <v>157</v>
      </c>
      <c r="I465" s="268"/>
      <c r="J465" s="268"/>
      <c r="K465" s="67"/>
      <c r="L465" s="142"/>
    </row>
    <row r="466" spans="1:13" ht="24" customHeight="1">
      <c r="G466" s="67"/>
      <c r="H466" s="64"/>
      <c r="I466" s="64"/>
      <c r="J466" s="64"/>
      <c r="K466" s="67"/>
      <c r="L466" s="142"/>
    </row>
    <row r="467" spans="1:13" ht="24" customHeight="1">
      <c r="L467" s="138" t="s">
        <v>1434</v>
      </c>
    </row>
    <row r="468" spans="1:13" ht="24" customHeight="1">
      <c r="A468" s="269" t="s">
        <v>158</v>
      </c>
      <c r="B468" s="269"/>
      <c r="C468" s="269"/>
      <c r="D468" s="269"/>
      <c r="E468" s="269"/>
      <c r="F468" s="269"/>
      <c r="G468" s="269"/>
      <c r="H468" s="269"/>
      <c r="I468" s="269"/>
      <c r="J468" s="269"/>
      <c r="K468" s="269"/>
      <c r="L468" s="269"/>
    </row>
    <row r="469" spans="1:13" ht="24" customHeight="1">
      <c r="A469" s="270" t="s">
        <v>163</v>
      </c>
      <c r="B469" s="270"/>
      <c r="C469" s="270"/>
      <c r="D469" s="270"/>
      <c r="E469" s="270"/>
      <c r="F469" s="270"/>
      <c r="G469" s="270"/>
      <c r="H469" s="270"/>
      <c r="I469" s="270"/>
      <c r="J469" s="270"/>
      <c r="K469" s="270"/>
      <c r="L469" s="270"/>
    </row>
    <row r="470" spans="1:13" ht="24" customHeight="1" thickBot="1">
      <c r="A470" s="271" t="s">
        <v>164</v>
      </c>
      <c r="B470" s="271"/>
      <c r="C470" s="271"/>
      <c r="D470" s="271"/>
      <c r="E470" s="271"/>
      <c r="F470" s="271"/>
      <c r="G470" s="271"/>
      <c r="H470" s="271"/>
      <c r="I470" s="271"/>
      <c r="J470" s="271"/>
      <c r="K470" s="271"/>
      <c r="L470" s="271"/>
    </row>
    <row r="471" spans="1:13" ht="24" customHeight="1" thickTop="1">
      <c r="A471" s="272" t="s">
        <v>103</v>
      </c>
      <c r="B471" s="272" t="s">
        <v>122</v>
      </c>
      <c r="C471" s="272" t="s">
        <v>124</v>
      </c>
      <c r="D471" s="274" t="s">
        <v>0</v>
      </c>
      <c r="E471" s="272" t="s">
        <v>109</v>
      </c>
      <c r="F471" s="272" t="s">
        <v>110</v>
      </c>
      <c r="G471" s="276" t="s">
        <v>111</v>
      </c>
      <c r="H471" s="278" t="s">
        <v>1</v>
      </c>
      <c r="I471" s="279"/>
      <c r="J471" s="272" t="s">
        <v>125</v>
      </c>
      <c r="K471" s="272" t="s">
        <v>104</v>
      </c>
      <c r="L471" s="280" t="s">
        <v>112</v>
      </c>
    </row>
    <row r="472" spans="1:13" ht="45.75" customHeight="1" thickBot="1">
      <c r="A472" s="273"/>
      <c r="B472" s="273"/>
      <c r="C472" s="273"/>
      <c r="D472" s="275"/>
      <c r="E472" s="273"/>
      <c r="F472" s="273"/>
      <c r="G472" s="277"/>
      <c r="H472" s="51" t="s">
        <v>113</v>
      </c>
      <c r="I472" s="52" t="s">
        <v>114</v>
      </c>
      <c r="J472" s="273"/>
      <c r="K472" s="273"/>
      <c r="L472" s="281"/>
    </row>
    <row r="473" spans="1:13" ht="24" customHeight="1" thickTop="1">
      <c r="A473" s="35"/>
      <c r="B473" s="35"/>
      <c r="C473" s="35"/>
      <c r="D473" s="168"/>
      <c r="E473" s="35"/>
      <c r="F473" s="83"/>
      <c r="G473" s="34"/>
      <c r="H473" s="84"/>
      <c r="I473" s="85"/>
      <c r="J473" s="86" t="s">
        <v>132</v>
      </c>
      <c r="K473" s="87">
        <f>SUM(K453)</f>
        <v>18919053.300000001</v>
      </c>
      <c r="L473" s="146"/>
    </row>
    <row r="474" spans="1:13">
      <c r="A474" s="38">
        <v>151</v>
      </c>
      <c r="B474" s="29">
        <v>2539</v>
      </c>
      <c r="C474" s="5" t="s">
        <v>509</v>
      </c>
      <c r="D474" s="126" t="s">
        <v>508</v>
      </c>
      <c r="E474" s="18" t="s">
        <v>2</v>
      </c>
      <c r="F474" s="18">
        <v>26</v>
      </c>
      <c r="G474" s="18" t="s">
        <v>383</v>
      </c>
      <c r="H474" s="18">
        <v>25</v>
      </c>
      <c r="I474" s="4">
        <v>25</v>
      </c>
      <c r="J474" s="3">
        <v>8000</v>
      </c>
      <c r="K474" s="3">
        <f t="shared" ref="K474:K483" si="15">SUM(I474*J474)</f>
        <v>200000</v>
      </c>
      <c r="L474" s="135" t="s">
        <v>1278</v>
      </c>
      <c r="M474" s="1" t="s">
        <v>473</v>
      </c>
    </row>
    <row r="475" spans="1:13">
      <c r="A475" s="38">
        <v>152</v>
      </c>
      <c r="B475" s="29">
        <v>2539</v>
      </c>
      <c r="C475" s="5" t="s">
        <v>507</v>
      </c>
      <c r="D475" s="126" t="s">
        <v>506</v>
      </c>
      <c r="E475" s="18" t="s">
        <v>2</v>
      </c>
      <c r="F475" s="18">
        <v>26</v>
      </c>
      <c r="G475" s="18" t="s">
        <v>383</v>
      </c>
      <c r="H475" s="18">
        <v>25</v>
      </c>
      <c r="I475" s="4">
        <v>25</v>
      </c>
      <c r="J475" s="3">
        <v>8000</v>
      </c>
      <c r="K475" s="3">
        <f t="shared" si="15"/>
        <v>200000</v>
      </c>
      <c r="L475" s="135" t="s">
        <v>1278</v>
      </c>
      <c r="M475" s="1" t="s">
        <v>473</v>
      </c>
    </row>
    <row r="476" spans="1:13">
      <c r="A476" s="38">
        <v>153</v>
      </c>
      <c r="B476" s="29">
        <v>2539</v>
      </c>
      <c r="C476" s="5" t="s">
        <v>505</v>
      </c>
      <c r="D476" s="126" t="s">
        <v>504</v>
      </c>
      <c r="E476" s="18" t="s">
        <v>2</v>
      </c>
      <c r="F476" s="18">
        <v>26</v>
      </c>
      <c r="G476" s="18" t="s">
        <v>383</v>
      </c>
      <c r="H476" s="18">
        <v>4</v>
      </c>
      <c r="I476" s="4">
        <v>4</v>
      </c>
      <c r="J476" s="3">
        <v>20000</v>
      </c>
      <c r="K476" s="3">
        <f t="shared" si="15"/>
        <v>80000</v>
      </c>
      <c r="L476" s="135" t="s">
        <v>1279</v>
      </c>
      <c r="M476" s="1" t="s">
        <v>473</v>
      </c>
    </row>
    <row r="477" spans="1:13">
      <c r="A477" s="38">
        <v>154</v>
      </c>
      <c r="B477" s="58" t="s">
        <v>105</v>
      </c>
      <c r="C477" s="5" t="s">
        <v>503</v>
      </c>
      <c r="D477" s="126" t="s">
        <v>502</v>
      </c>
      <c r="E477" s="18" t="s">
        <v>2</v>
      </c>
      <c r="F477" s="18">
        <v>26</v>
      </c>
      <c r="G477" s="18" t="s">
        <v>383</v>
      </c>
      <c r="H477" s="18">
        <v>1</v>
      </c>
      <c r="I477" s="4">
        <v>1</v>
      </c>
      <c r="J477" s="3">
        <v>5000</v>
      </c>
      <c r="K477" s="3">
        <f t="shared" si="15"/>
        <v>5000</v>
      </c>
      <c r="L477" s="135" t="s">
        <v>1280</v>
      </c>
      <c r="M477" s="1" t="s">
        <v>473</v>
      </c>
    </row>
    <row r="478" spans="1:13">
      <c r="A478" s="38">
        <v>155</v>
      </c>
      <c r="B478" s="58" t="s">
        <v>106</v>
      </c>
      <c r="C478" s="5" t="s">
        <v>501</v>
      </c>
      <c r="D478" s="126" t="s">
        <v>493</v>
      </c>
      <c r="E478" s="18" t="s">
        <v>2</v>
      </c>
      <c r="F478" s="18">
        <v>25</v>
      </c>
      <c r="G478" s="18" t="s">
        <v>383</v>
      </c>
      <c r="H478" s="18">
        <v>25</v>
      </c>
      <c r="I478" s="4">
        <v>25</v>
      </c>
      <c r="J478" s="3">
        <v>8000</v>
      </c>
      <c r="K478" s="3">
        <f t="shared" si="15"/>
        <v>200000</v>
      </c>
      <c r="L478" s="135" t="s">
        <v>1281</v>
      </c>
      <c r="M478" s="1" t="s">
        <v>473</v>
      </c>
    </row>
    <row r="479" spans="1:13">
      <c r="A479" s="38">
        <v>156</v>
      </c>
      <c r="B479" s="78" t="s">
        <v>106</v>
      </c>
      <c r="C479" s="5" t="s">
        <v>500</v>
      </c>
      <c r="D479" s="126" t="s">
        <v>499</v>
      </c>
      <c r="E479" s="18" t="s">
        <v>2</v>
      </c>
      <c r="F479" s="18">
        <v>25</v>
      </c>
      <c r="G479" s="18" t="s">
        <v>383</v>
      </c>
      <c r="H479" s="18">
        <v>58</v>
      </c>
      <c r="I479" s="4">
        <v>58</v>
      </c>
      <c r="J479" s="3">
        <v>8000</v>
      </c>
      <c r="K479" s="3">
        <f t="shared" si="15"/>
        <v>464000</v>
      </c>
      <c r="L479" s="135" t="s">
        <v>1281</v>
      </c>
      <c r="M479" s="1" t="s">
        <v>473</v>
      </c>
    </row>
    <row r="480" spans="1:13">
      <c r="A480" s="38">
        <v>157</v>
      </c>
      <c r="B480" s="29">
        <v>2546</v>
      </c>
      <c r="C480" s="5" t="s">
        <v>498</v>
      </c>
      <c r="D480" s="126" t="s">
        <v>470</v>
      </c>
      <c r="E480" s="18" t="s">
        <v>2</v>
      </c>
      <c r="F480" s="18">
        <v>19</v>
      </c>
      <c r="G480" s="18" t="s">
        <v>383</v>
      </c>
      <c r="H480" s="18">
        <v>1</v>
      </c>
      <c r="I480" s="4">
        <v>1</v>
      </c>
      <c r="J480" s="3">
        <v>33000</v>
      </c>
      <c r="K480" s="3">
        <f t="shared" si="15"/>
        <v>33000</v>
      </c>
      <c r="L480" s="135" t="s">
        <v>1282</v>
      </c>
      <c r="M480" s="1" t="s">
        <v>473</v>
      </c>
    </row>
    <row r="481" spans="1:13">
      <c r="A481" s="38">
        <v>158</v>
      </c>
      <c r="B481" s="29">
        <v>2549</v>
      </c>
      <c r="C481" s="5" t="s">
        <v>497</v>
      </c>
      <c r="D481" s="126" t="s">
        <v>496</v>
      </c>
      <c r="E481" s="18" t="s">
        <v>3</v>
      </c>
      <c r="F481" s="18">
        <v>16</v>
      </c>
      <c r="G481" s="18" t="s">
        <v>383</v>
      </c>
      <c r="H481" s="18">
        <v>1</v>
      </c>
      <c r="I481" s="4">
        <v>1</v>
      </c>
      <c r="J481" s="3">
        <v>5296</v>
      </c>
      <c r="K481" s="3">
        <f t="shared" si="15"/>
        <v>5296</v>
      </c>
      <c r="L481" s="135" t="s">
        <v>724</v>
      </c>
      <c r="M481" s="1" t="s">
        <v>473</v>
      </c>
    </row>
    <row r="482" spans="1:13">
      <c r="A482" s="38">
        <v>159</v>
      </c>
      <c r="B482" s="29">
        <v>2549</v>
      </c>
      <c r="C482" s="5" t="s">
        <v>495</v>
      </c>
      <c r="D482" s="126" t="s">
        <v>493</v>
      </c>
      <c r="E482" s="18" t="s">
        <v>3</v>
      </c>
      <c r="F482" s="18">
        <v>16</v>
      </c>
      <c r="G482" s="18" t="s">
        <v>383</v>
      </c>
      <c r="H482" s="18">
        <v>7</v>
      </c>
      <c r="I482" s="4">
        <v>7</v>
      </c>
      <c r="J482" s="3">
        <v>12200</v>
      </c>
      <c r="K482" s="3">
        <f t="shared" si="15"/>
        <v>85400</v>
      </c>
      <c r="L482" s="135" t="s">
        <v>1281</v>
      </c>
      <c r="M482" s="1" t="s">
        <v>473</v>
      </c>
    </row>
    <row r="483" spans="1:13">
      <c r="A483" s="38">
        <v>160</v>
      </c>
      <c r="B483" s="29">
        <v>2549</v>
      </c>
      <c r="C483" s="5" t="s">
        <v>494</v>
      </c>
      <c r="D483" s="126" t="s">
        <v>493</v>
      </c>
      <c r="E483" s="18" t="s">
        <v>3</v>
      </c>
      <c r="F483" s="18">
        <v>16</v>
      </c>
      <c r="G483" s="18" t="s">
        <v>383</v>
      </c>
      <c r="H483" s="18">
        <v>6</v>
      </c>
      <c r="I483" s="4">
        <v>6</v>
      </c>
      <c r="J483" s="3">
        <v>12200</v>
      </c>
      <c r="K483" s="3">
        <f t="shared" si="15"/>
        <v>73200</v>
      </c>
      <c r="L483" s="135" t="s">
        <v>1281</v>
      </c>
      <c r="M483" s="1" t="s">
        <v>473</v>
      </c>
    </row>
    <row r="484" spans="1:13" ht="24" customHeight="1">
      <c r="A484" s="73"/>
      <c r="B484" s="82"/>
      <c r="C484" s="82"/>
      <c r="D484" s="167"/>
      <c r="E484" s="82"/>
      <c r="F484" s="82"/>
      <c r="G484" s="82"/>
      <c r="H484" s="82"/>
      <c r="I484" s="82"/>
      <c r="J484" s="74" t="s">
        <v>129</v>
      </c>
      <c r="K484" s="89">
        <f>SUM(K473:K483)</f>
        <v>20264949.300000001</v>
      </c>
      <c r="L484" s="147"/>
    </row>
    <row r="485" spans="1:13" ht="24" customHeight="1">
      <c r="A485" s="62"/>
      <c r="B485" s="62" t="s">
        <v>119</v>
      </c>
      <c r="C485" s="53" t="s">
        <v>120</v>
      </c>
      <c r="H485" s="63"/>
      <c r="I485" s="63"/>
      <c r="L485" s="148"/>
    </row>
    <row r="486" spans="1:13" ht="24" customHeight="1">
      <c r="A486" s="62"/>
      <c r="C486" s="53" t="s">
        <v>121</v>
      </c>
      <c r="H486" s="63"/>
      <c r="I486" s="63"/>
      <c r="L486" s="148"/>
    </row>
    <row r="487" spans="1:13" ht="22.5" customHeight="1">
      <c r="A487" s="90"/>
      <c r="G487" s="68" t="s">
        <v>148</v>
      </c>
      <c r="H487" s="268" t="s">
        <v>149</v>
      </c>
      <c r="I487" s="268"/>
      <c r="J487" s="268"/>
      <c r="K487" s="2" t="s">
        <v>150</v>
      </c>
      <c r="L487" s="141"/>
    </row>
    <row r="488" spans="1:13" ht="21.75" customHeight="1">
      <c r="A488" s="90"/>
      <c r="G488" s="2"/>
      <c r="H488" s="268" t="s">
        <v>1549</v>
      </c>
      <c r="I488" s="268"/>
      <c r="J488" s="268"/>
      <c r="K488" s="2"/>
      <c r="L488" s="141"/>
    </row>
    <row r="489" spans="1:13" ht="31.5" customHeight="1">
      <c r="G489" s="68" t="s">
        <v>148</v>
      </c>
      <c r="H489" s="268" t="s">
        <v>149</v>
      </c>
      <c r="I489" s="268"/>
      <c r="J489" s="268"/>
      <c r="K489" s="2" t="s">
        <v>151</v>
      </c>
      <c r="L489" s="141"/>
    </row>
    <row r="490" spans="1:13" ht="22.5" customHeight="1">
      <c r="G490" s="2"/>
      <c r="H490" s="268" t="s">
        <v>154</v>
      </c>
      <c r="I490" s="268"/>
      <c r="J490" s="268"/>
      <c r="K490" s="2"/>
      <c r="L490" s="141"/>
    </row>
    <row r="491" spans="1:13" ht="32.25" customHeight="1">
      <c r="G491" s="68" t="s">
        <v>148</v>
      </c>
      <c r="H491" s="268" t="s">
        <v>149</v>
      </c>
      <c r="I491" s="268"/>
      <c r="J491" s="268"/>
      <c r="K491" s="2" t="s">
        <v>151</v>
      </c>
      <c r="L491" s="142"/>
    </row>
    <row r="492" spans="1:13" ht="23.25" customHeight="1">
      <c r="G492" s="2"/>
      <c r="H492" s="268" t="s">
        <v>155</v>
      </c>
      <c r="I492" s="268"/>
      <c r="J492" s="268"/>
      <c r="K492" s="2"/>
      <c r="L492" s="142"/>
    </row>
    <row r="493" spans="1:13" ht="32.25" customHeight="1">
      <c r="G493" s="68" t="s">
        <v>148</v>
      </c>
      <c r="H493" s="268" t="s">
        <v>149</v>
      </c>
      <c r="I493" s="268"/>
      <c r="J493" s="268"/>
      <c r="K493" s="2" t="s">
        <v>151</v>
      </c>
      <c r="L493" s="142"/>
    </row>
    <row r="494" spans="1:13" ht="21" customHeight="1">
      <c r="G494" s="2"/>
      <c r="H494" s="268" t="s">
        <v>156</v>
      </c>
      <c r="I494" s="268"/>
      <c r="J494" s="268"/>
      <c r="K494" s="2"/>
      <c r="L494" s="142"/>
    </row>
    <row r="495" spans="1:13" ht="36" customHeight="1">
      <c r="G495" s="68" t="s">
        <v>148</v>
      </c>
      <c r="H495" s="268" t="s">
        <v>149</v>
      </c>
      <c r="I495" s="268"/>
      <c r="J495" s="268"/>
      <c r="K495" s="67" t="s">
        <v>152</v>
      </c>
      <c r="L495" s="142"/>
    </row>
    <row r="496" spans="1:13" ht="24" customHeight="1">
      <c r="G496" s="67"/>
      <c r="H496" s="268" t="s">
        <v>157</v>
      </c>
      <c r="I496" s="268"/>
      <c r="J496" s="268"/>
      <c r="K496" s="67"/>
      <c r="L496" s="142"/>
    </row>
    <row r="497" spans="1:14" ht="24" customHeight="1">
      <c r="G497" s="67"/>
      <c r="H497" s="64"/>
      <c r="I497" s="64"/>
      <c r="J497" s="64"/>
      <c r="K497" s="67"/>
      <c r="L497" s="142"/>
    </row>
    <row r="498" spans="1:14" ht="24" customHeight="1">
      <c r="L498" s="138" t="s">
        <v>1435</v>
      </c>
    </row>
    <row r="499" spans="1:14" ht="24" customHeight="1">
      <c r="A499" s="269" t="s">
        <v>158</v>
      </c>
      <c r="B499" s="269"/>
      <c r="C499" s="269"/>
      <c r="D499" s="269"/>
      <c r="E499" s="269"/>
      <c r="F499" s="269"/>
      <c r="G499" s="269"/>
      <c r="H499" s="269"/>
      <c r="I499" s="269"/>
      <c r="J499" s="269"/>
      <c r="K499" s="269"/>
      <c r="L499" s="269"/>
    </row>
    <row r="500" spans="1:14" ht="24" customHeight="1">
      <c r="A500" s="270" t="s">
        <v>163</v>
      </c>
      <c r="B500" s="270"/>
      <c r="C500" s="270"/>
      <c r="D500" s="270"/>
      <c r="E500" s="270"/>
      <c r="F500" s="270"/>
      <c r="G500" s="270"/>
      <c r="H500" s="270"/>
      <c r="I500" s="270"/>
      <c r="J500" s="270"/>
      <c r="K500" s="270"/>
      <c r="L500" s="270"/>
    </row>
    <row r="501" spans="1:14" ht="24" customHeight="1" thickBot="1">
      <c r="A501" s="271" t="s">
        <v>164</v>
      </c>
      <c r="B501" s="271"/>
      <c r="C501" s="271"/>
      <c r="D501" s="271"/>
      <c r="E501" s="271"/>
      <c r="F501" s="271"/>
      <c r="G501" s="271"/>
      <c r="H501" s="271"/>
      <c r="I501" s="271"/>
      <c r="J501" s="271"/>
      <c r="K501" s="271"/>
      <c r="L501" s="271"/>
    </row>
    <row r="502" spans="1:14" ht="24" customHeight="1" thickTop="1">
      <c r="A502" s="272" t="s">
        <v>103</v>
      </c>
      <c r="B502" s="272" t="s">
        <v>122</v>
      </c>
      <c r="C502" s="272" t="s">
        <v>124</v>
      </c>
      <c r="D502" s="274" t="s">
        <v>0</v>
      </c>
      <c r="E502" s="272" t="s">
        <v>109</v>
      </c>
      <c r="F502" s="272" t="s">
        <v>110</v>
      </c>
      <c r="G502" s="276" t="s">
        <v>111</v>
      </c>
      <c r="H502" s="278" t="s">
        <v>1</v>
      </c>
      <c r="I502" s="279"/>
      <c r="J502" s="272" t="s">
        <v>125</v>
      </c>
      <c r="K502" s="272" t="s">
        <v>104</v>
      </c>
      <c r="L502" s="280" t="s">
        <v>112</v>
      </c>
    </row>
    <row r="503" spans="1:14" ht="47.25" customHeight="1" thickBot="1">
      <c r="A503" s="273"/>
      <c r="B503" s="273"/>
      <c r="C503" s="273"/>
      <c r="D503" s="275"/>
      <c r="E503" s="273"/>
      <c r="F503" s="273"/>
      <c r="G503" s="277"/>
      <c r="H503" s="51" t="s">
        <v>113</v>
      </c>
      <c r="I503" s="52" t="s">
        <v>114</v>
      </c>
      <c r="J503" s="273"/>
      <c r="K503" s="273"/>
      <c r="L503" s="281"/>
    </row>
    <row r="504" spans="1:14" ht="24" customHeight="1" thickTop="1">
      <c r="A504" s="35"/>
      <c r="B504" s="35"/>
      <c r="C504" s="35"/>
      <c r="D504" s="168"/>
      <c r="E504" s="35"/>
      <c r="F504" s="83"/>
      <c r="G504" s="34"/>
      <c r="H504" s="84"/>
      <c r="I504" s="85"/>
      <c r="J504" s="86" t="s">
        <v>132</v>
      </c>
      <c r="K504" s="87">
        <f>SUM(K484)</f>
        <v>20264949.300000001</v>
      </c>
      <c r="L504" s="146"/>
    </row>
    <row r="505" spans="1:14">
      <c r="A505" s="38">
        <v>161</v>
      </c>
      <c r="B505" s="29">
        <v>2550</v>
      </c>
      <c r="C505" s="5" t="s">
        <v>492</v>
      </c>
      <c r="D505" s="126" t="s">
        <v>491</v>
      </c>
      <c r="E505" s="18" t="s">
        <v>2</v>
      </c>
      <c r="F505" s="18">
        <v>15</v>
      </c>
      <c r="G505" s="18" t="s">
        <v>383</v>
      </c>
      <c r="H505" s="18">
        <v>1</v>
      </c>
      <c r="I505" s="4">
        <v>1</v>
      </c>
      <c r="J505" s="3">
        <v>24000</v>
      </c>
      <c r="K505" s="3">
        <f t="shared" ref="K505:K514" si="16">SUM(I505*J505)</f>
        <v>24000</v>
      </c>
      <c r="L505" s="135" t="s">
        <v>1282</v>
      </c>
      <c r="M505" s="189" t="s">
        <v>473</v>
      </c>
    </row>
    <row r="506" spans="1:14">
      <c r="A506" s="38">
        <v>162</v>
      </c>
      <c r="B506" s="29">
        <v>2553</v>
      </c>
      <c r="C506" s="5" t="s">
        <v>490</v>
      </c>
      <c r="D506" s="126" t="s">
        <v>468</v>
      </c>
      <c r="E506" s="18" t="s">
        <v>2</v>
      </c>
      <c r="F506" s="18">
        <v>12</v>
      </c>
      <c r="G506" s="18" t="s">
        <v>383</v>
      </c>
      <c r="H506" s="18">
        <v>15</v>
      </c>
      <c r="I506" s="4">
        <v>15</v>
      </c>
      <c r="J506" s="3">
        <v>17000</v>
      </c>
      <c r="K506" s="3">
        <f t="shared" si="16"/>
        <v>255000</v>
      </c>
      <c r="L506" s="135" t="s">
        <v>1283</v>
      </c>
      <c r="M506" s="1" t="s">
        <v>473</v>
      </c>
    </row>
    <row r="507" spans="1:14" ht="24" customHeight="1">
      <c r="A507" s="38">
        <v>163</v>
      </c>
      <c r="B507" s="17" t="s">
        <v>106</v>
      </c>
      <c r="C507" s="5" t="s">
        <v>568</v>
      </c>
      <c r="D507" s="126" t="s">
        <v>559</v>
      </c>
      <c r="E507" s="18" t="s">
        <v>2</v>
      </c>
      <c r="F507" s="18">
        <v>25</v>
      </c>
      <c r="G507" s="18" t="s">
        <v>383</v>
      </c>
      <c r="H507" s="4">
        <v>2</v>
      </c>
      <c r="I507" s="4">
        <v>2</v>
      </c>
      <c r="J507" s="9">
        <v>35000</v>
      </c>
      <c r="K507" s="9">
        <f t="shared" si="16"/>
        <v>70000</v>
      </c>
      <c r="L507" s="135" t="s">
        <v>558</v>
      </c>
      <c r="M507" s="1" t="s">
        <v>519</v>
      </c>
      <c r="N507" s="8"/>
    </row>
    <row r="508" spans="1:14" ht="24" customHeight="1">
      <c r="A508" s="38">
        <v>164</v>
      </c>
      <c r="B508" s="17" t="s">
        <v>106</v>
      </c>
      <c r="C508" s="5" t="s">
        <v>567</v>
      </c>
      <c r="D508" s="126" t="s">
        <v>566</v>
      </c>
      <c r="E508" s="18" t="s">
        <v>2</v>
      </c>
      <c r="F508" s="18">
        <v>25</v>
      </c>
      <c r="G508" s="18" t="s">
        <v>383</v>
      </c>
      <c r="H508" s="4">
        <v>2</v>
      </c>
      <c r="I508" s="4">
        <v>2</v>
      </c>
      <c r="J508" s="9">
        <v>17500</v>
      </c>
      <c r="K508" s="9">
        <f t="shared" si="16"/>
        <v>35000</v>
      </c>
      <c r="L508" s="135" t="s">
        <v>561</v>
      </c>
      <c r="M508" s="1" t="s">
        <v>519</v>
      </c>
      <c r="N508" s="8"/>
    </row>
    <row r="509" spans="1:14" ht="24" customHeight="1">
      <c r="A509" s="38">
        <v>165</v>
      </c>
      <c r="B509" s="17">
        <v>2542</v>
      </c>
      <c r="C509" s="5" t="s">
        <v>565</v>
      </c>
      <c r="D509" s="126" t="s">
        <v>556</v>
      </c>
      <c r="E509" s="18" t="s">
        <v>2</v>
      </c>
      <c r="F509" s="18">
        <v>23</v>
      </c>
      <c r="G509" s="18" t="s">
        <v>383</v>
      </c>
      <c r="H509" s="4">
        <v>1</v>
      </c>
      <c r="I509" s="4">
        <v>1</v>
      </c>
      <c r="J509" s="9">
        <v>12500</v>
      </c>
      <c r="K509" s="9">
        <f t="shared" si="16"/>
        <v>12500</v>
      </c>
      <c r="L509" s="137" t="s">
        <v>555</v>
      </c>
      <c r="M509" s="1" t="s">
        <v>519</v>
      </c>
      <c r="N509" s="8"/>
    </row>
    <row r="510" spans="1:14" ht="24" customHeight="1">
      <c r="A510" s="38">
        <v>166</v>
      </c>
      <c r="B510" s="17">
        <v>2542</v>
      </c>
      <c r="C510" s="5" t="s">
        <v>564</v>
      </c>
      <c r="D510" s="126" t="s">
        <v>559</v>
      </c>
      <c r="E510" s="18" t="s">
        <v>2</v>
      </c>
      <c r="F510" s="18">
        <v>23</v>
      </c>
      <c r="G510" s="18" t="s">
        <v>383</v>
      </c>
      <c r="H510" s="4">
        <v>10</v>
      </c>
      <c r="I510" s="4">
        <v>10</v>
      </c>
      <c r="J510" s="9">
        <v>34500</v>
      </c>
      <c r="K510" s="9">
        <f t="shared" si="16"/>
        <v>345000</v>
      </c>
      <c r="L510" s="135" t="s">
        <v>558</v>
      </c>
      <c r="M510" s="1" t="s">
        <v>519</v>
      </c>
      <c r="N510" s="8"/>
    </row>
    <row r="511" spans="1:14" ht="24" customHeight="1">
      <c r="A511" s="38">
        <v>167</v>
      </c>
      <c r="B511" s="17">
        <v>2542</v>
      </c>
      <c r="C511" s="5" t="s">
        <v>563</v>
      </c>
      <c r="D511" s="126" t="s">
        <v>562</v>
      </c>
      <c r="E511" s="18" t="s">
        <v>2</v>
      </c>
      <c r="F511" s="18">
        <v>23</v>
      </c>
      <c r="G511" s="18" t="s">
        <v>383</v>
      </c>
      <c r="H511" s="4">
        <v>2</v>
      </c>
      <c r="I511" s="4">
        <v>2</v>
      </c>
      <c r="J511" s="9">
        <v>9000</v>
      </c>
      <c r="K511" s="9">
        <f t="shared" si="16"/>
        <v>18000</v>
      </c>
      <c r="L511" s="135" t="s">
        <v>561</v>
      </c>
      <c r="M511" s="1" t="s">
        <v>519</v>
      </c>
      <c r="N511" s="8"/>
    </row>
    <row r="512" spans="1:14" ht="24" customHeight="1">
      <c r="A512" s="38">
        <v>168</v>
      </c>
      <c r="B512" s="17" t="s">
        <v>527</v>
      </c>
      <c r="C512" s="5" t="s">
        <v>560</v>
      </c>
      <c r="D512" s="126" t="s">
        <v>559</v>
      </c>
      <c r="E512" s="18" t="s">
        <v>2</v>
      </c>
      <c r="F512" s="18">
        <v>22</v>
      </c>
      <c r="G512" s="18" t="s">
        <v>383</v>
      </c>
      <c r="H512" s="4">
        <v>5</v>
      </c>
      <c r="I512" s="4">
        <v>5</v>
      </c>
      <c r="J512" s="9">
        <v>38900</v>
      </c>
      <c r="K512" s="9">
        <f t="shared" si="16"/>
        <v>194500</v>
      </c>
      <c r="L512" s="135" t="s">
        <v>558</v>
      </c>
      <c r="M512" s="1" t="s">
        <v>519</v>
      </c>
      <c r="N512" s="8"/>
    </row>
    <row r="513" spans="1:14" ht="24" customHeight="1">
      <c r="A513" s="38">
        <v>169</v>
      </c>
      <c r="B513" s="17" t="s">
        <v>527</v>
      </c>
      <c r="C513" s="5" t="s">
        <v>557</v>
      </c>
      <c r="D513" s="126" t="s">
        <v>556</v>
      </c>
      <c r="E513" s="18" t="s">
        <v>2</v>
      </c>
      <c r="F513" s="18">
        <v>22</v>
      </c>
      <c r="G513" s="18" t="s">
        <v>383</v>
      </c>
      <c r="H513" s="4">
        <v>1</v>
      </c>
      <c r="I513" s="4">
        <v>1</v>
      </c>
      <c r="J513" s="9">
        <v>20000</v>
      </c>
      <c r="K513" s="9">
        <f t="shared" si="16"/>
        <v>20000</v>
      </c>
      <c r="L513" s="137" t="s">
        <v>555</v>
      </c>
      <c r="M513" s="1" t="s">
        <v>519</v>
      </c>
      <c r="N513" s="8"/>
    </row>
    <row r="514" spans="1:14" ht="24" customHeight="1">
      <c r="A514" s="38">
        <v>170</v>
      </c>
      <c r="B514" s="17" t="s">
        <v>527</v>
      </c>
      <c r="C514" s="5" t="s">
        <v>554</v>
      </c>
      <c r="D514" s="126" t="s">
        <v>553</v>
      </c>
      <c r="E514" s="17" t="s">
        <v>2</v>
      </c>
      <c r="F514" s="18">
        <v>22</v>
      </c>
      <c r="G514" s="18" t="s">
        <v>383</v>
      </c>
      <c r="H514" s="4">
        <v>1</v>
      </c>
      <c r="I514" s="4">
        <v>1</v>
      </c>
      <c r="J514" s="9">
        <v>20000</v>
      </c>
      <c r="K514" s="9">
        <f t="shared" si="16"/>
        <v>20000</v>
      </c>
      <c r="L514" s="135" t="s">
        <v>552</v>
      </c>
      <c r="M514" s="1" t="s">
        <v>519</v>
      </c>
      <c r="N514" s="8"/>
    </row>
    <row r="515" spans="1:14" ht="24" customHeight="1">
      <c r="A515" s="73"/>
      <c r="B515" s="82"/>
      <c r="C515" s="82"/>
      <c r="D515" s="167"/>
      <c r="E515" s="82"/>
      <c r="F515" s="82"/>
      <c r="G515" s="82"/>
      <c r="H515" s="82"/>
      <c r="I515" s="82"/>
      <c r="J515" s="74" t="s">
        <v>129</v>
      </c>
      <c r="K515" s="89">
        <f>SUM(K504:K514)</f>
        <v>21258949.300000001</v>
      </c>
      <c r="L515" s="147"/>
    </row>
    <row r="516" spans="1:14" ht="24" customHeight="1">
      <c r="A516" s="62"/>
      <c r="B516" s="62" t="s">
        <v>119</v>
      </c>
      <c r="C516" s="53" t="s">
        <v>120</v>
      </c>
      <c r="H516" s="63"/>
      <c r="I516" s="63"/>
      <c r="L516" s="148"/>
    </row>
    <row r="517" spans="1:14" ht="24" customHeight="1">
      <c r="A517" s="62"/>
      <c r="C517" s="53" t="s">
        <v>121</v>
      </c>
      <c r="H517" s="63"/>
      <c r="I517" s="63"/>
      <c r="L517" s="148"/>
    </row>
    <row r="518" spans="1:14" ht="23.25" customHeight="1">
      <c r="A518" s="90"/>
      <c r="G518" s="68" t="s">
        <v>148</v>
      </c>
      <c r="H518" s="268" t="s">
        <v>149</v>
      </c>
      <c r="I518" s="268"/>
      <c r="J518" s="268"/>
      <c r="K518" s="2" t="s">
        <v>150</v>
      </c>
      <c r="L518" s="141"/>
    </row>
    <row r="519" spans="1:14" ht="21" customHeight="1">
      <c r="A519" s="90"/>
      <c r="G519" s="2"/>
      <c r="H519" s="268" t="s">
        <v>1549</v>
      </c>
      <c r="I519" s="268"/>
      <c r="J519" s="268"/>
      <c r="K519" s="2"/>
      <c r="L519" s="141"/>
    </row>
    <row r="520" spans="1:14" ht="32.25" customHeight="1">
      <c r="G520" s="68" t="s">
        <v>148</v>
      </c>
      <c r="H520" s="268" t="s">
        <v>149</v>
      </c>
      <c r="I520" s="268"/>
      <c r="J520" s="268"/>
      <c r="K520" s="2" t="s">
        <v>151</v>
      </c>
      <c r="L520" s="141"/>
    </row>
    <row r="521" spans="1:14" ht="21.75" customHeight="1">
      <c r="G521" s="2"/>
      <c r="H521" s="268" t="s">
        <v>154</v>
      </c>
      <c r="I521" s="268"/>
      <c r="J521" s="268"/>
      <c r="K521" s="2"/>
      <c r="L521" s="141"/>
    </row>
    <row r="522" spans="1:14" ht="33" customHeight="1">
      <c r="G522" s="68" t="s">
        <v>148</v>
      </c>
      <c r="H522" s="268" t="s">
        <v>149</v>
      </c>
      <c r="I522" s="268"/>
      <c r="J522" s="268"/>
      <c r="K522" s="2" t="s">
        <v>151</v>
      </c>
      <c r="L522" s="142"/>
    </row>
    <row r="523" spans="1:14" ht="21" customHeight="1">
      <c r="G523" s="2"/>
      <c r="H523" s="268" t="s">
        <v>155</v>
      </c>
      <c r="I523" s="268"/>
      <c r="J523" s="268"/>
      <c r="K523" s="2"/>
      <c r="L523" s="142"/>
    </row>
    <row r="524" spans="1:14" ht="33" customHeight="1">
      <c r="G524" s="68" t="s">
        <v>148</v>
      </c>
      <c r="H524" s="268" t="s">
        <v>149</v>
      </c>
      <c r="I524" s="268"/>
      <c r="J524" s="268"/>
      <c r="K524" s="2" t="s">
        <v>151</v>
      </c>
      <c r="L524" s="142"/>
    </row>
    <row r="525" spans="1:14" ht="21" customHeight="1">
      <c r="G525" s="2"/>
      <c r="H525" s="268" t="s">
        <v>156</v>
      </c>
      <c r="I525" s="268"/>
      <c r="J525" s="268"/>
      <c r="K525" s="2"/>
      <c r="L525" s="142"/>
    </row>
    <row r="526" spans="1:14" ht="33.75" customHeight="1">
      <c r="G526" s="68" t="s">
        <v>148</v>
      </c>
      <c r="H526" s="268" t="s">
        <v>149</v>
      </c>
      <c r="I526" s="268"/>
      <c r="J526" s="268"/>
      <c r="K526" s="67" t="s">
        <v>152</v>
      </c>
      <c r="L526" s="142"/>
    </row>
    <row r="527" spans="1:14" ht="23.25" customHeight="1">
      <c r="G527" s="67"/>
      <c r="H527" s="268" t="s">
        <v>157</v>
      </c>
      <c r="I527" s="268"/>
      <c r="J527" s="268"/>
      <c r="K527" s="67"/>
      <c r="L527" s="142"/>
    </row>
    <row r="528" spans="1:14" ht="23.25" customHeight="1">
      <c r="G528" s="67"/>
      <c r="H528" s="64"/>
      <c r="I528" s="64"/>
      <c r="J528" s="64"/>
      <c r="K528" s="67"/>
      <c r="L528" s="142"/>
    </row>
    <row r="529" spans="1:14" ht="24" customHeight="1">
      <c r="L529" s="138" t="s">
        <v>1436</v>
      </c>
    </row>
    <row r="530" spans="1:14" ht="24" customHeight="1">
      <c r="A530" s="269" t="s">
        <v>158</v>
      </c>
      <c r="B530" s="269"/>
      <c r="C530" s="269"/>
      <c r="D530" s="269"/>
      <c r="E530" s="269"/>
      <c r="F530" s="269"/>
      <c r="G530" s="269"/>
      <c r="H530" s="269"/>
      <c r="I530" s="269"/>
      <c r="J530" s="269"/>
      <c r="K530" s="269"/>
      <c r="L530" s="269"/>
    </row>
    <row r="531" spans="1:14" ht="24" customHeight="1">
      <c r="A531" s="270" t="s">
        <v>163</v>
      </c>
      <c r="B531" s="270"/>
      <c r="C531" s="270"/>
      <c r="D531" s="270"/>
      <c r="E531" s="270"/>
      <c r="F531" s="270"/>
      <c r="G531" s="270"/>
      <c r="H531" s="270"/>
      <c r="I531" s="270"/>
      <c r="J531" s="270"/>
      <c r="K531" s="270"/>
      <c r="L531" s="270"/>
    </row>
    <row r="532" spans="1:14" ht="24" customHeight="1" thickBot="1">
      <c r="A532" s="271" t="s">
        <v>164</v>
      </c>
      <c r="B532" s="271"/>
      <c r="C532" s="271"/>
      <c r="D532" s="271"/>
      <c r="E532" s="271"/>
      <c r="F532" s="271"/>
      <c r="G532" s="271"/>
      <c r="H532" s="271"/>
      <c r="I532" s="271"/>
      <c r="J532" s="271"/>
      <c r="K532" s="271"/>
      <c r="L532" s="271"/>
    </row>
    <row r="533" spans="1:14" ht="24" customHeight="1" thickTop="1">
      <c r="A533" s="272" t="s">
        <v>103</v>
      </c>
      <c r="B533" s="272" t="s">
        <v>122</v>
      </c>
      <c r="C533" s="272" t="s">
        <v>124</v>
      </c>
      <c r="D533" s="274" t="s">
        <v>0</v>
      </c>
      <c r="E533" s="272" t="s">
        <v>109</v>
      </c>
      <c r="F533" s="272" t="s">
        <v>110</v>
      </c>
      <c r="G533" s="276" t="s">
        <v>111</v>
      </c>
      <c r="H533" s="278" t="s">
        <v>1</v>
      </c>
      <c r="I533" s="279"/>
      <c r="J533" s="272" t="s">
        <v>125</v>
      </c>
      <c r="K533" s="272" t="s">
        <v>104</v>
      </c>
      <c r="L533" s="280" t="s">
        <v>112</v>
      </c>
    </row>
    <row r="534" spans="1:14" ht="45.75" customHeight="1" thickBot="1">
      <c r="A534" s="273"/>
      <c r="B534" s="273"/>
      <c r="C534" s="273"/>
      <c r="D534" s="275"/>
      <c r="E534" s="273"/>
      <c r="F534" s="273"/>
      <c r="G534" s="277"/>
      <c r="H534" s="51" t="s">
        <v>113</v>
      </c>
      <c r="I534" s="52" t="s">
        <v>114</v>
      </c>
      <c r="J534" s="273"/>
      <c r="K534" s="273"/>
      <c r="L534" s="281"/>
    </row>
    <row r="535" spans="1:14" ht="24" customHeight="1" thickTop="1">
      <c r="A535" s="35"/>
      <c r="B535" s="35"/>
      <c r="C535" s="35"/>
      <c r="D535" s="168"/>
      <c r="E535" s="35"/>
      <c r="F535" s="83"/>
      <c r="G535" s="34"/>
      <c r="H535" s="84"/>
      <c r="I535" s="85"/>
      <c r="J535" s="86" t="s">
        <v>132</v>
      </c>
      <c r="K535" s="87">
        <f>SUM(K515)</f>
        <v>21258949.300000001</v>
      </c>
      <c r="L535" s="146"/>
    </row>
    <row r="536" spans="1:14" ht="24" customHeight="1">
      <c r="A536" s="29">
        <v>171</v>
      </c>
      <c r="B536" s="17" t="s">
        <v>527</v>
      </c>
      <c r="C536" s="5" t="s">
        <v>584</v>
      </c>
      <c r="D536" s="126" t="s">
        <v>583</v>
      </c>
      <c r="E536" s="17" t="s">
        <v>2</v>
      </c>
      <c r="F536" s="18">
        <v>22</v>
      </c>
      <c r="G536" s="18" t="s">
        <v>383</v>
      </c>
      <c r="H536" s="4">
        <v>1</v>
      </c>
      <c r="I536" s="4">
        <v>1</v>
      </c>
      <c r="J536" s="9">
        <v>31500</v>
      </c>
      <c r="K536" s="9">
        <f t="shared" ref="K536:K545" si="17">SUM(I536*J536)</f>
        <v>31500</v>
      </c>
      <c r="L536" s="135" t="s">
        <v>582</v>
      </c>
      <c r="M536" s="1" t="s">
        <v>519</v>
      </c>
      <c r="N536" s="8"/>
    </row>
    <row r="537" spans="1:14" ht="24" customHeight="1">
      <c r="A537" s="29">
        <v>172</v>
      </c>
      <c r="B537" s="17">
        <v>2544</v>
      </c>
      <c r="C537" s="5" t="s">
        <v>581</v>
      </c>
      <c r="D537" s="125" t="s">
        <v>580</v>
      </c>
      <c r="E537" s="17" t="s">
        <v>3</v>
      </c>
      <c r="F537" s="18">
        <v>21</v>
      </c>
      <c r="G537" s="18" t="s">
        <v>383</v>
      </c>
      <c r="H537" s="4">
        <v>1</v>
      </c>
      <c r="I537" s="4">
        <v>1</v>
      </c>
      <c r="J537" s="3">
        <v>31850</v>
      </c>
      <c r="K537" s="9">
        <f t="shared" si="17"/>
        <v>31850</v>
      </c>
      <c r="L537" s="137" t="s">
        <v>579</v>
      </c>
      <c r="M537" s="1" t="s">
        <v>519</v>
      </c>
    </row>
    <row r="538" spans="1:14" ht="24" customHeight="1">
      <c r="A538" s="29">
        <v>173</v>
      </c>
      <c r="B538" s="17">
        <v>2546</v>
      </c>
      <c r="C538" s="5" t="s">
        <v>578</v>
      </c>
      <c r="D538" s="125" t="s">
        <v>559</v>
      </c>
      <c r="E538" s="17" t="s">
        <v>3</v>
      </c>
      <c r="F538" s="18">
        <v>19</v>
      </c>
      <c r="G538" s="18" t="s">
        <v>383</v>
      </c>
      <c r="H538" s="4">
        <v>21</v>
      </c>
      <c r="I538" s="4">
        <v>21</v>
      </c>
      <c r="J538" s="3">
        <v>24285.71</v>
      </c>
      <c r="K538" s="9">
        <f t="shared" si="17"/>
        <v>509999.91</v>
      </c>
      <c r="L538" s="135" t="s">
        <v>558</v>
      </c>
      <c r="M538" s="1" t="s">
        <v>519</v>
      </c>
    </row>
    <row r="539" spans="1:14" ht="24" customHeight="1">
      <c r="A539" s="29">
        <v>174</v>
      </c>
      <c r="B539" s="17">
        <v>2546</v>
      </c>
      <c r="C539" s="5" t="s">
        <v>577</v>
      </c>
      <c r="D539" s="125" t="s">
        <v>559</v>
      </c>
      <c r="E539" s="17" t="s">
        <v>2</v>
      </c>
      <c r="F539" s="18">
        <v>19</v>
      </c>
      <c r="G539" s="18" t="s">
        <v>383</v>
      </c>
      <c r="H539" s="4">
        <v>7</v>
      </c>
      <c r="I539" s="4">
        <v>7</v>
      </c>
      <c r="J539" s="3">
        <v>11862.85</v>
      </c>
      <c r="K539" s="3">
        <f t="shared" si="17"/>
        <v>83039.95</v>
      </c>
      <c r="L539" s="135" t="s">
        <v>558</v>
      </c>
      <c r="M539" s="1" t="s">
        <v>519</v>
      </c>
    </row>
    <row r="540" spans="1:14" ht="24" customHeight="1">
      <c r="A540" s="29">
        <v>175</v>
      </c>
      <c r="B540" s="17">
        <v>2546</v>
      </c>
      <c r="C540" s="5" t="s">
        <v>576</v>
      </c>
      <c r="D540" s="125" t="s">
        <v>559</v>
      </c>
      <c r="E540" s="17" t="s">
        <v>2</v>
      </c>
      <c r="F540" s="18">
        <v>19</v>
      </c>
      <c r="G540" s="18" t="s">
        <v>383</v>
      </c>
      <c r="H540" s="4">
        <v>7</v>
      </c>
      <c r="I540" s="4">
        <v>7</v>
      </c>
      <c r="J540" s="3">
        <v>15500</v>
      </c>
      <c r="K540" s="3">
        <f t="shared" si="17"/>
        <v>108500</v>
      </c>
      <c r="L540" s="135" t="s">
        <v>558</v>
      </c>
      <c r="M540" s="1" t="s">
        <v>519</v>
      </c>
    </row>
    <row r="541" spans="1:14" ht="24" customHeight="1">
      <c r="A541" s="29">
        <v>176</v>
      </c>
      <c r="B541" s="17">
        <v>2546</v>
      </c>
      <c r="C541" s="5" t="s">
        <v>575</v>
      </c>
      <c r="D541" s="125" t="s">
        <v>574</v>
      </c>
      <c r="E541" s="17" t="s">
        <v>3</v>
      </c>
      <c r="F541" s="18">
        <v>19</v>
      </c>
      <c r="G541" s="18" t="s">
        <v>383</v>
      </c>
      <c r="H541" s="4">
        <v>1</v>
      </c>
      <c r="I541" s="4">
        <v>1</v>
      </c>
      <c r="J541" s="3">
        <v>9900</v>
      </c>
      <c r="K541" s="3">
        <f t="shared" si="17"/>
        <v>9900</v>
      </c>
      <c r="L541" s="135" t="s">
        <v>552</v>
      </c>
      <c r="M541" s="1" t="s">
        <v>519</v>
      </c>
    </row>
    <row r="542" spans="1:14" ht="24" customHeight="1">
      <c r="A542" s="29">
        <v>177</v>
      </c>
      <c r="B542" s="17">
        <v>2548</v>
      </c>
      <c r="C542" s="5" t="s">
        <v>573</v>
      </c>
      <c r="D542" s="125" t="s">
        <v>559</v>
      </c>
      <c r="E542" s="17" t="s">
        <v>3</v>
      </c>
      <c r="F542" s="18">
        <v>17</v>
      </c>
      <c r="G542" s="18" t="s">
        <v>383</v>
      </c>
      <c r="H542" s="4">
        <v>5</v>
      </c>
      <c r="I542" s="4">
        <v>5</v>
      </c>
      <c r="J542" s="3">
        <v>16000</v>
      </c>
      <c r="K542" s="3">
        <f t="shared" si="17"/>
        <v>80000</v>
      </c>
      <c r="L542" s="135" t="s">
        <v>558</v>
      </c>
      <c r="M542" s="1" t="s">
        <v>519</v>
      </c>
    </row>
    <row r="543" spans="1:14" ht="24" customHeight="1">
      <c r="A543" s="29">
        <v>178</v>
      </c>
      <c r="B543" s="17">
        <v>2548</v>
      </c>
      <c r="C543" s="5" t="s">
        <v>572</v>
      </c>
      <c r="D543" s="125" t="s">
        <v>559</v>
      </c>
      <c r="E543" s="17" t="s">
        <v>3</v>
      </c>
      <c r="F543" s="18">
        <v>17</v>
      </c>
      <c r="G543" s="18" t="s">
        <v>383</v>
      </c>
      <c r="H543" s="4">
        <v>4</v>
      </c>
      <c r="I543" s="4">
        <v>4</v>
      </c>
      <c r="J543" s="3">
        <v>16000</v>
      </c>
      <c r="K543" s="3">
        <f t="shared" si="17"/>
        <v>64000</v>
      </c>
      <c r="L543" s="135" t="s">
        <v>558</v>
      </c>
      <c r="M543" s="1" t="s">
        <v>519</v>
      </c>
    </row>
    <row r="544" spans="1:14" ht="24" customHeight="1">
      <c r="A544" s="29">
        <v>179</v>
      </c>
      <c r="B544" s="17">
        <v>2548</v>
      </c>
      <c r="C544" s="5" t="s">
        <v>571</v>
      </c>
      <c r="D544" s="125" t="s">
        <v>559</v>
      </c>
      <c r="E544" s="17" t="s">
        <v>3</v>
      </c>
      <c r="F544" s="18">
        <v>17</v>
      </c>
      <c r="G544" s="18" t="s">
        <v>383</v>
      </c>
      <c r="H544" s="4">
        <v>4</v>
      </c>
      <c r="I544" s="4">
        <v>4</v>
      </c>
      <c r="J544" s="3">
        <v>16000</v>
      </c>
      <c r="K544" s="3">
        <f t="shared" si="17"/>
        <v>64000</v>
      </c>
      <c r="L544" s="135" t="s">
        <v>558</v>
      </c>
      <c r="M544" s="1" t="s">
        <v>519</v>
      </c>
    </row>
    <row r="545" spans="1:13" ht="24" customHeight="1">
      <c r="A545" s="29">
        <v>180</v>
      </c>
      <c r="B545" s="17">
        <v>2548</v>
      </c>
      <c r="C545" s="5" t="s">
        <v>570</v>
      </c>
      <c r="D545" s="125" t="s">
        <v>569</v>
      </c>
      <c r="E545" s="17" t="s">
        <v>3</v>
      </c>
      <c r="F545" s="18">
        <v>17</v>
      </c>
      <c r="G545" s="18" t="s">
        <v>383</v>
      </c>
      <c r="H545" s="4">
        <v>1</v>
      </c>
      <c r="I545" s="4">
        <v>1</v>
      </c>
      <c r="J545" s="3">
        <v>6600</v>
      </c>
      <c r="K545" s="3">
        <f t="shared" si="17"/>
        <v>6600</v>
      </c>
      <c r="L545" s="135" t="s">
        <v>552</v>
      </c>
      <c r="M545" s="1" t="s">
        <v>519</v>
      </c>
    </row>
    <row r="546" spans="1:13" ht="24" customHeight="1">
      <c r="A546" s="73"/>
      <c r="B546" s="82"/>
      <c r="C546" s="82"/>
      <c r="D546" s="167"/>
      <c r="E546" s="82"/>
      <c r="F546" s="82"/>
      <c r="G546" s="82"/>
      <c r="H546" s="82"/>
      <c r="I546" s="82"/>
      <c r="J546" s="74" t="s">
        <v>129</v>
      </c>
      <c r="K546" s="89">
        <f>SUM(K535:K545)</f>
        <v>22248339.16</v>
      </c>
      <c r="L546" s="147"/>
    </row>
    <row r="547" spans="1:13" ht="24" customHeight="1">
      <c r="A547" s="62"/>
      <c r="B547" s="62" t="s">
        <v>119</v>
      </c>
      <c r="C547" s="53" t="s">
        <v>120</v>
      </c>
      <c r="H547" s="63"/>
      <c r="I547" s="63"/>
      <c r="L547" s="148"/>
    </row>
    <row r="548" spans="1:13" ht="24" customHeight="1">
      <c r="A548" s="62"/>
      <c r="C548" s="53" t="s">
        <v>121</v>
      </c>
      <c r="H548" s="63"/>
      <c r="I548" s="63"/>
      <c r="L548" s="148"/>
    </row>
    <row r="549" spans="1:13" ht="22.5" customHeight="1">
      <c r="A549" s="90"/>
      <c r="G549" s="68" t="s">
        <v>148</v>
      </c>
      <c r="H549" s="268" t="s">
        <v>149</v>
      </c>
      <c r="I549" s="268"/>
      <c r="J549" s="268"/>
      <c r="K549" s="2" t="s">
        <v>150</v>
      </c>
      <c r="L549" s="141"/>
    </row>
    <row r="550" spans="1:13" ht="21.75" customHeight="1">
      <c r="A550" s="90"/>
      <c r="G550" s="2"/>
      <c r="H550" s="268" t="s">
        <v>1549</v>
      </c>
      <c r="I550" s="268"/>
      <c r="J550" s="268"/>
      <c r="K550" s="2"/>
      <c r="L550" s="141"/>
    </row>
    <row r="551" spans="1:13" ht="33" customHeight="1">
      <c r="G551" s="68" t="s">
        <v>148</v>
      </c>
      <c r="H551" s="268" t="s">
        <v>149</v>
      </c>
      <c r="I551" s="268"/>
      <c r="J551" s="268"/>
      <c r="K551" s="2" t="s">
        <v>151</v>
      </c>
      <c r="L551" s="141"/>
    </row>
    <row r="552" spans="1:13" ht="21.75" customHeight="1">
      <c r="G552" s="2"/>
      <c r="H552" s="268" t="s">
        <v>154</v>
      </c>
      <c r="I552" s="268"/>
      <c r="J552" s="268"/>
      <c r="K552" s="2"/>
      <c r="L552" s="141"/>
    </row>
    <row r="553" spans="1:13" ht="33" customHeight="1">
      <c r="G553" s="68" t="s">
        <v>148</v>
      </c>
      <c r="H553" s="268" t="s">
        <v>149</v>
      </c>
      <c r="I553" s="268"/>
      <c r="J553" s="268"/>
      <c r="K553" s="2" t="s">
        <v>151</v>
      </c>
      <c r="L553" s="142"/>
    </row>
    <row r="554" spans="1:13" ht="21" customHeight="1">
      <c r="G554" s="2"/>
      <c r="H554" s="268" t="s">
        <v>155</v>
      </c>
      <c r="I554" s="268"/>
      <c r="J554" s="268"/>
      <c r="K554" s="2"/>
      <c r="L554" s="142"/>
    </row>
    <row r="555" spans="1:13" ht="33.75" customHeight="1">
      <c r="G555" s="68" t="s">
        <v>148</v>
      </c>
      <c r="H555" s="268" t="s">
        <v>149</v>
      </c>
      <c r="I555" s="268"/>
      <c r="J555" s="268"/>
      <c r="K555" s="2" t="s">
        <v>151</v>
      </c>
      <c r="L555" s="142"/>
    </row>
    <row r="556" spans="1:13" ht="21" customHeight="1">
      <c r="G556" s="2"/>
      <c r="H556" s="268" t="s">
        <v>156</v>
      </c>
      <c r="I556" s="268"/>
      <c r="J556" s="268"/>
      <c r="K556" s="2"/>
      <c r="L556" s="142"/>
    </row>
    <row r="557" spans="1:13" ht="33.75" customHeight="1">
      <c r="G557" s="68" t="s">
        <v>148</v>
      </c>
      <c r="H557" s="268" t="s">
        <v>149</v>
      </c>
      <c r="I557" s="268"/>
      <c r="J557" s="268"/>
      <c r="K557" s="67" t="s">
        <v>152</v>
      </c>
      <c r="L557" s="142"/>
    </row>
    <row r="558" spans="1:13" ht="24" customHeight="1">
      <c r="G558" s="67"/>
      <c r="H558" s="268" t="s">
        <v>157</v>
      </c>
      <c r="I558" s="268"/>
      <c r="J558" s="268"/>
      <c r="K558" s="67"/>
      <c r="L558" s="142"/>
    </row>
    <row r="559" spans="1:13" ht="24" customHeight="1">
      <c r="G559" s="67"/>
      <c r="H559" s="64"/>
      <c r="I559" s="64"/>
      <c r="J559" s="64"/>
      <c r="K559" s="67"/>
      <c r="L559" s="142"/>
    </row>
    <row r="560" spans="1:13" ht="24" customHeight="1">
      <c r="L560" s="138" t="s">
        <v>1437</v>
      </c>
    </row>
    <row r="561" spans="1:13" ht="24" customHeight="1">
      <c r="A561" s="269" t="s">
        <v>158</v>
      </c>
      <c r="B561" s="269"/>
      <c r="C561" s="269"/>
      <c r="D561" s="269"/>
      <c r="E561" s="269"/>
      <c r="F561" s="269"/>
      <c r="G561" s="269"/>
      <c r="H561" s="269"/>
      <c r="I561" s="269"/>
      <c r="J561" s="269"/>
      <c r="K561" s="269"/>
      <c r="L561" s="269"/>
    </row>
    <row r="562" spans="1:13" ht="24" customHeight="1">
      <c r="A562" s="270" t="s">
        <v>163</v>
      </c>
      <c r="B562" s="270"/>
      <c r="C562" s="270"/>
      <c r="D562" s="270"/>
      <c r="E562" s="270"/>
      <c r="F562" s="270"/>
      <c r="G562" s="270"/>
      <c r="H562" s="270"/>
      <c r="I562" s="270"/>
      <c r="J562" s="270"/>
      <c r="K562" s="270"/>
      <c r="L562" s="270"/>
    </row>
    <row r="563" spans="1:13" ht="24" customHeight="1" thickBot="1">
      <c r="A563" s="271" t="s">
        <v>164</v>
      </c>
      <c r="B563" s="271"/>
      <c r="C563" s="271"/>
      <c r="D563" s="271"/>
      <c r="E563" s="271"/>
      <c r="F563" s="271"/>
      <c r="G563" s="271"/>
      <c r="H563" s="271"/>
      <c r="I563" s="271"/>
      <c r="J563" s="271"/>
      <c r="K563" s="271"/>
      <c r="L563" s="271"/>
    </row>
    <row r="564" spans="1:13" ht="24" customHeight="1" thickTop="1">
      <c r="A564" s="272" t="s">
        <v>103</v>
      </c>
      <c r="B564" s="272" t="s">
        <v>122</v>
      </c>
      <c r="C564" s="272" t="s">
        <v>124</v>
      </c>
      <c r="D564" s="274" t="s">
        <v>0</v>
      </c>
      <c r="E564" s="272" t="s">
        <v>109</v>
      </c>
      <c r="F564" s="272" t="s">
        <v>110</v>
      </c>
      <c r="G564" s="276" t="s">
        <v>111</v>
      </c>
      <c r="H564" s="278" t="s">
        <v>1</v>
      </c>
      <c r="I564" s="279"/>
      <c r="J564" s="272" t="s">
        <v>125</v>
      </c>
      <c r="K564" s="272" t="s">
        <v>104</v>
      </c>
      <c r="L564" s="280" t="s">
        <v>112</v>
      </c>
    </row>
    <row r="565" spans="1:13" ht="47.25" customHeight="1" thickBot="1">
      <c r="A565" s="273"/>
      <c r="B565" s="273"/>
      <c r="C565" s="273"/>
      <c r="D565" s="275"/>
      <c r="E565" s="273"/>
      <c r="F565" s="273"/>
      <c r="G565" s="277"/>
      <c r="H565" s="51" t="s">
        <v>113</v>
      </c>
      <c r="I565" s="52" t="s">
        <v>114</v>
      </c>
      <c r="J565" s="273"/>
      <c r="K565" s="273"/>
      <c r="L565" s="281"/>
    </row>
    <row r="566" spans="1:13" ht="24" customHeight="1" thickTop="1">
      <c r="A566" s="35"/>
      <c r="B566" s="35"/>
      <c r="C566" s="35"/>
      <c r="D566" s="168"/>
      <c r="E566" s="35"/>
      <c r="F566" s="83"/>
      <c r="G566" s="34"/>
      <c r="H566" s="84"/>
      <c r="I566" s="85"/>
      <c r="J566" s="86" t="s">
        <v>132</v>
      </c>
      <c r="K566" s="87">
        <f>SUM(K546)</f>
        <v>22248339.16</v>
      </c>
      <c r="L566" s="146"/>
    </row>
    <row r="567" spans="1:13" ht="24" customHeight="1">
      <c r="A567" s="29">
        <v>181</v>
      </c>
      <c r="B567" s="17">
        <v>2548</v>
      </c>
      <c r="C567" s="5" t="s">
        <v>602</v>
      </c>
      <c r="D567" s="125" t="s">
        <v>601</v>
      </c>
      <c r="E567" s="17" t="s">
        <v>3</v>
      </c>
      <c r="F567" s="18">
        <v>17</v>
      </c>
      <c r="G567" s="18" t="s">
        <v>383</v>
      </c>
      <c r="H567" s="4">
        <v>1</v>
      </c>
      <c r="I567" s="4">
        <v>1</v>
      </c>
      <c r="J567" s="3">
        <v>79000</v>
      </c>
      <c r="K567" s="3">
        <f t="shared" ref="K567:K576" si="18">SUM(I567*J567)</f>
        <v>79000</v>
      </c>
      <c r="L567" s="135" t="s">
        <v>558</v>
      </c>
      <c r="M567" s="1" t="s">
        <v>519</v>
      </c>
    </row>
    <row r="568" spans="1:13" ht="24" customHeight="1">
      <c r="A568" s="29">
        <v>182</v>
      </c>
      <c r="B568" s="17">
        <v>2548</v>
      </c>
      <c r="C568" s="5" t="s">
        <v>600</v>
      </c>
      <c r="D568" s="125" t="s">
        <v>599</v>
      </c>
      <c r="E568" s="17" t="s">
        <v>3</v>
      </c>
      <c r="F568" s="18">
        <v>17</v>
      </c>
      <c r="G568" s="18" t="s">
        <v>383</v>
      </c>
      <c r="H568" s="4">
        <v>1</v>
      </c>
      <c r="I568" s="4">
        <v>1</v>
      </c>
      <c r="J568" s="3">
        <v>9200</v>
      </c>
      <c r="K568" s="3">
        <f t="shared" si="18"/>
        <v>9200</v>
      </c>
      <c r="L568" s="135" t="s">
        <v>561</v>
      </c>
      <c r="M568" s="1" t="s">
        <v>519</v>
      </c>
    </row>
    <row r="569" spans="1:13" ht="24" customHeight="1">
      <c r="A569" s="29">
        <v>183</v>
      </c>
      <c r="B569" s="17">
        <v>2548</v>
      </c>
      <c r="C569" s="5" t="s">
        <v>598</v>
      </c>
      <c r="D569" s="125" t="s">
        <v>597</v>
      </c>
      <c r="E569" s="17" t="s">
        <v>3</v>
      </c>
      <c r="F569" s="18">
        <v>17</v>
      </c>
      <c r="G569" s="18" t="s">
        <v>383</v>
      </c>
      <c r="H569" s="4">
        <v>1</v>
      </c>
      <c r="I569" s="4">
        <v>1</v>
      </c>
      <c r="J569" s="3">
        <v>5900</v>
      </c>
      <c r="K569" s="3">
        <f t="shared" si="18"/>
        <v>5900</v>
      </c>
      <c r="L569" s="135" t="s">
        <v>561</v>
      </c>
      <c r="M569" s="1" t="s">
        <v>519</v>
      </c>
    </row>
    <row r="570" spans="1:13" ht="24" customHeight="1">
      <c r="A570" s="29">
        <v>184</v>
      </c>
      <c r="B570" s="17">
        <v>2548</v>
      </c>
      <c r="C570" s="5" t="s">
        <v>596</v>
      </c>
      <c r="D570" s="125" t="s">
        <v>595</v>
      </c>
      <c r="E570" s="17" t="s">
        <v>3</v>
      </c>
      <c r="F570" s="4">
        <v>17</v>
      </c>
      <c r="G570" s="18" t="s">
        <v>383</v>
      </c>
      <c r="H570" s="4">
        <v>1</v>
      </c>
      <c r="I570" s="4">
        <v>1</v>
      </c>
      <c r="J570" s="101">
        <v>40700</v>
      </c>
      <c r="K570" s="3">
        <f t="shared" si="18"/>
        <v>40700</v>
      </c>
      <c r="L570" s="135" t="s">
        <v>558</v>
      </c>
      <c r="M570" s="1" t="s">
        <v>519</v>
      </c>
    </row>
    <row r="571" spans="1:13" ht="24" customHeight="1">
      <c r="A571" s="29">
        <v>185</v>
      </c>
      <c r="B571" s="58" t="s">
        <v>249</v>
      </c>
      <c r="C571" s="5" t="s">
        <v>594</v>
      </c>
      <c r="D571" s="125" t="s">
        <v>559</v>
      </c>
      <c r="E571" s="18" t="s">
        <v>98</v>
      </c>
      <c r="F571" s="4">
        <v>16</v>
      </c>
      <c r="G571" s="18" t="s">
        <v>383</v>
      </c>
      <c r="H571" s="4">
        <v>10</v>
      </c>
      <c r="I571" s="4">
        <v>10</v>
      </c>
      <c r="J571" s="3">
        <v>11730</v>
      </c>
      <c r="K571" s="3">
        <f t="shared" si="18"/>
        <v>117300</v>
      </c>
      <c r="L571" s="135" t="s">
        <v>558</v>
      </c>
      <c r="M571" s="1" t="s">
        <v>519</v>
      </c>
    </row>
    <row r="572" spans="1:13" ht="24" customHeight="1">
      <c r="A572" s="29">
        <v>186</v>
      </c>
      <c r="B572" s="58" t="s">
        <v>249</v>
      </c>
      <c r="C572" s="5" t="s">
        <v>593</v>
      </c>
      <c r="D572" s="125" t="s">
        <v>559</v>
      </c>
      <c r="E572" s="18" t="s">
        <v>98</v>
      </c>
      <c r="F572" s="4">
        <v>16</v>
      </c>
      <c r="G572" s="18" t="s">
        <v>383</v>
      </c>
      <c r="H572" s="4">
        <v>10</v>
      </c>
      <c r="I572" s="4">
        <v>10</v>
      </c>
      <c r="J572" s="3">
        <v>11730</v>
      </c>
      <c r="K572" s="3">
        <f t="shared" si="18"/>
        <v>117300</v>
      </c>
      <c r="L572" s="135" t="s">
        <v>558</v>
      </c>
      <c r="M572" s="1" t="s">
        <v>519</v>
      </c>
    </row>
    <row r="573" spans="1:13" ht="24" customHeight="1">
      <c r="A573" s="29">
        <v>187</v>
      </c>
      <c r="B573" s="17" t="s">
        <v>245</v>
      </c>
      <c r="C573" s="5" t="s">
        <v>592</v>
      </c>
      <c r="D573" s="126" t="s">
        <v>591</v>
      </c>
      <c r="E573" s="18" t="s">
        <v>3</v>
      </c>
      <c r="F573" s="18">
        <v>15</v>
      </c>
      <c r="G573" s="18" t="s">
        <v>383</v>
      </c>
      <c r="H573" s="4">
        <v>1</v>
      </c>
      <c r="I573" s="4">
        <v>1</v>
      </c>
      <c r="J573" s="3">
        <v>14800</v>
      </c>
      <c r="K573" s="3">
        <f t="shared" si="18"/>
        <v>14800</v>
      </c>
      <c r="L573" s="135" t="s">
        <v>561</v>
      </c>
      <c r="M573" s="1" t="s">
        <v>519</v>
      </c>
    </row>
    <row r="574" spans="1:13" ht="24" customHeight="1">
      <c r="A574" s="29">
        <v>188</v>
      </c>
      <c r="B574" s="17" t="s">
        <v>286</v>
      </c>
      <c r="C574" s="5" t="s">
        <v>590</v>
      </c>
      <c r="D574" s="126" t="s">
        <v>589</v>
      </c>
      <c r="E574" s="18" t="s">
        <v>3</v>
      </c>
      <c r="F574" s="18">
        <v>14</v>
      </c>
      <c r="G574" s="18" t="s">
        <v>383</v>
      </c>
      <c r="H574" s="4">
        <v>49</v>
      </c>
      <c r="I574" s="4">
        <v>49</v>
      </c>
      <c r="J574" s="3">
        <v>14000</v>
      </c>
      <c r="K574" s="9">
        <f t="shared" si="18"/>
        <v>686000</v>
      </c>
      <c r="L574" s="135" t="s">
        <v>558</v>
      </c>
      <c r="M574" s="1" t="s">
        <v>519</v>
      </c>
    </row>
    <row r="575" spans="1:13" ht="24" customHeight="1">
      <c r="A575" s="29">
        <v>189</v>
      </c>
      <c r="B575" s="17" t="s">
        <v>286</v>
      </c>
      <c r="C575" s="5" t="s">
        <v>588</v>
      </c>
      <c r="D575" s="126" t="s">
        <v>559</v>
      </c>
      <c r="E575" s="18" t="s">
        <v>3</v>
      </c>
      <c r="F575" s="18">
        <v>14</v>
      </c>
      <c r="G575" s="18" t="s">
        <v>383</v>
      </c>
      <c r="H575" s="4">
        <v>49</v>
      </c>
      <c r="I575" s="4">
        <v>49</v>
      </c>
      <c r="J575" s="3">
        <v>13979.59</v>
      </c>
      <c r="K575" s="9">
        <f t="shared" si="18"/>
        <v>684999.91</v>
      </c>
      <c r="L575" s="135" t="s">
        <v>558</v>
      </c>
      <c r="M575" s="1" t="s">
        <v>519</v>
      </c>
    </row>
    <row r="576" spans="1:13" ht="24" customHeight="1">
      <c r="A576" s="29">
        <v>190</v>
      </c>
      <c r="B576" s="17">
        <v>2553</v>
      </c>
      <c r="C576" s="5" t="s">
        <v>587</v>
      </c>
      <c r="D576" s="126" t="s">
        <v>586</v>
      </c>
      <c r="E576" s="18" t="s">
        <v>2</v>
      </c>
      <c r="F576" s="18">
        <v>12</v>
      </c>
      <c r="G576" s="18" t="s">
        <v>383</v>
      </c>
      <c r="H576" s="4">
        <v>2</v>
      </c>
      <c r="I576" s="4">
        <v>2</v>
      </c>
      <c r="J576" s="3">
        <v>32000</v>
      </c>
      <c r="K576" s="9">
        <f t="shared" si="18"/>
        <v>64000</v>
      </c>
      <c r="L576" s="137" t="s">
        <v>585</v>
      </c>
      <c r="M576" s="1" t="s">
        <v>519</v>
      </c>
    </row>
    <row r="577" spans="1:12" ht="24" customHeight="1">
      <c r="A577" s="73"/>
      <c r="B577" s="82"/>
      <c r="C577" s="82"/>
      <c r="D577" s="167"/>
      <c r="E577" s="82"/>
      <c r="F577" s="82"/>
      <c r="G577" s="82"/>
      <c r="H577" s="82"/>
      <c r="I577" s="82"/>
      <c r="J577" s="74" t="s">
        <v>129</v>
      </c>
      <c r="K577" s="89">
        <f>SUM(K566:K576)</f>
        <v>24067539.07</v>
      </c>
      <c r="L577" s="147"/>
    </row>
    <row r="578" spans="1:12" ht="24" customHeight="1">
      <c r="A578" s="62"/>
      <c r="B578" s="62" t="s">
        <v>119</v>
      </c>
      <c r="C578" s="53" t="s">
        <v>120</v>
      </c>
      <c r="H578" s="63"/>
      <c r="I578" s="63"/>
      <c r="L578" s="148"/>
    </row>
    <row r="579" spans="1:12" ht="24" customHeight="1">
      <c r="A579" s="62"/>
      <c r="C579" s="53" t="s">
        <v>121</v>
      </c>
      <c r="H579" s="63"/>
      <c r="I579" s="63"/>
      <c r="L579" s="148"/>
    </row>
    <row r="580" spans="1:12" ht="22.5" customHeight="1">
      <c r="A580" s="90"/>
      <c r="G580" s="68" t="s">
        <v>148</v>
      </c>
      <c r="H580" s="268" t="s">
        <v>149</v>
      </c>
      <c r="I580" s="268"/>
      <c r="J580" s="268"/>
      <c r="K580" s="2" t="s">
        <v>150</v>
      </c>
      <c r="L580" s="141"/>
    </row>
    <row r="581" spans="1:12" ht="21" customHeight="1">
      <c r="A581" s="90"/>
      <c r="G581" s="2"/>
      <c r="H581" s="268" t="s">
        <v>1549</v>
      </c>
      <c r="I581" s="268"/>
      <c r="J581" s="268"/>
      <c r="K581" s="2"/>
      <c r="L581" s="141"/>
    </row>
    <row r="582" spans="1:12" ht="35.25" customHeight="1">
      <c r="G582" s="68" t="s">
        <v>148</v>
      </c>
      <c r="H582" s="268" t="s">
        <v>149</v>
      </c>
      <c r="I582" s="268"/>
      <c r="J582" s="268"/>
      <c r="K582" s="2" t="s">
        <v>151</v>
      </c>
      <c r="L582" s="141"/>
    </row>
    <row r="583" spans="1:12" ht="20.25" customHeight="1">
      <c r="G583" s="2"/>
      <c r="H583" s="268" t="s">
        <v>154</v>
      </c>
      <c r="I583" s="268"/>
      <c r="J583" s="268"/>
      <c r="K583" s="2"/>
      <c r="L583" s="141"/>
    </row>
    <row r="584" spans="1:12" ht="33" customHeight="1">
      <c r="G584" s="68" t="s">
        <v>148</v>
      </c>
      <c r="H584" s="268" t="s">
        <v>149</v>
      </c>
      <c r="I584" s="268"/>
      <c r="J584" s="268"/>
      <c r="K584" s="2" t="s">
        <v>151</v>
      </c>
      <c r="L584" s="142"/>
    </row>
    <row r="585" spans="1:12" ht="22.5" customHeight="1">
      <c r="G585" s="2"/>
      <c r="H585" s="268" t="s">
        <v>155</v>
      </c>
      <c r="I585" s="268"/>
      <c r="J585" s="268"/>
      <c r="K585" s="2"/>
      <c r="L585" s="142"/>
    </row>
    <row r="586" spans="1:12" ht="33" customHeight="1">
      <c r="G586" s="68" t="s">
        <v>148</v>
      </c>
      <c r="H586" s="268" t="s">
        <v>149</v>
      </c>
      <c r="I586" s="268"/>
      <c r="J586" s="268"/>
      <c r="K586" s="2" t="s">
        <v>151</v>
      </c>
      <c r="L586" s="142"/>
    </row>
    <row r="587" spans="1:12" ht="21.75" customHeight="1">
      <c r="G587" s="2"/>
      <c r="H587" s="268" t="s">
        <v>156</v>
      </c>
      <c r="I587" s="268"/>
      <c r="J587" s="268"/>
      <c r="K587" s="2"/>
      <c r="L587" s="142"/>
    </row>
    <row r="588" spans="1:12" ht="33" customHeight="1">
      <c r="G588" s="68" t="s">
        <v>148</v>
      </c>
      <c r="H588" s="268" t="s">
        <v>149</v>
      </c>
      <c r="I588" s="268"/>
      <c r="J588" s="268"/>
      <c r="K588" s="67" t="s">
        <v>152</v>
      </c>
      <c r="L588" s="142"/>
    </row>
    <row r="589" spans="1:12" ht="24" customHeight="1">
      <c r="G589" s="67"/>
      <c r="H589" s="268" t="s">
        <v>157</v>
      </c>
      <c r="I589" s="268"/>
      <c r="J589" s="268"/>
      <c r="K589" s="67"/>
      <c r="L589" s="142"/>
    </row>
    <row r="590" spans="1:12" ht="24" customHeight="1">
      <c r="G590" s="67"/>
      <c r="H590" s="64"/>
      <c r="I590" s="64"/>
      <c r="J590" s="64"/>
      <c r="K590" s="67"/>
      <c r="L590" s="142"/>
    </row>
    <row r="591" spans="1:12" ht="24" customHeight="1">
      <c r="L591" s="138" t="s">
        <v>1438</v>
      </c>
    </row>
    <row r="592" spans="1:12" ht="24" customHeight="1">
      <c r="A592" s="269" t="s">
        <v>158</v>
      </c>
      <c r="B592" s="269"/>
      <c r="C592" s="269"/>
      <c r="D592" s="269"/>
      <c r="E592" s="269"/>
      <c r="F592" s="269"/>
      <c r="G592" s="269"/>
      <c r="H592" s="269"/>
      <c r="I592" s="269"/>
      <c r="J592" s="269"/>
      <c r="K592" s="269"/>
      <c r="L592" s="269"/>
    </row>
    <row r="593" spans="1:13" ht="24" customHeight="1">
      <c r="A593" s="270" t="s">
        <v>163</v>
      </c>
      <c r="B593" s="270"/>
      <c r="C593" s="270"/>
      <c r="D593" s="270"/>
      <c r="E593" s="270"/>
      <c r="F593" s="270"/>
      <c r="G593" s="270"/>
      <c r="H593" s="270"/>
      <c r="I593" s="270"/>
      <c r="J593" s="270"/>
      <c r="K593" s="270"/>
      <c r="L593" s="270"/>
    </row>
    <row r="594" spans="1:13" ht="24" customHeight="1" thickBot="1">
      <c r="A594" s="271" t="s">
        <v>164</v>
      </c>
      <c r="B594" s="271"/>
      <c r="C594" s="271"/>
      <c r="D594" s="271"/>
      <c r="E594" s="271"/>
      <c r="F594" s="271"/>
      <c r="G594" s="271"/>
      <c r="H594" s="271"/>
      <c r="I594" s="271"/>
      <c r="J594" s="271"/>
      <c r="K594" s="271"/>
      <c r="L594" s="271"/>
    </row>
    <row r="595" spans="1:13" ht="24" customHeight="1" thickTop="1">
      <c r="A595" s="282" t="s">
        <v>103</v>
      </c>
      <c r="B595" s="282" t="s">
        <v>122</v>
      </c>
      <c r="C595" s="282" t="s">
        <v>124</v>
      </c>
      <c r="D595" s="284" t="s">
        <v>0</v>
      </c>
      <c r="E595" s="282" t="s">
        <v>109</v>
      </c>
      <c r="F595" s="282" t="s">
        <v>110</v>
      </c>
      <c r="G595" s="286" t="s">
        <v>111</v>
      </c>
      <c r="H595" s="278" t="s">
        <v>1</v>
      </c>
      <c r="I595" s="279"/>
      <c r="J595" s="282" t="s">
        <v>125</v>
      </c>
      <c r="K595" s="282" t="s">
        <v>104</v>
      </c>
      <c r="L595" s="289" t="s">
        <v>112</v>
      </c>
    </row>
    <row r="596" spans="1:13" ht="46.5" customHeight="1" thickBot="1">
      <c r="A596" s="283"/>
      <c r="B596" s="283"/>
      <c r="C596" s="283"/>
      <c r="D596" s="285"/>
      <c r="E596" s="283"/>
      <c r="F596" s="283"/>
      <c r="G596" s="287"/>
      <c r="H596" s="51" t="s">
        <v>113</v>
      </c>
      <c r="I596" s="52" t="s">
        <v>114</v>
      </c>
      <c r="J596" s="283"/>
      <c r="K596" s="283"/>
      <c r="L596" s="290"/>
    </row>
    <row r="597" spans="1:13" ht="24" customHeight="1" thickTop="1">
      <c r="A597" s="35"/>
      <c r="B597" s="35"/>
      <c r="C597" s="35"/>
      <c r="D597" s="168"/>
      <c r="E597" s="35"/>
      <c r="F597" s="83"/>
      <c r="G597" s="34"/>
      <c r="H597" s="84"/>
      <c r="I597" s="85"/>
      <c r="J597" s="86" t="s">
        <v>132</v>
      </c>
      <c r="K597" s="87">
        <f>SUM(K577)</f>
        <v>24067539.07</v>
      </c>
      <c r="L597" s="146"/>
    </row>
    <row r="598" spans="1:13">
      <c r="A598" s="17">
        <v>191</v>
      </c>
      <c r="B598" s="17">
        <v>2546</v>
      </c>
      <c r="C598" s="102" t="s">
        <v>622</v>
      </c>
      <c r="D598" s="173" t="s">
        <v>621</v>
      </c>
      <c r="E598" s="18" t="s">
        <v>3</v>
      </c>
      <c r="F598" s="18">
        <v>19</v>
      </c>
      <c r="G598" s="18" t="s">
        <v>383</v>
      </c>
      <c r="H598" s="18">
        <v>1</v>
      </c>
      <c r="I598" s="4">
        <v>1</v>
      </c>
      <c r="J598" s="9">
        <v>33000</v>
      </c>
      <c r="K598" s="12">
        <f t="shared" ref="K598:K607" si="19">SUM(I598*J598)</f>
        <v>33000</v>
      </c>
      <c r="L598" s="188" t="s">
        <v>620</v>
      </c>
      <c r="M598" s="1" t="s">
        <v>1458</v>
      </c>
    </row>
    <row r="599" spans="1:13">
      <c r="A599" s="17">
        <v>192</v>
      </c>
      <c r="B599" s="17">
        <v>2553</v>
      </c>
      <c r="C599" s="5" t="s">
        <v>619</v>
      </c>
      <c r="D599" s="126" t="s">
        <v>586</v>
      </c>
      <c r="E599" s="18" t="s">
        <v>2</v>
      </c>
      <c r="F599" s="18">
        <v>12</v>
      </c>
      <c r="G599" s="18" t="s">
        <v>383</v>
      </c>
      <c r="H599" s="18">
        <v>2</v>
      </c>
      <c r="I599" s="4">
        <v>2</v>
      </c>
      <c r="J599" s="3">
        <v>32000</v>
      </c>
      <c r="K599" s="12">
        <f t="shared" si="19"/>
        <v>64000</v>
      </c>
      <c r="L599" s="188" t="s">
        <v>1495</v>
      </c>
      <c r="M599" s="1" t="s">
        <v>1458</v>
      </c>
    </row>
    <row r="600" spans="1:13">
      <c r="A600" s="17">
        <v>193</v>
      </c>
      <c r="B600" s="17">
        <v>2553</v>
      </c>
      <c r="C600" s="5" t="s">
        <v>618</v>
      </c>
      <c r="D600" s="126" t="s">
        <v>468</v>
      </c>
      <c r="E600" s="18" t="s">
        <v>2</v>
      </c>
      <c r="F600" s="18">
        <v>12</v>
      </c>
      <c r="G600" s="18" t="s">
        <v>383</v>
      </c>
      <c r="H600" s="18">
        <v>2</v>
      </c>
      <c r="I600" s="4">
        <v>2</v>
      </c>
      <c r="J600" s="3">
        <v>17000</v>
      </c>
      <c r="K600" s="12">
        <f t="shared" si="19"/>
        <v>34000</v>
      </c>
      <c r="L600" s="188" t="s">
        <v>613</v>
      </c>
      <c r="M600" s="1" t="s">
        <v>1458</v>
      </c>
    </row>
    <row r="601" spans="1:13">
      <c r="A601" s="17">
        <v>194</v>
      </c>
      <c r="B601" s="17">
        <v>2553</v>
      </c>
      <c r="C601" s="88" t="s">
        <v>617</v>
      </c>
      <c r="D601" s="174" t="s">
        <v>616</v>
      </c>
      <c r="E601" s="18" t="s">
        <v>2</v>
      </c>
      <c r="F601" s="18">
        <v>12</v>
      </c>
      <c r="G601" s="18" t="s">
        <v>383</v>
      </c>
      <c r="H601" s="18">
        <v>1</v>
      </c>
      <c r="I601" s="4">
        <v>1</v>
      </c>
      <c r="J601" s="3">
        <v>30000</v>
      </c>
      <c r="K601" s="12">
        <f t="shared" si="19"/>
        <v>30000</v>
      </c>
      <c r="L601" s="188" t="s">
        <v>615</v>
      </c>
      <c r="M601" s="1" t="s">
        <v>1458</v>
      </c>
    </row>
    <row r="602" spans="1:13">
      <c r="A602" s="17">
        <v>195</v>
      </c>
      <c r="B602" s="17">
        <v>2553</v>
      </c>
      <c r="C602" s="88" t="s">
        <v>614</v>
      </c>
      <c r="D602" s="174" t="s">
        <v>468</v>
      </c>
      <c r="E602" s="18" t="s">
        <v>2</v>
      </c>
      <c r="F602" s="18">
        <v>12</v>
      </c>
      <c r="G602" s="18" t="s">
        <v>383</v>
      </c>
      <c r="H602" s="18">
        <v>1</v>
      </c>
      <c r="I602" s="4">
        <v>1</v>
      </c>
      <c r="J602" s="3">
        <v>20000</v>
      </c>
      <c r="K602" s="3">
        <f t="shared" si="19"/>
        <v>20000</v>
      </c>
      <c r="L602" s="188" t="s">
        <v>613</v>
      </c>
      <c r="M602" s="1" t="s">
        <v>1458</v>
      </c>
    </row>
    <row r="603" spans="1:13">
      <c r="A603" s="17">
        <v>196</v>
      </c>
      <c r="B603" s="58" t="s">
        <v>106</v>
      </c>
      <c r="C603" s="5" t="s">
        <v>642</v>
      </c>
      <c r="D603" s="126" t="s">
        <v>641</v>
      </c>
      <c r="E603" s="18" t="s">
        <v>2</v>
      </c>
      <c r="F603" s="18">
        <v>25</v>
      </c>
      <c r="G603" s="18" t="s">
        <v>383</v>
      </c>
      <c r="H603" s="18">
        <v>1</v>
      </c>
      <c r="I603" s="4">
        <v>1</v>
      </c>
      <c r="J603" s="3">
        <v>17000</v>
      </c>
      <c r="K603" s="3">
        <f t="shared" si="19"/>
        <v>17000</v>
      </c>
      <c r="L603" s="135" t="s">
        <v>640</v>
      </c>
      <c r="M603" s="1" t="s">
        <v>1039</v>
      </c>
    </row>
    <row r="604" spans="1:13">
      <c r="A604" s="17">
        <v>197</v>
      </c>
      <c r="B604" s="29">
        <v>2547</v>
      </c>
      <c r="C604" s="5" t="s">
        <v>639</v>
      </c>
      <c r="D604" s="126" t="s">
        <v>631</v>
      </c>
      <c r="E604" s="18" t="s">
        <v>98</v>
      </c>
      <c r="F604" s="18">
        <v>18</v>
      </c>
      <c r="G604" s="18" t="s">
        <v>383</v>
      </c>
      <c r="H604" s="18">
        <v>1</v>
      </c>
      <c r="I604" s="4">
        <v>1</v>
      </c>
      <c r="J604" s="3">
        <v>29000</v>
      </c>
      <c r="K604" s="3">
        <f t="shared" si="19"/>
        <v>29000</v>
      </c>
      <c r="L604" s="135" t="s">
        <v>630</v>
      </c>
      <c r="M604" s="1" t="s">
        <v>1039</v>
      </c>
    </row>
    <row r="605" spans="1:13">
      <c r="A605" s="17">
        <v>198</v>
      </c>
      <c r="B605" s="29">
        <v>2548</v>
      </c>
      <c r="C605" s="5" t="s">
        <v>638</v>
      </c>
      <c r="D605" s="126" t="s">
        <v>637</v>
      </c>
      <c r="E605" s="18" t="s">
        <v>2</v>
      </c>
      <c r="F605" s="18">
        <v>17</v>
      </c>
      <c r="G605" s="18" t="s">
        <v>383</v>
      </c>
      <c r="H605" s="18">
        <v>1</v>
      </c>
      <c r="I605" s="4">
        <v>1</v>
      </c>
      <c r="J605" s="3">
        <v>7000</v>
      </c>
      <c r="K605" s="3">
        <f t="shared" si="19"/>
        <v>7000</v>
      </c>
      <c r="L605" s="135" t="s">
        <v>636</v>
      </c>
      <c r="M605" s="1" t="s">
        <v>1039</v>
      </c>
    </row>
    <row r="606" spans="1:13">
      <c r="A606" s="17">
        <v>199</v>
      </c>
      <c r="B606" s="29">
        <v>2550</v>
      </c>
      <c r="C606" s="5" t="s">
        <v>635</v>
      </c>
      <c r="D606" s="126" t="s">
        <v>634</v>
      </c>
      <c r="E606" s="18" t="s">
        <v>3</v>
      </c>
      <c r="F606" s="18">
        <v>15</v>
      </c>
      <c r="G606" s="18" t="s">
        <v>383</v>
      </c>
      <c r="H606" s="18">
        <v>1</v>
      </c>
      <c r="I606" s="4">
        <v>1</v>
      </c>
      <c r="J606" s="3">
        <v>5500</v>
      </c>
      <c r="K606" s="3">
        <f t="shared" si="19"/>
        <v>5500</v>
      </c>
      <c r="L606" s="135" t="s">
        <v>633</v>
      </c>
      <c r="M606" s="1" t="s">
        <v>1039</v>
      </c>
    </row>
    <row r="607" spans="1:13">
      <c r="A607" s="17">
        <v>200</v>
      </c>
      <c r="B607" s="29">
        <v>2550</v>
      </c>
      <c r="C607" s="5" t="s">
        <v>632</v>
      </c>
      <c r="D607" s="126" t="s">
        <v>631</v>
      </c>
      <c r="E607" s="18" t="s">
        <v>3</v>
      </c>
      <c r="F607" s="18">
        <v>15</v>
      </c>
      <c r="G607" s="18" t="s">
        <v>383</v>
      </c>
      <c r="H607" s="18">
        <v>1</v>
      </c>
      <c r="I607" s="4">
        <v>1</v>
      </c>
      <c r="J607" s="3">
        <v>17300</v>
      </c>
      <c r="K607" s="3">
        <f t="shared" si="19"/>
        <v>17300</v>
      </c>
      <c r="L607" s="135" t="s">
        <v>630</v>
      </c>
      <c r="M607" s="1" t="s">
        <v>1039</v>
      </c>
    </row>
    <row r="608" spans="1:13" ht="24" customHeight="1">
      <c r="A608" s="73"/>
      <c r="B608" s="82"/>
      <c r="C608" s="82"/>
      <c r="D608" s="167"/>
      <c r="E608" s="82"/>
      <c r="F608" s="82"/>
      <c r="G608" s="82"/>
      <c r="H608" s="82"/>
      <c r="I608" s="82"/>
      <c r="J608" s="74" t="s">
        <v>129</v>
      </c>
      <c r="K608" s="89">
        <f>SUM(K597:K607)</f>
        <v>24324339.07</v>
      </c>
      <c r="L608" s="147"/>
    </row>
    <row r="609" spans="1:12" ht="24" customHeight="1">
      <c r="A609" s="62"/>
      <c r="B609" s="62" t="s">
        <v>119</v>
      </c>
      <c r="C609" s="53" t="s">
        <v>120</v>
      </c>
      <c r="H609" s="63"/>
      <c r="I609" s="63"/>
      <c r="L609" s="148"/>
    </row>
    <row r="610" spans="1:12" ht="24" customHeight="1">
      <c r="A610" s="62"/>
      <c r="C610" s="53" t="s">
        <v>121</v>
      </c>
      <c r="H610" s="63"/>
      <c r="I610" s="63"/>
      <c r="L610" s="148"/>
    </row>
    <row r="611" spans="1:12" ht="21.75" customHeight="1">
      <c r="A611" s="90"/>
      <c r="G611" s="68" t="s">
        <v>148</v>
      </c>
      <c r="H611" s="268" t="s">
        <v>149</v>
      </c>
      <c r="I611" s="268"/>
      <c r="J611" s="268"/>
      <c r="K611" s="2" t="s">
        <v>150</v>
      </c>
      <c r="L611" s="141"/>
    </row>
    <row r="612" spans="1:12" ht="21.75" customHeight="1">
      <c r="A612" s="90"/>
      <c r="G612" s="2"/>
      <c r="H612" s="268" t="s">
        <v>1549</v>
      </c>
      <c r="I612" s="268"/>
      <c r="J612" s="268"/>
      <c r="K612" s="2"/>
      <c r="L612" s="141"/>
    </row>
    <row r="613" spans="1:12" ht="30.75" customHeight="1">
      <c r="G613" s="68" t="s">
        <v>148</v>
      </c>
      <c r="H613" s="268" t="s">
        <v>149</v>
      </c>
      <c r="I613" s="268"/>
      <c r="J613" s="268"/>
      <c r="K613" s="2" t="s">
        <v>151</v>
      </c>
      <c r="L613" s="141"/>
    </row>
    <row r="614" spans="1:12" ht="20.25" customHeight="1">
      <c r="G614" s="2"/>
      <c r="H614" s="268" t="s">
        <v>154</v>
      </c>
      <c r="I614" s="268"/>
      <c r="J614" s="268"/>
      <c r="K614" s="2"/>
      <c r="L614" s="141"/>
    </row>
    <row r="615" spans="1:12" ht="33.75" customHeight="1">
      <c r="G615" s="68" t="s">
        <v>148</v>
      </c>
      <c r="H615" s="268" t="s">
        <v>149</v>
      </c>
      <c r="I615" s="268"/>
      <c r="J615" s="268"/>
      <c r="K615" s="2" t="s">
        <v>151</v>
      </c>
      <c r="L615" s="142"/>
    </row>
    <row r="616" spans="1:12" ht="21.75" customHeight="1">
      <c r="G616" s="2"/>
      <c r="H616" s="268" t="s">
        <v>155</v>
      </c>
      <c r="I616" s="268"/>
      <c r="J616" s="268"/>
      <c r="K616" s="2"/>
      <c r="L616" s="142"/>
    </row>
    <row r="617" spans="1:12" ht="31.5" customHeight="1">
      <c r="G617" s="68" t="s">
        <v>148</v>
      </c>
      <c r="H617" s="268" t="s">
        <v>149</v>
      </c>
      <c r="I617" s="268"/>
      <c r="J617" s="268"/>
      <c r="K617" s="2" t="s">
        <v>151</v>
      </c>
      <c r="L617" s="142"/>
    </row>
    <row r="618" spans="1:12" ht="20.25" customHeight="1">
      <c r="G618" s="2"/>
      <c r="H618" s="268" t="s">
        <v>156</v>
      </c>
      <c r="I618" s="268"/>
      <c r="J618" s="268"/>
      <c r="K618" s="2"/>
      <c r="L618" s="142"/>
    </row>
    <row r="619" spans="1:12" ht="36" customHeight="1">
      <c r="G619" s="68" t="s">
        <v>148</v>
      </c>
      <c r="H619" s="268" t="s">
        <v>149</v>
      </c>
      <c r="I619" s="268"/>
      <c r="J619" s="268"/>
      <c r="K619" s="67" t="s">
        <v>152</v>
      </c>
      <c r="L619" s="142"/>
    </row>
    <row r="620" spans="1:12" ht="24" customHeight="1">
      <c r="G620" s="67"/>
      <c r="H620" s="268" t="s">
        <v>157</v>
      </c>
      <c r="I620" s="268"/>
      <c r="J620" s="268"/>
      <c r="K620" s="67"/>
      <c r="L620" s="142"/>
    </row>
    <row r="621" spans="1:12" ht="24" customHeight="1">
      <c r="G621" s="67"/>
      <c r="H621" s="64"/>
      <c r="I621" s="64"/>
      <c r="J621" s="64"/>
      <c r="K621" s="67"/>
      <c r="L621" s="142"/>
    </row>
    <row r="622" spans="1:12" ht="24" customHeight="1">
      <c r="L622" s="138" t="s">
        <v>1439</v>
      </c>
    </row>
    <row r="623" spans="1:12" ht="24" customHeight="1">
      <c r="A623" s="269" t="s">
        <v>158</v>
      </c>
      <c r="B623" s="269"/>
      <c r="C623" s="269"/>
      <c r="D623" s="269"/>
      <c r="E623" s="269"/>
      <c r="F623" s="269"/>
      <c r="G623" s="269"/>
      <c r="H623" s="269"/>
      <c r="I623" s="269"/>
      <c r="J623" s="269"/>
      <c r="K623" s="269"/>
      <c r="L623" s="269"/>
    </row>
    <row r="624" spans="1:12" ht="24" customHeight="1">
      <c r="A624" s="270" t="s">
        <v>163</v>
      </c>
      <c r="B624" s="270"/>
      <c r="C624" s="270"/>
      <c r="D624" s="270"/>
      <c r="E624" s="270"/>
      <c r="F624" s="270"/>
      <c r="G624" s="270"/>
      <c r="H624" s="270"/>
      <c r="I624" s="270"/>
      <c r="J624" s="270"/>
      <c r="K624" s="270"/>
      <c r="L624" s="270"/>
    </row>
    <row r="625" spans="1:13" ht="24" customHeight="1" thickBot="1">
      <c r="A625" s="271" t="s">
        <v>164</v>
      </c>
      <c r="B625" s="271"/>
      <c r="C625" s="271"/>
      <c r="D625" s="271"/>
      <c r="E625" s="271"/>
      <c r="F625" s="271"/>
      <c r="G625" s="271"/>
      <c r="H625" s="271"/>
      <c r="I625" s="271"/>
      <c r="J625" s="271"/>
      <c r="K625" s="271"/>
      <c r="L625" s="271"/>
    </row>
    <row r="626" spans="1:13" ht="24" customHeight="1" thickTop="1">
      <c r="A626" s="272" t="s">
        <v>103</v>
      </c>
      <c r="B626" s="272" t="s">
        <v>122</v>
      </c>
      <c r="C626" s="272" t="s">
        <v>124</v>
      </c>
      <c r="D626" s="274" t="s">
        <v>0</v>
      </c>
      <c r="E626" s="272" t="s">
        <v>109</v>
      </c>
      <c r="F626" s="272" t="s">
        <v>110</v>
      </c>
      <c r="G626" s="276" t="s">
        <v>111</v>
      </c>
      <c r="H626" s="278" t="s">
        <v>1</v>
      </c>
      <c r="I626" s="279"/>
      <c r="J626" s="272" t="s">
        <v>125</v>
      </c>
      <c r="K626" s="272" t="s">
        <v>104</v>
      </c>
      <c r="L626" s="280" t="s">
        <v>112</v>
      </c>
    </row>
    <row r="627" spans="1:13" ht="46.5" customHeight="1" thickBot="1">
      <c r="A627" s="273"/>
      <c r="B627" s="273"/>
      <c r="C627" s="273"/>
      <c r="D627" s="275"/>
      <c r="E627" s="273"/>
      <c r="F627" s="273"/>
      <c r="G627" s="277"/>
      <c r="H627" s="51" t="s">
        <v>113</v>
      </c>
      <c r="I627" s="52" t="s">
        <v>114</v>
      </c>
      <c r="J627" s="273"/>
      <c r="K627" s="273"/>
      <c r="L627" s="281"/>
    </row>
    <row r="628" spans="1:13" ht="24" customHeight="1" thickTop="1">
      <c r="A628" s="35"/>
      <c r="B628" s="35"/>
      <c r="C628" s="35"/>
      <c r="D628" s="168"/>
      <c r="E628" s="35"/>
      <c r="F628" s="83"/>
      <c r="G628" s="34"/>
      <c r="H628" s="84"/>
      <c r="I628" s="85"/>
      <c r="J628" s="86" t="s">
        <v>132</v>
      </c>
      <c r="K628" s="87">
        <f>SUM(K608)</f>
        <v>24324339.07</v>
      </c>
      <c r="L628" s="146"/>
    </row>
    <row r="629" spans="1:13">
      <c r="A629" s="38">
        <v>201</v>
      </c>
      <c r="B629" s="29">
        <v>2553</v>
      </c>
      <c r="C629" s="5" t="s">
        <v>647</v>
      </c>
      <c r="D629" s="126" t="s">
        <v>468</v>
      </c>
      <c r="E629" s="18" t="s">
        <v>2</v>
      </c>
      <c r="F629" s="18">
        <v>12</v>
      </c>
      <c r="G629" s="18" t="s">
        <v>383</v>
      </c>
      <c r="H629" s="18">
        <v>1</v>
      </c>
      <c r="I629" s="4">
        <v>1</v>
      </c>
      <c r="J629" s="3">
        <v>17000</v>
      </c>
      <c r="K629" s="3">
        <f t="shared" ref="K629:K638" si="20">SUM(I629*J629)</f>
        <v>17000</v>
      </c>
      <c r="L629" s="135" t="s">
        <v>646</v>
      </c>
      <c r="M629" s="1" t="s">
        <v>1039</v>
      </c>
    </row>
    <row r="630" spans="1:13">
      <c r="A630" s="103">
        <v>202</v>
      </c>
      <c r="B630" s="104" t="s">
        <v>669</v>
      </c>
      <c r="C630" s="24" t="s">
        <v>645</v>
      </c>
      <c r="D630" s="169" t="s">
        <v>644</v>
      </c>
      <c r="E630" s="21" t="s">
        <v>3</v>
      </c>
      <c r="F630" s="21">
        <v>7</v>
      </c>
      <c r="G630" s="18" t="s">
        <v>383</v>
      </c>
      <c r="H630" s="21">
        <v>1</v>
      </c>
      <c r="I630" s="30">
        <v>1</v>
      </c>
      <c r="J630" s="11">
        <v>18900</v>
      </c>
      <c r="K630" s="3">
        <f t="shared" si="20"/>
        <v>18900</v>
      </c>
      <c r="L630" s="150" t="s">
        <v>643</v>
      </c>
      <c r="M630" s="1" t="s">
        <v>1039</v>
      </c>
    </row>
    <row r="631" spans="1:13">
      <c r="A631" s="38">
        <v>203</v>
      </c>
      <c r="B631" s="17">
        <v>2547</v>
      </c>
      <c r="C631" s="105" t="s">
        <v>668</v>
      </c>
      <c r="D631" s="175" t="s">
        <v>667</v>
      </c>
      <c r="E631" s="18" t="s">
        <v>98</v>
      </c>
      <c r="F631" s="18">
        <v>18</v>
      </c>
      <c r="G631" s="18" t="s">
        <v>383</v>
      </c>
      <c r="H631" s="16">
        <v>1</v>
      </c>
      <c r="I631" s="16">
        <v>1</v>
      </c>
      <c r="J631" s="106">
        <v>29000</v>
      </c>
      <c r="K631" s="106">
        <f t="shared" si="20"/>
        <v>29000</v>
      </c>
      <c r="L631" s="135" t="s">
        <v>1282</v>
      </c>
      <c r="M631" s="1" t="s">
        <v>1040</v>
      </c>
    </row>
    <row r="632" spans="1:13">
      <c r="A632" s="103">
        <v>204</v>
      </c>
      <c r="B632" s="17">
        <v>2548</v>
      </c>
      <c r="C632" s="5" t="s">
        <v>666</v>
      </c>
      <c r="D632" s="126" t="s">
        <v>665</v>
      </c>
      <c r="E632" s="18" t="s">
        <v>3</v>
      </c>
      <c r="F632" s="18">
        <v>17</v>
      </c>
      <c r="G632" s="18" t="s">
        <v>383</v>
      </c>
      <c r="H632" s="16">
        <v>1</v>
      </c>
      <c r="I632" s="16">
        <v>1</v>
      </c>
      <c r="J632" s="107">
        <v>26000</v>
      </c>
      <c r="K632" s="106">
        <f t="shared" si="20"/>
        <v>26000</v>
      </c>
      <c r="L632" s="135" t="s">
        <v>1341</v>
      </c>
      <c r="M632" s="1" t="s">
        <v>1040</v>
      </c>
    </row>
    <row r="633" spans="1:13">
      <c r="A633" s="38">
        <v>205</v>
      </c>
      <c r="B633" s="17">
        <v>2550</v>
      </c>
      <c r="C633" s="5" t="s">
        <v>664</v>
      </c>
      <c r="D633" s="126" t="s">
        <v>663</v>
      </c>
      <c r="E633" s="18" t="s">
        <v>3</v>
      </c>
      <c r="F633" s="18">
        <v>15</v>
      </c>
      <c r="G633" s="18" t="s">
        <v>383</v>
      </c>
      <c r="H633" s="16">
        <v>1</v>
      </c>
      <c r="I633" s="16">
        <v>1</v>
      </c>
      <c r="J633" s="107">
        <v>17300</v>
      </c>
      <c r="K633" s="106">
        <f t="shared" si="20"/>
        <v>17300</v>
      </c>
      <c r="L633" s="135" t="s">
        <v>1342</v>
      </c>
      <c r="M633" s="1" t="s">
        <v>1040</v>
      </c>
    </row>
    <row r="634" spans="1:13">
      <c r="A634" s="103">
        <v>206</v>
      </c>
      <c r="B634" s="17">
        <v>2552</v>
      </c>
      <c r="C634" s="5" t="s">
        <v>662</v>
      </c>
      <c r="D634" s="126" t="s">
        <v>661</v>
      </c>
      <c r="E634" s="18" t="s">
        <v>98</v>
      </c>
      <c r="F634" s="18">
        <v>13</v>
      </c>
      <c r="G634" s="18" t="s">
        <v>383</v>
      </c>
      <c r="H634" s="16">
        <v>1</v>
      </c>
      <c r="I634" s="16">
        <v>1</v>
      </c>
      <c r="J634" s="107">
        <v>11000</v>
      </c>
      <c r="K634" s="106">
        <f t="shared" si="20"/>
        <v>11000</v>
      </c>
      <c r="L634" s="135" t="s">
        <v>714</v>
      </c>
      <c r="M634" s="1" t="s">
        <v>1040</v>
      </c>
    </row>
    <row r="635" spans="1:13">
      <c r="A635" s="38">
        <v>207</v>
      </c>
      <c r="B635" s="17">
        <v>2553</v>
      </c>
      <c r="C635" s="5" t="s">
        <v>660</v>
      </c>
      <c r="D635" s="126" t="s">
        <v>468</v>
      </c>
      <c r="E635" s="18" t="s">
        <v>2</v>
      </c>
      <c r="F635" s="18">
        <v>12</v>
      </c>
      <c r="G635" s="18" t="s">
        <v>383</v>
      </c>
      <c r="H635" s="16">
        <v>1</v>
      </c>
      <c r="I635" s="16">
        <v>1</v>
      </c>
      <c r="J635" s="3">
        <v>17000</v>
      </c>
      <c r="K635" s="106">
        <f t="shared" si="20"/>
        <v>17000</v>
      </c>
      <c r="L635" s="135" t="s">
        <v>1343</v>
      </c>
      <c r="M635" s="1" t="s">
        <v>1040</v>
      </c>
    </row>
    <row r="636" spans="1:13">
      <c r="A636" s="103">
        <v>208</v>
      </c>
      <c r="B636" s="108" t="s">
        <v>659</v>
      </c>
      <c r="C636" s="19" t="s">
        <v>658</v>
      </c>
      <c r="D636" s="176" t="s">
        <v>657</v>
      </c>
      <c r="E636" s="18" t="s">
        <v>3</v>
      </c>
      <c r="F636" s="18">
        <v>7</v>
      </c>
      <c r="G636" s="18" t="s">
        <v>383</v>
      </c>
      <c r="H636" s="16">
        <v>1</v>
      </c>
      <c r="I636" s="16">
        <v>1</v>
      </c>
      <c r="J636" s="9">
        <v>6420</v>
      </c>
      <c r="K636" s="106">
        <f t="shared" si="20"/>
        <v>6420</v>
      </c>
      <c r="L636" s="135" t="s">
        <v>1344</v>
      </c>
      <c r="M636" s="1" t="s">
        <v>1040</v>
      </c>
    </row>
    <row r="637" spans="1:13">
      <c r="A637" s="38">
        <v>209</v>
      </c>
      <c r="B637" s="55" t="s">
        <v>105</v>
      </c>
      <c r="C637" s="19" t="s">
        <v>709</v>
      </c>
      <c r="D637" s="177" t="s">
        <v>708</v>
      </c>
      <c r="E637" s="18" t="s">
        <v>2</v>
      </c>
      <c r="F637" s="14">
        <v>26</v>
      </c>
      <c r="G637" s="17" t="s">
        <v>128</v>
      </c>
      <c r="H637" s="16">
        <v>1</v>
      </c>
      <c r="I637" s="16">
        <v>1</v>
      </c>
      <c r="J637" s="3">
        <v>8600</v>
      </c>
      <c r="K637" s="12">
        <f t="shared" si="20"/>
        <v>8600</v>
      </c>
      <c r="L637" s="153" t="s">
        <v>707</v>
      </c>
      <c r="M637" s="1" t="s">
        <v>1038</v>
      </c>
    </row>
    <row r="638" spans="1:13">
      <c r="A638" s="103">
        <v>210</v>
      </c>
      <c r="B638" s="55" t="s">
        <v>105</v>
      </c>
      <c r="C638" s="19" t="s">
        <v>711</v>
      </c>
      <c r="D638" s="177" t="s">
        <v>710</v>
      </c>
      <c r="E638" s="18" t="s">
        <v>2</v>
      </c>
      <c r="F638" s="14">
        <v>26</v>
      </c>
      <c r="G638" s="17" t="s">
        <v>128</v>
      </c>
      <c r="H638" s="16">
        <v>1</v>
      </c>
      <c r="I638" s="16">
        <v>1</v>
      </c>
      <c r="J638" s="3">
        <v>8600</v>
      </c>
      <c r="K638" s="12">
        <f t="shared" si="20"/>
        <v>8600</v>
      </c>
      <c r="L638" s="153" t="s">
        <v>707</v>
      </c>
      <c r="M638" s="1" t="s">
        <v>1038</v>
      </c>
    </row>
    <row r="639" spans="1:13" ht="24" customHeight="1">
      <c r="A639" s="38"/>
      <c r="B639" s="82"/>
      <c r="C639" s="82"/>
      <c r="D639" s="167"/>
      <c r="E639" s="82"/>
      <c r="F639" s="82"/>
      <c r="G639" s="82"/>
      <c r="H639" s="82"/>
      <c r="I639" s="82"/>
      <c r="J639" s="74" t="s">
        <v>129</v>
      </c>
      <c r="K639" s="89">
        <f>SUM(K628:K638)</f>
        <v>24484159.07</v>
      </c>
      <c r="L639" s="147"/>
    </row>
    <row r="640" spans="1:13" ht="24" customHeight="1">
      <c r="A640" s="62"/>
      <c r="B640" s="62" t="s">
        <v>119</v>
      </c>
      <c r="C640" s="53" t="s">
        <v>120</v>
      </c>
      <c r="H640" s="63"/>
      <c r="I640" s="63"/>
      <c r="L640" s="148"/>
    </row>
    <row r="641" spans="1:12" ht="24" customHeight="1">
      <c r="A641" s="62"/>
      <c r="C641" s="53" t="s">
        <v>121</v>
      </c>
      <c r="H641" s="63"/>
      <c r="I641" s="63"/>
      <c r="L641" s="148"/>
    </row>
    <row r="642" spans="1:12" ht="23.25" customHeight="1">
      <c r="A642" s="90"/>
      <c r="G642" s="68" t="s">
        <v>148</v>
      </c>
      <c r="H642" s="268" t="s">
        <v>149</v>
      </c>
      <c r="I642" s="268"/>
      <c r="J642" s="268"/>
      <c r="K642" s="2" t="s">
        <v>150</v>
      </c>
      <c r="L642" s="141"/>
    </row>
    <row r="643" spans="1:12" ht="22.5" customHeight="1">
      <c r="A643" s="90"/>
      <c r="G643" s="2"/>
      <c r="H643" s="268" t="s">
        <v>1549</v>
      </c>
      <c r="I643" s="268"/>
      <c r="J643" s="268"/>
      <c r="K643" s="2"/>
      <c r="L643" s="141"/>
    </row>
    <row r="644" spans="1:12" ht="33" customHeight="1">
      <c r="G644" s="68" t="s">
        <v>148</v>
      </c>
      <c r="H644" s="268" t="s">
        <v>149</v>
      </c>
      <c r="I644" s="268"/>
      <c r="J644" s="268"/>
      <c r="K644" s="2" t="s">
        <v>151</v>
      </c>
      <c r="L644" s="141"/>
    </row>
    <row r="645" spans="1:12" ht="21" customHeight="1">
      <c r="G645" s="2"/>
      <c r="H645" s="268" t="s">
        <v>154</v>
      </c>
      <c r="I645" s="268"/>
      <c r="J645" s="268"/>
      <c r="K645" s="2"/>
      <c r="L645" s="141"/>
    </row>
    <row r="646" spans="1:12" ht="30" customHeight="1">
      <c r="G646" s="68" t="s">
        <v>148</v>
      </c>
      <c r="H646" s="268" t="s">
        <v>149</v>
      </c>
      <c r="I646" s="268"/>
      <c r="J646" s="268"/>
      <c r="K646" s="2" t="s">
        <v>151</v>
      </c>
      <c r="L646" s="142"/>
    </row>
    <row r="647" spans="1:12" ht="21.75" customHeight="1">
      <c r="G647" s="2"/>
      <c r="H647" s="268" t="s">
        <v>155</v>
      </c>
      <c r="I647" s="268"/>
      <c r="J647" s="268"/>
      <c r="K647" s="2"/>
      <c r="L647" s="142"/>
    </row>
    <row r="648" spans="1:12" ht="34.5" customHeight="1">
      <c r="G648" s="68" t="s">
        <v>148</v>
      </c>
      <c r="H648" s="268" t="s">
        <v>149</v>
      </c>
      <c r="I648" s="268"/>
      <c r="J648" s="268"/>
      <c r="K648" s="2" t="s">
        <v>151</v>
      </c>
      <c r="L648" s="142"/>
    </row>
    <row r="649" spans="1:12" ht="21.75" customHeight="1">
      <c r="G649" s="2"/>
      <c r="H649" s="268" t="s">
        <v>156</v>
      </c>
      <c r="I649" s="268"/>
      <c r="J649" s="268"/>
      <c r="K649" s="2"/>
      <c r="L649" s="142"/>
    </row>
    <row r="650" spans="1:12" ht="36" customHeight="1">
      <c r="G650" s="68" t="s">
        <v>148</v>
      </c>
      <c r="H650" s="268" t="s">
        <v>149</v>
      </c>
      <c r="I650" s="268"/>
      <c r="J650" s="268"/>
      <c r="K650" s="67" t="s">
        <v>152</v>
      </c>
      <c r="L650" s="142"/>
    </row>
    <row r="651" spans="1:12" ht="21.75" customHeight="1">
      <c r="G651" s="67"/>
      <c r="H651" s="268" t="s">
        <v>157</v>
      </c>
      <c r="I651" s="268"/>
      <c r="J651" s="268"/>
      <c r="K651" s="67"/>
      <c r="L651" s="142"/>
    </row>
    <row r="652" spans="1:12" ht="21.75" customHeight="1">
      <c r="G652" s="67"/>
      <c r="H652" s="64"/>
      <c r="I652" s="64"/>
      <c r="J652" s="64"/>
      <c r="K652" s="67"/>
      <c r="L652" s="142"/>
    </row>
    <row r="653" spans="1:12" ht="24" customHeight="1">
      <c r="L653" s="138" t="s">
        <v>1440</v>
      </c>
    </row>
    <row r="654" spans="1:12" ht="24" customHeight="1">
      <c r="A654" s="269" t="s">
        <v>158</v>
      </c>
      <c r="B654" s="269"/>
      <c r="C654" s="269"/>
      <c r="D654" s="269"/>
      <c r="E654" s="269"/>
      <c r="F654" s="269"/>
      <c r="G654" s="269"/>
      <c r="H654" s="269"/>
      <c r="I654" s="269"/>
      <c r="J654" s="269"/>
      <c r="K654" s="269"/>
      <c r="L654" s="269"/>
    </row>
    <row r="655" spans="1:12" ht="24" customHeight="1">
      <c r="A655" s="270" t="s">
        <v>163</v>
      </c>
      <c r="B655" s="270"/>
      <c r="C655" s="270"/>
      <c r="D655" s="270"/>
      <c r="E655" s="270"/>
      <c r="F655" s="270"/>
      <c r="G655" s="270"/>
      <c r="H655" s="270"/>
      <c r="I655" s="270"/>
      <c r="J655" s="270"/>
      <c r="K655" s="270"/>
      <c r="L655" s="270"/>
    </row>
    <row r="656" spans="1:12" ht="24" customHeight="1" thickBot="1">
      <c r="A656" s="271" t="s">
        <v>164</v>
      </c>
      <c r="B656" s="271"/>
      <c r="C656" s="271"/>
      <c r="D656" s="271"/>
      <c r="E656" s="271"/>
      <c r="F656" s="271"/>
      <c r="G656" s="271"/>
      <c r="H656" s="271"/>
      <c r="I656" s="271"/>
      <c r="J656" s="271"/>
      <c r="K656" s="271"/>
      <c r="L656" s="271"/>
    </row>
    <row r="657" spans="1:14" ht="24" customHeight="1" thickTop="1">
      <c r="A657" s="272" t="s">
        <v>103</v>
      </c>
      <c r="B657" s="272" t="s">
        <v>122</v>
      </c>
      <c r="C657" s="272" t="s">
        <v>124</v>
      </c>
      <c r="D657" s="274" t="s">
        <v>0</v>
      </c>
      <c r="E657" s="272" t="s">
        <v>109</v>
      </c>
      <c r="F657" s="272" t="s">
        <v>110</v>
      </c>
      <c r="G657" s="276" t="s">
        <v>111</v>
      </c>
      <c r="H657" s="278" t="s">
        <v>1</v>
      </c>
      <c r="I657" s="279"/>
      <c r="J657" s="272" t="s">
        <v>125</v>
      </c>
      <c r="K657" s="272" t="s">
        <v>104</v>
      </c>
      <c r="L657" s="280" t="s">
        <v>112</v>
      </c>
    </row>
    <row r="658" spans="1:14" ht="45.75" customHeight="1" thickBot="1">
      <c r="A658" s="273"/>
      <c r="B658" s="273"/>
      <c r="C658" s="273"/>
      <c r="D658" s="275"/>
      <c r="E658" s="273"/>
      <c r="F658" s="273"/>
      <c r="G658" s="277"/>
      <c r="H658" s="51" t="s">
        <v>113</v>
      </c>
      <c r="I658" s="52" t="s">
        <v>114</v>
      </c>
      <c r="J658" s="273"/>
      <c r="K658" s="273"/>
      <c r="L658" s="281"/>
    </row>
    <row r="659" spans="1:14" ht="24" customHeight="1" thickTop="1">
      <c r="A659" s="35"/>
      <c r="B659" s="35"/>
      <c r="C659" s="35"/>
      <c r="D659" s="168"/>
      <c r="E659" s="35"/>
      <c r="F659" s="83"/>
      <c r="G659" s="34"/>
      <c r="H659" s="84"/>
      <c r="I659" s="85"/>
      <c r="J659" s="86" t="s">
        <v>132</v>
      </c>
      <c r="K659" s="87">
        <f>SUM(K639)</f>
        <v>24484159.07</v>
      </c>
      <c r="L659" s="146"/>
    </row>
    <row r="660" spans="1:14">
      <c r="A660" s="38">
        <v>211</v>
      </c>
      <c r="B660" s="55" t="s">
        <v>105</v>
      </c>
      <c r="C660" s="19" t="s">
        <v>730</v>
      </c>
      <c r="D660" s="177" t="s">
        <v>729</v>
      </c>
      <c r="E660" s="18" t="s">
        <v>2</v>
      </c>
      <c r="F660" s="14">
        <v>26</v>
      </c>
      <c r="G660" s="17" t="s">
        <v>128</v>
      </c>
      <c r="H660" s="16">
        <v>1</v>
      </c>
      <c r="I660" s="16">
        <v>1</v>
      </c>
      <c r="J660" s="3">
        <v>8000</v>
      </c>
      <c r="K660" s="12">
        <f t="shared" ref="K660:K669" si="21">SUM(I660*J660)</f>
        <v>8000</v>
      </c>
      <c r="L660" s="153" t="s">
        <v>707</v>
      </c>
      <c r="M660" s="1" t="s">
        <v>1038</v>
      </c>
    </row>
    <row r="661" spans="1:14">
      <c r="A661" s="54">
        <v>212</v>
      </c>
      <c r="B661" s="29">
        <v>2547</v>
      </c>
      <c r="C661" s="19" t="s">
        <v>221</v>
      </c>
      <c r="D661" s="176" t="s">
        <v>220</v>
      </c>
      <c r="E661" s="26" t="s">
        <v>3</v>
      </c>
      <c r="F661" s="16">
        <v>18</v>
      </c>
      <c r="G661" s="17" t="s">
        <v>128</v>
      </c>
      <c r="H661" s="16">
        <v>1</v>
      </c>
      <c r="I661" s="16">
        <v>1</v>
      </c>
      <c r="J661" s="9">
        <v>6900</v>
      </c>
      <c r="K661" s="12">
        <f t="shared" si="21"/>
        <v>6900</v>
      </c>
      <c r="L661" s="154" t="s">
        <v>1496</v>
      </c>
      <c r="M661" s="1" t="s">
        <v>1038</v>
      </c>
    </row>
    <row r="662" spans="1:14">
      <c r="A662" s="38">
        <v>213</v>
      </c>
      <c r="B662" s="29">
        <v>2547</v>
      </c>
      <c r="C662" s="19" t="s">
        <v>728</v>
      </c>
      <c r="D662" s="176" t="s">
        <v>220</v>
      </c>
      <c r="E662" s="25" t="s">
        <v>3</v>
      </c>
      <c r="F662" s="16">
        <v>18</v>
      </c>
      <c r="G662" s="17" t="s">
        <v>128</v>
      </c>
      <c r="H662" s="16">
        <v>1</v>
      </c>
      <c r="I662" s="16">
        <v>1</v>
      </c>
      <c r="J662" s="9">
        <v>11900</v>
      </c>
      <c r="K662" s="12">
        <f t="shared" si="21"/>
        <v>11900</v>
      </c>
      <c r="L662" s="154" t="s">
        <v>1496</v>
      </c>
      <c r="M662" s="1" t="s">
        <v>1038</v>
      </c>
    </row>
    <row r="663" spans="1:14">
      <c r="A663" s="54">
        <v>214</v>
      </c>
      <c r="B663" s="29">
        <v>2549</v>
      </c>
      <c r="C663" s="19" t="s">
        <v>727</v>
      </c>
      <c r="D663" s="176" t="s">
        <v>595</v>
      </c>
      <c r="E663" s="17" t="s">
        <v>3</v>
      </c>
      <c r="F663" s="16">
        <v>16</v>
      </c>
      <c r="G663" s="17" t="s">
        <v>128</v>
      </c>
      <c r="H663" s="16">
        <v>1</v>
      </c>
      <c r="I663" s="16">
        <v>1</v>
      </c>
      <c r="J663" s="9">
        <v>19088.8</v>
      </c>
      <c r="K663" s="12">
        <f t="shared" si="21"/>
        <v>19088.8</v>
      </c>
      <c r="L663" s="154" t="s">
        <v>1317</v>
      </c>
      <c r="M663" s="1" t="s">
        <v>1038</v>
      </c>
    </row>
    <row r="664" spans="1:14">
      <c r="A664" s="38">
        <v>215</v>
      </c>
      <c r="B664" s="29">
        <v>2549</v>
      </c>
      <c r="C664" s="19" t="s">
        <v>726</v>
      </c>
      <c r="D664" s="176" t="s">
        <v>725</v>
      </c>
      <c r="E664" s="17" t="s">
        <v>3</v>
      </c>
      <c r="F664" s="16">
        <v>16</v>
      </c>
      <c r="G664" s="17" t="s">
        <v>128</v>
      </c>
      <c r="H664" s="16">
        <v>1</v>
      </c>
      <c r="I664" s="16">
        <v>1</v>
      </c>
      <c r="J664" s="9">
        <v>5296.5</v>
      </c>
      <c r="K664" s="12">
        <f t="shared" si="21"/>
        <v>5296.5</v>
      </c>
      <c r="L664" s="154" t="s">
        <v>724</v>
      </c>
      <c r="M664" s="1" t="s">
        <v>1038</v>
      </c>
      <c r="N664" s="187"/>
    </row>
    <row r="665" spans="1:14">
      <c r="A665" s="54">
        <v>216</v>
      </c>
      <c r="B665" s="20" t="s">
        <v>245</v>
      </c>
      <c r="C665" s="19" t="s">
        <v>723</v>
      </c>
      <c r="D665" s="176" t="s">
        <v>722</v>
      </c>
      <c r="E665" s="17" t="s">
        <v>3</v>
      </c>
      <c r="F665" s="16">
        <v>15</v>
      </c>
      <c r="G665" s="17" t="s">
        <v>128</v>
      </c>
      <c r="H665" s="16">
        <v>1</v>
      </c>
      <c r="I665" s="16">
        <v>1</v>
      </c>
      <c r="J665" s="9">
        <v>6120</v>
      </c>
      <c r="K665" s="12">
        <f t="shared" si="21"/>
        <v>6120</v>
      </c>
      <c r="L665" s="154" t="s">
        <v>1350</v>
      </c>
      <c r="M665" s="1" t="s">
        <v>1038</v>
      </c>
    </row>
    <row r="666" spans="1:14">
      <c r="A666" s="38">
        <v>217</v>
      </c>
      <c r="B666" s="20" t="s">
        <v>245</v>
      </c>
      <c r="C666" s="19" t="s">
        <v>721</v>
      </c>
      <c r="D666" s="176" t="s">
        <v>720</v>
      </c>
      <c r="E666" s="17" t="s">
        <v>3</v>
      </c>
      <c r="F666" s="16">
        <v>15</v>
      </c>
      <c r="G666" s="17" t="s">
        <v>128</v>
      </c>
      <c r="H666" s="16">
        <v>2</v>
      </c>
      <c r="I666" s="16">
        <v>2</v>
      </c>
      <c r="J666" s="9">
        <v>17300</v>
      </c>
      <c r="K666" s="12">
        <f t="shared" si="21"/>
        <v>34600</v>
      </c>
      <c r="L666" s="154" t="s">
        <v>717</v>
      </c>
      <c r="M666" s="1" t="s">
        <v>1038</v>
      </c>
    </row>
    <row r="667" spans="1:14">
      <c r="A667" s="54">
        <v>218</v>
      </c>
      <c r="B667" s="20" t="s">
        <v>245</v>
      </c>
      <c r="C667" s="19" t="s">
        <v>719</v>
      </c>
      <c r="D667" s="176" t="s">
        <v>718</v>
      </c>
      <c r="E667" s="17" t="s">
        <v>3</v>
      </c>
      <c r="F667" s="16">
        <v>15</v>
      </c>
      <c r="G667" s="17" t="s">
        <v>128</v>
      </c>
      <c r="H667" s="16">
        <v>1</v>
      </c>
      <c r="I667" s="16">
        <v>1</v>
      </c>
      <c r="J667" s="9">
        <v>29000</v>
      </c>
      <c r="K667" s="12">
        <f t="shared" si="21"/>
        <v>29000</v>
      </c>
      <c r="L667" s="154" t="s">
        <v>717</v>
      </c>
      <c r="M667" s="1" t="s">
        <v>1038</v>
      </c>
    </row>
    <row r="668" spans="1:14">
      <c r="A668" s="38">
        <v>219</v>
      </c>
      <c r="B668" s="20" t="s">
        <v>138</v>
      </c>
      <c r="C668" s="5" t="s">
        <v>716</v>
      </c>
      <c r="D668" s="126" t="s">
        <v>715</v>
      </c>
      <c r="E668" s="18" t="s">
        <v>2</v>
      </c>
      <c r="F668" s="16">
        <v>12</v>
      </c>
      <c r="G668" s="17" t="s">
        <v>128</v>
      </c>
      <c r="H668" s="16">
        <v>1</v>
      </c>
      <c r="I668" s="16">
        <v>1</v>
      </c>
      <c r="J668" s="3">
        <v>5350</v>
      </c>
      <c r="K668" s="3">
        <f t="shared" si="21"/>
        <v>5350</v>
      </c>
      <c r="L668" s="154" t="s">
        <v>714</v>
      </c>
      <c r="M668" s="1" t="s">
        <v>1038</v>
      </c>
    </row>
    <row r="669" spans="1:14">
      <c r="A669" s="54">
        <v>220</v>
      </c>
      <c r="B669" s="20" t="s">
        <v>138</v>
      </c>
      <c r="C669" s="24" t="s">
        <v>713</v>
      </c>
      <c r="D669" s="169" t="s">
        <v>468</v>
      </c>
      <c r="E669" s="21" t="s">
        <v>2</v>
      </c>
      <c r="F669" s="16">
        <v>12</v>
      </c>
      <c r="G669" s="22" t="s">
        <v>128</v>
      </c>
      <c r="H669" s="23">
        <v>1</v>
      </c>
      <c r="I669" s="23">
        <v>1</v>
      </c>
      <c r="J669" s="11">
        <v>17000</v>
      </c>
      <c r="K669" s="3">
        <f t="shared" si="21"/>
        <v>17000</v>
      </c>
      <c r="L669" s="155" t="s">
        <v>712</v>
      </c>
      <c r="M669" s="1" t="s">
        <v>1038</v>
      </c>
    </row>
    <row r="670" spans="1:14" ht="24" customHeight="1">
      <c r="A670" s="73"/>
      <c r="B670" s="82"/>
      <c r="C670" s="82"/>
      <c r="D670" s="167"/>
      <c r="E670" s="82"/>
      <c r="F670" s="82"/>
      <c r="G670" s="82"/>
      <c r="H670" s="82"/>
      <c r="I670" s="82"/>
      <c r="J670" s="74" t="s">
        <v>129</v>
      </c>
      <c r="K670" s="89">
        <f>SUM(K659:K669)</f>
        <v>24627414.370000001</v>
      </c>
      <c r="L670" s="147"/>
    </row>
    <row r="671" spans="1:14" ht="24" customHeight="1">
      <c r="A671" s="62"/>
      <c r="B671" s="62" t="s">
        <v>119</v>
      </c>
      <c r="C671" s="53" t="s">
        <v>120</v>
      </c>
      <c r="H671" s="63"/>
      <c r="I671" s="63"/>
      <c r="L671" s="148"/>
    </row>
    <row r="672" spans="1:14" ht="24" customHeight="1">
      <c r="A672" s="62"/>
      <c r="C672" s="53" t="s">
        <v>121</v>
      </c>
      <c r="H672" s="63"/>
      <c r="I672" s="63"/>
      <c r="L672" s="148"/>
    </row>
    <row r="673" spans="1:12" ht="21.75" customHeight="1">
      <c r="A673" s="90"/>
      <c r="G673" s="68" t="s">
        <v>148</v>
      </c>
      <c r="H673" s="268" t="s">
        <v>149</v>
      </c>
      <c r="I673" s="268"/>
      <c r="J673" s="268"/>
      <c r="K673" s="2" t="s">
        <v>150</v>
      </c>
      <c r="L673" s="141"/>
    </row>
    <row r="674" spans="1:12" ht="21.75" customHeight="1">
      <c r="A674" s="90"/>
      <c r="G674" s="2"/>
      <c r="H674" s="268" t="s">
        <v>1549</v>
      </c>
      <c r="I674" s="268"/>
      <c r="J674" s="268"/>
      <c r="K674" s="2"/>
      <c r="L674" s="141"/>
    </row>
    <row r="675" spans="1:12" ht="31.5" customHeight="1">
      <c r="G675" s="68" t="s">
        <v>148</v>
      </c>
      <c r="H675" s="268" t="s">
        <v>149</v>
      </c>
      <c r="I675" s="268"/>
      <c r="J675" s="268"/>
      <c r="K675" s="2" t="s">
        <v>151</v>
      </c>
      <c r="L675" s="141"/>
    </row>
    <row r="676" spans="1:12" ht="21" customHeight="1">
      <c r="G676" s="2"/>
      <c r="H676" s="268" t="s">
        <v>154</v>
      </c>
      <c r="I676" s="268"/>
      <c r="J676" s="268"/>
      <c r="K676" s="2"/>
      <c r="L676" s="141"/>
    </row>
    <row r="677" spans="1:12" ht="34.5" customHeight="1">
      <c r="G677" s="68" t="s">
        <v>148</v>
      </c>
      <c r="H677" s="268" t="s">
        <v>149</v>
      </c>
      <c r="I677" s="268"/>
      <c r="J677" s="268"/>
      <c r="K677" s="2" t="s">
        <v>151</v>
      </c>
      <c r="L677" s="142"/>
    </row>
    <row r="678" spans="1:12" ht="20.25" customHeight="1">
      <c r="G678" s="2"/>
      <c r="H678" s="268" t="s">
        <v>155</v>
      </c>
      <c r="I678" s="268"/>
      <c r="J678" s="268"/>
      <c r="K678" s="2"/>
      <c r="L678" s="142"/>
    </row>
    <row r="679" spans="1:12" ht="34.5" customHeight="1">
      <c r="G679" s="68" t="s">
        <v>148</v>
      </c>
      <c r="H679" s="268" t="s">
        <v>149</v>
      </c>
      <c r="I679" s="268"/>
      <c r="J679" s="268"/>
      <c r="K679" s="2" t="s">
        <v>151</v>
      </c>
      <c r="L679" s="142"/>
    </row>
    <row r="680" spans="1:12" ht="20.25" customHeight="1">
      <c r="G680" s="2"/>
      <c r="H680" s="268" t="s">
        <v>156</v>
      </c>
      <c r="I680" s="268"/>
      <c r="J680" s="268"/>
      <c r="K680" s="2"/>
      <c r="L680" s="142"/>
    </row>
    <row r="681" spans="1:12" ht="36" customHeight="1">
      <c r="G681" s="68" t="s">
        <v>148</v>
      </c>
      <c r="H681" s="268" t="s">
        <v>149</v>
      </c>
      <c r="I681" s="268"/>
      <c r="J681" s="268"/>
      <c r="K681" s="67" t="s">
        <v>152</v>
      </c>
      <c r="L681" s="142"/>
    </row>
    <row r="682" spans="1:12" ht="24" customHeight="1">
      <c r="G682" s="67"/>
      <c r="H682" s="268" t="s">
        <v>157</v>
      </c>
      <c r="I682" s="268"/>
      <c r="J682" s="268"/>
      <c r="K682" s="67"/>
      <c r="L682" s="142"/>
    </row>
    <row r="683" spans="1:12" ht="24" customHeight="1">
      <c r="G683" s="67"/>
      <c r="H683" s="64"/>
      <c r="I683" s="64"/>
      <c r="J683" s="64"/>
      <c r="K683" s="67"/>
      <c r="L683" s="142"/>
    </row>
    <row r="684" spans="1:12" ht="24" customHeight="1">
      <c r="L684" s="138" t="s">
        <v>1441</v>
      </c>
    </row>
    <row r="685" spans="1:12" ht="24" customHeight="1">
      <c r="A685" s="269" t="s">
        <v>158</v>
      </c>
      <c r="B685" s="269"/>
      <c r="C685" s="269"/>
      <c r="D685" s="269"/>
      <c r="E685" s="269"/>
      <c r="F685" s="269"/>
      <c r="G685" s="269"/>
      <c r="H685" s="269"/>
      <c r="I685" s="269"/>
      <c r="J685" s="269"/>
      <c r="K685" s="269"/>
      <c r="L685" s="269"/>
    </row>
    <row r="686" spans="1:12" ht="24" customHeight="1">
      <c r="A686" s="270" t="s">
        <v>163</v>
      </c>
      <c r="B686" s="270"/>
      <c r="C686" s="270"/>
      <c r="D686" s="270"/>
      <c r="E686" s="270"/>
      <c r="F686" s="270"/>
      <c r="G686" s="270"/>
      <c r="H686" s="270"/>
      <c r="I686" s="270"/>
      <c r="J686" s="270"/>
      <c r="K686" s="270"/>
      <c r="L686" s="270"/>
    </row>
    <row r="687" spans="1:12" ht="24" customHeight="1" thickBot="1">
      <c r="A687" s="271" t="s">
        <v>164</v>
      </c>
      <c r="B687" s="271"/>
      <c r="C687" s="271"/>
      <c r="D687" s="271"/>
      <c r="E687" s="271"/>
      <c r="F687" s="271"/>
      <c r="G687" s="271"/>
      <c r="H687" s="271"/>
      <c r="I687" s="271"/>
      <c r="J687" s="271"/>
      <c r="K687" s="271"/>
      <c r="L687" s="271"/>
    </row>
    <row r="688" spans="1:12" ht="24" customHeight="1" thickTop="1">
      <c r="A688" s="272" t="s">
        <v>103</v>
      </c>
      <c r="B688" s="272" t="s">
        <v>122</v>
      </c>
      <c r="C688" s="272" t="s">
        <v>124</v>
      </c>
      <c r="D688" s="274" t="s">
        <v>0</v>
      </c>
      <c r="E688" s="272" t="s">
        <v>109</v>
      </c>
      <c r="F688" s="272" t="s">
        <v>110</v>
      </c>
      <c r="G688" s="276" t="s">
        <v>111</v>
      </c>
      <c r="H688" s="278" t="s">
        <v>1</v>
      </c>
      <c r="I688" s="279"/>
      <c r="J688" s="272" t="s">
        <v>125</v>
      </c>
      <c r="K688" s="272" t="s">
        <v>104</v>
      </c>
      <c r="L688" s="280" t="s">
        <v>112</v>
      </c>
    </row>
    <row r="689" spans="1:14" ht="48" customHeight="1" thickBot="1">
      <c r="A689" s="273"/>
      <c r="B689" s="273"/>
      <c r="C689" s="273"/>
      <c r="D689" s="275"/>
      <c r="E689" s="273"/>
      <c r="F689" s="273"/>
      <c r="G689" s="277"/>
      <c r="H689" s="51" t="s">
        <v>113</v>
      </c>
      <c r="I689" s="52" t="s">
        <v>114</v>
      </c>
      <c r="J689" s="273"/>
      <c r="K689" s="273"/>
      <c r="L689" s="281"/>
    </row>
    <row r="690" spans="1:14" ht="24" customHeight="1" thickTop="1">
      <c r="A690" s="35"/>
      <c r="B690" s="35"/>
      <c r="C690" s="35"/>
      <c r="D690" s="168"/>
      <c r="E690" s="35"/>
      <c r="F690" s="83"/>
      <c r="G690" s="34"/>
      <c r="H690" s="84"/>
      <c r="I690" s="85"/>
      <c r="J690" s="86" t="s">
        <v>132</v>
      </c>
      <c r="K690" s="87">
        <f>SUM(K670)</f>
        <v>24627414.370000001</v>
      </c>
      <c r="L690" s="146"/>
    </row>
    <row r="691" spans="1:14">
      <c r="A691" s="38">
        <v>221</v>
      </c>
      <c r="B691" s="58" t="s">
        <v>222</v>
      </c>
      <c r="C691" s="5" t="s">
        <v>732</v>
      </c>
      <c r="D691" s="126" t="s">
        <v>667</v>
      </c>
      <c r="E691" s="18" t="s">
        <v>98</v>
      </c>
      <c r="F691" s="18">
        <v>18</v>
      </c>
      <c r="G691" s="18" t="s">
        <v>383</v>
      </c>
      <c r="H691" s="18">
        <v>1</v>
      </c>
      <c r="I691" s="4">
        <v>1</v>
      </c>
      <c r="J691" s="3">
        <v>29000</v>
      </c>
      <c r="K691" s="3">
        <v>29000</v>
      </c>
      <c r="L691" s="135" t="s">
        <v>1497</v>
      </c>
      <c r="M691" s="1" t="s">
        <v>1035</v>
      </c>
    </row>
    <row r="692" spans="1:14">
      <c r="A692" s="38">
        <v>222</v>
      </c>
      <c r="B692" s="29">
        <v>2553</v>
      </c>
      <c r="C692" s="5" t="s">
        <v>731</v>
      </c>
      <c r="D692" s="126" t="s">
        <v>468</v>
      </c>
      <c r="E692" s="18" t="s">
        <v>2</v>
      </c>
      <c r="F692" s="18">
        <v>12</v>
      </c>
      <c r="G692" s="18" t="s">
        <v>383</v>
      </c>
      <c r="H692" s="18">
        <v>1</v>
      </c>
      <c r="I692" s="4">
        <v>1</v>
      </c>
      <c r="J692" s="3">
        <v>17000</v>
      </c>
      <c r="K692" s="3">
        <v>17000</v>
      </c>
      <c r="L692" s="191" t="s">
        <v>1498</v>
      </c>
      <c r="M692" s="1" t="s">
        <v>1035</v>
      </c>
    </row>
    <row r="693" spans="1:14">
      <c r="A693" s="38">
        <v>223</v>
      </c>
      <c r="B693" s="58" t="s">
        <v>249</v>
      </c>
      <c r="C693" s="5" t="s">
        <v>746</v>
      </c>
      <c r="D693" s="126" t="s">
        <v>595</v>
      </c>
      <c r="E693" s="18" t="s">
        <v>3</v>
      </c>
      <c r="F693" s="18">
        <v>16</v>
      </c>
      <c r="G693" s="18" t="s">
        <v>383</v>
      </c>
      <c r="H693" s="18">
        <v>1</v>
      </c>
      <c r="I693" s="4">
        <v>1</v>
      </c>
      <c r="J693" s="3">
        <v>19088.8</v>
      </c>
      <c r="K693" s="3">
        <f t="shared" ref="K693:K700" si="22">SUM(I693*J693)</f>
        <v>19088.8</v>
      </c>
      <c r="L693" s="135" t="s">
        <v>745</v>
      </c>
      <c r="M693" s="1" t="s">
        <v>1036</v>
      </c>
    </row>
    <row r="694" spans="1:14">
      <c r="A694" s="38">
        <v>224</v>
      </c>
      <c r="B694" s="29">
        <v>2553</v>
      </c>
      <c r="C694" s="5" t="s">
        <v>744</v>
      </c>
      <c r="D694" s="126" t="s">
        <v>743</v>
      </c>
      <c r="E694" s="18" t="s">
        <v>2</v>
      </c>
      <c r="F694" s="18">
        <v>12</v>
      </c>
      <c r="G694" s="18" t="s">
        <v>383</v>
      </c>
      <c r="H694" s="18">
        <v>1</v>
      </c>
      <c r="I694" s="4">
        <v>1</v>
      </c>
      <c r="J694" s="3">
        <v>18000</v>
      </c>
      <c r="K694" s="3">
        <f t="shared" si="22"/>
        <v>18000</v>
      </c>
      <c r="L694" s="136" t="s">
        <v>742</v>
      </c>
      <c r="M694" s="1" t="s">
        <v>1036</v>
      </c>
    </row>
    <row r="695" spans="1:14">
      <c r="A695" s="38">
        <v>225</v>
      </c>
      <c r="B695" s="29">
        <v>2556</v>
      </c>
      <c r="C695" s="5" t="s">
        <v>741</v>
      </c>
      <c r="D695" s="126" t="s">
        <v>740</v>
      </c>
      <c r="E695" s="18" t="s">
        <v>739</v>
      </c>
      <c r="F695" s="18">
        <v>9</v>
      </c>
      <c r="G695" s="18" t="s">
        <v>383</v>
      </c>
      <c r="H695" s="18">
        <v>2</v>
      </c>
      <c r="I695" s="4">
        <v>1</v>
      </c>
      <c r="J695" s="3">
        <v>22649</v>
      </c>
      <c r="K695" s="3">
        <f t="shared" si="22"/>
        <v>22649</v>
      </c>
      <c r="L695" s="135" t="s">
        <v>738</v>
      </c>
      <c r="M695" s="1" t="s">
        <v>1036</v>
      </c>
    </row>
    <row r="696" spans="1:14">
      <c r="A696" s="38">
        <v>226</v>
      </c>
      <c r="B696" s="29">
        <v>2556</v>
      </c>
      <c r="C696" s="5" t="s">
        <v>749</v>
      </c>
      <c r="D696" s="126" t="s">
        <v>748</v>
      </c>
      <c r="E696" s="18" t="s">
        <v>739</v>
      </c>
      <c r="F696" s="18">
        <v>9</v>
      </c>
      <c r="G696" s="18" t="s">
        <v>383</v>
      </c>
      <c r="H696" s="18">
        <v>2</v>
      </c>
      <c r="I696" s="4">
        <v>1</v>
      </c>
      <c r="J696" s="3">
        <v>7337</v>
      </c>
      <c r="K696" s="3">
        <f t="shared" si="22"/>
        <v>7337</v>
      </c>
      <c r="L696" s="135" t="s">
        <v>747</v>
      </c>
      <c r="M696" s="1" t="s">
        <v>1036</v>
      </c>
    </row>
    <row r="697" spans="1:14" ht="24" customHeight="1">
      <c r="A697" s="38">
        <v>227</v>
      </c>
      <c r="B697" s="17">
        <v>2549</v>
      </c>
      <c r="C697" s="5" t="s">
        <v>752</v>
      </c>
      <c r="D697" s="126" t="s">
        <v>751</v>
      </c>
      <c r="E697" s="18" t="s">
        <v>750</v>
      </c>
      <c r="F697" s="18">
        <v>16</v>
      </c>
      <c r="G697" s="18" t="s">
        <v>383</v>
      </c>
      <c r="H697" s="4">
        <v>1</v>
      </c>
      <c r="I697" s="4">
        <v>1</v>
      </c>
      <c r="J697" s="9">
        <v>5900</v>
      </c>
      <c r="K697" s="9">
        <f t="shared" si="22"/>
        <v>5900</v>
      </c>
      <c r="L697" s="135" t="s">
        <v>1352</v>
      </c>
      <c r="M697" s="1" t="s">
        <v>1037</v>
      </c>
      <c r="N697" s="8"/>
    </row>
    <row r="698" spans="1:14" ht="24" customHeight="1">
      <c r="A698" s="38">
        <v>228</v>
      </c>
      <c r="B698" s="17">
        <v>2553</v>
      </c>
      <c r="C698" s="5" t="s">
        <v>781</v>
      </c>
      <c r="D698" s="126" t="s">
        <v>780</v>
      </c>
      <c r="E698" s="18" t="s">
        <v>759</v>
      </c>
      <c r="F698" s="18">
        <v>12</v>
      </c>
      <c r="G698" s="18" t="s">
        <v>383</v>
      </c>
      <c r="H698" s="4">
        <v>1</v>
      </c>
      <c r="I698" s="4">
        <v>1</v>
      </c>
      <c r="J698" s="9">
        <v>5350</v>
      </c>
      <c r="K698" s="9">
        <f t="shared" si="22"/>
        <v>5350</v>
      </c>
      <c r="L698" s="137" t="s">
        <v>1353</v>
      </c>
      <c r="M698" s="1" t="s">
        <v>1037</v>
      </c>
      <c r="N698" s="8"/>
    </row>
    <row r="699" spans="1:14" ht="24" customHeight="1">
      <c r="A699" s="38">
        <v>229</v>
      </c>
      <c r="B699" s="17">
        <v>2553</v>
      </c>
      <c r="C699" s="5" t="s">
        <v>779</v>
      </c>
      <c r="D699" s="126" t="s">
        <v>468</v>
      </c>
      <c r="E699" s="18" t="s">
        <v>759</v>
      </c>
      <c r="F699" s="18">
        <v>12</v>
      </c>
      <c r="G699" s="18" t="s">
        <v>383</v>
      </c>
      <c r="H699" s="4">
        <v>1</v>
      </c>
      <c r="I699" s="4">
        <v>1</v>
      </c>
      <c r="J699" s="9">
        <v>17000</v>
      </c>
      <c r="K699" s="9">
        <f t="shared" si="22"/>
        <v>17000</v>
      </c>
      <c r="L699" s="137" t="s">
        <v>778</v>
      </c>
      <c r="M699" s="1" t="s">
        <v>1037</v>
      </c>
      <c r="N699" s="8"/>
    </row>
    <row r="700" spans="1:14" ht="24" customHeight="1">
      <c r="A700" s="38">
        <v>230</v>
      </c>
      <c r="B700" s="79" t="s">
        <v>775</v>
      </c>
      <c r="C700" s="5" t="s">
        <v>777</v>
      </c>
      <c r="D700" s="126" t="s">
        <v>776</v>
      </c>
      <c r="E700" s="18" t="s">
        <v>750</v>
      </c>
      <c r="F700" s="18">
        <v>5</v>
      </c>
      <c r="G700" s="18" t="s">
        <v>383</v>
      </c>
      <c r="H700" s="4">
        <v>1</v>
      </c>
      <c r="I700" s="4">
        <v>1</v>
      </c>
      <c r="J700" s="9">
        <v>5900</v>
      </c>
      <c r="K700" s="9">
        <f t="shared" si="22"/>
        <v>5900</v>
      </c>
      <c r="L700" s="137" t="s">
        <v>1354</v>
      </c>
      <c r="M700" s="1" t="s">
        <v>1037</v>
      </c>
      <c r="N700" s="8"/>
    </row>
    <row r="701" spans="1:14" ht="24" customHeight="1">
      <c r="A701" s="73"/>
      <c r="B701" s="82"/>
      <c r="C701" s="82"/>
      <c r="D701" s="167"/>
      <c r="E701" s="82"/>
      <c r="F701" s="82"/>
      <c r="G701" s="82"/>
      <c r="H701" s="82"/>
      <c r="I701" s="82"/>
      <c r="J701" s="74" t="s">
        <v>129</v>
      </c>
      <c r="K701" s="89">
        <f>SUM(K690:K700)</f>
        <v>24774639.170000002</v>
      </c>
      <c r="L701" s="147"/>
    </row>
    <row r="702" spans="1:14" ht="24" customHeight="1">
      <c r="A702" s="62"/>
      <c r="B702" s="62" t="s">
        <v>119</v>
      </c>
      <c r="C702" s="53" t="s">
        <v>120</v>
      </c>
      <c r="H702" s="63"/>
      <c r="I702" s="63"/>
      <c r="L702" s="148"/>
    </row>
    <row r="703" spans="1:14" ht="24" customHeight="1">
      <c r="A703" s="62"/>
      <c r="C703" s="53" t="s">
        <v>121</v>
      </c>
      <c r="H703" s="63"/>
      <c r="I703" s="63"/>
      <c r="L703" s="148"/>
    </row>
    <row r="704" spans="1:14" ht="22.5" customHeight="1">
      <c r="A704" s="90"/>
      <c r="G704" s="68" t="s">
        <v>148</v>
      </c>
      <c r="H704" s="268" t="s">
        <v>149</v>
      </c>
      <c r="I704" s="268"/>
      <c r="J704" s="268"/>
      <c r="K704" s="2" t="s">
        <v>150</v>
      </c>
      <c r="L704" s="141"/>
    </row>
    <row r="705" spans="1:12" ht="21.75" customHeight="1">
      <c r="A705" s="90"/>
      <c r="G705" s="2"/>
      <c r="H705" s="268" t="s">
        <v>1549</v>
      </c>
      <c r="I705" s="268"/>
      <c r="J705" s="268"/>
      <c r="K705" s="2"/>
      <c r="L705" s="141"/>
    </row>
    <row r="706" spans="1:12" ht="33" customHeight="1">
      <c r="G706" s="68" t="s">
        <v>148</v>
      </c>
      <c r="H706" s="268" t="s">
        <v>149</v>
      </c>
      <c r="I706" s="268"/>
      <c r="J706" s="268"/>
      <c r="K706" s="2" t="s">
        <v>151</v>
      </c>
      <c r="L706" s="141"/>
    </row>
    <row r="707" spans="1:12" ht="22.5" customHeight="1">
      <c r="G707" s="2"/>
      <c r="H707" s="268" t="s">
        <v>154</v>
      </c>
      <c r="I707" s="268"/>
      <c r="J707" s="268"/>
      <c r="K707" s="2"/>
      <c r="L707" s="141"/>
    </row>
    <row r="708" spans="1:12" ht="32.25" customHeight="1">
      <c r="G708" s="68" t="s">
        <v>148</v>
      </c>
      <c r="H708" s="268" t="s">
        <v>149</v>
      </c>
      <c r="I708" s="268"/>
      <c r="J708" s="268"/>
      <c r="K708" s="2" t="s">
        <v>151</v>
      </c>
      <c r="L708" s="142"/>
    </row>
    <row r="709" spans="1:12" ht="20.25" customHeight="1">
      <c r="G709" s="2"/>
      <c r="H709" s="268" t="s">
        <v>155</v>
      </c>
      <c r="I709" s="268"/>
      <c r="J709" s="268"/>
      <c r="K709" s="2"/>
      <c r="L709" s="142"/>
    </row>
    <row r="710" spans="1:12" ht="33" customHeight="1">
      <c r="G710" s="68" t="s">
        <v>148</v>
      </c>
      <c r="H710" s="268" t="s">
        <v>149</v>
      </c>
      <c r="I710" s="268"/>
      <c r="J710" s="268"/>
      <c r="K710" s="2" t="s">
        <v>151</v>
      </c>
      <c r="L710" s="142"/>
    </row>
    <row r="711" spans="1:12" ht="22.5" customHeight="1">
      <c r="G711" s="2"/>
      <c r="H711" s="268" t="s">
        <v>156</v>
      </c>
      <c r="I711" s="268"/>
      <c r="J711" s="268"/>
      <c r="K711" s="2"/>
      <c r="L711" s="142"/>
    </row>
    <row r="712" spans="1:12" ht="33" customHeight="1">
      <c r="G712" s="68" t="s">
        <v>148</v>
      </c>
      <c r="H712" s="268" t="s">
        <v>149</v>
      </c>
      <c r="I712" s="268"/>
      <c r="J712" s="268"/>
      <c r="K712" s="67" t="s">
        <v>152</v>
      </c>
      <c r="L712" s="142"/>
    </row>
    <row r="713" spans="1:12" ht="24" customHeight="1">
      <c r="G713" s="67"/>
      <c r="H713" s="268" t="s">
        <v>157</v>
      </c>
      <c r="I713" s="268"/>
      <c r="J713" s="268"/>
      <c r="K713" s="67"/>
      <c r="L713" s="142"/>
    </row>
    <row r="714" spans="1:12" ht="24" customHeight="1">
      <c r="G714" s="67"/>
      <c r="H714" s="64"/>
      <c r="I714" s="64"/>
      <c r="J714" s="64"/>
      <c r="K714" s="67"/>
      <c r="L714" s="142"/>
    </row>
    <row r="715" spans="1:12" ht="24" customHeight="1">
      <c r="L715" s="138" t="s">
        <v>1442</v>
      </c>
    </row>
    <row r="716" spans="1:12" ht="24" customHeight="1">
      <c r="A716" s="269" t="s">
        <v>158</v>
      </c>
      <c r="B716" s="269"/>
      <c r="C716" s="269"/>
      <c r="D716" s="269"/>
      <c r="E716" s="269"/>
      <c r="F716" s="269"/>
      <c r="G716" s="269"/>
      <c r="H716" s="269"/>
      <c r="I716" s="269"/>
      <c r="J716" s="269"/>
      <c r="K716" s="269"/>
      <c r="L716" s="269"/>
    </row>
    <row r="717" spans="1:12" ht="24" customHeight="1">
      <c r="A717" s="270" t="s">
        <v>163</v>
      </c>
      <c r="B717" s="270"/>
      <c r="C717" s="270"/>
      <c r="D717" s="270"/>
      <c r="E717" s="270"/>
      <c r="F717" s="270"/>
      <c r="G717" s="270"/>
      <c r="H717" s="270"/>
      <c r="I717" s="270"/>
      <c r="J717" s="270"/>
      <c r="K717" s="270"/>
      <c r="L717" s="270"/>
    </row>
    <row r="718" spans="1:12" ht="24" customHeight="1" thickBot="1">
      <c r="A718" s="271" t="s">
        <v>164</v>
      </c>
      <c r="B718" s="271"/>
      <c r="C718" s="271"/>
      <c r="D718" s="271"/>
      <c r="E718" s="271"/>
      <c r="F718" s="271"/>
      <c r="G718" s="271"/>
      <c r="H718" s="271"/>
      <c r="I718" s="271"/>
      <c r="J718" s="271"/>
      <c r="K718" s="271"/>
      <c r="L718" s="271"/>
    </row>
    <row r="719" spans="1:12" ht="24" customHeight="1" thickTop="1">
      <c r="A719" s="272" t="s">
        <v>103</v>
      </c>
      <c r="B719" s="272" t="s">
        <v>122</v>
      </c>
      <c r="C719" s="272" t="s">
        <v>124</v>
      </c>
      <c r="D719" s="274" t="s">
        <v>0</v>
      </c>
      <c r="E719" s="272" t="s">
        <v>109</v>
      </c>
      <c r="F719" s="272" t="s">
        <v>110</v>
      </c>
      <c r="G719" s="276" t="s">
        <v>111</v>
      </c>
      <c r="H719" s="278" t="s">
        <v>1</v>
      </c>
      <c r="I719" s="279"/>
      <c r="J719" s="272" t="s">
        <v>125</v>
      </c>
      <c r="K719" s="272" t="s">
        <v>104</v>
      </c>
      <c r="L719" s="280" t="s">
        <v>112</v>
      </c>
    </row>
    <row r="720" spans="1:12" ht="45.75" customHeight="1" thickBot="1">
      <c r="A720" s="273"/>
      <c r="B720" s="273"/>
      <c r="C720" s="273"/>
      <c r="D720" s="275"/>
      <c r="E720" s="273"/>
      <c r="F720" s="273"/>
      <c r="G720" s="277"/>
      <c r="H720" s="51" t="s">
        <v>113</v>
      </c>
      <c r="I720" s="52" t="s">
        <v>114</v>
      </c>
      <c r="J720" s="273"/>
      <c r="K720" s="273"/>
      <c r="L720" s="281"/>
    </row>
    <row r="721" spans="1:13" ht="24" customHeight="1" thickTop="1">
      <c r="A721" s="35"/>
      <c r="B721" s="35"/>
      <c r="C721" s="35"/>
      <c r="D721" s="168"/>
      <c r="E721" s="35"/>
      <c r="F721" s="83"/>
      <c r="G721" s="34"/>
      <c r="H721" s="84"/>
      <c r="I721" s="85"/>
      <c r="J721" s="86" t="s">
        <v>132</v>
      </c>
      <c r="K721" s="87">
        <f>SUM(K701)</f>
        <v>24774639.170000002</v>
      </c>
      <c r="L721" s="146"/>
    </row>
    <row r="722" spans="1:13">
      <c r="A722" s="38">
        <v>231</v>
      </c>
      <c r="B722" s="58" t="s">
        <v>105</v>
      </c>
      <c r="C722" s="5" t="s">
        <v>894</v>
      </c>
      <c r="D722" s="126" t="s">
        <v>892</v>
      </c>
      <c r="E722" s="18" t="s">
        <v>2</v>
      </c>
      <c r="F722" s="18">
        <v>26</v>
      </c>
      <c r="G722" s="18" t="s">
        <v>383</v>
      </c>
      <c r="H722" s="18">
        <v>1</v>
      </c>
      <c r="I722" s="18">
        <v>1</v>
      </c>
      <c r="J722" s="9">
        <v>15000</v>
      </c>
      <c r="K722" s="3">
        <f t="shared" ref="K722:K731" si="23">SUM(I722*J722)</f>
        <v>15000</v>
      </c>
      <c r="L722" s="135" t="s">
        <v>1280</v>
      </c>
      <c r="M722" s="1" t="s">
        <v>1034</v>
      </c>
    </row>
    <row r="723" spans="1:13">
      <c r="A723" s="29">
        <v>232</v>
      </c>
      <c r="B723" s="58" t="s">
        <v>106</v>
      </c>
      <c r="C723" s="5" t="s">
        <v>893</v>
      </c>
      <c r="D723" s="126" t="s">
        <v>892</v>
      </c>
      <c r="E723" s="18" t="s">
        <v>2</v>
      </c>
      <c r="F723" s="18">
        <v>25</v>
      </c>
      <c r="G723" s="18" t="s">
        <v>383</v>
      </c>
      <c r="H723" s="4">
        <v>1</v>
      </c>
      <c r="I723" s="4">
        <v>1</v>
      </c>
      <c r="J723" s="9">
        <v>13000</v>
      </c>
      <c r="K723" s="3">
        <f t="shared" si="23"/>
        <v>13000</v>
      </c>
      <c r="L723" s="135" t="s">
        <v>1280</v>
      </c>
      <c r="M723" s="1" t="s">
        <v>1034</v>
      </c>
    </row>
    <row r="724" spans="1:13">
      <c r="A724" s="38">
        <v>233</v>
      </c>
      <c r="B724" s="58" t="s">
        <v>106</v>
      </c>
      <c r="C724" s="5" t="s">
        <v>891</v>
      </c>
      <c r="D724" s="126" t="s">
        <v>890</v>
      </c>
      <c r="E724" s="18" t="s">
        <v>98</v>
      </c>
      <c r="F724" s="18">
        <v>25</v>
      </c>
      <c r="G724" s="18" t="s">
        <v>383</v>
      </c>
      <c r="H724" s="4">
        <v>5</v>
      </c>
      <c r="I724" s="4">
        <v>5</v>
      </c>
      <c r="J724" s="9">
        <v>23000</v>
      </c>
      <c r="K724" s="3">
        <f t="shared" si="23"/>
        <v>115000</v>
      </c>
      <c r="L724" s="135" t="s">
        <v>1374</v>
      </c>
      <c r="M724" s="1" t="s">
        <v>1034</v>
      </c>
    </row>
    <row r="725" spans="1:13">
      <c r="A725" s="29">
        <v>234</v>
      </c>
      <c r="B725" s="20" t="s">
        <v>188</v>
      </c>
      <c r="C725" s="5" t="s">
        <v>889</v>
      </c>
      <c r="D725" s="125" t="s">
        <v>888</v>
      </c>
      <c r="E725" s="18" t="s">
        <v>3</v>
      </c>
      <c r="F725" s="18">
        <v>24</v>
      </c>
      <c r="G725" s="18" t="s">
        <v>383</v>
      </c>
      <c r="H725" s="4">
        <v>1</v>
      </c>
      <c r="I725" s="4">
        <v>1</v>
      </c>
      <c r="J725" s="9">
        <v>9530</v>
      </c>
      <c r="K725" s="3">
        <f t="shared" si="23"/>
        <v>9530</v>
      </c>
      <c r="L725" s="135" t="s">
        <v>1375</v>
      </c>
      <c r="M725" s="1" t="s">
        <v>1034</v>
      </c>
    </row>
    <row r="726" spans="1:13">
      <c r="A726" s="38">
        <v>235</v>
      </c>
      <c r="B726" s="20" t="s">
        <v>365</v>
      </c>
      <c r="C726" s="5" t="s">
        <v>887</v>
      </c>
      <c r="D726" s="125" t="s">
        <v>886</v>
      </c>
      <c r="E726" s="18" t="s">
        <v>3</v>
      </c>
      <c r="F726" s="18">
        <v>23</v>
      </c>
      <c r="G726" s="18" t="s">
        <v>383</v>
      </c>
      <c r="H726" s="4">
        <v>1</v>
      </c>
      <c r="I726" s="4">
        <v>1</v>
      </c>
      <c r="J726" s="9">
        <v>27500</v>
      </c>
      <c r="K726" s="3">
        <f t="shared" si="23"/>
        <v>27500</v>
      </c>
      <c r="L726" s="135" t="s">
        <v>1376</v>
      </c>
      <c r="M726" s="1" t="s">
        <v>1034</v>
      </c>
    </row>
    <row r="727" spans="1:13">
      <c r="A727" s="29">
        <v>236</v>
      </c>
      <c r="B727" s="17">
        <v>2543</v>
      </c>
      <c r="C727" s="5" t="s">
        <v>885</v>
      </c>
      <c r="D727" s="126" t="s">
        <v>884</v>
      </c>
      <c r="E727" s="17" t="s">
        <v>3</v>
      </c>
      <c r="F727" s="18">
        <v>22</v>
      </c>
      <c r="G727" s="18" t="s">
        <v>383</v>
      </c>
      <c r="H727" s="18">
        <v>1</v>
      </c>
      <c r="I727" s="4">
        <v>1</v>
      </c>
      <c r="J727" s="9">
        <v>5700</v>
      </c>
      <c r="K727" s="3">
        <f t="shared" si="23"/>
        <v>5700</v>
      </c>
      <c r="L727" s="137" t="s">
        <v>1280</v>
      </c>
      <c r="M727" s="1" t="s">
        <v>1034</v>
      </c>
    </row>
    <row r="728" spans="1:13">
      <c r="A728" s="38">
        <v>237</v>
      </c>
      <c r="B728" s="17">
        <v>2543</v>
      </c>
      <c r="C728" s="5" t="s">
        <v>883</v>
      </c>
      <c r="D728" s="126" t="s">
        <v>882</v>
      </c>
      <c r="E728" s="29" t="s">
        <v>3</v>
      </c>
      <c r="F728" s="18">
        <v>22</v>
      </c>
      <c r="G728" s="18" t="s">
        <v>383</v>
      </c>
      <c r="H728" s="18">
        <v>1</v>
      </c>
      <c r="I728" s="18">
        <v>1</v>
      </c>
      <c r="J728" s="9">
        <v>10561</v>
      </c>
      <c r="K728" s="3">
        <f t="shared" si="23"/>
        <v>10561</v>
      </c>
      <c r="L728" s="137" t="s">
        <v>1377</v>
      </c>
      <c r="M728" s="1" t="s">
        <v>1034</v>
      </c>
    </row>
    <row r="729" spans="1:13">
      <c r="A729" s="29">
        <v>238</v>
      </c>
      <c r="B729" s="17">
        <v>2543</v>
      </c>
      <c r="C729" s="5" t="s">
        <v>881</v>
      </c>
      <c r="D729" s="126" t="s">
        <v>1554</v>
      </c>
      <c r="E729" s="18" t="s">
        <v>3</v>
      </c>
      <c r="F729" s="18">
        <v>22</v>
      </c>
      <c r="G729" s="18" t="s">
        <v>383</v>
      </c>
      <c r="H729" s="4">
        <v>1</v>
      </c>
      <c r="I729" s="4">
        <v>1</v>
      </c>
      <c r="J729" s="9">
        <v>11535.6</v>
      </c>
      <c r="K729" s="3">
        <f t="shared" si="23"/>
        <v>11535.6</v>
      </c>
      <c r="L729" s="137" t="s">
        <v>1378</v>
      </c>
      <c r="M729" s="1" t="s">
        <v>1034</v>
      </c>
    </row>
    <row r="730" spans="1:13">
      <c r="A730" s="38">
        <v>239</v>
      </c>
      <c r="B730" s="17">
        <v>2543</v>
      </c>
      <c r="C730" s="5" t="s">
        <v>880</v>
      </c>
      <c r="D730" s="126" t="s">
        <v>879</v>
      </c>
      <c r="E730" s="18" t="s">
        <v>3</v>
      </c>
      <c r="F730" s="18">
        <v>22</v>
      </c>
      <c r="G730" s="18" t="s">
        <v>383</v>
      </c>
      <c r="H730" s="4">
        <v>1</v>
      </c>
      <c r="I730" s="4">
        <v>1</v>
      </c>
      <c r="J730" s="9">
        <v>25000</v>
      </c>
      <c r="K730" s="3">
        <f t="shared" si="23"/>
        <v>25000</v>
      </c>
      <c r="L730" s="137" t="s">
        <v>1376</v>
      </c>
      <c r="M730" s="1" t="s">
        <v>1034</v>
      </c>
    </row>
    <row r="731" spans="1:13">
      <c r="A731" s="29">
        <v>240</v>
      </c>
      <c r="B731" s="58" t="s">
        <v>829</v>
      </c>
      <c r="C731" s="5" t="s">
        <v>878</v>
      </c>
      <c r="D731" s="125" t="s">
        <v>877</v>
      </c>
      <c r="E731" s="18" t="s">
        <v>3</v>
      </c>
      <c r="F731" s="18">
        <v>21</v>
      </c>
      <c r="G731" s="18" t="s">
        <v>383</v>
      </c>
      <c r="H731" s="4">
        <v>1</v>
      </c>
      <c r="I731" s="4">
        <v>1</v>
      </c>
      <c r="J731" s="3">
        <v>5880</v>
      </c>
      <c r="K731" s="3">
        <f t="shared" si="23"/>
        <v>5880</v>
      </c>
      <c r="L731" s="135" t="s">
        <v>1197</v>
      </c>
      <c r="M731" s="1" t="s">
        <v>1034</v>
      </c>
    </row>
    <row r="732" spans="1:13" ht="24" customHeight="1">
      <c r="A732" s="73"/>
      <c r="B732" s="82"/>
      <c r="C732" s="82"/>
      <c r="D732" s="167"/>
      <c r="E732" s="82"/>
      <c r="F732" s="82"/>
      <c r="G732" s="82"/>
      <c r="H732" s="82"/>
      <c r="I732" s="82"/>
      <c r="J732" s="74" t="s">
        <v>129</v>
      </c>
      <c r="K732" s="89">
        <f>SUM(K721:K731)</f>
        <v>25013345.770000003</v>
      </c>
      <c r="L732" s="147"/>
    </row>
    <row r="733" spans="1:13" ht="24" customHeight="1">
      <c r="A733" s="62"/>
      <c r="B733" s="62" t="s">
        <v>119</v>
      </c>
      <c r="C733" s="53" t="s">
        <v>120</v>
      </c>
      <c r="H733" s="63"/>
      <c r="I733" s="63"/>
      <c r="L733" s="148"/>
    </row>
    <row r="734" spans="1:13" ht="24" customHeight="1">
      <c r="A734" s="62"/>
      <c r="C734" s="53" t="s">
        <v>121</v>
      </c>
      <c r="H734" s="63"/>
      <c r="I734" s="63"/>
      <c r="L734" s="148"/>
    </row>
    <row r="735" spans="1:13" ht="21.75" customHeight="1">
      <c r="A735" s="90"/>
      <c r="G735" s="68" t="s">
        <v>148</v>
      </c>
      <c r="H735" s="268" t="s">
        <v>149</v>
      </c>
      <c r="I735" s="268"/>
      <c r="J735" s="268"/>
      <c r="K735" s="2" t="s">
        <v>150</v>
      </c>
      <c r="L735" s="141"/>
    </row>
    <row r="736" spans="1:13" ht="21.75" customHeight="1">
      <c r="A736" s="90"/>
      <c r="G736" s="2"/>
      <c r="H736" s="268" t="s">
        <v>1549</v>
      </c>
      <c r="I736" s="268"/>
      <c r="J736" s="268"/>
      <c r="K736" s="2"/>
      <c r="L736" s="141"/>
    </row>
    <row r="737" spans="1:12" ht="31.5" customHeight="1">
      <c r="G737" s="68" t="s">
        <v>148</v>
      </c>
      <c r="H737" s="268" t="s">
        <v>149</v>
      </c>
      <c r="I737" s="268"/>
      <c r="J737" s="268"/>
      <c r="K737" s="2" t="s">
        <v>151</v>
      </c>
      <c r="L737" s="141"/>
    </row>
    <row r="738" spans="1:12" ht="22.5" customHeight="1">
      <c r="G738" s="2"/>
      <c r="H738" s="268" t="s">
        <v>154</v>
      </c>
      <c r="I738" s="268"/>
      <c r="J738" s="268"/>
      <c r="K738" s="2"/>
      <c r="L738" s="141"/>
    </row>
    <row r="739" spans="1:12" ht="32.25" customHeight="1">
      <c r="G739" s="68" t="s">
        <v>148</v>
      </c>
      <c r="H739" s="268" t="s">
        <v>149</v>
      </c>
      <c r="I739" s="268"/>
      <c r="J739" s="268"/>
      <c r="K739" s="2" t="s">
        <v>151</v>
      </c>
      <c r="L739" s="142"/>
    </row>
    <row r="740" spans="1:12" ht="20.25" customHeight="1">
      <c r="G740" s="2"/>
      <c r="H740" s="268" t="s">
        <v>155</v>
      </c>
      <c r="I740" s="268"/>
      <c r="J740" s="268"/>
      <c r="K740" s="2"/>
      <c r="L740" s="142"/>
    </row>
    <row r="741" spans="1:12" ht="34.5" customHeight="1">
      <c r="G741" s="68" t="s">
        <v>148</v>
      </c>
      <c r="H741" s="268" t="s">
        <v>149</v>
      </c>
      <c r="I741" s="268"/>
      <c r="J741" s="268"/>
      <c r="K741" s="2" t="s">
        <v>151</v>
      </c>
      <c r="L741" s="142"/>
    </row>
    <row r="742" spans="1:12" ht="22.5" customHeight="1">
      <c r="G742" s="2"/>
      <c r="H742" s="268" t="s">
        <v>156</v>
      </c>
      <c r="I742" s="268"/>
      <c r="J742" s="268"/>
      <c r="K742" s="2"/>
      <c r="L742" s="142"/>
    </row>
    <row r="743" spans="1:12" ht="34.5" customHeight="1">
      <c r="G743" s="68" t="s">
        <v>148</v>
      </c>
      <c r="H743" s="268" t="s">
        <v>149</v>
      </c>
      <c r="I743" s="268"/>
      <c r="J743" s="268"/>
      <c r="K743" s="67" t="s">
        <v>152</v>
      </c>
      <c r="L743" s="142"/>
    </row>
    <row r="744" spans="1:12" ht="24" customHeight="1">
      <c r="G744" s="67"/>
      <c r="H744" s="268" t="s">
        <v>157</v>
      </c>
      <c r="I744" s="268"/>
      <c r="J744" s="268"/>
      <c r="K744" s="67"/>
      <c r="L744" s="142"/>
    </row>
    <row r="745" spans="1:12" ht="24" customHeight="1">
      <c r="G745" s="67"/>
      <c r="H745" s="64"/>
      <c r="I745" s="64"/>
      <c r="J745" s="64"/>
      <c r="K745" s="67"/>
      <c r="L745" s="142"/>
    </row>
    <row r="746" spans="1:12" ht="24" customHeight="1">
      <c r="L746" s="138" t="s">
        <v>1443</v>
      </c>
    </row>
    <row r="747" spans="1:12" ht="24" customHeight="1">
      <c r="A747" s="269" t="s">
        <v>158</v>
      </c>
      <c r="B747" s="269"/>
      <c r="C747" s="269"/>
      <c r="D747" s="269"/>
      <c r="E747" s="269"/>
      <c r="F747" s="269"/>
      <c r="G747" s="269"/>
      <c r="H747" s="269"/>
      <c r="I747" s="269"/>
      <c r="J747" s="269"/>
      <c r="K747" s="269"/>
      <c r="L747" s="269"/>
    </row>
    <row r="748" spans="1:12" ht="24" customHeight="1">
      <c r="A748" s="270" t="s">
        <v>163</v>
      </c>
      <c r="B748" s="270"/>
      <c r="C748" s="270"/>
      <c r="D748" s="270"/>
      <c r="E748" s="270"/>
      <c r="F748" s="270"/>
      <c r="G748" s="270"/>
      <c r="H748" s="270"/>
      <c r="I748" s="270"/>
      <c r="J748" s="270"/>
      <c r="K748" s="270"/>
      <c r="L748" s="270"/>
    </row>
    <row r="749" spans="1:12" ht="24" customHeight="1" thickBot="1">
      <c r="A749" s="271" t="s">
        <v>164</v>
      </c>
      <c r="B749" s="271"/>
      <c r="C749" s="271"/>
      <c r="D749" s="271"/>
      <c r="E749" s="271"/>
      <c r="F749" s="271"/>
      <c r="G749" s="271"/>
      <c r="H749" s="271"/>
      <c r="I749" s="271"/>
      <c r="J749" s="271"/>
      <c r="K749" s="271"/>
      <c r="L749" s="271"/>
    </row>
    <row r="750" spans="1:12" ht="24" customHeight="1" thickTop="1">
      <c r="A750" s="272" t="s">
        <v>103</v>
      </c>
      <c r="B750" s="272" t="s">
        <v>122</v>
      </c>
      <c r="C750" s="272" t="s">
        <v>124</v>
      </c>
      <c r="D750" s="274" t="s">
        <v>0</v>
      </c>
      <c r="E750" s="272" t="s">
        <v>109</v>
      </c>
      <c r="F750" s="272" t="s">
        <v>110</v>
      </c>
      <c r="G750" s="276" t="s">
        <v>111</v>
      </c>
      <c r="H750" s="278" t="s">
        <v>1</v>
      </c>
      <c r="I750" s="279"/>
      <c r="J750" s="272" t="s">
        <v>125</v>
      </c>
      <c r="K750" s="272" t="s">
        <v>104</v>
      </c>
      <c r="L750" s="280" t="s">
        <v>112</v>
      </c>
    </row>
    <row r="751" spans="1:12" ht="45.75" customHeight="1" thickBot="1">
      <c r="A751" s="273"/>
      <c r="B751" s="273"/>
      <c r="C751" s="273"/>
      <c r="D751" s="275"/>
      <c r="E751" s="273"/>
      <c r="F751" s="273"/>
      <c r="G751" s="277"/>
      <c r="H751" s="51" t="s">
        <v>113</v>
      </c>
      <c r="I751" s="52" t="s">
        <v>114</v>
      </c>
      <c r="J751" s="273"/>
      <c r="K751" s="273"/>
      <c r="L751" s="281"/>
    </row>
    <row r="752" spans="1:12" ht="24" customHeight="1" thickTop="1">
      <c r="A752" s="35"/>
      <c r="B752" s="35"/>
      <c r="C752" s="35"/>
      <c r="D752" s="168"/>
      <c r="E752" s="35"/>
      <c r="F752" s="83"/>
      <c r="G752" s="34"/>
      <c r="H752" s="84"/>
      <c r="I752" s="85"/>
      <c r="J752" s="86" t="s">
        <v>132</v>
      </c>
      <c r="K752" s="87">
        <f>SUM(K732)</f>
        <v>25013345.770000003</v>
      </c>
      <c r="L752" s="146"/>
    </row>
    <row r="753" spans="1:13">
      <c r="A753" s="29">
        <v>241</v>
      </c>
      <c r="B753" s="58" t="s">
        <v>203</v>
      </c>
      <c r="C753" s="5" t="s">
        <v>908</v>
      </c>
      <c r="D753" s="126" t="s">
        <v>907</v>
      </c>
      <c r="E753" s="18" t="s">
        <v>3</v>
      </c>
      <c r="F753" s="18">
        <v>20</v>
      </c>
      <c r="G753" s="18" t="s">
        <v>383</v>
      </c>
      <c r="H753" s="18">
        <v>1</v>
      </c>
      <c r="I753" s="4">
        <v>1</v>
      </c>
      <c r="J753" s="3">
        <v>5280.45</v>
      </c>
      <c r="K753" s="3">
        <f t="shared" ref="K753:K762" si="24">SUM(I753*J753)</f>
        <v>5280.45</v>
      </c>
      <c r="L753" s="135" t="s">
        <v>1197</v>
      </c>
      <c r="M753" s="1" t="s">
        <v>1034</v>
      </c>
    </row>
    <row r="754" spans="1:13">
      <c r="A754" s="38">
        <v>242</v>
      </c>
      <c r="B754" s="58" t="s">
        <v>203</v>
      </c>
      <c r="C754" s="5" t="s">
        <v>906</v>
      </c>
      <c r="D754" s="125" t="s">
        <v>905</v>
      </c>
      <c r="E754" s="18" t="s">
        <v>3</v>
      </c>
      <c r="F754" s="18">
        <v>20</v>
      </c>
      <c r="G754" s="18" t="s">
        <v>383</v>
      </c>
      <c r="H754" s="18">
        <v>1</v>
      </c>
      <c r="I754" s="4">
        <v>1</v>
      </c>
      <c r="J754" s="3">
        <v>7700</v>
      </c>
      <c r="K754" s="3">
        <f t="shared" si="24"/>
        <v>7700</v>
      </c>
      <c r="L754" s="137" t="s">
        <v>1379</v>
      </c>
      <c r="M754" s="1" t="s">
        <v>1034</v>
      </c>
    </row>
    <row r="755" spans="1:13">
      <c r="A755" s="29">
        <v>243</v>
      </c>
      <c r="B755" s="78" t="s">
        <v>107</v>
      </c>
      <c r="C755" s="5" t="s">
        <v>904</v>
      </c>
      <c r="D755" s="125" t="s">
        <v>788</v>
      </c>
      <c r="E755" s="18" t="s">
        <v>3</v>
      </c>
      <c r="F755" s="18">
        <v>19</v>
      </c>
      <c r="G755" s="18" t="s">
        <v>383</v>
      </c>
      <c r="H755" s="18">
        <v>1</v>
      </c>
      <c r="I755" s="4">
        <v>1</v>
      </c>
      <c r="J755" s="3">
        <v>5700</v>
      </c>
      <c r="K755" s="3">
        <f t="shared" si="24"/>
        <v>5700</v>
      </c>
      <c r="L755" s="135" t="s">
        <v>1380</v>
      </c>
      <c r="M755" s="1" t="s">
        <v>1034</v>
      </c>
    </row>
    <row r="756" spans="1:13">
      <c r="A756" s="38">
        <v>244</v>
      </c>
      <c r="B756" s="78" t="s">
        <v>107</v>
      </c>
      <c r="C756" s="5" t="s">
        <v>903</v>
      </c>
      <c r="D756" s="125" t="s">
        <v>902</v>
      </c>
      <c r="E756" s="18" t="s">
        <v>3</v>
      </c>
      <c r="F756" s="18">
        <v>19</v>
      </c>
      <c r="G756" s="18" t="s">
        <v>383</v>
      </c>
      <c r="H756" s="18">
        <v>1</v>
      </c>
      <c r="I756" s="4">
        <v>1</v>
      </c>
      <c r="J756" s="3">
        <v>19620</v>
      </c>
      <c r="K756" s="3">
        <f t="shared" si="24"/>
        <v>19620</v>
      </c>
      <c r="L756" s="135" t="s">
        <v>1380</v>
      </c>
      <c r="M756" s="1" t="s">
        <v>1034</v>
      </c>
    </row>
    <row r="757" spans="1:13">
      <c r="A757" s="29">
        <v>245</v>
      </c>
      <c r="B757" s="78" t="s">
        <v>107</v>
      </c>
      <c r="C757" s="5" t="s">
        <v>901</v>
      </c>
      <c r="D757" s="125" t="s">
        <v>900</v>
      </c>
      <c r="E757" s="17" t="s">
        <v>3</v>
      </c>
      <c r="F757" s="18">
        <v>19</v>
      </c>
      <c r="G757" s="18" t="s">
        <v>383</v>
      </c>
      <c r="H757" s="18">
        <v>1</v>
      </c>
      <c r="I757" s="4">
        <v>1</v>
      </c>
      <c r="J757" s="3">
        <v>7420</v>
      </c>
      <c r="K757" s="3">
        <f t="shared" si="24"/>
        <v>7420</v>
      </c>
      <c r="L757" s="135" t="s">
        <v>1381</v>
      </c>
      <c r="M757" s="1" t="s">
        <v>1034</v>
      </c>
    </row>
    <row r="758" spans="1:13">
      <c r="A758" s="38">
        <v>246</v>
      </c>
      <c r="B758" s="17">
        <v>2547</v>
      </c>
      <c r="C758" s="5" t="s">
        <v>899</v>
      </c>
      <c r="D758" s="125" t="s">
        <v>834</v>
      </c>
      <c r="E758" s="17" t="s">
        <v>3</v>
      </c>
      <c r="F758" s="4">
        <v>18</v>
      </c>
      <c r="G758" s="18" t="s">
        <v>383</v>
      </c>
      <c r="H758" s="4">
        <v>4</v>
      </c>
      <c r="I758" s="4">
        <v>4</v>
      </c>
      <c r="J758" s="3">
        <v>38000</v>
      </c>
      <c r="K758" s="3">
        <f t="shared" si="24"/>
        <v>152000</v>
      </c>
      <c r="L758" s="135" t="s">
        <v>1371</v>
      </c>
      <c r="M758" s="1" t="s">
        <v>1034</v>
      </c>
    </row>
    <row r="759" spans="1:13">
      <c r="A759" s="29">
        <v>247</v>
      </c>
      <c r="B759" s="17">
        <v>2547</v>
      </c>
      <c r="C759" s="5" t="s">
        <v>898</v>
      </c>
      <c r="D759" s="126" t="s">
        <v>890</v>
      </c>
      <c r="E759" s="17" t="s">
        <v>3</v>
      </c>
      <c r="F759" s="4">
        <v>18</v>
      </c>
      <c r="G759" s="18" t="s">
        <v>383</v>
      </c>
      <c r="H759" s="4">
        <v>1</v>
      </c>
      <c r="I759" s="4">
        <v>1</v>
      </c>
      <c r="J759" s="3">
        <v>43500</v>
      </c>
      <c r="K759" s="3">
        <f t="shared" si="24"/>
        <v>43500</v>
      </c>
      <c r="L759" s="135" t="s">
        <v>1382</v>
      </c>
      <c r="M759" s="1" t="s">
        <v>1034</v>
      </c>
    </row>
    <row r="760" spans="1:13">
      <c r="A760" s="38">
        <v>248</v>
      </c>
      <c r="B760" s="17">
        <v>2547</v>
      </c>
      <c r="C760" s="5" t="s">
        <v>897</v>
      </c>
      <c r="D760" s="126" t="s">
        <v>890</v>
      </c>
      <c r="E760" s="17" t="s">
        <v>3</v>
      </c>
      <c r="F760" s="4">
        <v>18</v>
      </c>
      <c r="G760" s="18" t="s">
        <v>383</v>
      </c>
      <c r="H760" s="4">
        <v>2</v>
      </c>
      <c r="I760" s="4">
        <v>2</v>
      </c>
      <c r="J760" s="3">
        <v>43500</v>
      </c>
      <c r="K760" s="3">
        <f t="shared" si="24"/>
        <v>87000</v>
      </c>
      <c r="L760" s="135" t="s">
        <v>1374</v>
      </c>
      <c r="M760" s="1" t="s">
        <v>1034</v>
      </c>
    </row>
    <row r="761" spans="1:13">
      <c r="A761" s="29">
        <v>249</v>
      </c>
      <c r="B761" s="17">
        <v>2547</v>
      </c>
      <c r="C761" s="5" t="s">
        <v>896</v>
      </c>
      <c r="D761" s="126" t="s">
        <v>890</v>
      </c>
      <c r="E761" s="17" t="s">
        <v>3</v>
      </c>
      <c r="F761" s="4">
        <v>18</v>
      </c>
      <c r="G761" s="18" t="s">
        <v>383</v>
      </c>
      <c r="H761" s="4">
        <v>2</v>
      </c>
      <c r="I761" s="4">
        <v>2</v>
      </c>
      <c r="J761" s="3">
        <v>43500</v>
      </c>
      <c r="K761" s="3">
        <f t="shared" si="24"/>
        <v>87000</v>
      </c>
      <c r="L761" s="135" t="s">
        <v>1374</v>
      </c>
      <c r="M761" s="1" t="s">
        <v>1034</v>
      </c>
    </row>
    <row r="762" spans="1:13">
      <c r="A762" s="38">
        <v>250</v>
      </c>
      <c r="B762" s="17">
        <v>2547</v>
      </c>
      <c r="C762" s="5" t="s">
        <v>895</v>
      </c>
      <c r="D762" s="126" t="s">
        <v>890</v>
      </c>
      <c r="E762" s="18" t="s">
        <v>98</v>
      </c>
      <c r="F762" s="4">
        <v>18</v>
      </c>
      <c r="G762" s="18" t="s">
        <v>383</v>
      </c>
      <c r="H762" s="4">
        <v>1</v>
      </c>
      <c r="I762" s="4">
        <v>1</v>
      </c>
      <c r="J762" s="3">
        <v>38000</v>
      </c>
      <c r="K762" s="3">
        <f t="shared" si="24"/>
        <v>38000</v>
      </c>
      <c r="L762" s="135" t="s">
        <v>1359</v>
      </c>
      <c r="M762" s="1" t="s">
        <v>1034</v>
      </c>
    </row>
    <row r="763" spans="1:13" ht="24" customHeight="1">
      <c r="A763" s="73"/>
      <c r="B763" s="82"/>
      <c r="C763" s="82"/>
      <c r="D763" s="167"/>
      <c r="E763" s="82"/>
      <c r="F763" s="82"/>
      <c r="G763" s="82"/>
      <c r="H763" s="82"/>
      <c r="I763" s="82"/>
      <c r="J763" s="74" t="s">
        <v>129</v>
      </c>
      <c r="K763" s="89">
        <f>SUM(K752:K762)</f>
        <v>25466566.220000003</v>
      </c>
      <c r="L763" s="147"/>
    </row>
    <row r="764" spans="1:13" ht="24" customHeight="1">
      <c r="A764" s="62"/>
      <c r="B764" s="62" t="s">
        <v>119</v>
      </c>
      <c r="C764" s="53" t="s">
        <v>120</v>
      </c>
      <c r="H764" s="63"/>
      <c r="I764" s="63"/>
      <c r="L764" s="148"/>
    </row>
    <row r="765" spans="1:13" ht="24" customHeight="1">
      <c r="A765" s="62"/>
      <c r="C765" s="53" t="s">
        <v>121</v>
      </c>
      <c r="H765" s="63"/>
      <c r="I765" s="63"/>
      <c r="L765" s="148"/>
    </row>
    <row r="766" spans="1:13" ht="22.5" customHeight="1">
      <c r="A766" s="90"/>
      <c r="G766" s="68" t="s">
        <v>148</v>
      </c>
      <c r="H766" s="268" t="s">
        <v>149</v>
      </c>
      <c r="I766" s="268"/>
      <c r="J766" s="268"/>
      <c r="K766" s="2" t="s">
        <v>150</v>
      </c>
      <c r="L766" s="141"/>
    </row>
    <row r="767" spans="1:13" ht="21.75" customHeight="1">
      <c r="A767" s="90"/>
      <c r="G767" s="2"/>
      <c r="H767" s="268" t="s">
        <v>1549</v>
      </c>
      <c r="I767" s="268"/>
      <c r="J767" s="268"/>
      <c r="K767" s="2"/>
      <c r="L767" s="141"/>
    </row>
    <row r="768" spans="1:13" ht="31.5" customHeight="1">
      <c r="G768" s="68" t="s">
        <v>148</v>
      </c>
      <c r="H768" s="268" t="s">
        <v>149</v>
      </c>
      <c r="I768" s="268"/>
      <c r="J768" s="268"/>
      <c r="K768" s="2" t="s">
        <v>151</v>
      </c>
      <c r="L768" s="141"/>
    </row>
    <row r="769" spans="1:13" ht="22.5" customHeight="1">
      <c r="G769" s="2"/>
      <c r="H769" s="268" t="s">
        <v>154</v>
      </c>
      <c r="I769" s="268"/>
      <c r="J769" s="268"/>
      <c r="K769" s="2"/>
      <c r="L769" s="141"/>
    </row>
    <row r="770" spans="1:13" ht="33" customHeight="1">
      <c r="G770" s="68" t="s">
        <v>148</v>
      </c>
      <c r="H770" s="268" t="s">
        <v>149</v>
      </c>
      <c r="I770" s="268"/>
      <c r="J770" s="268"/>
      <c r="K770" s="2" t="s">
        <v>151</v>
      </c>
      <c r="L770" s="142"/>
    </row>
    <row r="771" spans="1:13" ht="20.25" customHeight="1">
      <c r="G771" s="2"/>
      <c r="H771" s="268" t="s">
        <v>155</v>
      </c>
      <c r="I771" s="268"/>
      <c r="J771" s="268"/>
      <c r="K771" s="2"/>
      <c r="L771" s="142"/>
    </row>
    <row r="772" spans="1:13" ht="30.75" customHeight="1">
      <c r="G772" s="68" t="s">
        <v>148</v>
      </c>
      <c r="H772" s="268" t="s">
        <v>149</v>
      </c>
      <c r="I772" s="268"/>
      <c r="J772" s="268"/>
      <c r="K772" s="2" t="s">
        <v>151</v>
      </c>
      <c r="L772" s="142"/>
    </row>
    <row r="773" spans="1:13" ht="22.5" customHeight="1">
      <c r="G773" s="2"/>
      <c r="H773" s="268" t="s">
        <v>156</v>
      </c>
      <c r="I773" s="268"/>
      <c r="J773" s="268"/>
      <c r="K773" s="2"/>
      <c r="L773" s="142"/>
    </row>
    <row r="774" spans="1:13" ht="36.75" customHeight="1">
      <c r="G774" s="68" t="s">
        <v>148</v>
      </c>
      <c r="H774" s="268" t="s">
        <v>149</v>
      </c>
      <c r="I774" s="268"/>
      <c r="J774" s="268"/>
      <c r="K774" s="67" t="s">
        <v>152</v>
      </c>
      <c r="L774" s="142"/>
    </row>
    <row r="775" spans="1:13" ht="24" customHeight="1">
      <c r="G775" s="67"/>
      <c r="H775" s="268" t="s">
        <v>157</v>
      </c>
      <c r="I775" s="268"/>
      <c r="J775" s="268"/>
      <c r="K775" s="67"/>
      <c r="L775" s="142"/>
    </row>
    <row r="776" spans="1:13" ht="24" customHeight="1">
      <c r="G776" s="67"/>
      <c r="H776" s="64"/>
      <c r="I776" s="64"/>
      <c r="J776" s="64"/>
      <c r="K776" s="67"/>
      <c r="L776" s="142"/>
    </row>
    <row r="777" spans="1:13" ht="24" customHeight="1">
      <c r="L777" s="138" t="s">
        <v>1444</v>
      </c>
    </row>
    <row r="778" spans="1:13" ht="24" customHeight="1">
      <c r="A778" s="269" t="s">
        <v>158</v>
      </c>
      <c r="B778" s="269"/>
      <c r="C778" s="269"/>
      <c r="D778" s="269"/>
      <c r="E778" s="269"/>
      <c r="F778" s="269"/>
      <c r="G778" s="269"/>
      <c r="H778" s="269"/>
      <c r="I778" s="269"/>
      <c r="J778" s="269"/>
      <c r="K778" s="269"/>
      <c r="L778" s="269"/>
    </row>
    <row r="779" spans="1:13" ht="24" customHeight="1">
      <c r="A779" s="270" t="s">
        <v>163</v>
      </c>
      <c r="B779" s="270"/>
      <c r="C779" s="270"/>
      <c r="D779" s="270"/>
      <c r="E779" s="270"/>
      <c r="F779" s="270"/>
      <c r="G779" s="270"/>
      <c r="H779" s="270"/>
      <c r="I779" s="270"/>
      <c r="J779" s="270"/>
      <c r="K779" s="270"/>
      <c r="L779" s="270"/>
    </row>
    <row r="780" spans="1:13" ht="24" customHeight="1" thickBot="1">
      <c r="A780" s="271" t="s">
        <v>164</v>
      </c>
      <c r="B780" s="271"/>
      <c r="C780" s="271"/>
      <c r="D780" s="271"/>
      <c r="E780" s="271"/>
      <c r="F780" s="271"/>
      <c r="G780" s="271"/>
      <c r="H780" s="271"/>
      <c r="I780" s="271"/>
      <c r="J780" s="271"/>
      <c r="K780" s="271"/>
      <c r="L780" s="271"/>
    </row>
    <row r="781" spans="1:13" ht="24" customHeight="1" thickTop="1">
      <c r="A781" s="282" t="s">
        <v>103</v>
      </c>
      <c r="B781" s="282" t="s">
        <v>122</v>
      </c>
      <c r="C781" s="282" t="s">
        <v>124</v>
      </c>
      <c r="D781" s="284" t="s">
        <v>0</v>
      </c>
      <c r="E781" s="282" t="s">
        <v>109</v>
      </c>
      <c r="F781" s="282" t="s">
        <v>110</v>
      </c>
      <c r="G781" s="286" t="s">
        <v>111</v>
      </c>
      <c r="H781" s="288" t="s">
        <v>1</v>
      </c>
      <c r="I781" s="288"/>
      <c r="J781" s="282" t="s">
        <v>125</v>
      </c>
      <c r="K781" s="282" t="s">
        <v>104</v>
      </c>
      <c r="L781" s="289" t="s">
        <v>112</v>
      </c>
    </row>
    <row r="782" spans="1:13" ht="45.75" customHeight="1" thickBot="1">
      <c r="A782" s="283"/>
      <c r="B782" s="283"/>
      <c r="C782" s="283"/>
      <c r="D782" s="285"/>
      <c r="E782" s="283"/>
      <c r="F782" s="283"/>
      <c r="G782" s="287"/>
      <c r="H782" s="51" t="s">
        <v>113</v>
      </c>
      <c r="I782" s="52" t="s">
        <v>114</v>
      </c>
      <c r="J782" s="283"/>
      <c r="K782" s="283"/>
      <c r="L782" s="290"/>
    </row>
    <row r="783" spans="1:13" ht="24" customHeight="1" thickTop="1">
      <c r="A783" s="35"/>
      <c r="B783" s="35"/>
      <c r="C783" s="35"/>
      <c r="D783" s="168"/>
      <c r="E783" s="35"/>
      <c r="F783" s="83"/>
      <c r="G783" s="34"/>
      <c r="H783" s="84"/>
      <c r="I783" s="85"/>
      <c r="J783" s="86" t="s">
        <v>132</v>
      </c>
      <c r="K783" s="87">
        <f>SUM(K763)</f>
        <v>25466566.220000003</v>
      </c>
      <c r="L783" s="146"/>
    </row>
    <row r="784" spans="1:13">
      <c r="A784" s="38">
        <v>251</v>
      </c>
      <c r="B784" s="17">
        <v>2548</v>
      </c>
      <c r="C784" s="5" t="s">
        <v>926</v>
      </c>
      <c r="D784" s="125" t="s">
        <v>925</v>
      </c>
      <c r="E784" s="17" t="s">
        <v>3</v>
      </c>
      <c r="F784" s="18">
        <v>17</v>
      </c>
      <c r="G784" s="18" t="s">
        <v>383</v>
      </c>
      <c r="H784" s="4">
        <v>1</v>
      </c>
      <c r="I784" s="4">
        <v>1</v>
      </c>
      <c r="J784" s="9">
        <v>11490</v>
      </c>
      <c r="K784" s="3">
        <f t="shared" ref="K784:K793" si="25">SUM(I784*J784)</f>
        <v>11490</v>
      </c>
      <c r="L784" s="135" t="s">
        <v>1383</v>
      </c>
      <c r="M784" s="1" t="s">
        <v>1034</v>
      </c>
    </row>
    <row r="785" spans="1:13">
      <c r="A785" s="38">
        <v>252</v>
      </c>
      <c r="B785" s="58" t="s">
        <v>249</v>
      </c>
      <c r="C785" s="5" t="s">
        <v>924</v>
      </c>
      <c r="D785" s="125" t="s">
        <v>923</v>
      </c>
      <c r="E785" s="18" t="s">
        <v>3</v>
      </c>
      <c r="F785" s="18">
        <v>16</v>
      </c>
      <c r="G785" s="18" t="s">
        <v>383</v>
      </c>
      <c r="H785" s="4">
        <v>2</v>
      </c>
      <c r="I785" s="4">
        <v>2</v>
      </c>
      <c r="J785" s="9">
        <v>19320</v>
      </c>
      <c r="K785" s="3">
        <f t="shared" si="25"/>
        <v>38640</v>
      </c>
      <c r="L785" s="135" t="s">
        <v>1384</v>
      </c>
      <c r="M785" s="1" t="s">
        <v>1034</v>
      </c>
    </row>
    <row r="786" spans="1:13">
      <c r="A786" s="38">
        <v>253</v>
      </c>
      <c r="B786" s="58" t="s">
        <v>249</v>
      </c>
      <c r="C786" s="5" t="s">
        <v>922</v>
      </c>
      <c r="D786" s="125" t="s">
        <v>921</v>
      </c>
      <c r="E786" s="18" t="s">
        <v>3</v>
      </c>
      <c r="F786" s="18">
        <v>16</v>
      </c>
      <c r="G786" s="18" t="s">
        <v>383</v>
      </c>
      <c r="H786" s="4">
        <v>2</v>
      </c>
      <c r="I786" s="4">
        <v>2</v>
      </c>
      <c r="J786" s="9">
        <v>23000</v>
      </c>
      <c r="K786" s="3">
        <f t="shared" si="25"/>
        <v>46000</v>
      </c>
      <c r="L786" s="135" t="s">
        <v>1385</v>
      </c>
      <c r="M786" s="1" t="s">
        <v>1034</v>
      </c>
    </row>
    <row r="787" spans="1:13">
      <c r="A787" s="38">
        <v>254</v>
      </c>
      <c r="B787" s="58" t="s">
        <v>249</v>
      </c>
      <c r="C787" s="5" t="s">
        <v>920</v>
      </c>
      <c r="D787" s="125" t="s">
        <v>919</v>
      </c>
      <c r="E787" s="18" t="s">
        <v>3</v>
      </c>
      <c r="F787" s="18">
        <v>16</v>
      </c>
      <c r="G787" s="18" t="s">
        <v>383</v>
      </c>
      <c r="H787" s="4">
        <v>1</v>
      </c>
      <c r="I787" s="4">
        <v>1</v>
      </c>
      <c r="J787" s="9">
        <v>6500</v>
      </c>
      <c r="K787" s="3">
        <f t="shared" si="25"/>
        <v>6500</v>
      </c>
      <c r="L787" s="137" t="s">
        <v>516</v>
      </c>
      <c r="M787" s="1" t="s">
        <v>1034</v>
      </c>
    </row>
    <row r="788" spans="1:13">
      <c r="A788" s="38">
        <v>255</v>
      </c>
      <c r="B788" s="58" t="s">
        <v>249</v>
      </c>
      <c r="C788" s="5" t="s">
        <v>918</v>
      </c>
      <c r="D788" s="126" t="s">
        <v>890</v>
      </c>
      <c r="E788" s="18" t="s">
        <v>803</v>
      </c>
      <c r="F788" s="18">
        <v>16</v>
      </c>
      <c r="G788" s="18" t="s">
        <v>383</v>
      </c>
      <c r="H788" s="4">
        <v>2</v>
      </c>
      <c r="I788" s="4">
        <v>2</v>
      </c>
      <c r="J788" s="9">
        <v>39000</v>
      </c>
      <c r="K788" s="3">
        <f t="shared" si="25"/>
        <v>78000</v>
      </c>
      <c r="L788" s="137" t="s">
        <v>1385</v>
      </c>
      <c r="M788" s="1" t="s">
        <v>1034</v>
      </c>
    </row>
    <row r="789" spans="1:13">
      <c r="A789" s="38">
        <v>256</v>
      </c>
      <c r="B789" s="78" t="s">
        <v>245</v>
      </c>
      <c r="C789" s="5" t="s">
        <v>917</v>
      </c>
      <c r="D789" s="125" t="s">
        <v>470</v>
      </c>
      <c r="E789" s="18" t="s">
        <v>3</v>
      </c>
      <c r="F789" s="18">
        <v>15</v>
      </c>
      <c r="G789" s="18" t="s">
        <v>383</v>
      </c>
      <c r="H789" s="4">
        <v>1</v>
      </c>
      <c r="I789" s="4">
        <v>1</v>
      </c>
      <c r="J789" s="9">
        <v>17300</v>
      </c>
      <c r="K789" s="3">
        <f t="shared" si="25"/>
        <v>17300</v>
      </c>
      <c r="L789" s="137" t="s">
        <v>1370</v>
      </c>
      <c r="M789" s="1" t="s">
        <v>1034</v>
      </c>
    </row>
    <row r="790" spans="1:13">
      <c r="A790" s="38">
        <v>257</v>
      </c>
      <c r="B790" s="17">
        <v>2551</v>
      </c>
      <c r="C790" s="5" t="s">
        <v>916</v>
      </c>
      <c r="D790" s="126" t="s">
        <v>915</v>
      </c>
      <c r="E790" s="17" t="s">
        <v>3</v>
      </c>
      <c r="F790" s="18">
        <v>14</v>
      </c>
      <c r="G790" s="18" t="s">
        <v>383</v>
      </c>
      <c r="H790" s="4">
        <v>1</v>
      </c>
      <c r="I790" s="4">
        <v>1</v>
      </c>
      <c r="J790" s="9">
        <v>5684.5</v>
      </c>
      <c r="K790" s="3">
        <f t="shared" si="25"/>
        <v>5684.5</v>
      </c>
      <c r="L790" s="137" t="s">
        <v>1386</v>
      </c>
      <c r="M790" s="1" t="s">
        <v>1034</v>
      </c>
    </row>
    <row r="791" spans="1:13">
      <c r="A791" s="38">
        <v>258</v>
      </c>
      <c r="B791" s="17">
        <v>2552</v>
      </c>
      <c r="C791" s="5" t="s">
        <v>914</v>
      </c>
      <c r="D791" s="178" t="s">
        <v>913</v>
      </c>
      <c r="E791" s="17" t="s">
        <v>2</v>
      </c>
      <c r="F791" s="18">
        <v>13</v>
      </c>
      <c r="G791" s="18" t="s">
        <v>383</v>
      </c>
      <c r="H791" s="18">
        <v>1</v>
      </c>
      <c r="I791" s="4">
        <v>1</v>
      </c>
      <c r="J791" s="3">
        <v>17909.32</v>
      </c>
      <c r="K791" s="3">
        <f t="shared" si="25"/>
        <v>17909.32</v>
      </c>
      <c r="L791" s="137" t="s">
        <v>672</v>
      </c>
      <c r="M791" s="1" t="s">
        <v>1034</v>
      </c>
    </row>
    <row r="792" spans="1:13">
      <c r="A792" s="38">
        <v>259</v>
      </c>
      <c r="B792" s="17">
        <v>2553</v>
      </c>
      <c r="C792" s="5" t="s">
        <v>912</v>
      </c>
      <c r="D792" s="178" t="s">
        <v>911</v>
      </c>
      <c r="E792" s="17" t="s">
        <v>3</v>
      </c>
      <c r="F792" s="18">
        <v>12</v>
      </c>
      <c r="G792" s="18" t="s">
        <v>383</v>
      </c>
      <c r="H792" s="4">
        <v>9</v>
      </c>
      <c r="I792" s="4">
        <v>9</v>
      </c>
      <c r="J792" s="3">
        <v>11000</v>
      </c>
      <c r="K792" s="3">
        <f t="shared" si="25"/>
        <v>99000</v>
      </c>
      <c r="L792" s="137" t="s">
        <v>1387</v>
      </c>
      <c r="M792" s="1" t="s">
        <v>1034</v>
      </c>
    </row>
    <row r="793" spans="1:13">
      <c r="A793" s="38">
        <v>260</v>
      </c>
      <c r="B793" s="17">
        <v>2553</v>
      </c>
      <c r="C793" s="5" t="s">
        <v>910</v>
      </c>
      <c r="D793" s="178" t="s">
        <v>909</v>
      </c>
      <c r="E793" s="18" t="s">
        <v>2</v>
      </c>
      <c r="F793" s="18">
        <v>12</v>
      </c>
      <c r="G793" s="18" t="s">
        <v>383</v>
      </c>
      <c r="H793" s="18">
        <v>1</v>
      </c>
      <c r="I793" s="4">
        <v>1</v>
      </c>
      <c r="J793" s="3">
        <v>7900</v>
      </c>
      <c r="K793" s="3">
        <f t="shared" si="25"/>
        <v>7900</v>
      </c>
      <c r="L793" s="135" t="s">
        <v>1388</v>
      </c>
      <c r="M793" s="1" t="s">
        <v>1034</v>
      </c>
    </row>
    <row r="794" spans="1:13" ht="24" customHeight="1">
      <c r="A794" s="73"/>
      <c r="B794" s="82"/>
      <c r="C794" s="82"/>
      <c r="D794" s="167"/>
      <c r="E794" s="82"/>
      <c r="F794" s="82"/>
      <c r="G794" s="82"/>
      <c r="H794" s="82"/>
      <c r="I794" s="82"/>
      <c r="J794" s="74" t="s">
        <v>129</v>
      </c>
      <c r="K794" s="89">
        <f>SUM(K783:K793)</f>
        <v>25794990.040000003</v>
      </c>
      <c r="L794" s="147"/>
    </row>
    <row r="795" spans="1:13" ht="24" customHeight="1">
      <c r="A795" s="62"/>
      <c r="B795" s="62" t="s">
        <v>119</v>
      </c>
      <c r="C795" s="53" t="s">
        <v>120</v>
      </c>
      <c r="H795" s="63"/>
      <c r="I795" s="63"/>
      <c r="L795" s="148"/>
    </row>
    <row r="796" spans="1:13" ht="24" customHeight="1">
      <c r="A796" s="62"/>
      <c r="C796" s="53" t="s">
        <v>121</v>
      </c>
      <c r="H796" s="63"/>
      <c r="I796" s="63"/>
      <c r="L796" s="148"/>
    </row>
    <row r="797" spans="1:13" ht="22.5" customHeight="1">
      <c r="A797" s="90"/>
      <c r="G797" s="68" t="s">
        <v>148</v>
      </c>
      <c r="H797" s="268" t="s">
        <v>149</v>
      </c>
      <c r="I797" s="268"/>
      <c r="J797" s="268"/>
      <c r="K797" s="2" t="s">
        <v>150</v>
      </c>
      <c r="L797" s="141"/>
    </row>
    <row r="798" spans="1:13" ht="21.75" customHeight="1">
      <c r="A798" s="90"/>
      <c r="G798" s="2"/>
      <c r="H798" s="268" t="s">
        <v>1549</v>
      </c>
      <c r="I798" s="268"/>
      <c r="J798" s="268"/>
      <c r="K798" s="2"/>
      <c r="L798" s="141"/>
    </row>
    <row r="799" spans="1:13" ht="34.5" customHeight="1">
      <c r="G799" s="68" t="s">
        <v>148</v>
      </c>
      <c r="H799" s="268" t="s">
        <v>149</v>
      </c>
      <c r="I799" s="268"/>
      <c r="J799" s="268"/>
      <c r="K799" s="2" t="s">
        <v>151</v>
      </c>
      <c r="L799" s="141"/>
    </row>
    <row r="800" spans="1:13" ht="22.5" customHeight="1">
      <c r="G800" s="2"/>
      <c r="H800" s="268" t="s">
        <v>154</v>
      </c>
      <c r="I800" s="268"/>
      <c r="J800" s="268"/>
      <c r="K800" s="2"/>
      <c r="L800" s="141"/>
    </row>
    <row r="801" spans="1:13" ht="32.25" customHeight="1">
      <c r="G801" s="68" t="s">
        <v>148</v>
      </c>
      <c r="H801" s="268" t="s">
        <v>149</v>
      </c>
      <c r="I801" s="268"/>
      <c r="J801" s="268"/>
      <c r="K801" s="2" t="s">
        <v>151</v>
      </c>
      <c r="L801" s="142"/>
    </row>
    <row r="802" spans="1:13" ht="20.25" customHeight="1">
      <c r="G802" s="2"/>
      <c r="H802" s="268" t="s">
        <v>155</v>
      </c>
      <c r="I802" s="268"/>
      <c r="J802" s="268"/>
      <c r="K802" s="2"/>
      <c r="L802" s="142"/>
    </row>
    <row r="803" spans="1:13" ht="32.25" customHeight="1">
      <c r="G803" s="68" t="s">
        <v>148</v>
      </c>
      <c r="H803" s="268" t="s">
        <v>149</v>
      </c>
      <c r="I803" s="268"/>
      <c r="J803" s="268"/>
      <c r="K803" s="2" t="s">
        <v>151</v>
      </c>
      <c r="L803" s="142"/>
    </row>
    <row r="804" spans="1:13" ht="21.75" customHeight="1">
      <c r="G804" s="2"/>
      <c r="H804" s="268" t="s">
        <v>156</v>
      </c>
      <c r="I804" s="268"/>
      <c r="J804" s="268"/>
      <c r="K804" s="2"/>
      <c r="L804" s="142"/>
    </row>
    <row r="805" spans="1:13" ht="35.25" customHeight="1">
      <c r="G805" s="68" t="s">
        <v>148</v>
      </c>
      <c r="H805" s="268" t="s">
        <v>149</v>
      </c>
      <c r="I805" s="268"/>
      <c r="J805" s="268"/>
      <c r="K805" s="67" t="s">
        <v>152</v>
      </c>
      <c r="L805" s="142"/>
    </row>
    <row r="806" spans="1:13" ht="22.5" customHeight="1">
      <c r="G806" s="67"/>
      <c r="H806" s="268" t="s">
        <v>157</v>
      </c>
      <c r="I806" s="268"/>
      <c r="J806" s="268"/>
      <c r="K806" s="67"/>
      <c r="L806" s="142"/>
    </row>
    <row r="807" spans="1:13" ht="22.5" customHeight="1">
      <c r="G807" s="67"/>
      <c r="H807" s="64"/>
      <c r="I807" s="64"/>
      <c r="J807" s="64"/>
      <c r="K807" s="67"/>
      <c r="L807" s="142"/>
    </row>
    <row r="808" spans="1:13" ht="24" customHeight="1">
      <c r="L808" s="138" t="s">
        <v>1445</v>
      </c>
    </row>
    <row r="809" spans="1:13" ht="24" customHeight="1">
      <c r="A809" s="269" t="s">
        <v>158</v>
      </c>
      <c r="B809" s="269"/>
      <c r="C809" s="269"/>
      <c r="D809" s="269"/>
      <c r="E809" s="269"/>
      <c r="F809" s="269"/>
      <c r="G809" s="269"/>
      <c r="H809" s="269"/>
      <c r="I809" s="269"/>
      <c r="J809" s="269"/>
      <c r="K809" s="269"/>
      <c r="L809" s="269"/>
    </row>
    <row r="810" spans="1:13" ht="24" customHeight="1">
      <c r="A810" s="270" t="s">
        <v>163</v>
      </c>
      <c r="B810" s="270"/>
      <c r="C810" s="270"/>
      <c r="D810" s="270"/>
      <c r="E810" s="270"/>
      <c r="F810" s="270"/>
      <c r="G810" s="270"/>
      <c r="H810" s="270"/>
      <c r="I810" s="270"/>
      <c r="J810" s="270"/>
      <c r="K810" s="270"/>
      <c r="L810" s="270"/>
    </row>
    <row r="811" spans="1:13" ht="24" customHeight="1" thickBot="1">
      <c r="A811" s="271" t="s">
        <v>164</v>
      </c>
      <c r="B811" s="271"/>
      <c r="C811" s="271"/>
      <c r="D811" s="271"/>
      <c r="E811" s="271"/>
      <c r="F811" s="271"/>
      <c r="G811" s="271"/>
      <c r="H811" s="271"/>
      <c r="I811" s="271"/>
      <c r="J811" s="271"/>
      <c r="K811" s="271"/>
      <c r="L811" s="271"/>
    </row>
    <row r="812" spans="1:13" ht="24" customHeight="1" thickTop="1">
      <c r="A812" s="272" t="s">
        <v>103</v>
      </c>
      <c r="B812" s="272" t="s">
        <v>122</v>
      </c>
      <c r="C812" s="272" t="s">
        <v>124</v>
      </c>
      <c r="D812" s="274" t="s">
        <v>0</v>
      </c>
      <c r="E812" s="272" t="s">
        <v>109</v>
      </c>
      <c r="F812" s="272" t="s">
        <v>110</v>
      </c>
      <c r="G812" s="276" t="s">
        <v>111</v>
      </c>
      <c r="H812" s="278" t="s">
        <v>1</v>
      </c>
      <c r="I812" s="279"/>
      <c r="J812" s="272" t="s">
        <v>125</v>
      </c>
      <c r="K812" s="272" t="s">
        <v>104</v>
      </c>
      <c r="L812" s="280" t="s">
        <v>112</v>
      </c>
    </row>
    <row r="813" spans="1:13" ht="45.75" customHeight="1" thickBot="1">
      <c r="A813" s="273"/>
      <c r="B813" s="273"/>
      <c r="C813" s="273"/>
      <c r="D813" s="275"/>
      <c r="E813" s="273"/>
      <c r="F813" s="273"/>
      <c r="G813" s="277"/>
      <c r="H813" s="51" t="s">
        <v>113</v>
      </c>
      <c r="I813" s="52" t="s">
        <v>114</v>
      </c>
      <c r="J813" s="273"/>
      <c r="K813" s="273"/>
      <c r="L813" s="281"/>
    </row>
    <row r="814" spans="1:13" ht="24" customHeight="1" thickTop="1">
      <c r="A814" s="35"/>
      <c r="B814" s="35"/>
      <c r="C814" s="35"/>
      <c r="D814" s="168"/>
      <c r="E814" s="35"/>
      <c r="F814" s="83"/>
      <c r="G814" s="34"/>
      <c r="H814" s="84"/>
      <c r="I814" s="85"/>
      <c r="J814" s="86" t="s">
        <v>132</v>
      </c>
      <c r="K814" s="87">
        <f>SUM(K794)</f>
        <v>25794990.040000003</v>
      </c>
      <c r="L814" s="146"/>
    </row>
    <row r="815" spans="1:13">
      <c r="A815" s="38">
        <v>261</v>
      </c>
      <c r="B815" s="78" t="s">
        <v>876</v>
      </c>
      <c r="C815" s="5" t="s">
        <v>935</v>
      </c>
      <c r="D815" s="178" t="s">
        <v>934</v>
      </c>
      <c r="E815" s="18" t="s">
        <v>2</v>
      </c>
      <c r="F815" s="18">
        <v>10</v>
      </c>
      <c r="G815" s="18" t="s">
        <v>383</v>
      </c>
      <c r="H815" s="4">
        <v>2</v>
      </c>
      <c r="I815" s="4">
        <v>2</v>
      </c>
      <c r="J815" s="3">
        <v>49500</v>
      </c>
      <c r="K815" s="3">
        <f t="shared" ref="K815:K824" si="26">SUM(I815*J815)</f>
        <v>99000</v>
      </c>
      <c r="L815" s="137" t="s">
        <v>1385</v>
      </c>
      <c r="M815" s="1" t="s">
        <v>1034</v>
      </c>
    </row>
    <row r="816" spans="1:13">
      <c r="A816" s="38">
        <v>262</v>
      </c>
      <c r="B816" s="78" t="s">
        <v>876</v>
      </c>
      <c r="C816" s="5" t="s">
        <v>933</v>
      </c>
      <c r="D816" s="178" t="s">
        <v>932</v>
      </c>
      <c r="E816" s="18" t="s">
        <v>2</v>
      </c>
      <c r="F816" s="18">
        <v>10</v>
      </c>
      <c r="G816" s="18" t="s">
        <v>383</v>
      </c>
      <c r="H816" s="4">
        <v>1</v>
      </c>
      <c r="I816" s="4">
        <v>1</v>
      </c>
      <c r="J816" s="3">
        <v>22440</v>
      </c>
      <c r="K816" s="3">
        <f t="shared" si="26"/>
        <v>22440</v>
      </c>
      <c r="L816" s="137" t="s">
        <v>1280</v>
      </c>
      <c r="M816" s="1" t="s">
        <v>1034</v>
      </c>
    </row>
    <row r="817" spans="1:13">
      <c r="A817" s="38">
        <v>263</v>
      </c>
      <c r="B817" s="78" t="s">
        <v>876</v>
      </c>
      <c r="C817" s="5" t="s">
        <v>931</v>
      </c>
      <c r="D817" s="178" t="s">
        <v>930</v>
      </c>
      <c r="E817" s="18" t="s">
        <v>2</v>
      </c>
      <c r="F817" s="18">
        <v>10</v>
      </c>
      <c r="G817" s="18" t="s">
        <v>383</v>
      </c>
      <c r="H817" s="4">
        <v>1</v>
      </c>
      <c r="I817" s="4">
        <v>1</v>
      </c>
      <c r="J817" s="3">
        <v>12000</v>
      </c>
      <c r="K817" s="3">
        <f t="shared" si="26"/>
        <v>12000</v>
      </c>
      <c r="L817" s="137" t="s">
        <v>1280</v>
      </c>
      <c r="M817" s="1" t="s">
        <v>1034</v>
      </c>
    </row>
    <row r="818" spans="1:13">
      <c r="A818" s="38">
        <v>264</v>
      </c>
      <c r="B818" s="78" t="s">
        <v>876</v>
      </c>
      <c r="C818" s="5" t="s">
        <v>929</v>
      </c>
      <c r="D818" s="178" t="s">
        <v>928</v>
      </c>
      <c r="E818" s="18" t="s">
        <v>2</v>
      </c>
      <c r="F818" s="18">
        <v>10</v>
      </c>
      <c r="G818" s="18" t="s">
        <v>383</v>
      </c>
      <c r="H818" s="4">
        <v>2</v>
      </c>
      <c r="I818" s="4">
        <v>2</v>
      </c>
      <c r="J818" s="3">
        <v>31000</v>
      </c>
      <c r="K818" s="3">
        <f t="shared" si="26"/>
        <v>62000</v>
      </c>
      <c r="L818" s="137" t="s">
        <v>1385</v>
      </c>
      <c r="M818" s="1" t="s">
        <v>1034</v>
      </c>
    </row>
    <row r="819" spans="1:13">
      <c r="A819" s="38">
        <v>265</v>
      </c>
      <c r="B819" s="29"/>
      <c r="C819" s="5"/>
      <c r="D819" s="179" t="s">
        <v>927</v>
      </c>
      <c r="E819" s="18" t="s">
        <v>3</v>
      </c>
      <c r="F819" s="18"/>
      <c r="G819" s="18" t="s">
        <v>383</v>
      </c>
      <c r="H819" s="29">
        <v>1</v>
      </c>
      <c r="I819" s="29">
        <v>1</v>
      </c>
      <c r="J819" s="3">
        <v>10500</v>
      </c>
      <c r="K819" s="3">
        <f t="shared" si="26"/>
        <v>10500</v>
      </c>
      <c r="L819" s="137" t="s">
        <v>1197</v>
      </c>
      <c r="M819" s="1" t="s">
        <v>1034</v>
      </c>
    </row>
    <row r="820" spans="1:13">
      <c r="A820" s="38">
        <v>266</v>
      </c>
      <c r="B820" s="58" t="s">
        <v>222</v>
      </c>
      <c r="C820" s="19" t="s">
        <v>955</v>
      </c>
      <c r="D820" s="177" t="s">
        <v>470</v>
      </c>
      <c r="E820" s="18" t="s">
        <v>3</v>
      </c>
      <c r="F820" s="16">
        <v>18</v>
      </c>
      <c r="G820" s="18" t="s">
        <v>383</v>
      </c>
      <c r="H820" s="16">
        <v>1</v>
      </c>
      <c r="I820" s="16">
        <v>1</v>
      </c>
      <c r="J820" s="76">
        <v>24000</v>
      </c>
      <c r="K820" s="31">
        <f t="shared" si="26"/>
        <v>24000</v>
      </c>
      <c r="L820" s="135" t="s">
        <v>1317</v>
      </c>
      <c r="M820" s="1" t="s">
        <v>1033</v>
      </c>
    </row>
    <row r="821" spans="1:13">
      <c r="A821" s="38">
        <v>267</v>
      </c>
      <c r="B821" s="58" t="s">
        <v>249</v>
      </c>
      <c r="C821" s="109" t="s">
        <v>954</v>
      </c>
      <c r="D821" s="180" t="s">
        <v>953</v>
      </c>
      <c r="E821" s="18" t="s">
        <v>3</v>
      </c>
      <c r="F821" s="16">
        <v>16</v>
      </c>
      <c r="G821" s="18" t="s">
        <v>383</v>
      </c>
      <c r="H821" s="16">
        <v>1</v>
      </c>
      <c r="I821" s="16">
        <v>1</v>
      </c>
      <c r="J821" s="110">
        <v>7000</v>
      </c>
      <c r="K821" s="31">
        <f t="shared" si="26"/>
        <v>7000</v>
      </c>
      <c r="L821" s="135" t="s">
        <v>724</v>
      </c>
      <c r="M821" s="1" t="s">
        <v>1033</v>
      </c>
    </row>
    <row r="822" spans="1:13">
      <c r="A822" s="38">
        <v>268</v>
      </c>
      <c r="B822" s="58" t="s">
        <v>245</v>
      </c>
      <c r="C822" s="19" t="s">
        <v>952</v>
      </c>
      <c r="D822" s="177" t="s">
        <v>470</v>
      </c>
      <c r="E822" s="18" t="s">
        <v>3</v>
      </c>
      <c r="F822" s="16">
        <v>15</v>
      </c>
      <c r="G822" s="18" t="s">
        <v>383</v>
      </c>
      <c r="H822" s="16">
        <v>1</v>
      </c>
      <c r="I822" s="16">
        <v>1</v>
      </c>
      <c r="J822" s="76">
        <v>17300</v>
      </c>
      <c r="K822" s="31">
        <f t="shared" si="26"/>
        <v>17300</v>
      </c>
      <c r="L822" s="135" t="s">
        <v>1347</v>
      </c>
      <c r="M822" s="1" t="s">
        <v>1033</v>
      </c>
    </row>
    <row r="823" spans="1:13">
      <c r="A823" s="38">
        <v>269</v>
      </c>
      <c r="B823" s="29">
        <v>2551</v>
      </c>
      <c r="C823" s="19" t="s">
        <v>951</v>
      </c>
      <c r="D823" s="177" t="s">
        <v>950</v>
      </c>
      <c r="E823" s="25" t="s">
        <v>3</v>
      </c>
      <c r="F823" s="16">
        <v>14</v>
      </c>
      <c r="G823" s="18" t="s">
        <v>383</v>
      </c>
      <c r="H823" s="16">
        <v>1</v>
      </c>
      <c r="I823" s="16">
        <v>1</v>
      </c>
      <c r="J823" s="76">
        <v>9800</v>
      </c>
      <c r="K823" s="31">
        <f t="shared" si="26"/>
        <v>9800</v>
      </c>
      <c r="L823" s="135" t="s">
        <v>714</v>
      </c>
      <c r="M823" s="1" t="s">
        <v>1033</v>
      </c>
    </row>
    <row r="824" spans="1:13">
      <c r="A824" s="38">
        <v>270</v>
      </c>
      <c r="B824" s="29">
        <v>2551</v>
      </c>
      <c r="C824" s="32" t="s">
        <v>949</v>
      </c>
      <c r="D824" s="181" t="s">
        <v>948</v>
      </c>
      <c r="E824" s="27" t="s">
        <v>3</v>
      </c>
      <c r="F824" s="16">
        <v>14</v>
      </c>
      <c r="G824" s="18" t="s">
        <v>383</v>
      </c>
      <c r="H824" s="111">
        <v>2</v>
      </c>
      <c r="I824" s="111">
        <v>2</v>
      </c>
      <c r="J824" s="31">
        <v>7000</v>
      </c>
      <c r="K824" s="31">
        <f t="shared" si="26"/>
        <v>14000</v>
      </c>
      <c r="L824" s="135" t="s">
        <v>1348</v>
      </c>
      <c r="M824" s="1" t="s">
        <v>1033</v>
      </c>
    </row>
    <row r="825" spans="1:13" ht="24" customHeight="1">
      <c r="A825" s="73"/>
      <c r="B825" s="82"/>
      <c r="C825" s="82"/>
      <c r="D825" s="167"/>
      <c r="E825" s="82"/>
      <c r="F825" s="82"/>
      <c r="G825" s="82"/>
      <c r="H825" s="82"/>
      <c r="I825" s="82"/>
      <c r="J825" s="74" t="s">
        <v>129</v>
      </c>
      <c r="K825" s="89">
        <f>SUM(K814:K824)</f>
        <v>26073030.040000003</v>
      </c>
      <c r="L825" s="147"/>
    </row>
    <row r="826" spans="1:13" ht="24" customHeight="1">
      <c r="A826" s="62"/>
      <c r="B826" s="62" t="s">
        <v>119</v>
      </c>
      <c r="C826" s="53" t="s">
        <v>120</v>
      </c>
      <c r="H826" s="63"/>
      <c r="I826" s="63"/>
      <c r="L826" s="148"/>
    </row>
    <row r="827" spans="1:13" ht="24" customHeight="1">
      <c r="A827" s="62"/>
      <c r="C827" s="53" t="s">
        <v>121</v>
      </c>
      <c r="H827" s="63"/>
      <c r="I827" s="63"/>
      <c r="L827" s="148"/>
    </row>
    <row r="828" spans="1:13" ht="23.25" customHeight="1">
      <c r="A828" s="90"/>
      <c r="G828" s="68" t="s">
        <v>148</v>
      </c>
      <c r="H828" s="268" t="s">
        <v>149</v>
      </c>
      <c r="I828" s="268"/>
      <c r="J828" s="268"/>
      <c r="K828" s="2" t="s">
        <v>150</v>
      </c>
      <c r="L828" s="141"/>
    </row>
    <row r="829" spans="1:13" ht="21.75" customHeight="1">
      <c r="A829" s="90"/>
      <c r="G829" s="2"/>
      <c r="H829" s="268" t="s">
        <v>1549</v>
      </c>
      <c r="I829" s="268"/>
      <c r="J829" s="268"/>
      <c r="K829" s="2"/>
      <c r="L829" s="141"/>
    </row>
    <row r="830" spans="1:13" ht="31.5" customHeight="1">
      <c r="G830" s="68" t="s">
        <v>148</v>
      </c>
      <c r="H830" s="268" t="s">
        <v>149</v>
      </c>
      <c r="I830" s="268"/>
      <c r="J830" s="268"/>
      <c r="K830" s="2" t="s">
        <v>151</v>
      </c>
      <c r="L830" s="141"/>
    </row>
    <row r="831" spans="1:13" ht="22.5" customHeight="1">
      <c r="G831" s="2"/>
      <c r="H831" s="268" t="s">
        <v>154</v>
      </c>
      <c r="I831" s="268"/>
      <c r="J831" s="268"/>
      <c r="K831" s="2"/>
      <c r="L831" s="141"/>
    </row>
    <row r="832" spans="1:13" ht="32.25" customHeight="1">
      <c r="G832" s="68" t="s">
        <v>148</v>
      </c>
      <c r="H832" s="268" t="s">
        <v>149</v>
      </c>
      <c r="I832" s="268"/>
      <c r="J832" s="268"/>
      <c r="K832" s="2" t="s">
        <v>151</v>
      </c>
      <c r="L832" s="142"/>
    </row>
    <row r="833" spans="1:13" ht="20.25" customHeight="1">
      <c r="G833" s="2"/>
      <c r="H833" s="268" t="s">
        <v>155</v>
      </c>
      <c r="I833" s="268"/>
      <c r="J833" s="268"/>
      <c r="K833" s="2"/>
      <c r="L833" s="142"/>
    </row>
    <row r="834" spans="1:13" ht="32.25" customHeight="1">
      <c r="G834" s="68" t="s">
        <v>148</v>
      </c>
      <c r="H834" s="268" t="s">
        <v>149</v>
      </c>
      <c r="I834" s="268"/>
      <c r="J834" s="268"/>
      <c r="K834" s="2" t="s">
        <v>151</v>
      </c>
      <c r="L834" s="142"/>
    </row>
    <row r="835" spans="1:13" ht="22.5" customHeight="1">
      <c r="G835" s="2"/>
      <c r="H835" s="268" t="s">
        <v>156</v>
      </c>
      <c r="I835" s="268"/>
      <c r="J835" s="268"/>
      <c r="K835" s="2"/>
      <c r="L835" s="142"/>
    </row>
    <row r="836" spans="1:13" ht="36" customHeight="1">
      <c r="G836" s="68" t="s">
        <v>148</v>
      </c>
      <c r="H836" s="268" t="s">
        <v>149</v>
      </c>
      <c r="I836" s="268"/>
      <c r="J836" s="268"/>
      <c r="K836" s="67" t="s">
        <v>152</v>
      </c>
      <c r="L836" s="142"/>
    </row>
    <row r="837" spans="1:13" ht="24" customHeight="1">
      <c r="G837" s="67"/>
      <c r="H837" s="268" t="s">
        <v>157</v>
      </c>
      <c r="I837" s="268"/>
      <c r="J837" s="268"/>
      <c r="K837" s="67"/>
      <c r="L837" s="142"/>
    </row>
    <row r="838" spans="1:13" ht="24" customHeight="1">
      <c r="G838" s="67"/>
      <c r="H838" s="64"/>
      <c r="I838" s="64"/>
      <c r="J838" s="64"/>
      <c r="K838" s="67"/>
      <c r="L838" s="142"/>
    </row>
    <row r="839" spans="1:13" ht="24" customHeight="1">
      <c r="L839" s="138" t="s">
        <v>1446</v>
      </c>
    </row>
    <row r="840" spans="1:13" ht="24" customHeight="1">
      <c r="A840" s="269" t="s">
        <v>158</v>
      </c>
      <c r="B840" s="269"/>
      <c r="C840" s="269"/>
      <c r="D840" s="269"/>
      <c r="E840" s="269"/>
      <c r="F840" s="269"/>
      <c r="G840" s="269"/>
      <c r="H840" s="269"/>
      <c r="I840" s="269"/>
      <c r="J840" s="269"/>
      <c r="K840" s="269"/>
      <c r="L840" s="269"/>
    </row>
    <row r="841" spans="1:13" ht="24" customHeight="1">
      <c r="A841" s="270" t="s">
        <v>163</v>
      </c>
      <c r="B841" s="270"/>
      <c r="C841" s="270"/>
      <c r="D841" s="270"/>
      <c r="E841" s="270"/>
      <c r="F841" s="270"/>
      <c r="G841" s="270"/>
      <c r="H841" s="270"/>
      <c r="I841" s="270"/>
      <c r="J841" s="270"/>
      <c r="K841" s="270"/>
      <c r="L841" s="270"/>
    </row>
    <row r="842" spans="1:13" ht="24" customHeight="1" thickBot="1">
      <c r="A842" s="271" t="s">
        <v>164</v>
      </c>
      <c r="B842" s="271"/>
      <c r="C842" s="271"/>
      <c r="D842" s="271"/>
      <c r="E842" s="271"/>
      <c r="F842" s="271"/>
      <c r="G842" s="271"/>
      <c r="H842" s="271"/>
      <c r="I842" s="271"/>
      <c r="J842" s="271"/>
      <c r="K842" s="271"/>
      <c r="L842" s="271"/>
    </row>
    <row r="843" spans="1:13" ht="24" customHeight="1" thickTop="1">
      <c r="A843" s="272" t="s">
        <v>103</v>
      </c>
      <c r="B843" s="272" t="s">
        <v>122</v>
      </c>
      <c r="C843" s="272" t="s">
        <v>124</v>
      </c>
      <c r="D843" s="274" t="s">
        <v>0</v>
      </c>
      <c r="E843" s="272" t="s">
        <v>109</v>
      </c>
      <c r="F843" s="272" t="s">
        <v>110</v>
      </c>
      <c r="G843" s="276" t="s">
        <v>111</v>
      </c>
      <c r="H843" s="278" t="s">
        <v>1</v>
      </c>
      <c r="I843" s="279"/>
      <c r="J843" s="272" t="s">
        <v>125</v>
      </c>
      <c r="K843" s="272" t="s">
        <v>104</v>
      </c>
      <c r="L843" s="280" t="s">
        <v>112</v>
      </c>
    </row>
    <row r="844" spans="1:13" ht="45.75" customHeight="1" thickBot="1">
      <c r="A844" s="273"/>
      <c r="B844" s="273"/>
      <c r="C844" s="273"/>
      <c r="D844" s="275"/>
      <c r="E844" s="273"/>
      <c r="F844" s="273"/>
      <c r="G844" s="277"/>
      <c r="H844" s="51" t="s">
        <v>113</v>
      </c>
      <c r="I844" s="52" t="s">
        <v>114</v>
      </c>
      <c r="J844" s="273"/>
      <c r="K844" s="273"/>
      <c r="L844" s="281"/>
    </row>
    <row r="845" spans="1:13" ht="24" customHeight="1" thickTop="1">
      <c r="A845" s="35"/>
      <c r="B845" s="35"/>
      <c r="C845" s="35"/>
      <c r="D845" s="168"/>
      <c r="E845" s="35"/>
      <c r="F845" s="83"/>
      <c r="G845" s="34"/>
      <c r="H845" s="84"/>
      <c r="I845" s="85"/>
      <c r="J845" s="86" t="s">
        <v>132</v>
      </c>
      <c r="K845" s="87">
        <f>SUM(K825)</f>
        <v>26073030.040000003</v>
      </c>
      <c r="L845" s="146"/>
    </row>
    <row r="846" spans="1:13">
      <c r="A846" s="17">
        <v>271</v>
      </c>
      <c r="B846" s="29">
        <v>2551</v>
      </c>
      <c r="C846" s="19" t="s">
        <v>959</v>
      </c>
      <c r="D846" s="177" t="s">
        <v>958</v>
      </c>
      <c r="E846" s="17" t="s">
        <v>3</v>
      </c>
      <c r="F846" s="16">
        <v>14</v>
      </c>
      <c r="G846" s="18" t="s">
        <v>383</v>
      </c>
      <c r="H846" s="16">
        <v>1</v>
      </c>
      <c r="I846" s="16">
        <v>1</v>
      </c>
      <c r="J846" s="76">
        <v>93400</v>
      </c>
      <c r="K846" s="31">
        <f>SUM(H846*J846)</f>
        <v>93400</v>
      </c>
      <c r="L846" s="135" t="s">
        <v>1349</v>
      </c>
      <c r="M846" s="1" t="s">
        <v>1033</v>
      </c>
    </row>
    <row r="847" spans="1:13">
      <c r="A847" s="17">
        <v>272</v>
      </c>
      <c r="B847" s="79" t="s">
        <v>957</v>
      </c>
      <c r="C847" s="6" t="s">
        <v>960</v>
      </c>
      <c r="D847" s="147" t="s">
        <v>956</v>
      </c>
      <c r="E847" s="17" t="s">
        <v>3</v>
      </c>
      <c r="F847" s="16">
        <v>5</v>
      </c>
      <c r="G847" s="18" t="s">
        <v>383</v>
      </c>
      <c r="H847" s="16">
        <v>1</v>
      </c>
      <c r="I847" s="16">
        <v>1</v>
      </c>
      <c r="J847" s="3">
        <v>29500</v>
      </c>
      <c r="K847" s="31">
        <f>SUM(H847*J847)</f>
        <v>29500</v>
      </c>
      <c r="L847" s="135" t="s">
        <v>672</v>
      </c>
      <c r="M847" s="1" t="s">
        <v>1033</v>
      </c>
    </row>
    <row r="848" spans="1:13">
      <c r="A848" s="17">
        <v>273</v>
      </c>
      <c r="B848" s="58" t="s">
        <v>222</v>
      </c>
      <c r="C848" s="5" t="s">
        <v>969</v>
      </c>
      <c r="D848" s="126" t="s">
        <v>220</v>
      </c>
      <c r="E848" s="18" t="s">
        <v>3</v>
      </c>
      <c r="F848" s="18">
        <v>18</v>
      </c>
      <c r="G848" s="18" t="s">
        <v>128</v>
      </c>
      <c r="H848" s="18">
        <v>1</v>
      </c>
      <c r="I848" s="18">
        <v>1</v>
      </c>
      <c r="J848" s="3">
        <v>6900</v>
      </c>
      <c r="K848" s="3">
        <f t="shared" ref="K848:K855" si="27">SUM(I848*J848)</f>
        <v>6900</v>
      </c>
      <c r="L848" s="135" t="s">
        <v>1331</v>
      </c>
      <c r="M848" s="1" t="s">
        <v>1032</v>
      </c>
    </row>
    <row r="849" spans="1:13">
      <c r="A849" s="17">
        <v>274</v>
      </c>
      <c r="B849" s="29">
        <v>2549</v>
      </c>
      <c r="C849" s="5" t="s">
        <v>968</v>
      </c>
      <c r="D849" s="126" t="s">
        <v>967</v>
      </c>
      <c r="E849" s="18" t="s">
        <v>3</v>
      </c>
      <c r="F849" s="18">
        <v>16</v>
      </c>
      <c r="G849" s="18" t="s">
        <v>128</v>
      </c>
      <c r="H849" s="18">
        <v>1</v>
      </c>
      <c r="I849" s="18">
        <v>1</v>
      </c>
      <c r="J849" s="3">
        <v>12000</v>
      </c>
      <c r="K849" s="3">
        <f t="shared" si="27"/>
        <v>12000</v>
      </c>
      <c r="L849" s="135" t="s">
        <v>118</v>
      </c>
      <c r="M849" s="1" t="s">
        <v>1032</v>
      </c>
    </row>
    <row r="850" spans="1:13">
      <c r="A850" s="17">
        <v>275</v>
      </c>
      <c r="B850" s="29">
        <v>2549</v>
      </c>
      <c r="C850" s="5" t="s">
        <v>966</v>
      </c>
      <c r="D850" s="126" t="s">
        <v>595</v>
      </c>
      <c r="E850" s="18" t="s">
        <v>3</v>
      </c>
      <c r="F850" s="18">
        <v>16</v>
      </c>
      <c r="G850" s="18" t="s">
        <v>128</v>
      </c>
      <c r="H850" s="18">
        <v>1</v>
      </c>
      <c r="I850" s="4">
        <v>1</v>
      </c>
      <c r="J850" s="3">
        <v>19088</v>
      </c>
      <c r="K850" s="3">
        <f t="shared" si="27"/>
        <v>19088</v>
      </c>
      <c r="L850" s="135" t="s">
        <v>1332</v>
      </c>
      <c r="M850" s="1" t="s">
        <v>1032</v>
      </c>
    </row>
    <row r="851" spans="1:13">
      <c r="A851" s="17">
        <v>276</v>
      </c>
      <c r="B851" s="29">
        <v>2550</v>
      </c>
      <c r="C851" s="5" t="s">
        <v>965</v>
      </c>
      <c r="D851" s="126" t="s">
        <v>964</v>
      </c>
      <c r="E851" s="18" t="s">
        <v>3</v>
      </c>
      <c r="F851" s="18">
        <v>15</v>
      </c>
      <c r="G851" s="18" t="s">
        <v>128</v>
      </c>
      <c r="H851" s="18">
        <v>1</v>
      </c>
      <c r="I851" s="18">
        <v>1</v>
      </c>
      <c r="J851" s="3">
        <v>17300</v>
      </c>
      <c r="K851" s="3">
        <f t="shared" si="27"/>
        <v>17300</v>
      </c>
      <c r="L851" s="135" t="s">
        <v>1333</v>
      </c>
      <c r="M851" s="1" t="s">
        <v>1032</v>
      </c>
    </row>
    <row r="852" spans="1:13">
      <c r="A852" s="17">
        <v>277</v>
      </c>
      <c r="B852" s="29">
        <v>2551</v>
      </c>
      <c r="C852" s="5" t="s">
        <v>977</v>
      </c>
      <c r="D852" s="126" t="s">
        <v>976</v>
      </c>
      <c r="E852" s="18" t="s">
        <v>3</v>
      </c>
      <c r="F852" s="18">
        <v>14</v>
      </c>
      <c r="G852" s="18" t="s">
        <v>128</v>
      </c>
      <c r="H852" s="18">
        <v>1</v>
      </c>
      <c r="I852" s="18">
        <v>1</v>
      </c>
      <c r="J852" s="3">
        <v>5648.5</v>
      </c>
      <c r="K852" s="3">
        <f t="shared" si="27"/>
        <v>5648.5</v>
      </c>
      <c r="L852" s="135" t="s">
        <v>1334</v>
      </c>
      <c r="M852" s="1" t="s">
        <v>1032</v>
      </c>
    </row>
    <row r="853" spans="1:13">
      <c r="A853" s="17">
        <v>278</v>
      </c>
      <c r="B853" s="29">
        <v>2551</v>
      </c>
      <c r="C853" s="5" t="s">
        <v>975</v>
      </c>
      <c r="D853" s="126" t="s">
        <v>974</v>
      </c>
      <c r="E853" s="18" t="s">
        <v>98</v>
      </c>
      <c r="F853" s="18">
        <v>14</v>
      </c>
      <c r="G853" s="18" t="s">
        <v>128</v>
      </c>
      <c r="H853" s="18">
        <v>1</v>
      </c>
      <c r="I853" s="4">
        <v>1</v>
      </c>
      <c r="J853" s="3">
        <v>14500</v>
      </c>
      <c r="K853" s="3">
        <f t="shared" si="27"/>
        <v>14500</v>
      </c>
      <c r="L853" s="135" t="s">
        <v>1335</v>
      </c>
      <c r="M853" s="1" t="s">
        <v>1032</v>
      </c>
    </row>
    <row r="854" spans="1:13">
      <c r="A854" s="17">
        <v>279</v>
      </c>
      <c r="B854" s="29">
        <v>2552</v>
      </c>
      <c r="C854" s="5" t="s">
        <v>973</v>
      </c>
      <c r="D854" s="126" t="s">
        <v>972</v>
      </c>
      <c r="E854" s="18" t="s">
        <v>2</v>
      </c>
      <c r="F854" s="18">
        <v>13</v>
      </c>
      <c r="G854" s="18" t="s">
        <v>128</v>
      </c>
      <c r="H854" s="18">
        <v>1</v>
      </c>
      <c r="I854" s="18">
        <v>1</v>
      </c>
      <c r="J854" s="3">
        <v>22000</v>
      </c>
      <c r="K854" s="3">
        <f t="shared" si="27"/>
        <v>22000</v>
      </c>
      <c r="L854" s="135" t="s">
        <v>1336</v>
      </c>
      <c r="M854" s="1" t="s">
        <v>1032</v>
      </c>
    </row>
    <row r="855" spans="1:13">
      <c r="A855" s="17">
        <v>280</v>
      </c>
      <c r="B855" s="29">
        <v>2553</v>
      </c>
      <c r="C855" s="5" t="s">
        <v>971</v>
      </c>
      <c r="D855" s="126" t="s">
        <v>970</v>
      </c>
      <c r="E855" s="18" t="s">
        <v>2</v>
      </c>
      <c r="F855" s="18">
        <v>12</v>
      </c>
      <c r="G855" s="18" t="s">
        <v>128</v>
      </c>
      <c r="H855" s="18">
        <v>1</v>
      </c>
      <c r="I855" s="18">
        <v>1</v>
      </c>
      <c r="J855" s="3">
        <v>17000</v>
      </c>
      <c r="K855" s="3">
        <f t="shared" si="27"/>
        <v>17000</v>
      </c>
      <c r="L855" s="135" t="s">
        <v>1333</v>
      </c>
      <c r="M855" s="1" t="s">
        <v>1032</v>
      </c>
    </row>
    <row r="856" spans="1:13" ht="24" customHeight="1">
      <c r="A856" s="73"/>
      <c r="B856" s="82"/>
      <c r="C856" s="82"/>
      <c r="D856" s="167"/>
      <c r="E856" s="82"/>
      <c r="F856" s="82"/>
      <c r="G856" s="82"/>
      <c r="H856" s="82"/>
      <c r="I856" s="82"/>
      <c r="J856" s="74" t="s">
        <v>129</v>
      </c>
      <c r="K856" s="89">
        <f>SUM(K845:K855)</f>
        <v>26310366.540000003</v>
      </c>
      <c r="L856" s="147"/>
    </row>
    <row r="857" spans="1:13" ht="24" customHeight="1">
      <c r="A857" s="62"/>
      <c r="B857" s="62" t="s">
        <v>119</v>
      </c>
      <c r="C857" s="53" t="s">
        <v>120</v>
      </c>
      <c r="H857" s="63"/>
      <c r="I857" s="63"/>
      <c r="L857" s="148"/>
    </row>
    <row r="858" spans="1:13" ht="24" customHeight="1">
      <c r="A858" s="62"/>
      <c r="C858" s="53" t="s">
        <v>121</v>
      </c>
      <c r="H858" s="63"/>
      <c r="I858" s="63"/>
      <c r="L858" s="148"/>
    </row>
    <row r="859" spans="1:13" ht="22.5" customHeight="1">
      <c r="A859" s="90"/>
      <c r="G859" s="68" t="s">
        <v>148</v>
      </c>
      <c r="H859" s="268" t="s">
        <v>149</v>
      </c>
      <c r="I859" s="268"/>
      <c r="J859" s="268"/>
      <c r="K859" s="2" t="s">
        <v>150</v>
      </c>
      <c r="L859" s="141"/>
    </row>
    <row r="860" spans="1:13" ht="21.75" customHeight="1">
      <c r="A860" s="90"/>
      <c r="G860" s="2"/>
      <c r="H860" s="268" t="s">
        <v>1549</v>
      </c>
      <c r="I860" s="268"/>
      <c r="J860" s="268"/>
      <c r="K860" s="2"/>
      <c r="L860" s="141"/>
    </row>
    <row r="861" spans="1:13" ht="35.25" customHeight="1">
      <c r="G861" s="68" t="s">
        <v>148</v>
      </c>
      <c r="H861" s="268" t="s">
        <v>149</v>
      </c>
      <c r="I861" s="268"/>
      <c r="J861" s="268"/>
      <c r="K861" s="2" t="s">
        <v>151</v>
      </c>
      <c r="L861" s="141"/>
    </row>
    <row r="862" spans="1:13" ht="22.5" customHeight="1">
      <c r="G862" s="2"/>
      <c r="H862" s="268" t="s">
        <v>154</v>
      </c>
      <c r="I862" s="268"/>
      <c r="J862" s="268"/>
      <c r="K862" s="2"/>
      <c r="L862" s="141"/>
    </row>
    <row r="863" spans="1:13" ht="33" customHeight="1">
      <c r="G863" s="68" t="s">
        <v>148</v>
      </c>
      <c r="H863" s="268" t="s">
        <v>149</v>
      </c>
      <c r="I863" s="268"/>
      <c r="J863" s="268"/>
      <c r="K863" s="2" t="s">
        <v>151</v>
      </c>
      <c r="L863" s="142"/>
    </row>
    <row r="864" spans="1:13" ht="20.25" customHeight="1">
      <c r="G864" s="2"/>
      <c r="H864" s="268" t="s">
        <v>155</v>
      </c>
      <c r="I864" s="268"/>
      <c r="J864" s="268"/>
      <c r="K864" s="2"/>
      <c r="L864" s="142"/>
    </row>
    <row r="865" spans="1:13" ht="30.75" customHeight="1">
      <c r="G865" s="68" t="s">
        <v>148</v>
      </c>
      <c r="H865" s="268" t="s">
        <v>149</v>
      </c>
      <c r="I865" s="268"/>
      <c r="J865" s="268"/>
      <c r="K865" s="2" t="s">
        <v>151</v>
      </c>
      <c r="L865" s="142"/>
    </row>
    <row r="866" spans="1:13" ht="21.75" customHeight="1">
      <c r="G866" s="2"/>
      <c r="H866" s="268" t="s">
        <v>156</v>
      </c>
      <c r="I866" s="268"/>
      <c r="J866" s="268"/>
      <c r="K866" s="2"/>
      <c r="L866" s="142"/>
    </row>
    <row r="867" spans="1:13" ht="35.25" customHeight="1">
      <c r="G867" s="68" t="s">
        <v>148</v>
      </c>
      <c r="H867" s="268" t="s">
        <v>149</v>
      </c>
      <c r="I867" s="268"/>
      <c r="J867" s="268"/>
      <c r="K867" s="67" t="s">
        <v>152</v>
      </c>
      <c r="L867" s="142"/>
    </row>
    <row r="868" spans="1:13" ht="24" customHeight="1">
      <c r="G868" s="67"/>
      <c r="H868" s="268" t="s">
        <v>157</v>
      </c>
      <c r="I868" s="268"/>
      <c r="J868" s="268"/>
      <c r="K868" s="67"/>
      <c r="L868" s="142"/>
    </row>
    <row r="869" spans="1:13" ht="24" customHeight="1">
      <c r="G869" s="67"/>
      <c r="H869" s="64"/>
      <c r="I869" s="64"/>
      <c r="J869" s="64"/>
      <c r="K869" s="67"/>
      <c r="L869" s="142"/>
    </row>
    <row r="870" spans="1:13" ht="24" customHeight="1">
      <c r="L870" s="138" t="s">
        <v>1447</v>
      </c>
    </row>
    <row r="871" spans="1:13" ht="24" customHeight="1">
      <c r="A871" s="269" t="s">
        <v>158</v>
      </c>
      <c r="B871" s="269"/>
      <c r="C871" s="269"/>
      <c r="D871" s="269"/>
      <c r="E871" s="269"/>
      <c r="F871" s="269"/>
      <c r="G871" s="269"/>
      <c r="H871" s="269"/>
      <c r="I871" s="269"/>
      <c r="J871" s="269"/>
      <c r="K871" s="269"/>
      <c r="L871" s="269"/>
    </row>
    <row r="872" spans="1:13" ht="24" customHeight="1">
      <c r="A872" s="270" t="s">
        <v>163</v>
      </c>
      <c r="B872" s="270"/>
      <c r="C872" s="270"/>
      <c r="D872" s="270"/>
      <c r="E872" s="270"/>
      <c r="F872" s="270"/>
      <c r="G872" s="270"/>
      <c r="H872" s="270"/>
      <c r="I872" s="270"/>
      <c r="J872" s="270"/>
      <c r="K872" s="270"/>
      <c r="L872" s="270"/>
    </row>
    <row r="873" spans="1:13" ht="24" customHeight="1" thickBot="1">
      <c r="A873" s="271" t="s">
        <v>164</v>
      </c>
      <c r="B873" s="271"/>
      <c r="C873" s="271"/>
      <c r="D873" s="271"/>
      <c r="E873" s="271"/>
      <c r="F873" s="271"/>
      <c r="G873" s="271"/>
      <c r="H873" s="271"/>
      <c r="I873" s="271"/>
      <c r="J873" s="271"/>
      <c r="K873" s="271"/>
      <c r="L873" s="271"/>
    </row>
    <row r="874" spans="1:13" ht="24" customHeight="1" thickTop="1">
      <c r="A874" s="272" t="s">
        <v>103</v>
      </c>
      <c r="B874" s="272" t="s">
        <v>122</v>
      </c>
      <c r="C874" s="272" t="s">
        <v>124</v>
      </c>
      <c r="D874" s="274" t="s">
        <v>0</v>
      </c>
      <c r="E874" s="272" t="s">
        <v>109</v>
      </c>
      <c r="F874" s="272" t="s">
        <v>110</v>
      </c>
      <c r="G874" s="276" t="s">
        <v>111</v>
      </c>
      <c r="H874" s="278" t="s">
        <v>1</v>
      </c>
      <c r="I874" s="279"/>
      <c r="J874" s="272" t="s">
        <v>125</v>
      </c>
      <c r="K874" s="272" t="s">
        <v>104</v>
      </c>
      <c r="L874" s="280" t="s">
        <v>112</v>
      </c>
    </row>
    <row r="875" spans="1:13" ht="45.75" customHeight="1" thickBot="1">
      <c r="A875" s="273"/>
      <c r="B875" s="273"/>
      <c r="C875" s="273"/>
      <c r="D875" s="275"/>
      <c r="E875" s="273"/>
      <c r="F875" s="273"/>
      <c r="G875" s="277"/>
      <c r="H875" s="51" t="s">
        <v>113</v>
      </c>
      <c r="I875" s="52" t="s">
        <v>114</v>
      </c>
      <c r="J875" s="273"/>
      <c r="K875" s="273"/>
      <c r="L875" s="281"/>
    </row>
    <row r="876" spans="1:13" ht="24" customHeight="1" thickTop="1">
      <c r="A876" s="35"/>
      <c r="B876" s="35"/>
      <c r="C876" s="35"/>
      <c r="D876" s="168"/>
      <c r="E876" s="35"/>
      <c r="F876" s="83"/>
      <c r="G876" s="34"/>
      <c r="H876" s="84"/>
      <c r="I876" s="85"/>
      <c r="J876" s="86" t="s">
        <v>132</v>
      </c>
      <c r="K876" s="87">
        <f>SUM(K856)</f>
        <v>26310366.540000003</v>
      </c>
      <c r="L876" s="146"/>
    </row>
    <row r="877" spans="1:13">
      <c r="A877" s="38">
        <v>281</v>
      </c>
      <c r="B877" s="29">
        <v>2555</v>
      </c>
      <c r="C877" s="5" t="s">
        <v>979</v>
      </c>
      <c r="D877" s="126" t="s">
        <v>978</v>
      </c>
      <c r="E877" s="18" t="s">
        <v>2</v>
      </c>
      <c r="F877" s="18">
        <v>10</v>
      </c>
      <c r="G877" s="18" t="s">
        <v>128</v>
      </c>
      <c r="H877" s="18">
        <v>5</v>
      </c>
      <c r="I877" s="4">
        <v>5</v>
      </c>
      <c r="J877" s="3">
        <v>21000</v>
      </c>
      <c r="K877" s="3">
        <f t="shared" ref="K877:K882" si="28">SUM(I877*J877)</f>
        <v>105000</v>
      </c>
      <c r="L877" s="135" t="s">
        <v>1282</v>
      </c>
      <c r="M877" s="1" t="s">
        <v>1032</v>
      </c>
    </row>
    <row r="878" spans="1:13">
      <c r="A878" s="38">
        <v>282</v>
      </c>
      <c r="B878" s="29">
        <v>2552</v>
      </c>
      <c r="C878" s="5" t="s">
        <v>991</v>
      </c>
      <c r="D878" s="126" t="s">
        <v>990</v>
      </c>
      <c r="E878" s="18" t="s">
        <v>2</v>
      </c>
      <c r="F878" s="18">
        <v>13</v>
      </c>
      <c r="G878" s="18" t="s">
        <v>128</v>
      </c>
      <c r="H878" s="18">
        <v>1</v>
      </c>
      <c r="I878" s="4">
        <v>1</v>
      </c>
      <c r="J878" s="3">
        <v>5950</v>
      </c>
      <c r="K878" s="3">
        <f t="shared" si="28"/>
        <v>5950</v>
      </c>
      <c r="L878" s="152" t="s">
        <v>1325</v>
      </c>
      <c r="M878" s="1" t="s">
        <v>1031</v>
      </c>
    </row>
    <row r="879" spans="1:13">
      <c r="A879" s="38">
        <v>283</v>
      </c>
      <c r="B879" s="29">
        <v>2553</v>
      </c>
      <c r="C879" s="5" t="s">
        <v>989</v>
      </c>
      <c r="D879" s="126" t="s">
        <v>988</v>
      </c>
      <c r="E879" s="18" t="s">
        <v>2</v>
      </c>
      <c r="F879" s="18">
        <v>12</v>
      </c>
      <c r="G879" s="18" t="s">
        <v>128</v>
      </c>
      <c r="H879" s="18">
        <v>1</v>
      </c>
      <c r="I879" s="4">
        <v>1</v>
      </c>
      <c r="J879" s="3">
        <v>12000</v>
      </c>
      <c r="K879" s="3">
        <f t="shared" si="28"/>
        <v>12000</v>
      </c>
      <c r="L879" s="152" t="s">
        <v>724</v>
      </c>
      <c r="M879" s="1" t="s">
        <v>1031</v>
      </c>
    </row>
    <row r="880" spans="1:13">
      <c r="A880" s="38">
        <v>284</v>
      </c>
      <c r="B880" s="29">
        <v>2553</v>
      </c>
      <c r="C880" s="5" t="s">
        <v>987</v>
      </c>
      <c r="D880" s="126" t="s">
        <v>986</v>
      </c>
      <c r="E880" s="18" t="s">
        <v>2</v>
      </c>
      <c r="F880" s="18">
        <v>12</v>
      </c>
      <c r="G880" s="18" t="s">
        <v>128</v>
      </c>
      <c r="H880" s="18">
        <v>1</v>
      </c>
      <c r="I880" s="4">
        <v>1</v>
      </c>
      <c r="J880" s="3">
        <v>21000</v>
      </c>
      <c r="K880" s="3">
        <f t="shared" si="28"/>
        <v>21000</v>
      </c>
      <c r="L880" s="152" t="s">
        <v>213</v>
      </c>
      <c r="M880" s="1" t="s">
        <v>1031</v>
      </c>
    </row>
    <row r="881" spans="1:13">
      <c r="A881" s="38">
        <v>285</v>
      </c>
      <c r="B881" s="112">
        <v>2555</v>
      </c>
      <c r="C881" s="24" t="s">
        <v>985</v>
      </c>
      <c r="D881" s="169" t="s">
        <v>984</v>
      </c>
      <c r="E881" s="21" t="s">
        <v>2</v>
      </c>
      <c r="F881" s="21">
        <v>10</v>
      </c>
      <c r="G881" s="18" t="s">
        <v>128</v>
      </c>
      <c r="H881" s="18">
        <v>1</v>
      </c>
      <c r="I881" s="4">
        <v>1</v>
      </c>
      <c r="J881" s="11">
        <v>49000</v>
      </c>
      <c r="K881" s="3">
        <f t="shared" si="28"/>
        <v>49000</v>
      </c>
      <c r="L881" s="156" t="s">
        <v>1326</v>
      </c>
      <c r="M881" s="1" t="s">
        <v>1031</v>
      </c>
    </row>
    <row r="882" spans="1:13">
      <c r="A882" s="38">
        <v>286</v>
      </c>
      <c r="B882" s="29">
        <v>2555</v>
      </c>
      <c r="C882" s="5" t="s">
        <v>983</v>
      </c>
      <c r="D882" s="126" t="s">
        <v>982</v>
      </c>
      <c r="E882" s="18" t="s">
        <v>2</v>
      </c>
      <c r="F882" s="18">
        <v>10</v>
      </c>
      <c r="G882" s="18" t="s">
        <v>128</v>
      </c>
      <c r="H882" s="18">
        <v>1</v>
      </c>
      <c r="I882" s="4">
        <v>1</v>
      </c>
      <c r="J882" s="3">
        <v>45000</v>
      </c>
      <c r="K882" s="3">
        <f t="shared" si="28"/>
        <v>45000</v>
      </c>
      <c r="L882" s="152" t="s">
        <v>1327</v>
      </c>
      <c r="M882" s="1" t="s">
        <v>1031</v>
      </c>
    </row>
    <row r="883" spans="1:13">
      <c r="A883" s="38">
        <v>287</v>
      </c>
      <c r="B883" s="17">
        <v>2553</v>
      </c>
      <c r="C883" s="105" t="s">
        <v>1012</v>
      </c>
      <c r="D883" s="175" t="s">
        <v>1011</v>
      </c>
      <c r="E883" s="18" t="s">
        <v>2</v>
      </c>
      <c r="F883" s="18">
        <v>12</v>
      </c>
      <c r="G883" s="9" t="s">
        <v>383</v>
      </c>
      <c r="H883" s="113">
        <v>6</v>
      </c>
      <c r="I883" s="4">
        <v>6</v>
      </c>
      <c r="J883" s="3">
        <v>5250</v>
      </c>
      <c r="K883" s="3">
        <f>SUM(I883*J883)</f>
        <v>31500</v>
      </c>
      <c r="L883" s="135" t="s">
        <v>1559</v>
      </c>
      <c r="M883" s="1" t="s">
        <v>1030</v>
      </c>
    </row>
    <row r="884" spans="1:13">
      <c r="A884" s="38">
        <v>288</v>
      </c>
      <c r="B884" s="17">
        <v>2553</v>
      </c>
      <c r="C884" s="105" t="s">
        <v>1010</v>
      </c>
      <c r="D884" s="175" t="s">
        <v>1009</v>
      </c>
      <c r="E884" s="18" t="s">
        <v>2</v>
      </c>
      <c r="F884" s="18">
        <v>12</v>
      </c>
      <c r="G884" s="18" t="s">
        <v>383</v>
      </c>
      <c r="H884" s="18">
        <v>1</v>
      </c>
      <c r="I884" s="4">
        <v>1</v>
      </c>
      <c r="J884" s="3">
        <v>122600</v>
      </c>
      <c r="K884" s="3">
        <f>SUM(I884*J884)</f>
        <v>122600</v>
      </c>
      <c r="L884" s="135" t="s">
        <v>1559</v>
      </c>
      <c r="M884" s="1" t="s">
        <v>1030</v>
      </c>
    </row>
    <row r="885" spans="1:13">
      <c r="A885" s="38">
        <v>289</v>
      </c>
      <c r="B885" s="17">
        <v>2557</v>
      </c>
      <c r="C885" s="114" t="s">
        <v>1008</v>
      </c>
      <c r="D885" s="182" t="s">
        <v>1005</v>
      </c>
      <c r="E885" s="18" t="s">
        <v>739</v>
      </c>
      <c r="F885" s="18">
        <v>8</v>
      </c>
      <c r="G885" s="18" t="s">
        <v>383</v>
      </c>
      <c r="H885" s="18">
        <v>4</v>
      </c>
      <c r="I885" s="4">
        <v>4</v>
      </c>
      <c r="J885" s="3">
        <v>13807.5</v>
      </c>
      <c r="K885" s="3">
        <f>SUM(I885*J885)</f>
        <v>55230</v>
      </c>
      <c r="L885" s="152" t="s">
        <v>243</v>
      </c>
      <c r="M885" s="1" t="s">
        <v>1030</v>
      </c>
    </row>
    <row r="886" spans="1:13">
      <c r="A886" s="38">
        <v>290</v>
      </c>
      <c r="B886" s="115" t="s">
        <v>1007</v>
      </c>
      <c r="C886" s="109" t="s">
        <v>1006</v>
      </c>
      <c r="D886" s="183" t="s">
        <v>1005</v>
      </c>
      <c r="E886" s="21" t="s">
        <v>739</v>
      </c>
      <c r="F886" s="21">
        <v>8</v>
      </c>
      <c r="G886" s="21" t="s">
        <v>383</v>
      </c>
      <c r="H886" s="21">
        <v>2</v>
      </c>
      <c r="I886" s="30">
        <v>2</v>
      </c>
      <c r="J886" s="11">
        <v>14000</v>
      </c>
      <c r="K886" s="3">
        <f>SUM(I886*J886)</f>
        <v>28000</v>
      </c>
      <c r="L886" s="152" t="s">
        <v>243</v>
      </c>
      <c r="M886" s="1" t="s">
        <v>1030</v>
      </c>
    </row>
    <row r="887" spans="1:13" ht="24" customHeight="1">
      <c r="A887" s="73"/>
      <c r="B887" s="82"/>
      <c r="C887" s="82"/>
      <c r="D887" s="167"/>
      <c r="E887" s="82"/>
      <c r="F887" s="82"/>
      <c r="G887" s="82"/>
      <c r="H887" s="82"/>
      <c r="I887" s="82"/>
      <c r="J887" s="74" t="s">
        <v>129</v>
      </c>
      <c r="K887" s="89">
        <f>SUM(K876:K886)</f>
        <v>26785646.540000003</v>
      </c>
      <c r="L887" s="147"/>
    </row>
    <row r="888" spans="1:13" ht="24" customHeight="1">
      <c r="A888" s="62"/>
      <c r="B888" s="62" t="s">
        <v>119</v>
      </c>
      <c r="C888" s="53" t="s">
        <v>120</v>
      </c>
      <c r="H888" s="63"/>
      <c r="I888" s="63"/>
      <c r="L888" s="148"/>
    </row>
    <row r="889" spans="1:13" ht="24" customHeight="1">
      <c r="A889" s="62"/>
      <c r="C889" s="53" t="s">
        <v>121</v>
      </c>
      <c r="H889" s="63"/>
      <c r="I889" s="63"/>
      <c r="L889" s="148"/>
    </row>
    <row r="890" spans="1:13" ht="22.5" customHeight="1">
      <c r="A890" s="90"/>
      <c r="G890" s="68" t="s">
        <v>148</v>
      </c>
      <c r="H890" s="268" t="s">
        <v>149</v>
      </c>
      <c r="I890" s="268"/>
      <c r="J890" s="268"/>
      <c r="K890" s="2" t="s">
        <v>150</v>
      </c>
      <c r="L890" s="141"/>
    </row>
    <row r="891" spans="1:13" ht="21.75" customHeight="1">
      <c r="A891" s="90"/>
      <c r="G891" s="2"/>
      <c r="H891" s="268" t="s">
        <v>1549</v>
      </c>
      <c r="I891" s="268"/>
      <c r="J891" s="268"/>
      <c r="K891" s="2"/>
      <c r="L891" s="141"/>
    </row>
    <row r="892" spans="1:13" ht="35.25" customHeight="1">
      <c r="G892" s="68" t="s">
        <v>148</v>
      </c>
      <c r="H892" s="268" t="s">
        <v>149</v>
      </c>
      <c r="I892" s="268"/>
      <c r="J892" s="268"/>
      <c r="K892" s="2" t="s">
        <v>151</v>
      </c>
      <c r="L892" s="141"/>
    </row>
    <row r="893" spans="1:13" ht="22.5" customHeight="1">
      <c r="G893" s="2"/>
      <c r="H893" s="268" t="s">
        <v>154</v>
      </c>
      <c r="I893" s="268"/>
      <c r="J893" s="268"/>
      <c r="K893" s="2"/>
      <c r="L893" s="141"/>
    </row>
    <row r="894" spans="1:13" ht="34.5" customHeight="1">
      <c r="G894" s="68" t="s">
        <v>148</v>
      </c>
      <c r="H894" s="268" t="s">
        <v>149</v>
      </c>
      <c r="I894" s="268"/>
      <c r="J894" s="268"/>
      <c r="K894" s="2" t="s">
        <v>151</v>
      </c>
      <c r="L894" s="142"/>
    </row>
    <row r="895" spans="1:13" ht="20.25" customHeight="1">
      <c r="G895" s="2"/>
      <c r="H895" s="268" t="s">
        <v>155</v>
      </c>
      <c r="I895" s="268"/>
      <c r="J895" s="268"/>
      <c r="K895" s="2"/>
      <c r="L895" s="142"/>
    </row>
    <row r="896" spans="1:13" ht="31.5" customHeight="1">
      <c r="G896" s="68" t="s">
        <v>148</v>
      </c>
      <c r="H896" s="268" t="s">
        <v>149</v>
      </c>
      <c r="I896" s="268"/>
      <c r="J896" s="268"/>
      <c r="K896" s="2" t="s">
        <v>151</v>
      </c>
      <c r="L896" s="142"/>
    </row>
    <row r="897" spans="1:13" ht="20.25" customHeight="1">
      <c r="G897" s="2"/>
      <c r="H897" s="268" t="s">
        <v>156</v>
      </c>
      <c r="I897" s="268"/>
      <c r="J897" s="268"/>
      <c r="K897" s="2"/>
      <c r="L897" s="142"/>
    </row>
    <row r="898" spans="1:13" ht="34.5" customHeight="1">
      <c r="G898" s="68" t="s">
        <v>148</v>
      </c>
      <c r="H898" s="268" t="s">
        <v>149</v>
      </c>
      <c r="I898" s="268"/>
      <c r="J898" s="268"/>
      <c r="K898" s="67" t="s">
        <v>152</v>
      </c>
      <c r="L898" s="142"/>
    </row>
    <row r="899" spans="1:13" ht="24" customHeight="1">
      <c r="G899" s="67"/>
      <c r="H899" s="268" t="s">
        <v>157</v>
      </c>
      <c r="I899" s="268"/>
      <c r="J899" s="268"/>
      <c r="K899" s="67"/>
      <c r="L899" s="142"/>
    </row>
    <row r="900" spans="1:13" ht="24" customHeight="1">
      <c r="G900" s="67"/>
      <c r="H900" s="64"/>
      <c r="I900" s="64"/>
      <c r="J900" s="64"/>
      <c r="K900" s="67"/>
      <c r="L900" s="142"/>
    </row>
    <row r="901" spans="1:13" ht="24" customHeight="1">
      <c r="L901" s="138" t="s">
        <v>1448</v>
      </c>
    </row>
    <row r="902" spans="1:13" ht="24" customHeight="1">
      <c r="A902" s="269" t="s">
        <v>158</v>
      </c>
      <c r="B902" s="269"/>
      <c r="C902" s="269"/>
      <c r="D902" s="269"/>
      <c r="E902" s="269"/>
      <c r="F902" s="269"/>
      <c r="G902" s="269"/>
      <c r="H902" s="269"/>
      <c r="I902" s="269"/>
      <c r="J902" s="269"/>
      <c r="K902" s="269"/>
      <c r="L902" s="269"/>
    </row>
    <row r="903" spans="1:13" ht="24" customHeight="1">
      <c r="A903" s="270" t="s">
        <v>163</v>
      </c>
      <c r="B903" s="270"/>
      <c r="C903" s="270"/>
      <c r="D903" s="270"/>
      <c r="E903" s="270"/>
      <c r="F903" s="270"/>
      <c r="G903" s="270"/>
      <c r="H903" s="270"/>
      <c r="I903" s="270"/>
      <c r="J903" s="270"/>
      <c r="K903" s="270"/>
      <c r="L903" s="270"/>
    </row>
    <row r="904" spans="1:13" ht="24" customHeight="1" thickBot="1">
      <c r="A904" s="271" t="s">
        <v>164</v>
      </c>
      <c r="B904" s="271"/>
      <c r="C904" s="271"/>
      <c r="D904" s="271"/>
      <c r="E904" s="271"/>
      <c r="F904" s="271"/>
      <c r="G904" s="271"/>
      <c r="H904" s="271"/>
      <c r="I904" s="271"/>
      <c r="J904" s="271"/>
      <c r="K904" s="271"/>
      <c r="L904" s="271"/>
    </row>
    <row r="905" spans="1:13" ht="24" customHeight="1" thickTop="1">
      <c r="A905" s="272" t="s">
        <v>103</v>
      </c>
      <c r="B905" s="272" t="s">
        <v>122</v>
      </c>
      <c r="C905" s="272" t="s">
        <v>124</v>
      </c>
      <c r="D905" s="274" t="s">
        <v>0</v>
      </c>
      <c r="E905" s="272" t="s">
        <v>109</v>
      </c>
      <c r="F905" s="272" t="s">
        <v>110</v>
      </c>
      <c r="G905" s="276" t="s">
        <v>111</v>
      </c>
      <c r="H905" s="278" t="s">
        <v>1</v>
      </c>
      <c r="I905" s="279"/>
      <c r="J905" s="272" t="s">
        <v>125</v>
      </c>
      <c r="K905" s="272" t="s">
        <v>104</v>
      </c>
      <c r="L905" s="280" t="s">
        <v>112</v>
      </c>
    </row>
    <row r="906" spans="1:13" ht="45.75" customHeight="1" thickBot="1">
      <c r="A906" s="273"/>
      <c r="B906" s="273"/>
      <c r="C906" s="273"/>
      <c r="D906" s="275"/>
      <c r="E906" s="273"/>
      <c r="F906" s="273"/>
      <c r="G906" s="277"/>
      <c r="H906" s="51" t="s">
        <v>113</v>
      </c>
      <c r="I906" s="52" t="s">
        <v>114</v>
      </c>
      <c r="J906" s="273"/>
      <c r="K906" s="273"/>
      <c r="L906" s="281"/>
    </row>
    <row r="907" spans="1:13" ht="24" customHeight="1" thickTop="1">
      <c r="A907" s="35"/>
      <c r="B907" s="35"/>
      <c r="C907" s="35"/>
      <c r="D907" s="168"/>
      <c r="E907" s="35"/>
      <c r="F907" s="83"/>
      <c r="G907" s="34"/>
      <c r="H907" s="84"/>
      <c r="I907" s="85"/>
      <c r="J907" s="86" t="s">
        <v>132</v>
      </c>
      <c r="K907" s="87">
        <f>SUM(K887)</f>
        <v>26785646.540000003</v>
      </c>
      <c r="L907" s="146"/>
    </row>
    <row r="908" spans="1:13">
      <c r="A908" s="38">
        <v>291</v>
      </c>
      <c r="B908" s="108" t="s">
        <v>1015</v>
      </c>
      <c r="C908" s="105" t="s">
        <v>1014</v>
      </c>
      <c r="D908" s="175" t="s">
        <v>1013</v>
      </c>
      <c r="E908" s="18" t="s">
        <v>739</v>
      </c>
      <c r="F908" s="18">
        <v>7</v>
      </c>
      <c r="G908" s="18" t="s">
        <v>383</v>
      </c>
      <c r="H908" s="18">
        <v>3</v>
      </c>
      <c r="I908" s="4">
        <v>3</v>
      </c>
      <c r="J908" s="3">
        <v>25000</v>
      </c>
      <c r="K908" s="3">
        <f t="shared" ref="K908:K917" si="29">SUM(I908*J908)</f>
        <v>75000</v>
      </c>
      <c r="L908" s="135" t="s">
        <v>243</v>
      </c>
      <c r="M908" s="1" t="s">
        <v>1030</v>
      </c>
    </row>
    <row r="909" spans="1:13">
      <c r="A909" s="38">
        <v>292</v>
      </c>
      <c r="B909" s="29">
        <v>2552</v>
      </c>
      <c r="C909" s="5" t="s">
        <v>1028</v>
      </c>
      <c r="D909" s="126" t="s">
        <v>1027</v>
      </c>
      <c r="E909" s="18" t="s">
        <v>3</v>
      </c>
      <c r="F909" s="18">
        <v>13</v>
      </c>
      <c r="G909" s="18" t="s">
        <v>128</v>
      </c>
      <c r="H909" s="18">
        <v>1</v>
      </c>
      <c r="I909" s="4">
        <v>1</v>
      </c>
      <c r="J909" s="3">
        <v>17300</v>
      </c>
      <c r="K909" s="3">
        <f t="shared" si="29"/>
        <v>17300</v>
      </c>
      <c r="L909" s="135" t="s">
        <v>243</v>
      </c>
      <c r="M909" s="1" t="s">
        <v>1029</v>
      </c>
    </row>
    <row r="910" spans="1:13">
      <c r="A910" s="38">
        <v>293</v>
      </c>
      <c r="B910" s="29">
        <v>2553</v>
      </c>
      <c r="C910" s="5" t="s">
        <v>1026</v>
      </c>
      <c r="D910" s="126" t="s">
        <v>1025</v>
      </c>
      <c r="E910" s="18" t="s">
        <v>2</v>
      </c>
      <c r="F910" s="18">
        <v>12</v>
      </c>
      <c r="G910" s="18" t="s">
        <v>128</v>
      </c>
      <c r="H910" s="18">
        <v>1</v>
      </c>
      <c r="I910" s="4">
        <v>1</v>
      </c>
      <c r="J910" s="3">
        <v>7000</v>
      </c>
      <c r="K910" s="3">
        <f t="shared" si="29"/>
        <v>7000</v>
      </c>
      <c r="L910" s="135" t="s">
        <v>1313</v>
      </c>
      <c r="M910" s="1" t="s">
        <v>1029</v>
      </c>
    </row>
    <row r="911" spans="1:13">
      <c r="A911" s="38">
        <v>294</v>
      </c>
      <c r="B911" s="29">
        <v>2553</v>
      </c>
      <c r="C911" s="5" t="s">
        <v>1024</v>
      </c>
      <c r="D911" s="126" t="s">
        <v>468</v>
      </c>
      <c r="E911" s="18" t="s">
        <v>2</v>
      </c>
      <c r="F911" s="18">
        <v>12</v>
      </c>
      <c r="G911" s="18" t="s">
        <v>128</v>
      </c>
      <c r="H911" s="18">
        <v>1</v>
      </c>
      <c r="I911" s="4">
        <v>1</v>
      </c>
      <c r="J911" s="3">
        <v>17000</v>
      </c>
      <c r="K911" s="3">
        <f t="shared" si="29"/>
        <v>17000</v>
      </c>
      <c r="L911" s="135" t="s">
        <v>1314</v>
      </c>
      <c r="M911" s="1" t="s">
        <v>1029</v>
      </c>
    </row>
    <row r="912" spans="1:13">
      <c r="A912" s="38">
        <v>295</v>
      </c>
      <c r="B912" s="58" t="s">
        <v>876</v>
      </c>
      <c r="C912" s="19" t="s">
        <v>1048</v>
      </c>
      <c r="D912" s="176" t="s">
        <v>1047</v>
      </c>
      <c r="E912" s="18" t="s">
        <v>2</v>
      </c>
      <c r="F912" s="29">
        <v>10</v>
      </c>
      <c r="G912" s="9">
        <v>0</v>
      </c>
      <c r="H912" s="4">
        <v>1</v>
      </c>
      <c r="I912" s="4">
        <v>1</v>
      </c>
      <c r="J912" s="3">
        <v>18000</v>
      </c>
      <c r="K912" s="3">
        <f t="shared" si="29"/>
        <v>18000</v>
      </c>
      <c r="L912" s="135" t="s">
        <v>1046</v>
      </c>
      <c r="M912" s="1" t="s">
        <v>1041</v>
      </c>
    </row>
    <row r="913" spans="1:13">
      <c r="A913" s="38">
        <v>296</v>
      </c>
      <c r="B913" s="58" t="s">
        <v>138</v>
      </c>
      <c r="C913" s="19" t="s">
        <v>1055</v>
      </c>
      <c r="D913" s="176" t="s">
        <v>909</v>
      </c>
      <c r="E913" s="18" t="s">
        <v>2</v>
      </c>
      <c r="F913" s="29">
        <v>12</v>
      </c>
      <c r="G913" s="9">
        <v>0</v>
      </c>
      <c r="H913" s="4">
        <v>1</v>
      </c>
      <c r="I913" s="4">
        <v>1</v>
      </c>
      <c r="J913" s="3">
        <v>7900</v>
      </c>
      <c r="K913" s="3">
        <f t="shared" si="29"/>
        <v>7900</v>
      </c>
      <c r="L913" s="135" t="s">
        <v>1410</v>
      </c>
      <c r="M913" s="1" t="s">
        <v>1049</v>
      </c>
    </row>
    <row r="914" spans="1:13">
      <c r="A914" s="38">
        <v>297</v>
      </c>
      <c r="B914" s="29">
        <v>2558</v>
      </c>
      <c r="C914" s="19" t="s">
        <v>1054</v>
      </c>
      <c r="D914" s="176" t="s">
        <v>1053</v>
      </c>
      <c r="E914" s="18" t="s">
        <v>3</v>
      </c>
      <c r="F914" s="29">
        <v>7</v>
      </c>
      <c r="G914" s="9">
        <v>0</v>
      </c>
      <c r="H914" s="4">
        <v>1</v>
      </c>
      <c r="I914" s="4">
        <v>1</v>
      </c>
      <c r="J914" s="3">
        <v>22000</v>
      </c>
      <c r="K914" s="3">
        <f t="shared" si="29"/>
        <v>22000</v>
      </c>
      <c r="L914" s="135" t="s">
        <v>1052</v>
      </c>
      <c r="M914" s="1" t="s">
        <v>1049</v>
      </c>
    </row>
    <row r="915" spans="1:13" s="33" customFormat="1" ht="24" customHeight="1">
      <c r="A915" s="38">
        <v>298</v>
      </c>
      <c r="B915" s="116" t="s">
        <v>245</v>
      </c>
      <c r="C915" s="105" t="s">
        <v>1062</v>
      </c>
      <c r="D915" s="184" t="s">
        <v>621</v>
      </c>
      <c r="E915" s="117" t="s">
        <v>3</v>
      </c>
      <c r="F915" s="118" t="s">
        <v>1550</v>
      </c>
      <c r="G915" s="117" t="s">
        <v>1056</v>
      </c>
      <c r="H915" s="117">
        <v>1</v>
      </c>
      <c r="I915" s="117">
        <v>1</v>
      </c>
      <c r="J915" s="119">
        <v>17300</v>
      </c>
      <c r="K915" s="119">
        <f t="shared" si="29"/>
        <v>17300</v>
      </c>
      <c r="L915" s="157" t="s">
        <v>1317</v>
      </c>
      <c r="M915" s="33" t="s">
        <v>1061</v>
      </c>
    </row>
    <row r="916" spans="1:13" s="33" customFormat="1" ht="24" customHeight="1">
      <c r="A916" s="38">
        <v>299</v>
      </c>
      <c r="B916" s="38">
        <v>2553</v>
      </c>
      <c r="C916" s="105" t="s">
        <v>1060</v>
      </c>
      <c r="D916" s="184" t="s">
        <v>1059</v>
      </c>
      <c r="E916" s="117" t="s">
        <v>2</v>
      </c>
      <c r="F916" s="118" t="s">
        <v>1551</v>
      </c>
      <c r="G916" s="117" t="s">
        <v>1056</v>
      </c>
      <c r="H916" s="117">
        <v>1</v>
      </c>
      <c r="I916" s="117">
        <v>1</v>
      </c>
      <c r="J916" s="119">
        <v>10140</v>
      </c>
      <c r="K916" s="119">
        <f t="shared" si="29"/>
        <v>10140</v>
      </c>
      <c r="L916" s="157" t="s">
        <v>1323</v>
      </c>
      <c r="M916" s="33" t="s">
        <v>1061</v>
      </c>
    </row>
    <row r="917" spans="1:13" s="33" customFormat="1" ht="24" customHeight="1">
      <c r="A917" s="38">
        <v>300</v>
      </c>
      <c r="B917" s="38">
        <v>2553</v>
      </c>
      <c r="C917" s="105" t="s">
        <v>1057</v>
      </c>
      <c r="D917" s="184" t="s">
        <v>468</v>
      </c>
      <c r="E917" s="117" t="s">
        <v>2</v>
      </c>
      <c r="F917" s="118" t="s">
        <v>1551</v>
      </c>
      <c r="G917" s="117" t="s">
        <v>1056</v>
      </c>
      <c r="H917" s="117">
        <v>1</v>
      </c>
      <c r="I917" s="117">
        <v>1</v>
      </c>
      <c r="J917" s="119">
        <v>17000</v>
      </c>
      <c r="K917" s="119">
        <f t="shared" si="29"/>
        <v>17000</v>
      </c>
      <c r="L917" s="157" t="s">
        <v>1324</v>
      </c>
      <c r="M917" s="33" t="s">
        <v>1061</v>
      </c>
    </row>
    <row r="918" spans="1:13" ht="24" customHeight="1">
      <c r="A918" s="73"/>
      <c r="B918" s="82"/>
      <c r="C918" s="82"/>
      <c r="D918" s="167"/>
      <c r="E918" s="82"/>
      <c r="F918" s="82"/>
      <c r="G918" s="82"/>
      <c r="H918" s="82"/>
      <c r="I918" s="82"/>
      <c r="J918" s="74" t="s">
        <v>129</v>
      </c>
      <c r="K918" s="89">
        <f>SUM(K907:K917)</f>
        <v>26994286.540000003</v>
      </c>
      <c r="L918" s="147"/>
    </row>
    <row r="919" spans="1:13" ht="24" customHeight="1">
      <c r="A919" s="62"/>
      <c r="B919" s="62" t="s">
        <v>119</v>
      </c>
      <c r="C919" s="53" t="s">
        <v>120</v>
      </c>
      <c r="H919" s="63"/>
      <c r="I919" s="63"/>
      <c r="L919" s="148"/>
    </row>
    <row r="920" spans="1:13" ht="24" customHeight="1">
      <c r="A920" s="62"/>
      <c r="C920" s="53" t="s">
        <v>121</v>
      </c>
      <c r="H920" s="63"/>
      <c r="I920" s="63"/>
      <c r="L920" s="148"/>
    </row>
    <row r="921" spans="1:13" ht="24" customHeight="1">
      <c r="A921" s="90"/>
      <c r="G921" s="68" t="s">
        <v>148</v>
      </c>
      <c r="H921" s="268" t="s">
        <v>149</v>
      </c>
      <c r="I921" s="268"/>
      <c r="J921" s="268"/>
      <c r="K921" s="2" t="s">
        <v>150</v>
      </c>
      <c r="L921" s="141"/>
    </row>
    <row r="922" spans="1:13" ht="22.5" customHeight="1">
      <c r="A922" s="90"/>
      <c r="G922" s="2"/>
      <c r="H922" s="268" t="s">
        <v>1549</v>
      </c>
      <c r="I922" s="268"/>
      <c r="J922" s="268"/>
      <c r="K922" s="2"/>
      <c r="L922" s="141"/>
    </row>
    <row r="923" spans="1:13" ht="35.25" customHeight="1">
      <c r="G923" s="68" t="s">
        <v>148</v>
      </c>
      <c r="H923" s="268" t="s">
        <v>149</v>
      </c>
      <c r="I923" s="268"/>
      <c r="J923" s="268"/>
      <c r="K923" s="2" t="s">
        <v>151</v>
      </c>
      <c r="L923" s="141"/>
    </row>
    <row r="924" spans="1:13" ht="21" customHeight="1">
      <c r="G924" s="2"/>
      <c r="H924" s="268" t="s">
        <v>154</v>
      </c>
      <c r="I924" s="268"/>
      <c r="J924" s="268"/>
      <c r="K924" s="2"/>
      <c r="L924" s="141"/>
    </row>
    <row r="925" spans="1:13" ht="33" customHeight="1">
      <c r="G925" s="68" t="s">
        <v>148</v>
      </c>
      <c r="H925" s="268" t="s">
        <v>149</v>
      </c>
      <c r="I925" s="268"/>
      <c r="J925" s="268"/>
      <c r="K925" s="2" t="s">
        <v>151</v>
      </c>
      <c r="L925" s="142"/>
    </row>
    <row r="926" spans="1:13" ht="20.25" customHeight="1">
      <c r="G926" s="2"/>
      <c r="H926" s="268" t="s">
        <v>155</v>
      </c>
      <c r="I926" s="268"/>
      <c r="J926" s="268"/>
      <c r="K926" s="2"/>
      <c r="L926" s="142"/>
    </row>
    <row r="927" spans="1:13" ht="31.5" customHeight="1">
      <c r="G927" s="68" t="s">
        <v>148</v>
      </c>
      <c r="H927" s="268" t="s">
        <v>149</v>
      </c>
      <c r="I927" s="268"/>
      <c r="J927" s="268"/>
      <c r="K927" s="2" t="s">
        <v>151</v>
      </c>
      <c r="L927" s="142"/>
    </row>
    <row r="928" spans="1:13" ht="20.25" customHeight="1">
      <c r="G928" s="2"/>
      <c r="H928" s="268" t="s">
        <v>156</v>
      </c>
      <c r="I928" s="268"/>
      <c r="J928" s="268"/>
      <c r="K928" s="2"/>
      <c r="L928" s="142"/>
    </row>
    <row r="929" spans="1:13" ht="35.25" customHeight="1">
      <c r="G929" s="68" t="s">
        <v>148</v>
      </c>
      <c r="H929" s="268" t="s">
        <v>149</v>
      </c>
      <c r="I929" s="268"/>
      <c r="J929" s="268"/>
      <c r="K929" s="67" t="s">
        <v>152</v>
      </c>
      <c r="L929" s="142"/>
    </row>
    <row r="930" spans="1:13" ht="22.5" customHeight="1">
      <c r="G930" s="67"/>
      <c r="H930" s="268" t="s">
        <v>157</v>
      </c>
      <c r="I930" s="268"/>
      <c r="J930" s="268"/>
      <c r="K930" s="67"/>
      <c r="L930" s="142"/>
    </row>
    <row r="931" spans="1:13" ht="22.5" customHeight="1">
      <c r="G931" s="67"/>
      <c r="H931" s="64"/>
      <c r="I931" s="64"/>
      <c r="J931" s="64"/>
      <c r="K931" s="67"/>
      <c r="L931" s="142"/>
    </row>
    <row r="932" spans="1:13" ht="24" customHeight="1">
      <c r="L932" s="138" t="s">
        <v>1449</v>
      </c>
    </row>
    <row r="933" spans="1:13" ht="24" customHeight="1">
      <c r="A933" s="269" t="s">
        <v>158</v>
      </c>
      <c r="B933" s="269"/>
      <c r="C933" s="269"/>
      <c r="D933" s="269"/>
      <c r="E933" s="269"/>
      <c r="F933" s="269"/>
      <c r="G933" s="269"/>
      <c r="H933" s="269"/>
      <c r="I933" s="269"/>
      <c r="J933" s="269"/>
      <c r="K933" s="269"/>
      <c r="L933" s="269"/>
    </row>
    <row r="934" spans="1:13" ht="24" customHeight="1">
      <c r="A934" s="270" t="s">
        <v>163</v>
      </c>
      <c r="B934" s="270"/>
      <c r="C934" s="270"/>
      <c r="D934" s="270"/>
      <c r="E934" s="270"/>
      <c r="F934" s="270"/>
      <c r="G934" s="270"/>
      <c r="H934" s="270"/>
      <c r="I934" s="270"/>
      <c r="J934" s="270"/>
      <c r="K934" s="270"/>
      <c r="L934" s="270"/>
    </row>
    <row r="935" spans="1:13" ht="24" customHeight="1" thickBot="1">
      <c r="A935" s="271" t="s">
        <v>164</v>
      </c>
      <c r="B935" s="271"/>
      <c r="C935" s="271"/>
      <c r="D935" s="271"/>
      <c r="E935" s="271"/>
      <c r="F935" s="271"/>
      <c r="G935" s="271"/>
      <c r="H935" s="271"/>
      <c r="I935" s="271"/>
      <c r="J935" s="271"/>
      <c r="K935" s="271"/>
      <c r="L935" s="271"/>
    </row>
    <row r="936" spans="1:13" ht="24" customHeight="1" thickTop="1">
      <c r="A936" s="272" t="s">
        <v>103</v>
      </c>
      <c r="B936" s="272" t="s">
        <v>122</v>
      </c>
      <c r="C936" s="272" t="s">
        <v>124</v>
      </c>
      <c r="D936" s="274" t="s">
        <v>0</v>
      </c>
      <c r="E936" s="272" t="s">
        <v>109</v>
      </c>
      <c r="F936" s="272" t="s">
        <v>110</v>
      </c>
      <c r="G936" s="276" t="s">
        <v>111</v>
      </c>
      <c r="H936" s="278" t="s">
        <v>1</v>
      </c>
      <c r="I936" s="279"/>
      <c r="J936" s="272" t="s">
        <v>125</v>
      </c>
      <c r="K936" s="272" t="s">
        <v>104</v>
      </c>
      <c r="L936" s="280" t="s">
        <v>112</v>
      </c>
    </row>
    <row r="937" spans="1:13" ht="45.75" customHeight="1" thickBot="1">
      <c r="A937" s="273"/>
      <c r="B937" s="273"/>
      <c r="C937" s="273"/>
      <c r="D937" s="275"/>
      <c r="E937" s="273"/>
      <c r="F937" s="273"/>
      <c r="G937" s="277"/>
      <c r="H937" s="51" t="s">
        <v>113</v>
      </c>
      <c r="I937" s="52" t="s">
        <v>114</v>
      </c>
      <c r="J937" s="273"/>
      <c r="K937" s="273"/>
      <c r="L937" s="281"/>
    </row>
    <row r="938" spans="1:13" ht="24" customHeight="1" thickTop="1">
      <c r="A938" s="35"/>
      <c r="B938" s="35"/>
      <c r="C938" s="35"/>
      <c r="D938" s="168"/>
      <c r="E938" s="35"/>
      <c r="F938" s="83"/>
      <c r="G938" s="34"/>
      <c r="H938" s="84"/>
      <c r="I938" s="85"/>
      <c r="J938" s="86" t="s">
        <v>132</v>
      </c>
      <c r="K938" s="87">
        <f>SUM(K918)</f>
        <v>26994286.540000003</v>
      </c>
      <c r="L938" s="146"/>
    </row>
    <row r="939" spans="1:13" s="33" customFormat="1" ht="24" customHeight="1">
      <c r="A939" s="38">
        <v>301</v>
      </c>
      <c r="B939" s="38">
        <v>2546</v>
      </c>
      <c r="C939" s="105" t="s">
        <v>1079</v>
      </c>
      <c r="D939" s="184" t="s">
        <v>621</v>
      </c>
      <c r="E939" s="117" t="s">
        <v>3</v>
      </c>
      <c r="F939" s="117">
        <v>19</v>
      </c>
      <c r="G939" s="117" t="s">
        <v>1056</v>
      </c>
      <c r="H939" s="117">
        <v>1</v>
      </c>
      <c r="I939" s="117">
        <v>1</v>
      </c>
      <c r="J939" s="119">
        <v>33000</v>
      </c>
      <c r="K939" s="119">
        <f t="shared" ref="K939:K946" si="30">SUM(I939*J939)</f>
        <v>33000</v>
      </c>
      <c r="L939" s="157" t="s">
        <v>1317</v>
      </c>
      <c r="M939" s="33" t="s">
        <v>1063</v>
      </c>
    </row>
    <row r="940" spans="1:13" s="33" customFormat="1" ht="24" customHeight="1">
      <c r="A940" s="38">
        <v>302</v>
      </c>
      <c r="B940" s="38">
        <v>2547</v>
      </c>
      <c r="C940" s="105" t="s">
        <v>1078</v>
      </c>
      <c r="D940" s="184" t="s">
        <v>220</v>
      </c>
      <c r="E940" s="117" t="s">
        <v>3</v>
      </c>
      <c r="F940" s="117">
        <v>18</v>
      </c>
      <c r="G940" s="117" t="s">
        <v>1056</v>
      </c>
      <c r="H940" s="117">
        <v>1</v>
      </c>
      <c r="I940" s="117">
        <v>1</v>
      </c>
      <c r="J940" s="119">
        <v>6900</v>
      </c>
      <c r="K940" s="119">
        <f t="shared" si="30"/>
        <v>6900</v>
      </c>
      <c r="L940" s="157" t="s">
        <v>1318</v>
      </c>
      <c r="M940" s="33" t="s">
        <v>1063</v>
      </c>
    </row>
    <row r="941" spans="1:13" s="33" customFormat="1" ht="24" customHeight="1">
      <c r="A941" s="38">
        <v>303</v>
      </c>
      <c r="B941" s="38">
        <v>2551</v>
      </c>
      <c r="C941" s="105" t="s">
        <v>1077</v>
      </c>
      <c r="D941" s="184" t="s">
        <v>976</v>
      </c>
      <c r="E941" s="117" t="s">
        <v>3</v>
      </c>
      <c r="F941" s="117">
        <v>14</v>
      </c>
      <c r="G941" s="117" t="s">
        <v>1056</v>
      </c>
      <c r="H941" s="117">
        <v>1</v>
      </c>
      <c r="I941" s="117">
        <v>1</v>
      </c>
      <c r="J941" s="119">
        <v>5684.5</v>
      </c>
      <c r="K941" s="119">
        <f t="shared" si="30"/>
        <v>5684.5</v>
      </c>
      <c r="L941" s="157" t="s">
        <v>1319</v>
      </c>
      <c r="M941" s="33" t="s">
        <v>1063</v>
      </c>
    </row>
    <row r="942" spans="1:13" s="33" customFormat="1" ht="24" customHeight="1">
      <c r="A942" s="38">
        <v>304</v>
      </c>
      <c r="B942" s="116" t="s">
        <v>138</v>
      </c>
      <c r="C942" s="105" t="s">
        <v>1076</v>
      </c>
      <c r="D942" s="184" t="s">
        <v>468</v>
      </c>
      <c r="E942" s="117" t="s">
        <v>2</v>
      </c>
      <c r="F942" s="117">
        <v>12</v>
      </c>
      <c r="G942" s="117" t="s">
        <v>1056</v>
      </c>
      <c r="H942" s="117">
        <v>1</v>
      </c>
      <c r="I942" s="117">
        <v>1</v>
      </c>
      <c r="J942" s="119">
        <v>17000</v>
      </c>
      <c r="K942" s="119">
        <f t="shared" si="30"/>
        <v>17000</v>
      </c>
      <c r="L942" s="157" t="s">
        <v>1320</v>
      </c>
      <c r="M942" s="33" t="s">
        <v>1063</v>
      </c>
    </row>
    <row r="943" spans="1:13">
      <c r="A943" s="38">
        <v>305</v>
      </c>
      <c r="B943" s="58" t="s">
        <v>107</v>
      </c>
      <c r="C943" s="5" t="s">
        <v>1084</v>
      </c>
      <c r="D943" s="126" t="s">
        <v>470</v>
      </c>
      <c r="E943" s="18" t="s">
        <v>3</v>
      </c>
      <c r="F943" s="18">
        <v>19</v>
      </c>
      <c r="G943" s="18" t="s">
        <v>128</v>
      </c>
      <c r="H943" s="18">
        <v>1</v>
      </c>
      <c r="I943" s="4">
        <v>1</v>
      </c>
      <c r="J943" s="3">
        <v>33000</v>
      </c>
      <c r="K943" s="3">
        <f t="shared" si="30"/>
        <v>33000</v>
      </c>
      <c r="L943" s="135" t="s">
        <v>1058</v>
      </c>
      <c r="M943" s="1" t="s">
        <v>1080</v>
      </c>
    </row>
    <row r="944" spans="1:13">
      <c r="A944" s="38">
        <v>306</v>
      </c>
      <c r="B944" s="29">
        <v>2553</v>
      </c>
      <c r="C944" s="5" t="s">
        <v>910</v>
      </c>
      <c r="D944" s="126" t="s">
        <v>909</v>
      </c>
      <c r="E944" s="18" t="s">
        <v>2</v>
      </c>
      <c r="F944" s="18">
        <v>12</v>
      </c>
      <c r="G944" s="18" t="s">
        <v>128</v>
      </c>
      <c r="H944" s="18">
        <v>1</v>
      </c>
      <c r="I944" s="4">
        <v>1</v>
      </c>
      <c r="J944" s="3">
        <v>7900</v>
      </c>
      <c r="K944" s="3">
        <f t="shared" si="30"/>
        <v>7900</v>
      </c>
      <c r="L944" s="135" t="s">
        <v>1058</v>
      </c>
      <c r="M944" s="1" t="s">
        <v>1080</v>
      </c>
    </row>
    <row r="945" spans="1:13">
      <c r="A945" s="38">
        <v>307</v>
      </c>
      <c r="B945" s="29">
        <v>2553</v>
      </c>
      <c r="C945" s="5" t="s">
        <v>1083</v>
      </c>
      <c r="D945" s="126" t="s">
        <v>1082</v>
      </c>
      <c r="E945" s="18" t="s">
        <v>2</v>
      </c>
      <c r="F945" s="18">
        <v>12</v>
      </c>
      <c r="G945" s="18" t="s">
        <v>128</v>
      </c>
      <c r="H945" s="18">
        <v>1</v>
      </c>
      <c r="I945" s="4">
        <v>1</v>
      </c>
      <c r="J945" s="3">
        <v>39500</v>
      </c>
      <c r="K945" s="3">
        <f t="shared" si="30"/>
        <v>39500</v>
      </c>
      <c r="L945" s="135" t="s">
        <v>1058</v>
      </c>
      <c r="M945" s="1" t="s">
        <v>1080</v>
      </c>
    </row>
    <row r="946" spans="1:13">
      <c r="A946" s="38">
        <v>308</v>
      </c>
      <c r="B946" s="29">
        <v>2553</v>
      </c>
      <c r="C946" s="5" t="s">
        <v>1081</v>
      </c>
      <c r="D946" s="126" t="s">
        <v>468</v>
      </c>
      <c r="E946" s="18" t="s">
        <v>2</v>
      </c>
      <c r="F946" s="18">
        <v>12</v>
      </c>
      <c r="G946" s="18" t="s">
        <v>128</v>
      </c>
      <c r="H946" s="18">
        <v>1</v>
      </c>
      <c r="I946" s="4">
        <v>1</v>
      </c>
      <c r="J946" s="3">
        <v>17000</v>
      </c>
      <c r="K946" s="3">
        <f t="shared" si="30"/>
        <v>17000</v>
      </c>
      <c r="L946" s="135" t="s">
        <v>1058</v>
      </c>
      <c r="M946" s="1" t="s">
        <v>1080</v>
      </c>
    </row>
    <row r="947" spans="1:13">
      <c r="A947" s="38">
        <v>309</v>
      </c>
      <c r="B947" s="17">
        <v>2539</v>
      </c>
      <c r="C947" s="5" t="s">
        <v>1118</v>
      </c>
      <c r="D947" s="125" t="s">
        <v>1117</v>
      </c>
      <c r="E947" s="18" t="s">
        <v>2</v>
      </c>
      <c r="F947" s="18">
        <v>26</v>
      </c>
      <c r="G947" s="18" t="s">
        <v>383</v>
      </c>
      <c r="H947" s="18">
        <v>1</v>
      </c>
      <c r="I947" s="4">
        <v>1</v>
      </c>
      <c r="J947" s="3">
        <v>45000</v>
      </c>
      <c r="K947" s="3">
        <f>SUM(I947*J947)</f>
        <v>45000</v>
      </c>
      <c r="L947" s="135" t="s">
        <v>1397</v>
      </c>
      <c r="M947" s="1" t="s">
        <v>1088</v>
      </c>
    </row>
    <row r="948" spans="1:13">
      <c r="A948" s="38">
        <v>310</v>
      </c>
      <c r="B948" s="17">
        <v>2539</v>
      </c>
      <c r="C948" s="5" t="s">
        <v>1116</v>
      </c>
      <c r="D948" s="126" t="s">
        <v>1115</v>
      </c>
      <c r="E948" s="18" t="s">
        <v>2</v>
      </c>
      <c r="F948" s="18">
        <v>26</v>
      </c>
      <c r="G948" s="18" t="s">
        <v>383</v>
      </c>
      <c r="H948" s="18">
        <v>1</v>
      </c>
      <c r="I948" s="4">
        <v>1</v>
      </c>
      <c r="J948" s="3">
        <v>8500</v>
      </c>
      <c r="K948" s="3">
        <f>SUM(I948*J948)</f>
        <v>8500</v>
      </c>
      <c r="L948" s="135" t="s">
        <v>1398</v>
      </c>
      <c r="M948" s="1" t="s">
        <v>1088</v>
      </c>
    </row>
    <row r="949" spans="1:13" ht="24" customHeight="1">
      <c r="A949" s="73"/>
      <c r="B949" s="82"/>
      <c r="C949" s="82"/>
      <c r="D949" s="167"/>
      <c r="E949" s="82"/>
      <c r="F949" s="82"/>
      <c r="G949" s="82"/>
      <c r="H949" s="82"/>
      <c r="I949" s="82"/>
      <c r="J949" s="74" t="s">
        <v>129</v>
      </c>
      <c r="K949" s="89">
        <f>SUM(K938:K948)</f>
        <v>27207771.040000003</v>
      </c>
      <c r="L949" s="147"/>
    </row>
    <row r="950" spans="1:13" ht="24" customHeight="1">
      <c r="A950" s="62"/>
      <c r="B950" s="62" t="s">
        <v>119</v>
      </c>
      <c r="C950" s="53" t="s">
        <v>120</v>
      </c>
      <c r="H950" s="63"/>
      <c r="I950" s="63"/>
      <c r="L950" s="148"/>
    </row>
    <row r="951" spans="1:13" ht="24" customHeight="1">
      <c r="A951" s="62"/>
      <c r="C951" s="53" t="s">
        <v>121</v>
      </c>
      <c r="H951" s="63"/>
      <c r="I951" s="63"/>
      <c r="L951" s="148"/>
    </row>
    <row r="952" spans="1:13" ht="21.75" customHeight="1">
      <c r="A952" s="90"/>
      <c r="G952" s="68" t="s">
        <v>148</v>
      </c>
      <c r="H952" s="268" t="s">
        <v>149</v>
      </c>
      <c r="I952" s="268"/>
      <c r="J952" s="268"/>
      <c r="K952" s="2" t="s">
        <v>150</v>
      </c>
      <c r="L952" s="141"/>
    </row>
    <row r="953" spans="1:13" ht="21.75" customHeight="1">
      <c r="A953" s="90"/>
      <c r="G953" s="2"/>
      <c r="H953" s="268" t="s">
        <v>1549</v>
      </c>
      <c r="I953" s="268"/>
      <c r="J953" s="268"/>
      <c r="K953" s="2"/>
      <c r="L953" s="141"/>
    </row>
    <row r="954" spans="1:13" ht="32.25" customHeight="1">
      <c r="G954" s="68" t="s">
        <v>148</v>
      </c>
      <c r="H954" s="268" t="s">
        <v>149</v>
      </c>
      <c r="I954" s="268"/>
      <c r="J954" s="268"/>
      <c r="K954" s="2" t="s">
        <v>151</v>
      </c>
      <c r="L954" s="141"/>
    </row>
    <row r="955" spans="1:13" ht="22.5" customHeight="1">
      <c r="G955" s="2"/>
      <c r="H955" s="268" t="s">
        <v>154</v>
      </c>
      <c r="I955" s="268"/>
      <c r="J955" s="268"/>
      <c r="K955" s="2"/>
      <c r="L955" s="141"/>
    </row>
    <row r="956" spans="1:13" ht="34.5" customHeight="1">
      <c r="G956" s="68" t="s">
        <v>148</v>
      </c>
      <c r="H956" s="268" t="s">
        <v>149</v>
      </c>
      <c r="I956" s="268"/>
      <c r="J956" s="268"/>
      <c r="K956" s="2" t="s">
        <v>151</v>
      </c>
      <c r="L956" s="142"/>
    </row>
    <row r="957" spans="1:13" ht="20.25" customHeight="1">
      <c r="G957" s="2"/>
      <c r="H957" s="268" t="s">
        <v>155</v>
      </c>
      <c r="I957" s="268"/>
      <c r="J957" s="268"/>
      <c r="K957" s="2"/>
      <c r="L957" s="142"/>
    </row>
    <row r="958" spans="1:13" ht="32.25" customHeight="1">
      <c r="G958" s="68" t="s">
        <v>148</v>
      </c>
      <c r="H958" s="268" t="s">
        <v>149</v>
      </c>
      <c r="I958" s="268"/>
      <c r="J958" s="268"/>
      <c r="K958" s="2" t="s">
        <v>151</v>
      </c>
      <c r="L958" s="142"/>
    </row>
    <row r="959" spans="1:13" ht="21" customHeight="1">
      <c r="G959" s="2"/>
      <c r="H959" s="268" t="s">
        <v>156</v>
      </c>
      <c r="I959" s="268"/>
      <c r="J959" s="268"/>
      <c r="K959" s="2"/>
      <c r="L959" s="142"/>
    </row>
    <row r="960" spans="1:13" ht="34.5" customHeight="1">
      <c r="G960" s="68" t="s">
        <v>148</v>
      </c>
      <c r="H960" s="268" t="s">
        <v>149</v>
      </c>
      <c r="I960" s="268"/>
      <c r="J960" s="268"/>
      <c r="K960" s="67" t="s">
        <v>152</v>
      </c>
      <c r="L960" s="142"/>
    </row>
    <row r="961" spans="1:13" ht="23.25" customHeight="1">
      <c r="G961" s="67"/>
      <c r="H961" s="268" t="s">
        <v>157</v>
      </c>
      <c r="I961" s="268"/>
      <c r="J961" s="268"/>
      <c r="K961" s="67"/>
      <c r="L961" s="142"/>
    </row>
    <row r="962" spans="1:13" ht="23.25" customHeight="1">
      <c r="G962" s="67"/>
      <c r="H962" s="64"/>
      <c r="I962" s="64"/>
      <c r="J962" s="64"/>
      <c r="K962" s="67"/>
      <c r="L962" s="142"/>
    </row>
    <row r="963" spans="1:13" ht="24" customHeight="1">
      <c r="L963" s="138" t="s">
        <v>1450</v>
      </c>
    </row>
    <row r="964" spans="1:13" ht="24" customHeight="1">
      <c r="A964" s="269" t="s">
        <v>158</v>
      </c>
      <c r="B964" s="269"/>
      <c r="C964" s="269"/>
      <c r="D964" s="269"/>
      <c r="E964" s="269"/>
      <c r="F964" s="269"/>
      <c r="G964" s="269"/>
      <c r="H964" s="269"/>
      <c r="I964" s="269"/>
      <c r="J964" s="269"/>
      <c r="K964" s="269"/>
      <c r="L964" s="269"/>
    </row>
    <row r="965" spans="1:13" ht="24" customHeight="1">
      <c r="A965" s="270" t="s">
        <v>163</v>
      </c>
      <c r="B965" s="270"/>
      <c r="C965" s="270"/>
      <c r="D965" s="270"/>
      <c r="E965" s="270"/>
      <c r="F965" s="270"/>
      <c r="G965" s="270"/>
      <c r="H965" s="270"/>
      <c r="I965" s="270"/>
      <c r="J965" s="270"/>
      <c r="K965" s="270"/>
      <c r="L965" s="270"/>
    </row>
    <row r="966" spans="1:13" ht="24" customHeight="1" thickBot="1">
      <c r="A966" s="271" t="s">
        <v>164</v>
      </c>
      <c r="B966" s="271"/>
      <c r="C966" s="271"/>
      <c r="D966" s="271"/>
      <c r="E966" s="271"/>
      <c r="F966" s="271"/>
      <c r="G966" s="271"/>
      <c r="H966" s="271"/>
      <c r="I966" s="271"/>
      <c r="J966" s="271"/>
      <c r="K966" s="271"/>
      <c r="L966" s="271"/>
    </row>
    <row r="967" spans="1:13" ht="24" customHeight="1" thickTop="1">
      <c r="A967" s="272" t="s">
        <v>103</v>
      </c>
      <c r="B967" s="272" t="s">
        <v>122</v>
      </c>
      <c r="C967" s="272" t="s">
        <v>124</v>
      </c>
      <c r="D967" s="274" t="s">
        <v>0</v>
      </c>
      <c r="E967" s="272" t="s">
        <v>109</v>
      </c>
      <c r="F967" s="272" t="s">
        <v>110</v>
      </c>
      <c r="G967" s="276" t="s">
        <v>111</v>
      </c>
      <c r="H967" s="278" t="s">
        <v>1</v>
      </c>
      <c r="I967" s="279"/>
      <c r="J967" s="272" t="s">
        <v>125</v>
      </c>
      <c r="K967" s="272" t="s">
        <v>104</v>
      </c>
      <c r="L967" s="280" t="s">
        <v>112</v>
      </c>
    </row>
    <row r="968" spans="1:13" ht="45.75" customHeight="1" thickBot="1">
      <c r="A968" s="273"/>
      <c r="B968" s="273"/>
      <c r="C968" s="273"/>
      <c r="D968" s="275"/>
      <c r="E968" s="273"/>
      <c r="F968" s="273"/>
      <c r="G968" s="277"/>
      <c r="H968" s="51" t="s">
        <v>113</v>
      </c>
      <c r="I968" s="52" t="s">
        <v>114</v>
      </c>
      <c r="J968" s="273"/>
      <c r="K968" s="273"/>
      <c r="L968" s="281"/>
    </row>
    <row r="969" spans="1:13" ht="24" customHeight="1" thickTop="1">
      <c r="A969" s="35"/>
      <c r="B969" s="35"/>
      <c r="C969" s="35"/>
      <c r="D969" s="168"/>
      <c r="E969" s="35"/>
      <c r="F969" s="83"/>
      <c r="G969" s="34"/>
      <c r="H969" s="84"/>
      <c r="I969" s="85"/>
      <c r="J969" s="86" t="s">
        <v>132</v>
      </c>
      <c r="K969" s="87">
        <f>SUM(K949)</f>
        <v>27207771.040000003</v>
      </c>
      <c r="L969" s="146"/>
    </row>
    <row r="970" spans="1:13">
      <c r="A970" s="17">
        <v>311</v>
      </c>
      <c r="B970" s="17">
        <v>2539</v>
      </c>
      <c r="C970" s="5" t="s">
        <v>1137</v>
      </c>
      <c r="D970" s="126" t="s">
        <v>1136</v>
      </c>
      <c r="E970" s="18" t="s">
        <v>2</v>
      </c>
      <c r="F970" s="18">
        <v>26</v>
      </c>
      <c r="G970" s="18" t="s">
        <v>383</v>
      </c>
      <c r="H970" s="18">
        <v>1</v>
      </c>
      <c r="I970" s="4">
        <v>1</v>
      </c>
      <c r="J970" s="3">
        <v>9000</v>
      </c>
      <c r="K970" s="3">
        <f t="shared" ref="K970:K979" si="31">SUM(I970*J970)</f>
        <v>9000</v>
      </c>
      <c r="L970" s="135" t="s">
        <v>1399</v>
      </c>
      <c r="M970" s="1" t="s">
        <v>1088</v>
      </c>
    </row>
    <row r="971" spans="1:13">
      <c r="A971" s="17">
        <v>312</v>
      </c>
      <c r="B971" s="17">
        <v>2541</v>
      </c>
      <c r="C971" s="5" t="s">
        <v>1135</v>
      </c>
      <c r="D971" s="126" t="s">
        <v>1134</v>
      </c>
      <c r="E971" s="18" t="s">
        <v>3</v>
      </c>
      <c r="F971" s="18">
        <v>24</v>
      </c>
      <c r="G971" s="18" t="s">
        <v>383</v>
      </c>
      <c r="H971" s="18">
        <v>1</v>
      </c>
      <c r="I971" s="4">
        <v>1</v>
      </c>
      <c r="J971" s="3">
        <v>53900</v>
      </c>
      <c r="K971" s="3">
        <f t="shared" si="31"/>
        <v>53900</v>
      </c>
      <c r="L971" s="135" t="s">
        <v>1400</v>
      </c>
      <c r="M971" s="1" t="s">
        <v>1088</v>
      </c>
    </row>
    <row r="972" spans="1:13">
      <c r="A972" s="17">
        <v>313</v>
      </c>
      <c r="B972" s="17">
        <v>2541</v>
      </c>
      <c r="C972" s="5" t="s">
        <v>1133</v>
      </c>
      <c r="D972" s="125" t="s">
        <v>1131</v>
      </c>
      <c r="E972" s="18" t="s">
        <v>3</v>
      </c>
      <c r="F972" s="18">
        <v>24</v>
      </c>
      <c r="G972" s="18" t="s">
        <v>383</v>
      </c>
      <c r="H972" s="18">
        <v>3</v>
      </c>
      <c r="I972" s="4">
        <v>3</v>
      </c>
      <c r="J972" s="3">
        <v>9400</v>
      </c>
      <c r="K972" s="3">
        <f t="shared" si="31"/>
        <v>28200</v>
      </c>
      <c r="L972" s="135" t="s">
        <v>1401</v>
      </c>
      <c r="M972" s="1" t="s">
        <v>1088</v>
      </c>
    </row>
    <row r="973" spans="1:13">
      <c r="A973" s="17">
        <v>314</v>
      </c>
      <c r="B973" s="17">
        <v>2544</v>
      </c>
      <c r="C973" s="5" t="s">
        <v>1132</v>
      </c>
      <c r="D973" s="125" t="s">
        <v>1131</v>
      </c>
      <c r="E973" s="18" t="s">
        <v>3</v>
      </c>
      <c r="F973" s="18">
        <v>21</v>
      </c>
      <c r="G973" s="18" t="s">
        <v>383</v>
      </c>
      <c r="H973" s="18">
        <v>4</v>
      </c>
      <c r="I973" s="4">
        <v>4</v>
      </c>
      <c r="J973" s="3">
        <v>7650</v>
      </c>
      <c r="K973" s="3">
        <f t="shared" si="31"/>
        <v>30600</v>
      </c>
      <c r="L973" s="135" t="s">
        <v>1401</v>
      </c>
      <c r="M973" s="1" t="s">
        <v>1088</v>
      </c>
    </row>
    <row r="974" spans="1:13">
      <c r="A974" s="17">
        <v>315</v>
      </c>
      <c r="B974" s="17">
        <v>2544</v>
      </c>
      <c r="C974" s="5" t="s">
        <v>1130</v>
      </c>
      <c r="D974" s="126" t="s">
        <v>1129</v>
      </c>
      <c r="E974" s="18" t="s">
        <v>4</v>
      </c>
      <c r="F974" s="18">
        <v>21</v>
      </c>
      <c r="G974" s="18" t="s">
        <v>383</v>
      </c>
      <c r="H974" s="18">
        <v>1</v>
      </c>
      <c r="I974" s="4">
        <v>1</v>
      </c>
      <c r="J974" s="3">
        <v>15500</v>
      </c>
      <c r="K974" s="3">
        <f t="shared" si="31"/>
        <v>15500</v>
      </c>
      <c r="L974" s="135" t="s">
        <v>1402</v>
      </c>
      <c r="M974" s="1" t="s">
        <v>1088</v>
      </c>
    </row>
    <row r="975" spans="1:13">
      <c r="A975" s="17">
        <v>316</v>
      </c>
      <c r="B975" s="17">
        <v>2544</v>
      </c>
      <c r="C975" s="5" t="s">
        <v>1128</v>
      </c>
      <c r="D975" s="126" t="s">
        <v>1127</v>
      </c>
      <c r="E975" s="18" t="s">
        <v>3</v>
      </c>
      <c r="F975" s="18">
        <v>21</v>
      </c>
      <c r="G975" s="18" t="s">
        <v>383</v>
      </c>
      <c r="H975" s="18">
        <v>1</v>
      </c>
      <c r="I975" s="4">
        <v>1</v>
      </c>
      <c r="J975" s="3">
        <v>8700</v>
      </c>
      <c r="K975" s="3">
        <f t="shared" si="31"/>
        <v>8700</v>
      </c>
      <c r="L975" s="135" t="s">
        <v>1403</v>
      </c>
      <c r="M975" s="1" t="s">
        <v>1088</v>
      </c>
    </row>
    <row r="976" spans="1:13">
      <c r="A976" s="17">
        <v>317</v>
      </c>
      <c r="B976" s="17">
        <v>2545</v>
      </c>
      <c r="C976" s="5" t="s">
        <v>1126</v>
      </c>
      <c r="D976" s="126" t="s">
        <v>1125</v>
      </c>
      <c r="E976" s="18" t="s">
        <v>3</v>
      </c>
      <c r="F976" s="18">
        <v>20</v>
      </c>
      <c r="G976" s="18" t="s">
        <v>383</v>
      </c>
      <c r="H976" s="18">
        <v>1</v>
      </c>
      <c r="I976" s="4">
        <v>1</v>
      </c>
      <c r="J976" s="3">
        <v>5990</v>
      </c>
      <c r="K976" s="3">
        <f t="shared" si="31"/>
        <v>5990</v>
      </c>
      <c r="L976" s="135" t="s">
        <v>1404</v>
      </c>
      <c r="M976" s="1" t="s">
        <v>1088</v>
      </c>
    </row>
    <row r="977" spans="1:13">
      <c r="A977" s="17">
        <v>318</v>
      </c>
      <c r="B977" s="17">
        <v>2546</v>
      </c>
      <c r="C977" s="5" t="s">
        <v>1124</v>
      </c>
      <c r="D977" s="126" t="s">
        <v>1123</v>
      </c>
      <c r="E977" s="18" t="s">
        <v>2</v>
      </c>
      <c r="F977" s="18">
        <v>19</v>
      </c>
      <c r="G977" s="18" t="s">
        <v>383</v>
      </c>
      <c r="H977" s="18">
        <v>1</v>
      </c>
      <c r="I977" s="4">
        <v>1</v>
      </c>
      <c r="J977" s="3">
        <v>130000</v>
      </c>
      <c r="K977" s="3">
        <f t="shared" si="31"/>
        <v>130000</v>
      </c>
      <c r="L977" s="135" t="s">
        <v>1405</v>
      </c>
      <c r="M977" s="1" t="s">
        <v>1088</v>
      </c>
    </row>
    <row r="978" spans="1:13">
      <c r="A978" s="17">
        <v>319</v>
      </c>
      <c r="B978" s="17">
        <v>2546</v>
      </c>
      <c r="C978" s="5" t="s">
        <v>1122</v>
      </c>
      <c r="D978" s="126" t="s">
        <v>1121</v>
      </c>
      <c r="E978" s="18" t="s">
        <v>2</v>
      </c>
      <c r="F978" s="18">
        <v>19</v>
      </c>
      <c r="G978" s="18" t="s">
        <v>383</v>
      </c>
      <c r="H978" s="18">
        <v>1</v>
      </c>
      <c r="I978" s="4">
        <v>1</v>
      </c>
      <c r="J978" s="3">
        <v>35000</v>
      </c>
      <c r="K978" s="3">
        <f t="shared" si="31"/>
        <v>35000</v>
      </c>
      <c r="L978" s="135" t="s">
        <v>1406</v>
      </c>
      <c r="M978" s="1" t="s">
        <v>1088</v>
      </c>
    </row>
    <row r="979" spans="1:13">
      <c r="A979" s="17">
        <v>320</v>
      </c>
      <c r="B979" s="17">
        <v>2548</v>
      </c>
      <c r="C979" s="5" t="s">
        <v>1120</v>
      </c>
      <c r="D979" s="126" t="s">
        <v>1119</v>
      </c>
      <c r="E979" s="18" t="s">
        <v>2</v>
      </c>
      <c r="F979" s="18">
        <v>17</v>
      </c>
      <c r="G979" s="18" t="s">
        <v>383</v>
      </c>
      <c r="H979" s="18">
        <v>1</v>
      </c>
      <c r="I979" s="4">
        <v>1</v>
      </c>
      <c r="J979" s="3">
        <v>462312</v>
      </c>
      <c r="K979" s="3">
        <f t="shared" si="31"/>
        <v>462312</v>
      </c>
      <c r="L979" s="135" t="s">
        <v>1407</v>
      </c>
      <c r="M979" s="1" t="s">
        <v>1088</v>
      </c>
    </row>
    <row r="980" spans="1:13" ht="24" customHeight="1">
      <c r="A980" s="73"/>
      <c r="B980" s="82"/>
      <c r="C980" s="82"/>
      <c r="D980" s="167"/>
      <c r="E980" s="82"/>
      <c r="F980" s="82"/>
      <c r="G980" s="82"/>
      <c r="H980" s="82"/>
      <c r="I980" s="82"/>
      <c r="J980" s="74" t="s">
        <v>129</v>
      </c>
      <c r="K980" s="89">
        <f>SUM(K969:K979)</f>
        <v>27986973.040000003</v>
      </c>
      <c r="L980" s="147"/>
    </row>
    <row r="981" spans="1:13" ht="24" customHeight="1">
      <c r="A981" s="62"/>
      <c r="B981" s="62" t="s">
        <v>119</v>
      </c>
      <c r="C981" s="53" t="s">
        <v>120</v>
      </c>
      <c r="H981" s="63"/>
      <c r="I981" s="63"/>
      <c r="L981" s="148"/>
    </row>
    <row r="982" spans="1:13" ht="24" customHeight="1">
      <c r="A982" s="62"/>
      <c r="C982" s="53" t="s">
        <v>121</v>
      </c>
      <c r="H982" s="63"/>
      <c r="I982" s="63"/>
      <c r="L982" s="148"/>
    </row>
    <row r="983" spans="1:13" ht="24" customHeight="1">
      <c r="A983" s="90"/>
      <c r="G983" s="68" t="s">
        <v>148</v>
      </c>
      <c r="H983" s="268" t="s">
        <v>149</v>
      </c>
      <c r="I983" s="268"/>
      <c r="J983" s="268"/>
      <c r="K983" s="2" t="s">
        <v>150</v>
      </c>
      <c r="L983" s="141"/>
    </row>
    <row r="984" spans="1:13" ht="21.75" customHeight="1">
      <c r="A984" s="90"/>
      <c r="G984" s="2"/>
      <c r="H984" s="268" t="s">
        <v>1549</v>
      </c>
      <c r="I984" s="268"/>
      <c r="J984" s="268"/>
      <c r="K984" s="2"/>
      <c r="L984" s="141"/>
    </row>
    <row r="985" spans="1:13" ht="35.25" customHeight="1">
      <c r="G985" s="68" t="s">
        <v>148</v>
      </c>
      <c r="H985" s="268" t="s">
        <v>149</v>
      </c>
      <c r="I985" s="268"/>
      <c r="J985" s="268"/>
      <c r="K985" s="2" t="s">
        <v>151</v>
      </c>
      <c r="L985" s="141"/>
    </row>
    <row r="986" spans="1:13" ht="20.25" customHeight="1">
      <c r="G986" s="2"/>
      <c r="H986" s="268" t="s">
        <v>154</v>
      </c>
      <c r="I986" s="268"/>
      <c r="J986" s="268"/>
      <c r="K986" s="2"/>
      <c r="L986" s="141"/>
    </row>
    <row r="987" spans="1:13" ht="32.25" customHeight="1">
      <c r="G987" s="68" t="s">
        <v>148</v>
      </c>
      <c r="H987" s="268" t="s">
        <v>149</v>
      </c>
      <c r="I987" s="268"/>
      <c r="J987" s="268"/>
      <c r="K987" s="2" t="s">
        <v>151</v>
      </c>
      <c r="L987" s="142"/>
    </row>
    <row r="988" spans="1:13" ht="20.25" customHeight="1">
      <c r="G988" s="2"/>
      <c r="H988" s="268" t="s">
        <v>155</v>
      </c>
      <c r="I988" s="268"/>
      <c r="J988" s="268"/>
      <c r="K988" s="2"/>
      <c r="L988" s="142"/>
    </row>
    <row r="989" spans="1:13" ht="32.25" customHeight="1">
      <c r="G989" s="68" t="s">
        <v>148</v>
      </c>
      <c r="H989" s="268" t="s">
        <v>149</v>
      </c>
      <c r="I989" s="268"/>
      <c r="J989" s="268"/>
      <c r="K989" s="2" t="s">
        <v>151</v>
      </c>
      <c r="L989" s="142"/>
    </row>
    <row r="990" spans="1:13" ht="21.75" customHeight="1">
      <c r="G990" s="2"/>
      <c r="H990" s="268" t="s">
        <v>156</v>
      </c>
      <c r="I990" s="268"/>
      <c r="J990" s="268"/>
      <c r="K990" s="2"/>
      <c r="L990" s="142"/>
    </row>
    <row r="991" spans="1:13" ht="33.75" customHeight="1">
      <c r="G991" s="68" t="s">
        <v>148</v>
      </c>
      <c r="H991" s="268" t="s">
        <v>149</v>
      </c>
      <c r="I991" s="268"/>
      <c r="J991" s="268"/>
      <c r="K991" s="67" t="s">
        <v>152</v>
      </c>
      <c r="L991" s="142"/>
    </row>
    <row r="992" spans="1:13" ht="24" customHeight="1">
      <c r="G992" s="67"/>
      <c r="H992" s="268" t="s">
        <v>157</v>
      </c>
      <c r="I992" s="268"/>
      <c r="J992" s="268"/>
      <c r="K992" s="67"/>
      <c r="L992" s="142"/>
    </row>
    <row r="993" spans="1:13" ht="24" customHeight="1">
      <c r="G993" s="67"/>
      <c r="H993" s="64"/>
      <c r="I993" s="64"/>
      <c r="J993" s="64"/>
      <c r="K993" s="67"/>
      <c r="L993" s="142"/>
    </row>
    <row r="994" spans="1:13" ht="24" customHeight="1">
      <c r="L994" s="138" t="s">
        <v>1451</v>
      </c>
    </row>
    <row r="995" spans="1:13" ht="24" customHeight="1">
      <c r="A995" s="269" t="s">
        <v>158</v>
      </c>
      <c r="B995" s="269"/>
      <c r="C995" s="269"/>
      <c r="D995" s="269"/>
      <c r="E995" s="269"/>
      <c r="F995" s="269"/>
      <c r="G995" s="269"/>
      <c r="H995" s="269"/>
      <c r="I995" s="269"/>
      <c r="J995" s="269"/>
      <c r="K995" s="269"/>
      <c r="L995" s="269"/>
    </row>
    <row r="996" spans="1:13" ht="24" customHeight="1">
      <c r="A996" s="270" t="s">
        <v>163</v>
      </c>
      <c r="B996" s="270"/>
      <c r="C996" s="270"/>
      <c r="D996" s="270"/>
      <c r="E996" s="270"/>
      <c r="F996" s="270"/>
      <c r="G996" s="270"/>
      <c r="H996" s="270"/>
      <c r="I996" s="270"/>
      <c r="J996" s="270"/>
      <c r="K996" s="270"/>
      <c r="L996" s="270"/>
    </row>
    <row r="997" spans="1:13" ht="24" customHeight="1" thickBot="1">
      <c r="A997" s="271" t="s">
        <v>164</v>
      </c>
      <c r="B997" s="271"/>
      <c r="C997" s="271"/>
      <c r="D997" s="271"/>
      <c r="E997" s="271"/>
      <c r="F997" s="271"/>
      <c r="G997" s="271"/>
      <c r="H997" s="271"/>
      <c r="I997" s="271"/>
      <c r="J997" s="271"/>
      <c r="K997" s="271"/>
      <c r="L997" s="271"/>
    </row>
    <row r="998" spans="1:13" ht="24" customHeight="1" thickTop="1">
      <c r="A998" s="282" t="s">
        <v>103</v>
      </c>
      <c r="B998" s="282" t="s">
        <v>122</v>
      </c>
      <c r="C998" s="282" t="s">
        <v>124</v>
      </c>
      <c r="D998" s="284" t="s">
        <v>0</v>
      </c>
      <c r="E998" s="282" t="s">
        <v>109</v>
      </c>
      <c r="F998" s="282" t="s">
        <v>110</v>
      </c>
      <c r="G998" s="286" t="s">
        <v>111</v>
      </c>
      <c r="H998" s="288" t="s">
        <v>1</v>
      </c>
      <c r="I998" s="288"/>
      <c r="J998" s="282" t="s">
        <v>125</v>
      </c>
      <c r="K998" s="282" t="s">
        <v>104</v>
      </c>
      <c r="L998" s="289" t="s">
        <v>112</v>
      </c>
    </row>
    <row r="999" spans="1:13" ht="45.75" customHeight="1" thickBot="1">
      <c r="A999" s="283"/>
      <c r="B999" s="283"/>
      <c r="C999" s="283"/>
      <c r="D999" s="285"/>
      <c r="E999" s="283"/>
      <c r="F999" s="283"/>
      <c r="G999" s="287"/>
      <c r="H999" s="51" t="s">
        <v>113</v>
      </c>
      <c r="I999" s="52" t="s">
        <v>114</v>
      </c>
      <c r="J999" s="283"/>
      <c r="K999" s="283"/>
      <c r="L999" s="290"/>
    </row>
    <row r="1000" spans="1:13" ht="24" customHeight="1" thickTop="1">
      <c r="A1000" s="35"/>
      <c r="B1000" s="35"/>
      <c r="C1000" s="35"/>
      <c r="D1000" s="168"/>
      <c r="E1000" s="35"/>
      <c r="F1000" s="83"/>
      <c r="G1000" s="34"/>
      <c r="H1000" s="84"/>
      <c r="I1000" s="85"/>
      <c r="J1000" s="86" t="s">
        <v>132</v>
      </c>
      <c r="K1000" s="87">
        <f>SUM(K980)</f>
        <v>27986973.040000003</v>
      </c>
      <c r="L1000" s="146"/>
    </row>
    <row r="1001" spans="1:13">
      <c r="A1001" s="17">
        <v>321</v>
      </c>
      <c r="B1001" s="17">
        <v>2548</v>
      </c>
      <c r="C1001" s="5" t="s">
        <v>1152</v>
      </c>
      <c r="D1001" s="126" t="s">
        <v>1151</v>
      </c>
      <c r="E1001" s="18" t="s">
        <v>4</v>
      </c>
      <c r="F1001" s="18">
        <v>17</v>
      </c>
      <c r="G1001" s="18" t="s">
        <v>383</v>
      </c>
      <c r="H1001" s="18">
        <v>1</v>
      </c>
      <c r="I1001" s="4">
        <v>1</v>
      </c>
      <c r="J1001" s="3">
        <v>42000</v>
      </c>
      <c r="K1001" s="3">
        <f t="shared" ref="K1001:K1010" si="32">SUM(I1001*J1001)</f>
        <v>42000</v>
      </c>
      <c r="L1001" s="135" t="s">
        <v>1408</v>
      </c>
      <c r="M1001" s="1" t="s">
        <v>1088</v>
      </c>
    </row>
    <row r="1002" spans="1:13">
      <c r="A1002" s="17">
        <v>322</v>
      </c>
      <c r="B1002" s="17">
        <v>2548</v>
      </c>
      <c r="C1002" s="5" t="s">
        <v>1150</v>
      </c>
      <c r="D1002" s="126" t="s">
        <v>470</v>
      </c>
      <c r="E1002" s="18" t="s">
        <v>4</v>
      </c>
      <c r="F1002" s="18">
        <v>17</v>
      </c>
      <c r="G1002" s="18" t="s">
        <v>383</v>
      </c>
      <c r="H1002" s="18">
        <v>6</v>
      </c>
      <c r="I1002" s="4">
        <v>6</v>
      </c>
      <c r="J1002" s="3">
        <v>20000</v>
      </c>
      <c r="K1002" s="3">
        <f t="shared" si="32"/>
        <v>120000</v>
      </c>
      <c r="L1002" s="135" t="s">
        <v>1409</v>
      </c>
      <c r="M1002" s="1" t="s">
        <v>1088</v>
      </c>
    </row>
    <row r="1003" spans="1:13">
      <c r="A1003" s="17">
        <v>323</v>
      </c>
      <c r="B1003" s="17">
        <v>2549</v>
      </c>
      <c r="C1003" s="5" t="s">
        <v>1149</v>
      </c>
      <c r="D1003" s="126" t="s">
        <v>1148</v>
      </c>
      <c r="E1003" s="17" t="s">
        <v>3</v>
      </c>
      <c r="F1003" s="18">
        <v>16</v>
      </c>
      <c r="G1003" s="18" t="s">
        <v>383</v>
      </c>
      <c r="H1003" s="18">
        <v>1</v>
      </c>
      <c r="I1003" s="4">
        <v>1</v>
      </c>
      <c r="J1003" s="3">
        <v>12990</v>
      </c>
      <c r="K1003" s="3">
        <f t="shared" si="32"/>
        <v>12990</v>
      </c>
      <c r="L1003" s="135" t="s">
        <v>1410</v>
      </c>
      <c r="M1003" s="1" t="s">
        <v>1088</v>
      </c>
    </row>
    <row r="1004" spans="1:13">
      <c r="A1004" s="17">
        <v>324</v>
      </c>
      <c r="B1004" s="17">
        <v>2552</v>
      </c>
      <c r="C1004" s="5" t="s">
        <v>1147</v>
      </c>
      <c r="D1004" s="126" t="s">
        <v>1146</v>
      </c>
      <c r="E1004" s="17" t="s">
        <v>2</v>
      </c>
      <c r="F1004" s="18">
        <v>13</v>
      </c>
      <c r="G1004" s="18" t="s">
        <v>383</v>
      </c>
      <c r="H1004" s="18">
        <v>1</v>
      </c>
      <c r="I1004" s="4">
        <v>1</v>
      </c>
      <c r="J1004" s="3">
        <v>1694000</v>
      </c>
      <c r="K1004" s="3">
        <f t="shared" si="32"/>
        <v>1694000</v>
      </c>
      <c r="L1004" s="135" t="s">
        <v>1410</v>
      </c>
      <c r="M1004" s="1" t="s">
        <v>1088</v>
      </c>
    </row>
    <row r="1005" spans="1:13">
      <c r="A1005" s="17">
        <v>325</v>
      </c>
      <c r="B1005" s="17">
        <v>2553</v>
      </c>
      <c r="C1005" s="5" t="s">
        <v>1145</v>
      </c>
      <c r="D1005" s="126" t="s">
        <v>1144</v>
      </c>
      <c r="E1005" s="17" t="s">
        <v>2</v>
      </c>
      <c r="F1005" s="18">
        <v>12</v>
      </c>
      <c r="G1005" s="18" t="s">
        <v>383</v>
      </c>
      <c r="H1005" s="18">
        <v>28</v>
      </c>
      <c r="I1005" s="4">
        <v>28</v>
      </c>
      <c r="J1005" s="3">
        <v>16700</v>
      </c>
      <c r="K1005" s="3">
        <f t="shared" si="32"/>
        <v>467600</v>
      </c>
      <c r="L1005" s="135" t="s">
        <v>1410</v>
      </c>
      <c r="M1005" s="1" t="s">
        <v>1088</v>
      </c>
    </row>
    <row r="1006" spans="1:13">
      <c r="A1006" s="17">
        <v>326</v>
      </c>
      <c r="B1006" s="17">
        <v>2553</v>
      </c>
      <c r="C1006" s="5" t="s">
        <v>1143</v>
      </c>
      <c r="D1006" s="126" t="s">
        <v>468</v>
      </c>
      <c r="E1006" s="17" t="s">
        <v>2</v>
      </c>
      <c r="F1006" s="18">
        <v>12</v>
      </c>
      <c r="G1006" s="18" t="s">
        <v>383</v>
      </c>
      <c r="H1006" s="18">
        <v>20</v>
      </c>
      <c r="I1006" s="4">
        <v>20</v>
      </c>
      <c r="J1006" s="96">
        <v>18495</v>
      </c>
      <c r="K1006" s="3">
        <f t="shared" si="32"/>
        <v>369900</v>
      </c>
      <c r="L1006" s="135" t="s">
        <v>1410</v>
      </c>
      <c r="M1006" s="1" t="s">
        <v>1088</v>
      </c>
    </row>
    <row r="1007" spans="1:13">
      <c r="A1007" s="17">
        <v>327</v>
      </c>
      <c r="B1007" s="17">
        <v>2553</v>
      </c>
      <c r="C1007" s="5" t="s">
        <v>142</v>
      </c>
      <c r="D1007" s="126" t="s">
        <v>1142</v>
      </c>
      <c r="E1007" s="17" t="s">
        <v>2</v>
      </c>
      <c r="F1007" s="18">
        <v>12</v>
      </c>
      <c r="G1007" s="18" t="s">
        <v>383</v>
      </c>
      <c r="H1007" s="18">
        <v>1</v>
      </c>
      <c r="I1007" s="4">
        <v>1</v>
      </c>
      <c r="J1007" s="3">
        <v>30000</v>
      </c>
      <c r="K1007" s="3">
        <f t="shared" si="32"/>
        <v>30000</v>
      </c>
      <c r="L1007" s="147" t="s">
        <v>1411</v>
      </c>
      <c r="M1007" s="1" t="s">
        <v>1088</v>
      </c>
    </row>
    <row r="1008" spans="1:13">
      <c r="A1008" s="17">
        <v>328</v>
      </c>
      <c r="B1008" s="17">
        <v>2553</v>
      </c>
      <c r="C1008" s="5" t="s">
        <v>1141</v>
      </c>
      <c r="D1008" s="126" t="s">
        <v>468</v>
      </c>
      <c r="E1008" s="17" t="s">
        <v>2</v>
      </c>
      <c r="F1008" s="18">
        <v>12</v>
      </c>
      <c r="G1008" s="18" t="s">
        <v>383</v>
      </c>
      <c r="H1008" s="17">
        <v>1</v>
      </c>
      <c r="I1008" s="4">
        <v>1</v>
      </c>
      <c r="J1008" s="3">
        <v>17000</v>
      </c>
      <c r="K1008" s="3">
        <f t="shared" si="32"/>
        <v>17000</v>
      </c>
      <c r="L1008" s="135" t="s">
        <v>1412</v>
      </c>
      <c r="M1008" s="1" t="s">
        <v>1088</v>
      </c>
    </row>
    <row r="1009" spans="1:13">
      <c r="A1009" s="17">
        <v>329</v>
      </c>
      <c r="B1009" s="17">
        <v>2554</v>
      </c>
      <c r="C1009" s="5" t="s">
        <v>1140</v>
      </c>
      <c r="D1009" s="126" t="s">
        <v>468</v>
      </c>
      <c r="E1009" s="17" t="s">
        <v>2</v>
      </c>
      <c r="F1009" s="18">
        <v>11</v>
      </c>
      <c r="G1009" s="18" t="s">
        <v>383</v>
      </c>
      <c r="H1009" s="18">
        <v>10</v>
      </c>
      <c r="I1009" s="4">
        <v>10</v>
      </c>
      <c r="J1009" s="3">
        <v>19400</v>
      </c>
      <c r="K1009" s="3">
        <f t="shared" si="32"/>
        <v>194000</v>
      </c>
      <c r="L1009" s="135" t="s">
        <v>1412</v>
      </c>
      <c r="M1009" s="1" t="s">
        <v>1088</v>
      </c>
    </row>
    <row r="1010" spans="1:13">
      <c r="A1010" s="17">
        <v>330</v>
      </c>
      <c r="B1010" s="17">
        <v>2554</v>
      </c>
      <c r="C1010" s="5" t="s">
        <v>1139</v>
      </c>
      <c r="D1010" s="126" t="s">
        <v>1138</v>
      </c>
      <c r="E1010" s="17" t="s">
        <v>2</v>
      </c>
      <c r="F1010" s="18">
        <v>11</v>
      </c>
      <c r="G1010" s="18" t="s">
        <v>383</v>
      </c>
      <c r="H1010" s="18">
        <v>1</v>
      </c>
      <c r="I1010" s="4">
        <v>1</v>
      </c>
      <c r="J1010" s="3">
        <v>70000</v>
      </c>
      <c r="K1010" s="3">
        <f t="shared" si="32"/>
        <v>70000</v>
      </c>
      <c r="L1010" s="135" t="s">
        <v>1412</v>
      </c>
      <c r="M1010" s="1" t="s">
        <v>1088</v>
      </c>
    </row>
    <row r="1011" spans="1:13" ht="24" customHeight="1">
      <c r="A1011" s="73"/>
      <c r="B1011" s="82"/>
      <c r="C1011" s="82"/>
      <c r="D1011" s="167"/>
      <c r="E1011" s="82"/>
      <c r="F1011" s="82"/>
      <c r="G1011" s="82"/>
      <c r="H1011" s="82"/>
      <c r="I1011" s="82"/>
      <c r="J1011" s="74" t="s">
        <v>129</v>
      </c>
      <c r="K1011" s="89">
        <f>SUM(K1000:K1010)</f>
        <v>31004463.040000003</v>
      </c>
      <c r="L1011" s="147"/>
    </row>
    <row r="1012" spans="1:13" ht="24" customHeight="1">
      <c r="A1012" s="62"/>
      <c r="B1012" s="62" t="s">
        <v>119</v>
      </c>
      <c r="C1012" s="53" t="s">
        <v>120</v>
      </c>
      <c r="H1012" s="63"/>
      <c r="I1012" s="63"/>
      <c r="L1012" s="148"/>
    </row>
    <row r="1013" spans="1:13" ht="24" customHeight="1">
      <c r="A1013" s="62"/>
      <c r="C1013" s="53" t="s">
        <v>121</v>
      </c>
      <c r="H1013" s="63"/>
      <c r="I1013" s="63"/>
      <c r="L1013" s="148"/>
    </row>
    <row r="1014" spans="1:13" ht="24" customHeight="1">
      <c r="A1014" s="90"/>
      <c r="G1014" s="68" t="s">
        <v>148</v>
      </c>
      <c r="H1014" s="268" t="s">
        <v>149</v>
      </c>
      <c r="I1014" s="268"/>
      <c r="J1014" s="268"/>
      <c r="K1014" s="2" t="s">
        <v>150</v>
      </c>
      <c r="L1014" s="141"/>
    </row>
    <row r="1015" spans="1:13" ht="23.25" customHeight="1">
      <c r="A1015" s="90"/>
      <c r="G1015" s="2"/>
      <c r="H1015" s="268" t="s">
        <v>1549</v>
      </c>
      <c r="I1015" s="268"/>
      <c r="J1015" s="268"/>
      <c r="K1015" s="2"/>
      <c r="L1015" s="141"/>
    </row>
    <row r="1016" spans="1:13" ht="31.5" customHeight="1">
      <c r="G1016" s="68" t="s">
        <v>148</v>
      </c>
      <c r="H1016" s="268" t="s">
        <v>149</v>
      </c>
      <c r="I1016" s="268"/>
      <c r="J1016" s="268"/>
      <c r="K1016" s="2" t="s">
        <v>151</v>
      </c>
      <c r="L1016" s="141"/>
    </row>
    <row r="1017" spans="1:13" ht="22.5" customHeight="1">
      <c r="G1017" s="2"/>
      <c r="H1017" s="268" t="s">
        <v>154</v>
      </c>
      <c r="I1017" s="268"/>
      <c r="J1017" s="268"/>
      <c r="K1017" s="2"/>
      <c r="L1017" s="141"/>
    </row>
    <row r="1018" spans="1:13" ht="36" customHeight="1">
      <c r="G1018" s="68" t="s">
        <v>148</v>
      </c>
      <c r="H1018" s="268" t="s">
        <v>149</v>
      </c>
      <c r="I1018" s="268"/>
      <c r="J1018" s="268"/>
      <c r="K1018" s="2" t="s">
        <v>151</v>
      </c>
      <c r="L1018" s="142"/>
    </row>
    <row r="1019" spans="1:13" ht="20.25" customHeight="1">
      <c r="G1019" s="2"/>
      <c r="H1019" s="268" t="s">
        <v>155</v>
      </c>
      <c r="I1019" s="268"/>
      <c r="J1019" s="268"/>
      <c r="K1019" s="2"/>
      <c r="L1019" s="142"/>
    </row>
    <row r="1020" spans="1:13" ht="29.25" customHeight="1">
      <c r="G1020" s="68" t="s">
        <v>148</v>
      </c>
      <c r="H1020" s="268" t="s">
        <v>149</v>
      </c>
      <c r="I1020" s="268"/>
      <c r="J1020" s="268"/>
      <c r="K1020" s="2" t="s">
        <v>151</v>
      </c>
      <c r="L1020" s="142"/>
    </row>
    <row r="1021" spans="1:13" ht="21" customHeight="1">
      <c r="G1021" s="2"/>
      <c r="H1021" s="268" t="s">
        <v>156</v>
      </c>
      <c r="I1021" s="268"/>
      <c r="J1021" s="268"/>
      <c r="K1021" s="2"/>
      <c r="L1021" s="142"/>
    </row>
    <row r="1022" spans="1:13" ht="33.75" customHeight="1">
      <c r="G1022" s="68" t="s">
        <v>148</v>
      </c>
      <c r="H1022" s="268" t="s">
        <v>149</v>
      </c>
      <c r="I1022" s="268"/>
      <c r="J1022" s="268"/>
      <c r="K1022" s="67" t="s">
        <v>152</v>
      </c>
      <c r="L1022" s="142"/>
    </row>
    <row r="1023" spans="1:13" ht="24" customHeight="1">
      <c r="G1023" s="67"/>
      <c r="H1023" s="268" t="s">
        <v>157</v>
      </c>
      <c r="I1023" s="268"/>
      <c r="J1023" s="268"/>
      <c r="K1023" s="67"/>
      <c r="L1023" s="142"/>
    </row>
    <row r="1024" spans="1:13" ht="24" customHeight="1">
      <c r="G1024" s="67"/>
      <c r="H1024" s="64"/>
      <c r="I1024" s="64"/>
      <c r="J1024" s="64"/>
      <c r="K1024" s="67"/>
      <c r="L1024" s="142"/>
    </row>
    <row r="1025" spans="1:13" ht="24" customHeight="1">
      <c r="L1025" s="138" t="s">
        <v>1452</v>
      </c>
    </row>
    <row r="1026" spans="1:13" ht="24" customHeight="1">
      <c r="A1026" s="269" t="s">
        <v>158</v>
      </c>
      <c r="B1026" s="269"/>
      <c r="C1026" s="269"/>
      <c r="D1026" s="269"/>
      <c r="E1026" s="269"/>
      <c r="F1026" s="269"/>
      <c r="G1026" s="269"/>
      <c r="H1026" s="269"/>
      <c r="I1026" s="269"/>
      <c r="J1026" s="269"/>
      <c r="K1026" s="269"/>
      <c r="L1026" s="269"/>
    </row>
    <row r="1027" spans="1:13" ht="24" customHeight="1">
      <c r="A1027" s="270" t="s">
        <v>163</v>
      </c>
      <c r="B1027" s="270"/>
      <c r="C1027" s="270"/>
      <c r="D1027" s="270"/>
      <c r="E1027" s="270"/>
      <c r="F1027" s="270"/>
      <c r="G1027" s="270"/>
      <c r="H1027" s="270"/>
      <c r="I1027" s="270"/>
      <c r="J1027" s="270"/>
      <c r="K1027" s="270"/>
      <c r="L1027" s="270"/>
    </row>
    <row r="1028" spans="1:13" ht="24" customHeight="1" thickBot="1">
      <c r="A1028" s="271" t="s">
        <v>164</v>
      </c>
      <c r="B1028" s="271"/>
      <c r="C1028" s="271"/>
      <c r="D1028" s="271"/>
      <c r="E1028" s="271"/>
      <c r="F1028" s="271"/>
      <c r="G1028" s="271"/>
      <c r="H1028" s="271"/>
      <c r="I1028" s="271"/>
      <c r="J1028" s="271"/>
      <c r="K1028" s="271"/>
      <c r="L1028" s="271"/>
    </row>
    <row r="1029" spans="1:13" ht="24" customHeight="1" thickTop="1">
      <c r="A1029" s="272" t="s">
        <v>103</v>
      </c>
      <c r="B1029" s="272" t="s">
        <v>122</v>
      </c>
      <c r="C1029" s="272" t="s">
        <v>124</v>
      </c>
      <c r="D1029" s="274" t="s">
        <v>0</v>
      </c>
      <c r="E1029" s="272" t="s">
        <v>109</v>
      </c>
      <c r="F1029" s="272" t="s">
        <v>110</v>
      </c>
      <c r="G1029" s="276" t="s">
        <v>111</v>
      </c>
      <c r="H1029" s="278" t="s">
        <v>1</v>
      </c>
      <c r="I1029" s="279"/>
      <c r="J1029" s="272" t="s">
        <v>125</v>
      </c>
      <c r="K1029" s="272" t="s">
        <v>104</v>
      </c>
      <c r="L1029" s="280" t="s">
        <v>112</v>
      </c>
    </row>
    <row r="1030" spans="1:13" ht="45.75" customHeight="1" thickBot="1">
      <c r="A1030" s="273"/>
      <c r="B1030" s="273"/>
      <c r="C1030" s="273"/>
      <c r="D1030" s="275"/>
      <c r="E1030" s="273"/>
      <c r="F1030" s="273"/>
      <c r="G1030" s="277"/>
      <c r="H1030" s="51" t="s">
        <v>113</v>
      </c>
      <c r="I1030" s="52" t="s">
        <v>114</v>
      </c>
      <c r="J1030" s="273"/>
      <c r="K1030" s="273"/>
      <c r="L1030" s="281"/>
    </row>
    <row r="1031" spans="1:13" ht="24" customHeight="1" thickTop="1">
      <c r="A1031" s="35"/>
      <c r="B1031" s="35"/>
      <c r="C1031" s="35"/>
      <c r="D1031" s="168"/>
      <c r="E1031" s="35"/>
      <c r="F1031" s="83"/>
      <c r="G1031" s="34"/>
      <c r="H1031" s="84"/>
      <c r="I1031" s="85"/>
      <c r="J1031" s="86" t="s">
        <v>132</v>
      </c>
      <c r="K1031" s="87">
        <f>SUM(K1011)</f>
        <v>31004463.040000003</v>
      </c>
      <c r="L1031" s="146"/>
    </row>
    <row r="1032" spans="1:13">
      <c r="A1032" s="17">
        <v>331</v>
      </c>
      <c r="B1032" s="17">
        <v>2555</v>
      </c>
      <c r="C1032" s="5" t="s">
        <v>1166</v>
      </c>
      <c r="D1032" s="126" t="s">
        <v>284</v>
      </c>
      <c r="E1032" s="15" t="s">
        <v>2</v>
      </c>
      <c r="F1032" s="18">
        <v>10</v>
      </c>
      <c r="G1032" s="18" t="s">
        <v>383</v>
      </c>
      <c r="H1032" s="18">
        <v>1</v>
      </c>
      <c r="I1032" s="4">
        <v>1</v>
      </c>
      <c r="J1032" s="3">
        <v>71050</v>
      </c>
      <c r="K1032" s="3">
        <f t="shared" ref="K1032:K1041" si="33">SUM(I1032*J1032)</f>
        <v>71050</v>
      </c>
      <c r="L1032" s="152" t="s">
        <v>1389</v>
      </c>
      <c r="M1032" s="1" t="s">
        <v>1088</v>
      </c>
    </row>
    <row r="1033" spans="1:13">
      <c r="A1033" s="17">
        <v>332</v>
      </c>
      <c r="B1033" s="17">
        <v>2555</v>
      </c>
      <c r="C1033" s="5" t="s">
        <v>1165</v>
      </c>
      <c r="D1033" s="126" t="s">
        <v>1164</v>
      </c>
      <c r="E1033" s="15" t="s">
        <v>2</v>
      </c>
      <c r="F1033" s="18">
        <v>10</v>
      </c>
      <c r="G1033" s="18" t="s">
        <v>383</v>
      </c>
      <c r="H1033" s="18">
        <v>1</v>
      </c>
      <c r="I1033" s="4">
        <v>1</v>
      </c>
      <c r="J1033" s="3">
        <v>52000</v>
      </c>
      <c r="K1033" s="3">
        <f t="shared" si="33"/>
        <v>52000</v>
      </c>
      <c r="L1033" s="152" t="s">
        <v>1389</v>
      </c>
      <c r="M1033" s="1" t="s">
        <v>1088</v>
      </c>
    </row>
    <row r="1034" spans="1:13">
      <c r="A1034" s="17">
        <v>333</v>
      </c>
      <c r="B1034" s="17">
        <v>2555</v>
      </c>
      <c r="C1034" s="5" t="s">
        <v>1163</v>
      </c>
      <c r="D1034" s="126" t="s">
        <v>1162</v>
      </c>
      <c r="E1034" s="15" t="s">
        <v>2</v>
      </c>
      <c r="F1034" s="18">
        <v>10</v>
      </c>
      <c r="G1034" s="18" t="s">
        <v>383</v>
      </c>
      <c r="H1034" s="18">
        <v>7</v>
      </c>
      <c r="I1034" s="4">
        <v>7</v>
      </c>
      <c r="J1034" s="3">
        <v>18150</v>
      </c>
      <c r="K1034" s="3">
        <f t="shared" si="33"/>
        <v>127050</v>
      </c>
      <c r="L1034" s="152" t="s">
        <v>1413</v>
      </c>
      <c r="M1034" s="1" t="s">
        <v>1088</v>
      </c>
    </row>
    <row r="1035" spans="1:13">
      <c r="A1035" s="17">
        <v>334</v>
      </c>
      <c r="B1035" s="17">
        <v>2556</v>
      </c>
      <c r="C1035" s="5" t="s">
        <v>1161</v>
      </c>
      <c r="D1035" s="126" t="s">
        <v>1160</v>
      </c>
      <c r="E1035" s="18" t="s">
        <v>739</v>
      </c>
      <c r="F1035" s="18">
        <v>9</v>
      </c>
      <c r="G1035" s="18" t="s">
        <v>383</v>
      </c>
      <c r="H1035" s="18">
        <v>1</v>
      </c>
      <c r="I1035" s="4">
        <v>1</v>
      </c>
      <c r="J1035" s="3">
        <v>24800</v>
      </c>
      <c r="K1035" s="3">
        <f t="shared" si="33"/>
        <v>24800</v>
      </c>
      <c r="L1035" s="152" t="s">
        <v>1414</v>
      </c>
      <c r="M1035" s="1" t="s">
        <v>1088</v>
      </c>
    </row>
    <row r="1036" spans="1:13">
      <c r="A1036" s="17">
        <v>335</v>
      </c>
      <c r="B1036" s="17">
        <v>2556</v>
      </c>
      <c r="C1036" s="5" t="s">
        <v>1159</v>
      </c>
      <c r="D1036" s="126" t="s">
        <v>1158</v>
      </c>
      <c r="E1036" s="18" t="s">
        <v>739</v>
      </c>
      <c r="F1036" s="18">
        <v>9</v>
      </c>
      <c r="G1036" s="18" t="s">
        <v>383</v>
      </c>
      <c r="H1036" s="18">
        <v>2</v>
      </c>
      <c r="I1036" s="4">
        <v>2</v>
      </c>
      <c r="J1036" s="3">
        <v>40000</v>
      </c>
      <c r="K1036" s="3">
        <f t="shared" si="33"/>
        <v>80000</v>
      </c>
      <c r="L1036" s="152" t="s">
        <v>1415</v>
      </c>
      <c r="M1036" s="1" t="s">
        <v>1088</v>
      </c>
    </row>
    <row r="1037" spans="1:13">
      <c r="A1037" s="17">
        <v>336</v>
      </c>
      <c r="B1037" s="17">
        <v>2556</v>
      </c>
      <c r="C1037" s="5" t="s">
        <v>1157</v>
      </c>
      <c r="D1037" s="126" t="s">
        <v>909</v>
      </c>
      <c r="E1037" s="18" t="s">
        <v>739</v>
      </c>
      <c r="F1037" s="18">
        <v>9</v>
      </c>
      <c r="G1037" s="18" t="s">
        <v>383</v>
      </c>
      <c r="H1037" s="18">
        <v>1</v>
      </c>
      <c r="I1037" s="4">
        <v>1</v>
      </c>
      <c r="J1037" s="3">
        <v>12600</v>
      </c>
      <c r="K1037" s="3">
        <f t="shared" si="33"/>
        <v>12600</v>
      </c>
      <c r="L1037" s="152" t="s">
        <v>1415</v>
      </c>
      <c r="M1037" s="1" t="s">
        <v>1088</v>
      </c>
    </row>
    <row r="1038" spans="1:13">
      <c r="A1038" s="17">
        <v>337</v>
      </c>
      <c r="B1038" s="17">
        <v>2556</v>
      </c>
      <c r="C1038" s="5" t="s">
        <v>1156</v>
      </c>
      <c r="D1038" s="126" t="s">
        <v>1155</v>
      </c>
      <c r="E1038" s="18" t="s">
        <v>739</v>
      </c>
      <c r="F1038" s="18">
        <v>9</v>
      </c>
      <c r="G1038" s="18" t="s">
        <v>383</v>
      </c>
      <c r="H1038" s="18">
        <v>1</v>
      </c>
      <c r="I1038" s="4">
        <v>1</v>
      </c>
      <c r="J1038" s="3">
        <v>11900</v>
      </c>
      <c r="K1038" s="3">
        <f t="shared" si="33"/>
        <v>11900</v>
      </c>
      <c r="L1038" s="152" t="s">
        <v>1416</v>
      </c>
      <c r="M1038" s="1" t="s">
        <v>1088</v>
      </c>
    </row>
    <row r="1039" spans="1:13">
      <c r="A1039" s="17">
        <v>338</v>
      </c>
      <c r="B1039" s="17">
        <v>2556</v>
      </c>
      <c r="C1039" s="5" t="s">
        <v>1154</v>
      </c>
      <c r="D1039" s="126" t="s">
        <v>1153</v>
      </c>
      <c r="E1039" s="18" t="s">
        <v>739</v>
      </c>
      <c r="F1039" s="18">
        <v>9</v>
      </c>
      <c r="G1039" s="18" t="s">
        <v>383</v>
      </c>
      <c r="H1039" s="18">
        <v>1</v>
      </c>
      <c r="I1039" s="4">
        <v>1</v>
      </c>
      <c r="J1039" s="3">
        <v>6000</v>
      </c>
      <c r="K1039" s="3">
        <f t="shared" si="33"/>
        <v>6000</v>
      </c>
      <c r="L1039" s="152" t="s">
        <v>1417</v>
      </c>
      <c r="M1039" s="1" t="s">
        <v>1088</v>
      </c>
    </row>
    <row r="1040" spans="1:13">
      <c r="A1040" s="17">
        <v>339</v>
      </c>
      <c r="B1040" s="17">
        <v>2539</v>
      </c>
      <c r="C1040" s="5" t="s">
        <v>1181</v>
      </c>
      <c r="D1040" s="126" t="s">
        <v>1180</v>
      </c>
      <c r="E1040" s="18" t="s">
        <v>2</v>
      </c>
      <c r="F1040" s="17">
        <v>26</v>
      </c>
      <c r="G1040" s="39" t="s">
        <v>383</v>
      </c>
      <c r="H1040" s="18">
        <v>6</v>
      </c>
      <c r="I1040" s="39">
        <v>2</v>
      </c>
      <c r="J1040" s="37">
        <v>6500</v>
      </c>
      <c r="K1040" s="36">
        <f t="shared" si="33"/>
        <v>13000</v>
      </c>
      <c r="L1040" s="135" t="s">
        <v>1499</v>
      </c>
      <c r="M1040" s="1" t="s">
        <v>1167</v>
      </c>
    </row>
    <row r="1041" spans="1:13">
      <c r="A1041" s="17">
        <v>340</v>
      </c>
      <c r="B1041" s="17">
        <v>2539</v>
      </c>
      <c r="C1041" s="5" t="s">
        <v>1179</v>
      </c>
      <c r="D1041" s="126" t="s">
        <v>1178</v>
      </c>
      <c r="E1041" s="18" t="s">
        <v>2</v>
      </c>
      <c r="F1041" s="18">
        <v>26</v>
      </c>
      <c r="G1041" s="18" t="s">
        <v>383</v>
      </c>
      <c r="H1041" s="18">
        <v>1</v>
      </c>
      <c r="I1041" s="4">
        <v>1</v>
      </c>
      <c r="J1041" s="37">
        <v>5300</v>
      </c>
      <c r="K1041" s="36">
        <f t="shared" si="33"/>
        <v>5300</v>
      </c>
      <c r="L1041" s="135" t="s">
        <v>1500</v>
      </c>
      <c r="M1041" s="1" t="s">
        <v>1167</v>
      </c>
    </row>
    <row r="1042" spans="1:13" ht="24" customHeight="1">
      <c r="A1042" s="73"/>
      <c r="B1042" s="82"/>
      <c r="C1042" s="82"/>
      <c r="D1042" s="167"/>
      <c r="E1042" s="82"/>
      <c r="F1042" s="82"/>
      <c r="G1042" s="82"/>
      <c r="H1042" s="82"/>
      <c r="I1042" s="82"/>
      <c r="J1042" s="74" t="s">
        <v>129</v>
      </c>
      <c r="K1042" s="89">
        <f>SUM(K1031:K1041)</f>
        <v>31408163.040000003</v>
      </c>
      <c r="L1042" s="147"/>
    </row>
    <row r="1043" spans="1:13" ht="24" customHeight="1">
      <c r="A1043" s="62"/>
      <c r="B1043" s="62" t="s">
        <v>119</v>
      </c>
      <c r="C1043" s="53" t="s">
        <v>120</v>
      </c>
      <c r="H1043" s="63"/>
      <c r="I1043" s="63"/>
      <c r="L1043" s="148"/>
    </row>
    <row r="1044" spans="1:13" ht="24" customHeight="1">
      <c r="A1044" s="62"/>
      <c r="C1044" s="53" t="s">
        <v>121</v>
      </c>
      <c r="H1044" s="63"/>
      <c r="I1044" s="63"/>
      <c r="L1044" s="148"/>
    </row>
    <row r="1045" spans="1:13" ht="22.5" customHeight="1">
      <c r="A1045" s="90"/>
      <c r="G1045" s="68" t="s">
        <v>148</v>
      </c>
      <c r="H1045" s="268" t="s">
        <v>149</v>
      </c>
      <c r="I1045" s="268"/>
      <c r="J1045" s="268"/>
      <c r="K1045" s="2" t="s">
        <v>150</v>
      </c>
      <c r="L1045" s="141"/>
    </row>
    <row r="1046" spans="1:13" ht="21.75" customHeight="1">
      <c r="A1046" s="90"/>
      <c r="G1046" s="2"/>
      <c r="H1046" s="268" t="s">
        <v>1549</v>
      </c>
      <c r="I1046" s="268"/>
      <c r="J1046" s="268"/>
      <c r="K1046" s="2"/>
      <c r="L1046" s="141"/>
    </row>
    <row r="1047" spans="1:13" ht="35.25" customHeight="1">
      <c r="G1047" s="68" t="s">
        <v>148</v>
      </c>
      <c r="H1047" s="268" t="s">
        <v>149</v>
      </c>
      <c r="I1047" s="268"/>
      <c r="J1047" s="268"/>
      <c r="K1047" s="2" t="s">
        <v>151</v>
      </c>
      <c r="L1047" s="141"/>
    </row>
    <row r="1048" spans="1:13" ht="22.5" customHeight="1">
      <c r="G1048" s="2"/>
      <c r="H1048" s="268" t="s">
        <v>154</v>
      </c>
      <c r="I1048" s="268"/>
      <c r="J1048" s="268"/>
      <c r="K1048" s="2"/>
      <c r="L1048" s="141"/>
    </row>
    <row r="1049" spans="1:13" ht="32.25" customHeight="1">
      <c r="G1049" s="68" t="s">
        <v>148</v>
      </c>
      <c r="H1049" s="268" t="s">
        <v>149</v>
      </c>
      <c r="I1049" s="268"/>
      <c r="J1049" s="268"/>
      <c r="K1049" s="2" t="s">
        <v>151</v>
      </c>
      <c r="L1049" s="142"/>
    </row>
    <row r="1050" spans="1:13" ht="20.25" customHeight="1">
      <c r="G1050" s="2"/>
      <c r="H1050" s="268" t="s">
        <v>155</v>
      </c>
      <c r="I1050" s="268"/>
      <c r="J1050" s="268"/>
      <c r="K1050" s="2"/>
      <c r="L1050" s="142"/>
    </row>
    <row r="1051" spans="1:13" ht="33.75" customHeight="1">
      <c r="G1051" s="68" t="s">
        <v>148</v>
      </c>
      <c r="H1051" s="268" t="s">
        <v>149</v>
      </c>
      <c r="I1051" s="268"/>
      <c r="J1051" s="268"/>
      <c r="K1051" s="2" t="s">
        <v>151</v>
      </c>
      <c r="L1051" s="142"/>
    </row>
    <row r="1052" spans="1:13" ht="21" customHeight="1">
      <c r="G1052" s="2"/>
      <c r="H1052" s="268" t="s">
        <v>156</v>
      </c>
      <c r="I1052" s="268"/>
      <c r="J1052" s="268"/>
      <c r="K1052" s="2"/>
      <c r="L1052" s="142"/>
    </row>
    <row r="1053" spans="1:13" ht="35.25" customHeight="1">
      <c r="G1053" s="68" t="s">
        <v>148</v>
      </c>
      <c r="H1053" s="268" t="s">
        <v>149</v>
      </c>
      <c r="I1053" s="268"/>
      <c r="J1053" s="268"/>
      <c r="K1053" s="67" t="s">
        <v>152</v>
      </c>
      <c r="L1053" s="142"/>
    </row>
    <row r="1054" spans="1:13" ht="23.25" customHeight="1">
      <c r="G1054" s="67"/>
      <c r="H1054" s="268" t="s">
        <v>157</v>
      </c>
      <c r="I1054" s="268"/>
      <c r="J1054" s="268"/>
      <c r="K1054" s="67"/>
      <c r="L1054" s="142"/>
    </row>
    <row r="1055" spans="1:13" ht="23.25" customHeight="1">
      <c r="G1055" s="67"/>
      <c r="H1055" s="64"/>
      <c r="I1055" s="64"/>
      <c r="J1055" s="64"/>
      <c r="K1055" s="67"/>
      <c r="L1055" s="142"/>
    </row>
    <row r="1056" spans="1:13" ht="21" customHeight="1">
      <c r="L1056" s="138" t="s">
        <v>1453</v>
      </c>
    </row>
    <row r="1057" spans="1:13" ht="20.25" customHeight="1">
      <c r="A1057" s="269" t="s">
        <v>158</v>
      </c>
      <c r="B1057" s="269"/>
      <c r="C1057" s="269"/>
      <c r="D1057" s="269"/>
      <c r="E1057" s="269"/>
      <c r="F1057" s="269"/>
      <c r="G1057" s="269"/>
      <c r="H1057" s="269"/>
      <c r="I1057" s="269"/>
      <c r="J1057" s="269"/>
      <c r="K1057" s="269"/>
      <c r="L1057" s="269"/>
    </row>
    <row r="1058" spans="1:13" ht="20.25" customHeight="1">
      <c r="A1058" s="270" t="s">
        <v>163</v>
      </c>
      <c r="B1058" s="270"/>
      <c r="C1058" s="270"/>
      <c r="D1058" s="270"/>
      <c r="E1058" s="270"/>
      <c r="F1058" s="270"/>
      <c r="G1058" s="270"/>
      <c r="H1058" s="270"/>
      <c r="I1058" s="270"/>
      <c r="J1058" s="270"/>
      <c r="K1058" s="270"/>
      <c r="L1058" s="270"/>
    </row>
    <row r="1059" spans="1:13" ht="21.75" customHeight="1" thickBot="1">
      <c r="A1059" s="271" t="s">
        <v>164</v>
      </c>
      <c r="B1059" s="271"/>
      <c r="C1059" s="271"/>
      <c r="D1059" s="271"/>
      <c r="E1059" s="271"/>
      <c r="F1059" s="271"/>
      <c r="G1059" s="271"/>
      <c r="H1059" s="271"/>
      <c r="I1059" s="271"/>
      <c r="J1059" s="271"/>
      <c r="K1059" s="271"/>
      <c r="L1059" s="271"/>
    </row>
    <row r="1060" spans="1:13" ht="24" customHeight="1" thickTop="1">
      <c r="A1060" s="272" t="s">
        <v>103</v>
      </c>
      <c r="B1060" s="272" t="s">
        <v>122</v>
      </c>
      <c r="C1060" s="272" t="s">
        <v>124</v>
      </c>
      <c r="D1060" s="274" t="s">
        <v>0</v>
      </c>
      <c r="E1060" s="272" t="s">
        <v>109</v>
      </c>
      <c r="F1060" s="272" t="s">
        <v>110</v>
      </c>
      <c r="G1060" s="276" t="s">
        <v>111</v>
      </c>
      <c r="H1060" s="278" t="s">
        <v>1</v>
      </c>
      <c r="I1060" s="279"/>
      <c r="J1060" s="272" t="s">
        <v>125</v>
      </c>
      <c r="K1060" s="272" t="s">
        <v>104</v>
      </c>
      <c r="L1060" s="280" t="s">
        <v>112</v>
      </c>
    </row>
    <row r="1061" spans="1:13" ht="45.75" customHeight="1" thickBot="1">
      <c r="A1061" s="273"/>
      <c r="B1061" s="273"/>
      <c r="C1061" s="273"/>
      <c r="D1061" s="275"/>
      <c r="E1061" s="273"/>
      <c r="F1061" s="273"/>
      <c r="G1061" s="277"/>
      <c r="H1061" s="51" t="s">
        <v>113</v>
      </c>
      <c r="I1061" s="52" t="s">
        <v>114</v>
      </c>
      <c r="J1061" s="273"/>
      <c r="K1061" s="273"/>
      <c r="L1061" s="281"/>
    </row>
    <row r="1062" spans="1:13" ht="22.5" customHeight="1" thickTop="1">
      <c r="A1062" s="35"/>
      <c r="B1062" s="35"/>
      <c r="C1062" s="35"/>
      <c r="D1062" s="168"/>
      <c r="E1062" s="35"/>
      <c r="F1062" s="83"/>
      <c r="G1062" s="34"/>
      <c r="H1062" s="84"/>
      <c r="I1062" s="85"/>
      <c r="J1062" s="86" t="s">
        <v>132</v>
      </c>
      <c r="K1062" s="87">
        <f>SUM(K1042)</f>
        <v>31408163.040000003</v>
      </c>
      <c r="L1062" s="146"/>
    </row>
    <row r="1063" spans="1:13">
      <c r="A1063" s="38">
        <v>341</v>
      </c>
      <c r="B1063" s="17">
        <v>2539</v>
      </c>
      <c r="C1063" s="5" t="s">
        <v>1195</v>
      </c>
      <c r="D1063" s="126" t="s">
        <v>1194</v>
      </c>
      <c r="E1063" s="18" t="s">
        <v>2</v>
      </c>
      <c r="F1063" s="18">
        <v>26</v>
      </c>
      <c r="G1063" s="18" t="s">
        <v>383</v>
      </c>
      <c r="H1063" s="18">
        <v>1</v>
      </c>
      <c r="I1063" s="4">
        <v>1</v>
      </c>
      <c r="J1063" s="37">
        <v>5000</v>
      </c>
      <c r="K1063" s="36">
        <f t="shared" ref="K1063:K1068" si="34">SUM(I1063*J1063)</f>
        <v>5000</v>
      </c>
      <c r="L1063" s="135" t="s">
        <v>1500</v>
      </c>
      <c r="M1063" s="1" t="s">
        <v>1167</v>
      </c>
    </row>
    <row r="1064" spans="1:13" ht="23.25" customHeight="1">
      <c r="A1064" s="35">
        <v>342</v>
      </c>
      <c r="B1064" s="17">
        <v>2539</v>
      </c>
      <c r="C1064" s="5" t="s">
        <v>1193</v>
      </c>
      <c r="D1064" s="126" t="s">
        <v>1192</v>
      </c>
      <c r="E1064" s="18" t="s">
        <v>2</v>
      </c>
      <c r="F1064" s="18">
        <v>26</v>
      </c>
      <c r="G1064" s="18" t="s">
        <v>383</v>
      </c>
      <c r="H1064" s="18">
        <v>1</v>
      </c>
      <c r="I1064" s="4">
        <v>1</v>
      </c>
      <c r="J1064" s="37">
        <v>35000</v>
      </c>
      <c r="K1064" s="36">
        <f t="shared" si="34"/>
        <v>35000</v>
      </c>
      <c r="L1064" s="158" t="s">
        <v>1501</v>
      </c>
      <c r="M1064" s="1" t="s">
        <v>1167</v>
      </c>
    </row>
    <row r="1065" spans="1:13" s="7" customFormat="1" ht="24" customHeight="1">
      <c r="A1065" s="38">
        <v>343</v>
      </c>
      <c r="B1065" s="27">
        <v>2546</v>
      </c>
      <c r="C1065" s="43" t="s">
        <v>1191</v>
      </c>
      <c r="D1065" s="185" t="s">
        <v>1190</v>
      </c>
      <c r="E1065" s="42" t="s">
        <v>3</v>
      </c>
      <c r="F1065" s="42">
        <v>19</v>
      </c>
      <c r="G1065" s="42" t="s">
        <v>383</v>
      </c>
      <c r="H1065" s="42">
        <v>1</v>
      </c>
      <c r="I1065" s="46">
        <v>1</v>
      </c>
      <c r="J1065" s="45">
        <v>31559.65</v>
      </c>
      <c r="K1065" s="40">
        <f t="shared" si="34"/>
        <v>31559.65</v>
      </c>
      <c r="L1065" s="159" t="s">
        <v>1505</v>
      </c>
      <c r="M1065" s="1" t="s">
        <v>1167</v>
      </c>
    </row>
    <row r="1066" spans="1:13">
      <c r="A1066" s="35">
        <v>344</v>
      </c>
      <c r="B1066" s="17">
        <v>2546</v>
      </c>
      <c r="C1066" s="5" t="s">
        <v>1189</v>
      </c>
      <c r="D1066" s="125" t="s">
        <v>5</v>
      </c>
      <c r="E1066" s="18" t="s">
        <v>3</v>
      </c>
      <c r="F1066" s="18">
        <v>19</v>
      </c>
      <c r="G1066" s="18" t="s">
        <v>383</v>
      </c>
      <c r="H1066" s="18">
        <v>1</v>
      </c>
      <c r="I1066" s="4">
        <v>1</v>
      </c>
      <c r="J1066" s="37">
        <v>33000</v>
      </c>
      <c r="K1066" s="36">
        <f t="shared" si="34"/>
        <v>33000</v>
      </c>
      <c r="L1066" s="147" t="s">
        <v>1503</v>
      </c>
      <c r="M1066" s="1" t="s">
        <v>1167</v>
      </c>
    </row>
    <row r="1067" spans="1:13" ht="24" customHeight="1">
      <c r="A1067" s="38">
        <v>345</v>
      </c>
      <c r="B1067" s="27">
        <v>2547</v>
      </c>
      <c r="C1067" s="43" t="s">
        <v>1188</v>
      </c>
      <c r="D1067" s="186" t="s">
        <v>1187</v>
      </c>
      <c r="E1067" s="42" t="s">
        <v>3</v>
      </c>
      <c r="F1067" s="42">
        <v>18</v>
      </c>
      <c r="G1067" s="42" t="s">
        <v>383</v>
      </c>
      <c r="H1067" s="42">
        <v>1</v>
      </c>
      <c r="I1067" s="46">
        <v>1</v>
      </c>
      <c r="J1067" s="45">
        <v>8290</v>
      </c>
      <c r="K1067" s="40">
        <f t="shared" si="34"/>
        <v>8290</v>
      </c>
      <c r="L1067" s="161" t="s">
        <v>1502</v>
      </c>
      <c r="M1067" s="1" t="s">
        <v>1167</v>
      </c>
    </row>
    <row r="1068" spans="1:13" s="7" customFormat="1" ht="48">
      <c r="A1068" s="35">
        <v>346</v>
      </c>
      <c r="B1068" s="27">
        <v>2552</v>
      </c>
      <c r="C1068" s="43" t="s">
        <v>1186</v>
      </c>
      <c r="D1068" s="186" t="s">
        <v>1185</v>
      </c>
      <c r="E1068" s="44" t="s">
        <v>2</v>
      </c>
      <c r="F1068" s="42">
        <v>13</v>
      </c>
      <c r="G1068" s="42" t="s">
        <v>383</v>
      </c>
      <c r="H1068" s="42">
        <v>12</v>
      </c>
      <c r="I1068" s="42">
        <v>12</v>
      </c>
      <c r="J1068" s="41">
        <v>15750</v>
      </c>
      <c r="K1068" s="40">
        <f t="shared" si="34"/>
        <v>189000</v>
      </c>
      <c r="L1068" s="161" t="s">
        <v>1503</v>
      </c>
      <c r="M1068" s="1" t="s">
        <v>1167</v>
      </c>
    </row>
    <row r="1069" spans="1:13">
      <c r="A1069" s="38">
        <v>347</v>
      </c>
      <c r="B1069" s="17">
        <v>2553</v>
      </c>
      <c r="C1069" s="5" t="s">
        <v>1184</v>
      </c>
      <c r="D1069" s="125" t="s">
        <v>1183</v>
      </c>
      <c r="E1069" s="15" t="s">
        <v>2</v>
      </c>
      <c r="F1069" s="18">
        <v>12</v>
      </c>
      <c r="G1069" s="18" t="s">
        <v>383</v>
      </c>
      <c r="H1069" s="18">
        <v>1</v>
      </c>
      <c r="I1069" s="18">
        <v>1</v>
      </c>
      <c r="J1069" s="3">
        <v>5350</v>
      </c>
      <c r="K1069" s="36">
        <f>SUM(I1069*J1069)</f>
        <v>5350</v>
      </c>
      <c r="L1069" s="160" t="s">
        <v>1504</v>
      </c>
      <c r="M1069" s="1" t="s">
        <v>1167</v>
      </c>
    </row>
    <row r="1070" spans="1:13" s="7" customFormat="1" ht="24" customHeight="1">
      <c r="A1070" s="35">
        <v>348</v>
      </c>
      <c r="B1070" s="27">
        <v>2553</v>
      </c>
      <c r="C1070" s="43" t="s">
        <v>1182</v>
      </c>
      <c r="D1070" s="185" t="s">
        <v>468</v>
      </c>
      <c r="E1070" s="42" t="s">
        <v>2</v>
      </c>
      <c r="F1070" s="42">
        <v>12</v>
      </c>
      <c r="G1070" s="42" t="s">
        <v>383</v>
      </c>
      <c r="H1070" s="42">
        <v>1</v>
      </c>
      <c r="I1070" s="42">
        <v>1</v>
      </c>
      <c r="J1070" s="41">
        <v>17000</v>
      </c>
      <c r="K1070" s="40">
        <f>SUM(I1070*J1070)</f>
        <v>17000</v>
      </c>
      <c r="L1070" s="161" t="s">
        <v>1507</v>
      </c>
      <c r="M1070" s="7" t="s">
        <v>1167</v>
      </c>
    </row>
    <row r="1071" spans="1:13">
      <c r="A1071" s="38">
        <v>349</v>
      </c>
      <c r="B1071" s="17">
        <v>2546</v>
      </c>
      <c r="C1071" s="5" t="s">
        <v>1227</v>
      </c>
      <c r="D1071" s="126" t="s">
        <v>1226</v>
      </c>
      <c r="E1071" s="18" t="s">
        <v>98</v>
      </c>
      <c r="F1071" s="18">
        <v>19</v>
      </c>
      <c r="G1071" s="18">
        <v>1</v>
      </c>
      <c r="H1071" s="18">
        <v>1</v>
      </c>
      <c r="I1071" s="4">
        <v>1</v>
      </c>
      <c r="J1071" s="120">
        <v>12500</v>
      </c>
      <c r="K1071" s="120">
        <f>SUM(I1071*J1071)</f>
        <v>12500</v>
      </c>
      <c r="L1071" s="135" t="s">
        <v>1225</v>
      </c>
      <c r="M1071" s="1" t="s">
        <v>1196</v>
      </c>
    </row>
    <row r="1072" spans="1:13" ht="24" customHeight="1">
      <c r="A1072" s="73"/>
      <c r="B1072" s="82"/>
      <c r="C1072" s="82"/>
      <c r="D1072" s="167"/>
      <c r="E1072" s="82"/>
      <c r="F1072" s="82"/>
      <c r="G1072" s="82"/>
      <c r="H1072" s="82"/>
      <c r="I1072" s="82"/>
      <c r="J1072" s="74" t="s">
        <v>129</v>
      </c>
      <c r="K1072" s="89">
        <f>SUM(K1062:K1071)</f>
        <v>31744862.690000001</v>
      </c>
      <c r="L1072" s="147"/>
    </row>
    <row r="1073" spans="1:12" ht="23.25" customHeight="1">
      <c r="A1073" s="62"/>
      <c r="B1073" s="62" t="s">
        <v>119</v>
      </c>
      <c r="C1073" s="53" t="s">
        <v>120</v>
      </c>
      <c r="H1073" s="63"/>
      <c r="I1073" s="63"/>
      <c r="L1073" s="148"/>
    </row>
    <row r="1074" spans="1:12" ht="22.5" customHeight="1">
      <c r="A1074" s="62"/>
      <c r="C1074" s="53" t="s">
        <v>121</v>
      </c>
      <c r="H1074" s="63"/>
      <c r="I1074" s="63"/>
      <c r="L1074" s="148"/>
    </row>
    <row r="1075" spans="1:12" ht="33.75" customHeight="1">
      <c r="A1075" s="90"/>
      <c r="G1075" s="68" t="s">
        <v>148</v>
      </c>
      <c r="H1075" s="268" t="s">
        <v>149</v>
      </c>
      <c r="I1075" s="268"/>
      <c r="J1075" s="268"/>
      <c r="K1075" s="2" t="s">
        <v>150</v>
      </c>
      <c r="L1075" s="141"/>
    </row>
    <row r="1076" spans="1:12" ht="24" customHeight="1">
      <c r="A1076" s="90"/>
      <c r="G1076" s="2"/>
      <c r="H1076" s="268" t="s">
        <v>1549</v>
      </c>
      <c r="I1076" s="268"/>
      <c r="J1076" s="268"/>
      <c r="K1076" s="2"/>
      <c r="L1076" s="141"/>
    </row>
    <row r="1077" spans="1:12" ht="37.5" customHeight="1">
      <c r="G1077" s="68" t="s">
        <v>148</v>
      </c>
      <c r="H1077" s="268" t="s">
        <v>149</v>
      </c>
      <c r="I1077" s="268"/>
      <c r="J1077" s="268"/>
      <c r="K1077" s="2" t="s">
        <v>151</v>
      </c>
      <c r="L1077" s="141"/>
    </row>
    <row r="1078" spans="1:12" ht="19.5" customHeight="1">
      <c r="G1078" s="2"/>
      <c r="H1078" s="268" t="s">
        <v>154</v>
      </c>
      <c r="I1078" s="268"/>
      <c r="J1078" s="268"/>
      <c r="K1078" s="2"/>
      <c r="L1078" s="141"/>
    </row>
    <row r="1079" spans="1:12" ht="41.25" customHeight="1">
      <c r="G1079" s="68" t="s">
        <v>148</v>
      </c>
      <c r="H1079" s="268" t="s">
        <v>149</v>
      </c>
      <c r="I1079" s="268"/>
      <c r="J1079" s="268"/>
      <c r="K1079" s="2" t="s">
        <v>151</v>
      </c>
      <c r="L1079" s="142"/>
    </row>
    <row r="1080" spans="1:12" ht="20.25" customHeight="1">
      <c r="G1080" s="2"/>
      <c r="H1080" s="268" t="s">
        <v>155</v>
      </c>
      <c r="I1080" s="268"/>
      <c r="J1080" s="268"/>
      <c r="K1080" s="2"/>
      <c r="L1080" s="142"/>
    </row>
    <row r="1081" spans="1:12" ht="40.5" customHeight="1">
      <c r="G1081" s="68" t="s">
        <v>148</v>
      </c>
      <c r="H1081" s="268" t="s">
        <v>149</v>
      </c>
      <c r="I1081" s="268"/>
      <c r="J1081" s="268"/>
      <c r="K1081" s="2" t="s">
        <v>151</v>
      </c>
      <c r="L1081" s="142"/>
    </row>
    <row r="1082" spans="1:12" ht="20.25" customHeight="1">
      <c r="G1082" s="2"/>
      <c r="H1082" s="268" t="s">
        <v>156</v>
      </c>
      <c r="I1082" s="268"/>
      <c r="J1082" s="268"/>
      <c r="K1082" s="2"/>
      <c r="L1082" s="142"/>
    </row>
    <row r="1083" spans="1:12" ht="34.5" customHeight="1">
      <c r="G1083" s="68" t="s">
        <v>148</v>
      </c>
      <c r="H1083" s="268" t="s">
        <v>149</v>
      </c>
      <c r="I1083" s="268"/>
      <c r="J1083" s="268"/>
      <c r="K1083" s="67" t="s">
        <v>152</v>
      </c>
      <c r="L1083" s="142"/>
    </row>
    <row r="1084" spans="1:12" ht="22.5" customHeight="1">
      <c r="G1084" s="67"/>
      <c r="H1084" s="268" t="s">
        <v>157</v>
      </c>
      <c r="I1084" s="268"/>
      <c r="J1084" s="268"/>
      <c r="K1084" s="67"/>
      <c r="L1084" s="142"/>
    </row>
    <row r="1085" spans="1:12" ht="22.5" customHeight="1">
      <c r="G1085" s="67"/>
      <c r="H1085" s="64"/>
      <c r="I1085" s="64"/>
      <c r="J1085" s="64"/>
      <c r="K1085" s="67"/>
      <c r="L1085" s="142"/>
    </row>
    <row r="1086" spans="1:12" ht="24" customHeight="1">
      <c r="L1086" s="138" t="s">
        <v>1454</v>
      </c>
    </row>
    <row r="1087" spans="1:12" ht="24" customHeight="1">
      <c r="A1087" s="269" t="s">
        <v>158</v>
      </c>
      <c r="B1087" s="269"/>
      <c r="C1087" s="269"/>
      <c r="D1087" s="269"/>
      <c r="E1087" s="269"/>
      <c r="F1087" s="269"/>
      <c r="G1087" s="269"/>
      <c r="H1087" s="269"/>
      <c r="I1087" s="269"/>
      <c r="J1087" s="269"/>
      <c r="K1087" s="269"/>
      <c r="L1087" s="269"/>
    </row>
    <row r="1088" spans="1:12" ht="24" customHeight="1">
      <c r="A1088" s="270" t="s">
        <v>163</v>
      </c>
      <c r="B1088" s="270"/>
      <c r="C1088" s="270"/>
      <c r="D1088" s="270"/>
      <c r="E1088" s="270"/>
      <c r="F1088" s="270"/>
      <c r="G1088" s="270"/>
      <c r="H1088" s="270"/>
      <c r="I1088" s="270"/>
      <c r="J1088" s="270"/>
      <c r="K1088" s="270"/>
      <c r="L1088" s="270"/>
    </row>
    <row r="1089" spans="1:14" ht="24" customHeight="1" thickBot="1">
      <c r="A1089" s="271" t="s">
        <v>164</v>
      </c>
      <c r="B1089" s="271"/>
      <c r="C1089" s="271"/>
      <c r="D1089" s="271"/>
      <c r="E1089" s="271"/>
      <c r="F1089" s="271"/>
      <c r="G1089" s="271"/>
      <c r="H1089" s="271"/>
      <c r="I1089" s="271"/>
      <c r="J1089" s="271"/>
      <c r="K1089" s="271"/>
      <c r="L1089" s="271"/>
    </row>
    <row r="1090" spans="1:14" ht="24" customHeight="1" thickTop="1">
      <c r="A1090" s="272" t="s">
        <v>103</v>
      </c>
      <c r="B1090" s="272" t="s">
        <v>122</v>
      </c>
      <c r="C1090" s="272" t="s">
        <v>124</v>
      </c>
      <c r="D1090" s="274" t="s">
        <v>0</v>
      </c>
      <c r="E1090" s="272" t="s">
        <v>109</v>
      </c>
      <c r="F1090" s="272" t="s">
        <v>110</v>
      </c>
      <c r="G1090" s="276" t="s">
        <v>111</v>
      </c>
      <c r="H1090" s="278" t="s">
        <v>1</v>
      </c>
      <c r="I1090" s="279"/>
      <c r="J1090" s="272" t="s">
        <v>125</v>
      </c>
      <c r="K1090" s="272" t="s">
        <v>104</v>
      </c>
      <c r="L1090" s="280" t="s">
        <v>112</v>
      </c>
    </row>
    <row r="1091" spans="1:14" ht="45.75" customHeight="1" thickBot="1">
      <c r="A1091" s="273"/>
      <c r="B1091" s="273"/>
      <c r="C1091" s="273"/>
      <c r="D1091" s="275"/>
      <c r="E1091" s="273"/>
      <c r="F1091" s="273"/>
      <c r="G1091" s="277"/>
      <c r="H1091" s="51" t="s">
        <v>113</v>
      </c>
      <c r="I1091" s="52" t="s">
        <v>114</v>
      </c>
      <c r="J1091" s="273"/>
      <c r="K1091" s="273"/>
      <c r="L1091" s="281"/>
    </row>
    <row r="1092" spans="1:14" ht="24" customHeight="1" thickTop="1">
      <c r="A1092" s="35"/>
      <c r="B1092" s="35"/>
      <c r="C1092" s="35"/>
      <c r="D1092" s="168"/>
      <c r="E1092" s="35"/>
      <c r="F1092" s="83"/>
      <c r="G1092" s="34"/>
      <c r="H1092" s="84"/>
      <c r="I1092" s="85"/>
      <c r="J1092" s="86" t="s">
        <v>132</v>
      </c>
      <c r="K1092" s="87">
        <f>SUM(K1072)</f>
        <v>31744862.690000001</v>
      </c>
      <c r="L1092" s="146"/>
    </row>
    <row r="1093" spans="1:14">
      <c r="A1093" s="34">
        <v>350</v>
      </c>
      <c r="B1093" s="17">
        <v>2553</v>
      </c>
      <c r="C1093" s="5" t="s">
        <v>1224</v>
      </c>
      <c r="D1093" s="126" t="s">
        <v>1223</v>
      </c>
      <c r="E1093" s="18" t="s">
        <v>2</v>
      </c>
      <c r="F1093" s="18">
        <v>12</v>
      </c>
      <c r="G1093" s="18" t="s">
        <v>128</v>
      </c>
      <c r="H1093" s="18">
        <v>1</v>
      </c>
      <c r="I1093" s="4">
        <v>1</v>
      </c>
      <c r="J1093" s="120">
        <v>7900</v>
      </c>
      <c r="K1093" s="120">
        <f>SUM(I1093*J1093)</f>
        <v>7900</v>
      </c>
      <c r="L1093" s="135" t="s">
        <v>1046</v>
      </c>
      <c r="M1093" s="1" t="s">
        <v>1196</v>
      </c>
    </row>
    <row r="1094" spans="1:14">
      <c r="A1094" s="38">
        <v>351</v>
      </c>
      <c r="B1094" s="17">
        <v>2553</v>
      </c>
      <c r="C1094" s="5" t="s">
        <v>1234</v>
      </c>
      <c r="D1094" s="126" t="s">
        <v>586</v>
      </c>
      <c r="E1094" s="18" t="s">
        <v>2</v>
      </c>
      <c r="F1094" s="18">
        <v>12</v>
      </c>
      <c r="G1094" s="18" t="s">
        <v>128</v>
      </c>
      <c r="H1094" s="18">
        <v>2</v>
      </c>
      <c r="I1094" s="4">
        <v>2</v>
      </c>
      <c r="J1094" s="120">
        <v>32000</v>
      </c>
      <c r="K1094" s="120">
        <f>SUM(I1094*J1094)</f>
        <v>64000</v>
      </c>
      <c r="L1094" s="135" t="s">
        <v>1233</v>
      </c>
      <c r="M1094" s="1" t="s">
        <v>1196</v>
      </c>
    </row>
    <row r="1095" spans="1:14">
      <c r="A1095" s="34">
        <v>352</v>
      </c>
      <c r="B1095" s="17">
        <v>2554</v>
      </c>
      <c r="C1095" s="5" t="s">
        <v>1232</v>
      </c>
      <c r="D1095" s="126" t="s">
        <v>1231</v>
      </c>
      <c r="E1095" s="18" t="s">
        <v>2</v>
      </c>
      <c r="F1095" s="18">
        <v>11</v>
      </c>
      <c r="G1095" s="18">
        <v>4</v>
      </c>
      <c r="H1095" s="18">
        <v>1</v>
      </c>
      <c r="I1095" s="4">
        <v>1</v>
      </c>
      <c r="J1095" s="120">
        <v>26500</v>
      </c>
      <c r="K1095" s="120">
        <v>26500</v>
      </c>
      <c r="L1095" s="135" t="s">
        <v>1230</v>
      </c>
      <c r="M1095" s="1" t="s">
        <v>1196</v>
      </c>
    </row>
    <row r="1096" spans="1:14">
      <c r="A1096" s="38">
        <v>353</v>
      </c>
      <c r="B1096" s="17">
        <v>2554</v>
      </c>
      <c r="C1096" s="5" t="s">
        <v>1229</v>
      </c>
      <c r="D1096" s="126" t="s">
        <v>1235</v>
      </c>
      <c r="E1096" s="17" t="s">
        <v>2</v>
      </c>
      <c r="F1096" s="18">
        <v>11</v>
      </c>
      <c r="G1096" s="18">
        <v>1</v>
      </c>
      <c r="H1096" s="17">
        <v>1</v>
      </c>
      <c r="I1096" s="4">
        <v>1</v>
      </c>
      <c r="J1096" s="120">
        <v>28900</v>
      </c>
      <c r="K1096" s="120">
        <v>28900</v>
      </c>
      <c r="L1096" s="137" t="s">
        <v>1228</v>
      </c>
      <c r="M1096" s="1" t="s">
        <v>1196</v>
      </c>
    </row>
    <row r="1097" spans="1:14">
      <c r="A1097" s="34">
        <v>354</v>
      </c>
      <c r="B1097" s="29">
        <v>2549</v>
      </c>
      <c r="C1097" s="5" t="s">
        <v>1251</v>
      </c>
      <c r="D1097" s="126" t="s">
        <v>496</v>
      </c>
      <c r="E1097" s="18" t="s">
        <v>98</v>
      </c>
      <c r="F1097" s="18">
        <v>16</v>
      </c>
      <c r="G1097" s="18" t="s">
        <v>128</v>
      </c>
      <c r="H1097" s="18">
        <v>1</v>
      </c>
      <c r="I1097" s="4">
        <v>1</v>
      </c>
      <c r="J1097" s="3">
        <v>5500</v>
      </c>
      <c r="K1097" s="3">
        <v>5500</v>
      </c>
      <c r="L1097" s="135" t="s">
        <v>1250</v>
      </c>
      <c r="M1097" s="1" t="s">
        <v>1236</v>
      </c>
    </row>
    <row r="1098" spans="1:14">
      <c r="A1098" s="38">
        <v>355</v>
      </c>
      <c r="B1098" s="29">
        <v>2549</v>
      </c>
      <c r="C1098" s="5" t="s">
        <v>1249</v>
      </c>
      <c r="D1098" s="126" t="s">
        <v>496</v>
      </c>
      <c r="E1098" s="18" t="s">
        <v>750</v>
      </c>
      <c r="F1098" s="18">
        <v>16</v>
      </c>
      <c r="G1098" s="18" t="s">
        <v>128</v>
      </c>
      <c r="H1098" s="18">
        <v>1</v>
      </c>
      <c r="I1098" s="4">
        <v>1</v>
      </c>
      <c r="J1098" s="3">
        <v>5296.5</v>
      </c>
      <c r="K1098" s="3">
        <v>5296.5</v>
      </c>
      <c r="L1098" s="135" t="s">
        <v>1248</v>
      </c>
      <c r="M1098" s="1" t="s">
        <v>1236</v>
      </c>
    </row>
    <row r="1099" spans="1:14">
      <c r="A1099" s="34">
        <v>356</v>
      </c>
      <c r="B1099" s="29">
        <v>2553</v>
      </c>
      <c r="C1099" s="5" t="s">
        <v>1247</v>
      </c>
      <c r="D1099" s="126" t="s">
        <v>1246</v>
      </c>
      <c r="E1099" s="18" t="s">
        <v>759</v>
      </c>
      <c r="F1099" s="18">
        <v>13</v>
      </c>
      <c r="G1099" s="18" t="s">
        <v>128</v>
      </c>
      <c r="H1099" s="18">
        <v>1</v>
      </c>
      <c r="I1099" s="4">
        <v>1</v>
      </c>
      <c r="J1099" s="3">
        <v>22000</v>
      </c>
      <c r="K1099" s="3">
        <v>22000</v>
      </c>
      <c r="L1099" s="135" t="s">
        <v>1245</v>
      </c>
      <c r="M1099" s="1" t="s">
        <v>1236</v>
      </c>
    </row>
    <row r="1100" spans="1:14" s="7" customFormat="1" ht="24" customHeight="1">
      <c r="A1100" s="38">
        <v>357</v>
      </c>
      <c r="B1100" s="27">
        <v>2547</v>
      </c>
      <c r="C1100" s="43" t="s">
        <v>1261</v>
      </c>
      <c r="D1100" s="185" t="s">
        <v>470</v>
      </c>
      <c r="E1100" s="42" t="s">
        <v>98</v>
      </c>
      <c r="F1100" s="42">
        <v>18</v>
      </c>
      <c r="G1100" s="122" t="s">
        <v>383</v>
      </c>
      <c r="H1100" s="46">
        <v>1</v>
      </c>
      <c r="I1100" s="46">
        <v>1</v>
      </c>
      <c r="J1100" s="10">
        <v>29000</v>
      </c>
      <c r="K1100" s="48">
        <f>SUM(I1100*J1100)</f>
        <v>29000</v>
      </c>
      <c r="L1100" s="162" t="s">
        <v>1508</v>
      </c>
      <c r="M1100" s="49" t="s">
        <v>1252</v>
      </c>
      <c r="N1100" s="47"/>
    </row>
    <row r="1101" spans="1:14" ht="24" customHeight="1">
      <c r="A1101" s="34">
        <v>358</v>
      </c>
      <c r="B1101" s="29">
        <v>2553</v>
      </c>
      <c r="C1101" s="5" t="s">
        <v>1267</v>
      </c>
      <c r="D1101" s="126" t="s">
        <v>1266</v>
      </c>
      <c r="E1101" s="18" t="s">
        <v>2</v>
      </c>
      <c r="F1101" s="18">
        <v>12</v>
      </c>
      <c r="G1101" s="18" t="s">
        <v>128</v>
      </c>
      <c r="H1101" s="18">
        <v>1</v>
      </c>
      <c r="I1101" s="4">
        <v>1</v>
      </c>
      <c r="J1101" s="3">
        <v>10140</v>
      </c>
      <c r="K1101" s="3">
        <f>SUM(I1101*J1101)</f>
        <v>10140</v>
      </c>
      <c r="L1101" s="135" t="s">
        <v>1321</v>
      </c>
      <c r="M1101" s="1" t="s">
        <v>1262</v>
      </c>
    </row>
    <row r="1102" spans="1:14" ht="24" customHeight="1" thickBot="1">
      <c r="A1102" s="73"/>
      <c r="B1102" s="82"/>
      <c r="C1102" s="82"/>
      <c r="D1102" s="167" t="s">
        <v>1506</v>
      </c>
      <c r="E1102" s="82"/>
      <c r="F1102" s="82"/>
      <c r="G1102" s="82"/>
      <c r="H1102" s="82"/>
      <c r="I1102" s="82"/>
      <c r="J1102" s="74" t="s">
        <v>123</v>
      </c>
      <c r="K1102" s="121">
        <f>SUM(K1092:K1101)</f>
        <v>31944099.190000001</v>
      </c>
      <c r="L1102" s="147"/>
    </row>
    <row r="1103" spans="1:14" ht="24" customHeight="1" thickTop="1">
      <c r="A1103" s="62"/>
      <c r="B1103" s="62" t="s">
        <v>119</v>
      </c>
      <c r="C1103" s="53" t="s">
        <v>120</v>
      </c>
      <c r="H1103" s="63"/>
      <c r="I1103" s="63"/>
      <c r="L1103" s="148"/>
    </row>
    <row r="1104" spans="1:14" ht="24" customHeight="1">
      <c r="A1104" s="62"/>
      <c r="C1104" s="53" t="s">
        <v>121</v>
      </c>
      <c r="H1104" s="63"/>
      <c r="I1104" s="63"/>
      <c r="L1104" s="148"/>
    </row>
    <row r="1105" spans="1:12" ht="24.75" customHeight="1">
      <c r="A1105" s="90"/>
      <c r="G1105" s="68" t="s">
        <v>148</v>
      </c>
      <c r="H1105" s="268" t="s">
        <v>149</v>
      </c>
      <c r="I1105" s="268"/>
      <c r="J1105" s="268"/>
      <c r="K1105" s="2" t="s">
        <v>150</v>
      </c>
      <c r="L1105" s="141"/>
    </row>
    <row r="1106" spans="1:12" ht="21.75" customHeight="1">
      <c r="A1106" s="90"/>
      <c r="G1106" s="2"/>
      <c r="H1106" s="268" t="s">
        <v>1549</v>
      </c>
      <c r="I1106" s="268"/>
      <c r="J1106" s="268"/>
      <c r="K1106" s="2"/>
      <c r="L1106" s="141"/>
    </row>
    <row r="1107" spans="1:12" ht="34.5" customHeight="1">
      <c r="G1107" s="68" t="s">
        <v>148</v>
      </c>
      <c r="H1107" s="268" t="s">
        <v>149</v>
      </c>
      <c r="I1107" s="268"/>
      <c r="J1107" s="268"/>
      <c r="K1107" s="2" t="s">
        <v>151</v>
      </c>
      <c r="L1107" s="141"/>
    </row>
    <row r="1108" spans="1:12" ht="19.5" customHeight="1">
      <c r="G1108" s="2"/>
      <c r="H1108" s="268" t="s">
        <v>154</v>
      </c>
      <c r="I1108" s="268"/>
      <c r="J1108" s="268"/>
      <c r="K1108" s="2"/>
      <c r="L1108" s="141"/>
    </row>
    <row r="1109" spans="1:12" ht="36" customHeight="1">
      <c r="G1109" s="68" t="s">
        <v>148</v>
      </c>
      <c r="H1109" s="268" t="s">
        <v>149</v>
      </c>
      <c r="I1109" s="268"/>
      <c r="J1109" s="268"/>
      <c r="K1109" s="2" t="s">
        <v>151</v>
      </c>
      <c r="L1109" s="142"/>
    </row>
    <row r="1110" spans="1:12" ht="20.25" customHeight="1">
      <c r="G1110" s="2"/>
      <c r="H1110" s="268" t="s">
        <v>155</v>
      </c>
      <c r="I1110" s="268"/>
      <c r="J1110" s="268"/>
      <c r="K1110" s="2"/>
      <c r="L1110" s="142"/>
    </row>
    <row r="1111" spans="1:12" ht="39" customHeight="1">
      <c r="G1111" s="68" t="s">
        <v>148</v>
      </c>
      <c r="H1111" s="268" t="s">
        <v>149</v>
      </c>
      <c r="I1111" s="268"/>
      <c r="J1111" s="268"/>
      <c r="K1111" s="2" t="s">
        <v>151</v>
      </c>
      <c r="L1111" s="142"/>
    </row>
    <row r="1112" spans="1:12" ht="19.5" customHeight="1">
      <c r="G1112" s="2"/>
      <c r="H1112" s="268" t="s">
        <v>156</v>
      </c>
      <c r="I1112" s="268"/>
      <c r="J1112" s="268"/>
      <c r="K1112" s="2"/>
      <c r="L1112" s="142"/>
    </row>
    <row r="1113" spans="1:12" ht="36.75" customHeight="1">
      <c r="G1113" s="68" t="s">
        <v>148</v>
      </c>
      <c r="H1113" s="268" t="s">
        <v>149</v>
      </c>
      <c r="I1113" s="268"/>
      <c r="J1113" s="268"/>
      <c r="K1113" s="67" t="s">
        <v>152</v>
      </c>
      <c r="L1113" s="142"/>
    </row>
    <row r="1114" spans="1:12" ht="24" customHeight="1">
      <c r="G1114" s="67"/>
      <c r="H1114" s="268" t="s">
        <v>157</v>
      </c>
      <c r="I1114" s="268"/>
      <c r="J1114" s="268"/>
      <c r="K1114" s="67"/>
      <c r="L1114" s="142"/>
    </row>
    <row r="1115" spans="1:12" ht="24" customHeight="1">
      <c r="G1115" s="67"/>
      <c r="H1115" s="64"/>
      <c r="I1115" s="64"/>
      <c r="J1115" s="64"/>
      <c r="K1115" s="67"/>
      <c r="L1115" s="142"/>
    </row>
    <row r="1116" spans="1:12" ht="24" customHeight="1">
      <c r="L1116" s="138" t="s">
        <v>1456</v>
      </c>
    </row>
    <row r="1117" spans="1:12" ht="24" customHeight="1">
      <c r="A1117" s="269" t="s">
        <v>158</v>
      </c>
      <c r="B1117" s="269"/>
      <c r="C1117" s="269"/>
      <c r="D1117" s="269"/>
      <c r="E1117" s="269"/>
      <c r="F1117" s="269"/>
      <c r="G1117" s="269"/>
      <c r="H1117" s="269"/>
      <c r="I1117" s="269"/>
      <c r="J1117" s="269"/>
      <c r="K1117" s="269"/>
      <c r="L1117" s="269"/>
    </row>
    <row r="1118" spans="1:12" ht="24" customHeight="1">
      <c r="A1118" s="270" t="s">
        <v>163</v>
      </c>
      <c r="B1118" s="270"/>
      <c r="C1118" s="270"/>
      <c r="D1118" s="270"/>
      <c r="E1118" s="270"/>
      <c r="F1118" s="270"/>
      <c r="G1118" s="270"/>
      <c r="H1118" s="270"/>
      <c r="I1118" s="270"/>
      <c r="J1118" s="270"/>
      <c r="K1118" s="270"/>
      <c r="L1118" s="270"/>
    </row>
    <row r="1119" spans="1:12" ht="24" customHeight="1" thickBot="1">
      <c r="A1119" s="271" t="s">
        <v>164</v>
      </c>
      <c r="B1119" s="271"/>
      <c r="C1119" s="271"/>
      <c r="D1119" s="271"/>
      <c r="E1119" s="271"/>
      <c r="F1119" s="271"/>
      <c r="G1119" s="271"/>
      <c r="H1119" s="271"/>
      <c r="I1119" s="271"/>
      <c r="J1119" s="271"/>
      <c r="K1119" s="271"/>
      <c r="L1119" s="271"/>
    </row>
    <row r="1120" spans="1:12" ht="24" customHeight="1" thickTop="1">
      <c r="A1120" s="272" t="s">
        <v>103</v>
      </c>
      <c r="B1120" s="272" t="s">
        <v>122</v>
      </c>
      <c r="C1120" s="272" t="s">
        <v>124</v>
      </c>
      <c r="D1120" s="274" t="s">
        <v>0</v>
      </c>
      <c r="E1120" s="272" t="s">
        <v>109</v>
      </c>
      <c r="F1120" s="272" t="s">
        <v>110</v>
      </c>
      <c r="G1120" s="276" t="s">
        <v>111</v>
      </c>
      <c r="H1120" s="278" t="s">
        <v>1</v>
      </c>
      <c r="I1120" s="279"/>
      <c r="J1120" s="272" t="s">
        <v>125</v>
      </c>
      <c r="K1120" s="272" t="s">
        <v>104</v>
      </c>
      <c r="L1120" s="280" t="s">
        <v>112</v>
      </c>
    </row>
    <row r="1121" spans="1:13" ht="45.75" customHeight="1" thickBot="1">
      <c r="A1121" s="273"/>
      <c r="B1121" s="273"/>
      <c r="C1121" s="273"/>
      <c r="D1121" s="275"/>
      <c r="E1121" s="273"/>
      <c r="F1121" s="273"/>
      <c r="G1121" s="277"/>
      <c r="H1121" s="51" t="s">
        <v>113</v>
      </c>
      <c r="I1121" s="52" t="s">
        <v>114</v>
      </c>
      <c r="J1121" s="273"/>
      <c r="K1121" s="273"/>
      <c r="L1121" s="281"/>
    </row>
    <row r="1122" spans="1:13" ht="24" customHeight="1" thickTop="1">
      <c r="A1122" s="35"/>
      <c r="B1122" s="35"/>
      <c r="C1122" s="35"/>
      <c r="D1122" s="168"/>
      <c r="E1122" s="35"/>
      <c r="F1122" s="83"/>
      <c r="G1122" s="34"/>
      <c r="H1122" s="84"/>
      <c r="I1122" s="85"/>
      <c r="J1122" s="86" t="s">
        <v>132</v>
      </c>
      <c r="K1122" s="87">
        <f>SUM(K1102)</f>
        <v>31944099.190000001</v>
      </c>
      <c r="L1122" s="146"/>
    </row>
    <row r="1123" spans="1:13" ht="24" customHeight="1">
      <c r="A1123" s="38">
        <v>359</v>
      </c>
      <c r="B1123" s="29">
        <v>2553</v>
      </c>
      <c r="C1123" s="5" t="s">
        <v>1269</v>
      </c>
      <c r="D1123" s="126" t="s">
        <v>468</v>
      </c>
      <c r="E1123" s="18" t="s">
        <v>2</v>
      </c>
      <c r="F1123" s="18">
        <v>12</v>
      </c>
      <c r="G1123" s="18" t="s">
        <v>128</v>
      </c>
      <c r="H1123" s="18">
        <v>1</v>
      </c>
      <c r="I1123" s="4">
        <v>1</v>
      </c>
      <c r="J1123" s="3">
        <v>17000</v>
      </c>
      <c r="K1123" s="3">
        <f>SUM(I1123*J1123)</f>
        <v>17000</v>
      </c>
      <c r="L1123" s="135" t="s">
        <v>1324</v>
      </c>
      <c r="M1123" s="1" t="s">
        <v>1268</v>
      </c>
    </row>
    <row r="1124" spans="1:13">
      <c r="A1124" s="38">
        <v>360</v>
      </c>
      <c r="B1124" s="29">
        <v>2553</v>
      </c>
      <c r="C1124" s="5" t="s">
        <v>1024</v>
      </c>
      <c r="D1124" s="126" t="s">
        <v>468</v>
      </c>
      <c r="E1124" s="18" t="s">
        <v>759</v>
      </c>
      <c r="F1124" s="18">
        <v>12</v>
      </c>
      <c r="G1124" s="18" t="s">
        <v>128</v>
      </c>
      <c r="H1124" s="18">
        <v>1</v>
      </c>
      <c r="I1124" s="4">
        <v>1</v>
      </c>
      <c r="J1124" s="3">
        <v>17000</v>
      </c>
      <c r="K1124" s="3">
        <f>SUM(I1124*J1124)</f>
        <v>17000</v>
      </c>
      <c r="L1124" s="135" t="s">
        <v>1276</v>
      </c>
      <c r="M1124" s="1" t="s">
        <v>1274</v>
      </c>
    </row>
    <row r="1125" spans="1:13" ht="24" customHeight="1" thickBot="1">
      <c r="A1125" s="73"/>
      <c r="B1125" s="82"/>
      <c r="C1125" s="82"/>
      <c r="D1125" s="167" t="s">
        <v>1455</v>
      </c>
      <c r="E1125" s="82"/>
      <c r="F1125" s="82"/>
      <c r="G1125" s="82"/>
      <c r="H1125" s="82"/>
      <c r="I1125" s="82"/>
      <c r="J1125" s="74" t="s">
        <v>123</v>
      </c>
      <c r="K1125" s="121">
        <f>SUM(K1122:K1124)</f>
        <v>31978099.190000001</v>
      </c>
      <c r="L1125" s="147"/>
    </row>
    <row r="1126" spans="1:13" ht="24" customHeight="1" thickTop="1">
      <c r="A1126" s="62"/>
      <c r="B1126" s="62" t="s">
        <v>119</v>
      </c>
      <c r="C1126" s="53" t="s">
        <v>120</v>
      </c>
      <c r="H1126" s="63"/>
      <c r="I1126" s="63"/>
      <c r="L1126" s="148"/>
    </row>
    <row r="1127" spans="1:13" ht="24" customHeight="1">
      <c r="A1127" s="62"/>
      <c r="C1127" s="53" t="s">
        <v>121</v>
      </c>
      <c r="H1127" s="63"/>
      <c r="I1127" s="63"/>
      <c r="L1127" s="148"/>
    </row>
    <row r="1128" spans="1:13" ht="30.75" customHeight="1">
      <c r="A1128" s="90"/>
      <c r="G1128" s="68" t="s">
        <v>148</v>
      </c>
      <c r="H1128" s="268" t="s">
        <v>149</v>
      </c>
      <c r="I1128" s="268"/>
      <c r="J1128" s="268"/>
      <c r="K1128" s="2" t="s">
        <v>150</v>
      </c>
      <c r="L1128" s="141"/>
    </row>
    <row r="1129" spans="1:13" ht="25.5" customHeight="1">
      <c r="A1129" s="90"/>
      <c r="G1129" s="2"/>
      <c r="H1129" s="268" t="s">
        <v>1549</v>
      </c>
      <c r="I1129" s="268"/>
      <c r="J1129" s="268"/>
      <c r="K1129" s="2"/>
      <c r="L1129" s="141"/>
    </row>
    <row r="1130" spans="1:13" ht="37.5" customHeight="1">
      <c r="G1130" s="68" t="s">
        <v>148</v>
      </c>
      <c r="H1130" s="268" t="s">
        <v>149</v>
      </c>
      <c r="I1130" s="268"/>
      <c r="J1130" s="268"/>
      <c r="K1130" s="2" t="s">
        <v>151</v>
      </c>
      <c r="L1130" s="141"/>
    </row>
    <row r="1131" spans="1:13" ht="24" customHeight="1">
      <c r="G1131" s="2"/>
      <c r="H1131" s="268" t="s">
        <v>154</v>
      </c>
      <c r="I1131" s="268"/>
      <c r="J1131" s="268"/>
      <c r="K1131" s="2"/>
      <c r="L1131" s="141"/>
    </row>
    <row r="1132" spans="1:13" ht="37.5" customHeight="1">
      <c r="G1132" s="68" t="s">
        <v>148</v>
      </c>
      <c r="H1132" s="268" t="s">
        <v>149</v>
      </c>
      <c r="I1132" s="268"/>
      <c r="J1132" s="268"/>
      <c r="K1132" s="2" t="s">
        <v>151</v>
      </c>
      <c r="L1132" s="142"/>
    </row>
    <row r="1133" spans="1:13" ht="23.25" customHeight="1">
      <c r="G1133" s="2"/>
      <c r="H1133" s="268" t="s">
        <v>155</v>
      </c>
      <c r="I1133" s="268"/>
      <c r="J1133" s="268"/>
      <c r="K1133" s="2"/>
      <c r="L1133" s="142"/>
    </row>
    <row r="1134" spans="1:13" ht="42" customHeight="1">
      <c r="G1134" s="68" t="s">
        <v>148</v>
      </c>
      <c r="H1134" s="268" t="s">
        <v>149</v>
      </c>
      <c r="I1134" s="268"/>
      <c r="J1134" s="268"/>
      <c r="K1134" s="2" t="s">
        <v>151</v>
      </c>
      <c r="L1134" s="142"/>
    </row>
    <row r="1135" spans="1:13" ht="21.75" customHeight="1">
      <c r="G1135" s="2"/>
      <c r="H1135" s="268" t="s">
        <v>156</v>
      </c>
      <c r="I1135" s="268"/>
      <c r="J1135" s="268"/>
      <c r="K1135" s="2"/>
      <c r="L1135" s="142"/>
    </row>
    <row r="1136" spans="1:13" ht="42" customHeight="1">
      <c r="G1136" s="68" t="s">
        <v>148</v>
      </c>
      <c r="H1136" s="268" t="s">
        <v>149</v>
      </c>
      <c r="I1136" s="268"/>
      <c r="J1136" s="268"/>
      <c r="K1136" s="67" t="s">
        <v>152</v>
      </c>
      <c r="L1136" s="142"/>
    </row>
    <row r="1137" spans="7:12" ht="24" customHeight="1">
      <c r="G1137" s="67"/>
      <c r="H1137" s="268" t="s">
        <v>157</v>
      </c>
      <c r="I1137" s="268"/>
      <c r="J1137" s="268"/>
      <c r="K1137" s="67"/>
      <c r="L1137" s="142"/>
    </row>
  </sheetData>
  <mergeCells count="888">
    <mergeCell ref="H1137:J1137"/>
    <mergeCell ref="H1128:J1128"/>
    <mergeCell ref="H1129:J1129"/>
    <mergeCell ref="H1130:J1130"/>
    <mergeCell ref="H1131:J1131"/>
    <mergeCell ref="H1132:J1132"/>
    <mergeCell ref="H1133:J1133"/>
    <mergeCell ref="H1134:J1134"/>
    <mergeCell ref="H1135:J1135"/>
    <mergeCell ref="H1136:J1136"/>
    <mergeCell ref="A1117:L1117"/>
    <mergeCell ref="A1118:L1118"/>
    <mergeCell ref="A1119:L1119"/>
    <mergeCell ref="A1120:A1121"/>
    <mergeCell ref="B1120:B1121"/>
    <mergeCell ref="C1120:C1121"/>
    <mergeCell ref="D1120:D1121"/>
    <mergeCell ref="E1120:E1121"/>
    <mergeCell ref="F1120:F1121"/>
    <mergeCell ref="G1120:G1121"/>
    <mergeCell ref="H1120:I1120"/>
    <mergeCell ref="J1120:J1121"/>
    <mergeCell ref="K1120:K1121"/>
    <mergeCell ref="L1120:L1121"/>
    <mergeCell ref="H1114:J1114"/>
    <mergeCell ref="H1105:J1105"/>
    <mergeCell ref="H1106:J1106"/>
    <mergeCell ref="H1107:J1107"/>
    <mergeCell ref="H1108:J1108"/>
    <mergeCell ref="H1109:J1109"/>
    <mergeCell ref="H1110:J1110"/>
    <mergeCell ref="H1111:J1111"/>
    <mergeCell ref="H1112:J1112"/>
    <mergeCell ref="H1113:J1113"/>
    <mergeCell ref="A1087:L1087"/>
    <mergeCell ref="A1088:L1088"/>
    <mergeCell ref="A1089:L1089"/>
    <mergeCell ref="A1090:A1091"/>
    <mergeCell ref="B1090:B1091"/>
    <mergeCell ref="C1090:C1091"/>
    <mergeCell ref="D1090:D1091"/>
    <mergeCell ref="E1090:E1091"/>
    <mergeCell ref="F1090:F1091"/>
    <mergeCell ref="G1090:G1091"/>
    <mergeCell ref="H1090:I1090"/>
    <mergeCell ref="J1090:J1091"/>
    <mergeCell ref="K1090:K1091"/>
    <mergeCell ref="L1090:L1091"/>
    <mergeCell ref="H1084:J1084"/>
    <mergeCell ref="H1075:J1075"/>
    <mergeCell ref="H1076:J1076"/>
    <mergeCell ref="H1077:J1077"/>
    <mergeCell ref="H1078:J1078"/>
    <mergeCell ref="H1079:J1079"/>
    <mergeCell ref="H1080:J1080"/>
    <mergeCell ref="H1081:J1081"/>
    <mergeCell ref="H1082:J1082"/>
    <mergeCell ref="H1083:J1083"/>
    <mergeCell ref="H1054:J1054"/>
    <mergeCell ref="A1057:L1057"/>
    <mergeCell ref="A1058:L1058"/>
    <mergeCell ref="A1059:L1059"/>
    <mergeCell ref="A1060:A1061"/>
    <mergeCell ref="B1060:B1061"/>
    <mergeCell ref="C1060:C1061"/>
    <mergeCell ref="D1060:D1061"/>
    <mergeCell ref="E1060:E1061"/>
    <mergeCell ref="F1060:F1061"/>
    <mergeCell ref="G1060:G1061"/>
    <mergeCell ref="H1060:I1060"/>
    <mergeCell ref="J1060:J1061"/>
    <mergeCell ref="K1060:K1061"/>
    <mergeCell ref="L1060:L1061"/>
    <mergeCell ref="H1045:J1045"/>
    <mergeCell ref="H1046:J1046"/>
    <mergeCell ref="H1047:J1047"/>
    <mergeCell ref="H1048:J1048"/>
    <mergeCell ref="H1049:J1049"/>
    <mergeCell ref="H1050:J1050"/>
    <mergeCell ref="H1051:J1051"/>
    <mergeCell ref="H1052:J1052"/>
    <mergeCell ref="H1053:J1053"/>
    <mergeCell ref="H1023:J1023"/>
    <mergeCell ref="A1026:L1026"/>
    <mergeCell ref="A1027:L1027"/>
    <mergeCell ref="A1028:L1028"/>
    <mergeCell ref="A1029:A1030"/>
    <mergeCell ref="B1029:B1030"/>
    <mergeCell ref="C1029:C1030"/>
    <mergeCell ref="D1029:D1030"/>
    <mergeCell ref="E1029:E1030"/>
    <mergeCell ref="F1029:F1030"/>
    <mergeCell ref="G1029:G1030"/>
    <mergeCell ref="H1029:I1029"/>
    <mergeCell ref="J1029:J1030"/>
    <mergeCell ref="K1029:K1030"/>
    <mergeCell ref="L1029:L1030"/>
    <mergeCell ref="H1014:J1014"/>
    <mergeCell ref="H1015:J1015"/>
    <mergeCell ref="H1016:J1016"/>
    <mergeCell ref="H1017:J1017"/>
    <mergeCell ref="H1018:J1018"/>
    <mergeCell ref="H1019:J1019"/>
    <mergeCell ref="H1020:J1020"/>
    <mergeCell ref="H1021:J1021"/>
    <mergeCell ref="H1022:J1022"/>
    <mergeCell ref="H992:J992"/>
    <mergeCell ref="A995:L995"/>
    <mergeCell ref="A996:L996"/>
    <mergeCell ref="A997:L997"/>
    <mergeCell ref="A998:A999"/>
    <mergeCell ref="B998:B999"/>
    <mergeCell ref="C998:C999"/>
    <mergeCell ref="D998:D999"/>
    <mergeCell ref="E998:E999"/>
    <mergeCell ref="F998:F999"/>
    <mergeCell ref="G998:G999"/>
    <mergeCell ref="H998:I998"/>
    <mergeCell ref="J998:J999"/>
    <mergeCell ref="K998:K999"/>
    <mergeCell ref="L998:L999"/>
    <mergeCell ref="H983:J983"/>
    <mergeCell ref="H984:J984"/>
    <mergeCell ref="H985:J985"/>
    <mergeCell ref="H986:J986"/>
    <mergeCell ref="H987:J987"/>
    <mergeCell ref="H988:J988"/>
    <mergeCell ref="H989:J989"/>
    <mergeCell ref="H990:J990"/>
    <mergeCell ref="H991:J991"/>
    <mergeCell ref="H961:J961"/>
    <mergeCell ref="A964:L964"/>
    <mergeCell ref="A965:L965"/>
    <mergeCell ref="A966:L966"/>
    <mergeCell ref="A967:A968"/>
    <mergeCell ref="B967:B968"/>
    <mergeCell ref="C967:C968"/>
    <mergeCell ref="D967:D968"/>
    <mergeCell ref="E967:E968"/>
    <mergeCell ref="F967:F968"/>
    <mergeCell ref="G967:G968"/>
    <mergeCell ref="H967:I967"/>
    <mergeCell ref="J967:J968"/>
    <mergeCell ref="K967:K968"/>
    <mergeCell ref="L967:L968"/>
    <mergeCell ref="H952:J952"/>
    <mergeCell ref="H953:J953"/>
    <mergeCell ref="H954:J954"/>
    <mergeCell ref="H955:J955"/>
    <mergeCell ref="H956:J956"/>
    <mergeCell ref="H957:J957"/>
    <mergeCell ref="H958:J958"/>
    <mergeCell ref="H959:J959"/>
    <mergeCell ref="H960:J960"/>
    <mergeCell ref="H930:J930"/>
    <mergeCell ref="A933:L933"/>
    <mergeCell ref="A934:L934"/>
    <mergeCell ref="A935:L935"/>
    <mergeCell ref="A936:A937"/>
    <mergeCell ref="B936:B937"/>
    <mergeCell ref="C936:C937"/>
    <mergeCell ref="D936:D937"/>
    <mergeCell ref="E936:E937"/>
    <mergeCell ref="F936:F937"/>
    <mergeCell ref="G936:G937"/>
    <mergeCell ref="H936:I936"/>
    <mergeCell ref="J936:J937"/>
    <mergeCell ref="K936:K937"/>
    <mergeCell ref="L936:L937"/>
    <mergeCell ref="H921:J921"/>
    <mergeCell ref="H922:J922"/>
    <mergeCell ref="H923:J923"/>
    <mergeCell ref="H924:J924"/>
    <mergeCell ref="H925:J925"/>
    <mergeCell ref="H926:J926"/>
    <mergeCell ref="H927:J927"/>
    <mergeCell ref="H928:J928"/>
    <mergeCell ref="H929:J929"/>
    <mergeCell ref="H899:J899"/>
    <mergeCell ref="A902:L902"/>
    <mergeCell ref="A903:L903"/>
    <mergeCell ref="A904:L904"/>
    <mergeCell ref="A905:A906"/>
    <mergeCell ref="B905:B906"/>
    <mergeCell ref="C905:C906"/>
    <mergeCell ref="D905:D906"/>
    <mergeCell ref="E905:E906"/>
    <mergeCell ref="F905:F906"/>
    <mergeCell ref="G905:G906"/>
    <mergeCell ref="H905:I905"/>
    <mergeCell ref="J905:J906"/>
    <mergeCell ref="K905:K906"/>
    <mergeCell ref="L905:L906"/>
    <mergeCell ref="H890:J890"/>
    <mergeCell ref="H891:J891"/>
    <mergeCell ref="H892:J892"/>
    <mergeCell ref="H893:J893"/>
    <mergeCell ref="H894:J894"/>
    <mergeCell ref="H895:J895"/>
    <mergeCell ref="H896:J896"/>
    <mergeCell ref="H897:J897"/>
    <mergeCell ref="H898:J898"/>
    <mergeCell ref="A871:L871"/>
    <mergeCell ref="A872:L872"/>
    <mergeCell ref="A873:L873"/>
    <mergeCell ref="A874:A875"/>
    <mergeCell ref="B874:B875"/>
    <mergeCell ref="C874:C875"/>
    <mergeCell ref="D874:D875"/>
    <mergeCell ref="E874:E875"/>
    <mergeCell ref="F874:F875"/>
    <mergeCell ref="G874:G875"/>
    <mergeCell ref="H874:I874"/>
    <mergeCell ref="J874:J875"/>
    <mergeCell ref="K874:K875"/>
    <mergeCell ref="L874:L875"/>
    <mergeCell ref="H682:J682"/>
    <mergeCell ref="H673:J673"/>
    <mergeCell ref="H674:J674"/>
    <mergeCell ref="H675:J675"/>
    <mergeCell ref="H676:J676"/>
    <mergeCell ref="H677:J677"/>
    <mergeCell ref="H678:J678"/>
    <mergeCell ref="H679:J679"/>
    <mergeCell ref="H680:J680"/>
    <mergeCell ref="H681:J681"/>
    <mergeCell ref="H651:J651"/>
    <mergeCell ref="A654:L654"/>
    <mergeCell ref="A655:L655"/>
    <mergeCell ref="A656:L656"/>
    <mergeCell ref="A657:A658"/>
    <mergeCell ref="B657:B658"/>
    <mergeCell ref="C657:C658"/>
    <mergeCell ref="D657:D658"/>
    <mergeCell ref="E657:E658"/>
    <mergeCell ref="F657:F658"/>
    <mergeCell ref="G657:G658"/>
    <mergeCell ref="H657:I657"/>
    <mergeCell ref="J657:J658"/>
    <mergeCell ref="K657:K658"/>
    <mergeCell ref="L657:L658"/>
    <mergeCell ref="H642:J642"/>
    <mergeCell ref="H643:J643"/>
    <mergeCell ref="H644:J644"/>
    <mergeCell ref="H645:J645"/>
    <mergeCell ref="H646:J646"/>
    <mergeCell ref="H647:J647"/>
    <mergeCell ref="H648:J648"/>
    <mergeCell ref="H649:J649"/>
    <mergeCell ref="H650:J650"/>
    <mergeCell ref="H620:J620"/>
    <mergeCell ref="A623:L623"/>
    <mergeCell ref="A624:L624"/>
    <mergeCell ref="A625:L625"/>
    <mergeCell ref="A626:A627"/>
    <mergeCell ref="B626:B627"/>
    <mergeCell ref="C626:C627"/>
    <mergeCell ref="D626:D627"/>
    <mergeCell ref="E626:E627"/>
    <mergeCell ref="F626:F627"/>
    <mergeCell ref="G626:G627"/>
    <mergeCell ref="H626:I626"/>
    <mergeCell ref="J626:J627"/>
    <mergeCell ref="K626:K627"/>
    <mergeCell ref="L626:L627"/>
    <mergeCell ref="H611:J611"/>
    <mergeCell ref="H612:J612"/>
    <mergeCell ref="H613:J613"/>
    <mergeCell ref="H614:J614"/>
    <mergeCell ref="H615:J615"/>
    <mergeCell ref="H616:J616"/>
    <mergeCell ref="H617:J617"/>
    <mergeCell ref="H618:J618"/>
    <mergeCell ref="H619:J619"/>
    <mergeCell ref="A592:L592"/>
    <mergeCell ref="A593:L593"/>
    <mergeCell ref="A594:L594"/>
    <mergeCell ref="A595:A596"/>
    <mergeCell ref="B595:B596"/>
    <mergeCell ref="C595:C596"/>
    <mergeCell ref="D595:D596"/>
    <mergeCell ref="E595:E596"/>
    <mergeCell ref="F595:F596"/>
    <mergeCell ref="G595:G596"/>
    <mergeCell ref="H595:I595"/>
    <mergeCell ref="J595:J596"/>
    <mergeCell ref="K595:K596"/>
    <mergeCell ref="L595:L596"/>
    <mergeCell ref="H589:J589"/>
    <mergeCell ref="H580:J580"/>
    <mergeCell ref="H581:J581"/>
    <mergeCell ref="H582:J582"/>
    <mergeCell ref="H583:J583"/>
    <mergeCell ref="H584:J584"/>
    <mergeCell ref="H585:J585"/>
    <mergeCell ref="H586:J586"/>
    <mergeCell ref="H587:J587"/>
    <mergeCell ref="H588:J588"/>
    <mergeCell ref="H558:J558"/>
    <mergeCell ref="A561:L561"/>
    <mergeCell ref="A562:L562"/>
    <mergeCell ref="A563:L563"/>
    <mergeCell ref="A564:A565"/>
    <mergeCell ref="B564:B565"/>
    <mergeCell ref="C564:C565"/>
    <mergeCell ref="D564:D565"/>
    <mergeCell ref="E564:E565"/>
    <mergeCell ref="F564:F565"/>
    <mergeCell ref="G564:G565"/>
    <mergeCell ref="H564:I564"/>
    <mergeCell ref="J564:J565"/>
    <mergeCell ref="K564:K565"/>
    <mergeCell ref="L564:L565"/>
    <mergeCell ref="H549:J549"/>
    <mergeCell ref="H550:J550"/>
    <mergeCell ref="H551:J551"/>
    <mergeCell ref="H552:J552"/>
    <mergeCell ref="H553:J553"/>
    <mergeCell ref="H554:J554"/>
    <mergeCell ref="H555:J555"/>
    <mergeCell ref="H556:J556"/>
    <mergeCell ref="H557:J557"/>
    <mergeCell ref="H527:J527"/>
    <mergeCell ref="A530:L530"/>
    <mergeCell ref="A531:L531"/>
    <mergeCell ref="A532:L532"/>
    <mergeCell ref="A533:A534"/>
    <mergeCell ref="B533:B534"/>
    <mergeCell ref="C533:C534"/>
    <mergeCell ref="D533:D534"/>
    <mergeCell ref="E533:E534"/>
    <mergeCell ref="F533:F534"/>
    <mergeCell ref="G533:G534"/>
    <mergeCell ref="H533:I533"/>
    <mergeCell ref="J533:J534"/>
    <mergeCell ref="K533:K534"/>
    <mergeCell ref="L533:L534"/>
    <mergeCell ref="H518:J518"/>
    <mergeCell ref="H519:J519"/>
    <mergeCell ref="H520:J520"/>
    <mergeCell ref="H521:J521"/>
    <mergeCell ref="H522:J522"/>
    <mergeCell ref="H523:J523"/>
    <mergeCell ref="H524:J524"/>
    <mergeCell ref="H525:J525"/>
    <mergeCell ref="H526:J526"/>
    <mergeCell ref="H496:J496"/>
    <mergeCell ref="A499:L499"/>
    <mergeCell ref="A500:L500"/>
    <mergeCell ref="A501:L501"/>
    <mergeCell ref="A502:A503"/>
    <mergeCell ref="B502:B503"/>
    <mergeCell ref="C502:C503"/>
    <mergeCell ref="D502:D503"/>
    <mergeCell ref="E502:E503"/>
    <mergeCell ref="F502:F503"/>
    <mergeCell ref="G502:G503"/>
    <mergeCell ref="H502:I502"/>
    <mergeCell ref="J502:J503"/>
    <mergeCell ref="K502:K503"/>
    <mergeCell ref="L502:L503"/>
    <mergeCell ref="H487:J487"/>
    <mergeCell ref="H488:J488"/>
    <mergeCell ref="H489:J489"/>
    <mergeCell ref="H490:J490"/>
    <mergeCell ref="H491:J491"/>
    <mergeCell ref="H492:J492"/>
    <mergeCell ref="H493:J493"/>
    <mergeCell ref="H494:J494"/>
    <mergeCell ref="H495:J495"/>
    <mergeCell ref="H465:J465"/>
    <mergeCell ref="A468:L468"/>
    <mergeCell ref="A469:L469"/>
    <mergeCell ref="A470:L470"/>
    <mergeCell ref="A471:A472"/>
    <mergeCell ref="B471:B472"/>
    <mergeCell ref="C471:C472"/>
    <mergeCell ref="D471:D472"/>
    <mergeCell ref="E471:E472"/>
    <mergeCell ref="F471:F472"/>
    <mergeCell ref="G471:G472"/>
    <mergeCell ref="H471:I471"/>
    <mergeCell ref="J471:J472"/>
    <mergeCell ref="K471:K472"/>
    <mergeCell ref="L471:L472"/>
    <mergeCell ref="H456:J456"/>
    <mergeCell ref="H457:J457"/>
    <mergeCell ref="H458:J458"/>
    <mergeCell ref="H459:J459"/>
    <mergeCell ref="H460:J460"/>
    <mergeCell ref="H461:J461"/>
    <mergeCell ref="H462:J462"/>
    <mergeCell ref="H463:J463"/>
    <mergeCell ref="H464:J464"/>
    <mergeCell ref="H434:J434"/>
    <mergeCell ref="A437:L437"/>
    <mergeCell ref="A438:L438"/>
    <mergeCell ref="A439:L439"/>
    <mergeCell ref="A440:A441"/>
    <mergeCell ref="B440:B441"/>
    <mergeCell ref="C440:C441"/>
    <mergeCell ref="D440:D441"/>
    <mergeCell ref="E440:E441"/>
    <mergeCell ref="F440:F441"/>
    <mergeCell ref="G440:G441"/>
    <mergeCell ref="H440:I440"/>
    <mergeCell ref="J440:J441"/>
    <mergeCell ref="K440:K441"/>
    <mergeCell ref="L440:L441"/>
    <mergeCell ref="H425:J425"/>
    <mergeCell ref="H426:J426"/>
    <mergeCell ref="H427:J427"/>
    <mergeCell ref="H428:J428"/>
    <mergeCell ref="H429:J429"/>
    <mergeCell ref="H430:J430"/>
    <mergeCell ref="H431:J431"/>
    <mergeCell ref="H432:J432"/>
    <mergeCell ref="H433:J433"/>
    <mergeCell ref="H403:J403"/>
    <mergeCell ref="A406:L406"/>
    <mergeCell ref="A407:L407"/>
    <mergeCell ref="A408:L408"/>
    <mergeCell ref="A409:A410"/>
    <mergeCell ref="B409:B410"/>
    <mergeCell ref="C409:C410"/>
    <mergeCell ref="D409:D410"/>
    <mergeCell ref="E409:E410"/>
    <mergeCell ref="F409:F410"/>
    <mergeCell ref="G409:G410"/>
    <mergeCell ref="H409:I409"/>
    <mergeCell ref="J409:J410"/>
    <mergeCell ref="K409:K410"/>
    <mergeCell ref="L409:L410"/>
    <mergeCell ref="H394:J394"/>
    <mergeCell ref="H395:J395"/>
    <mergeCell ref="H396:J396"/>
    <mergeCell ref="H397:J397"/>
    <mergeCell ref="H398:J398"/>
    <mergeCell ref="H399:J399"/>
    <mergeCell ref="H400:J400"/>
    <mergeCell ref="H401:J401"/>
    <mergeCell ref="H402:J402"/>
    <mergeCell ref="A375:L375"/>
    <mergeCell ref="A376:L376"/>
    <mergeCell ref="A377:L377"/>
    <mergeCell ref="A378:A379"/>
    <mergeCell ref="B378:B379"/>
    <mergeCell ref="C378:C379"/>
    <mergeCell ref="D378:D379"/>
    <mergeCell ref="E378:E379"/>
    <mergeCell ref="F378:F379"/>
    <mergeCell ref="G378:G379"/>
    <mergeCell ref="H378:I378"/>
    <mergeCell ref="J378:J379"/>
    <mergeCell ref="K378:K379"/>
    <mergeCell ref="L378:L379"/>
    <mergeCell ref="H372:J372"/>
    <mergeCell ref="H363:J363"/>
    <mergeCell ref="H364:J364"/>
    <mergeCell ref="H365:J365"/>
    <mergeCell ref="H366:J366"/>
    <mergeCell ref="H367:J367"/>
    <mergeCell ref="H368:J368"/>
    <mergeCell ref="H369:J369"/>
    <mergeCell ref="H370:J370"/>
    <mergeCell ref="H371:J371"/>
    <mergeCell ref="H341:J341"/>
    <mergeCell ref="A344:L344"/>
    <mergeCell ref="A345:L345"/>
    <mergeCell ref="A346:L346"/>
    <mergeCell ref="A347:A348"/>
    <mergeCell ref="B347:B348"/>
    <mergeCell ref="C347:C348"/>
    <mergeCell ref="D347:D348"/>
    <mergeCell ref="E347:E348"/>
    <mergeCell ref="F347:F348"/>
    <mergeCell ref="G347:G348"/>
    <mergeCell ref="H347:I347"/>
    <mergeCell ref="J347:J348"/>
    <mergeCell ref="K347:K348"/>
    <mergeCell ref="L347:L348"/>
    <mergeCell ref="H332:J332"/>
    <mergeCell ref="H333:J333"/>
    <mergeCell ref="H334:J334"/>
    <mergeCell ref="H335:J335"/>
    <mergeCell ref="H336:J336"/>
    <mergeCell ref="H337:J337"/>
    <mergeCell ref="H338:J338"/>
    <mergeCell ref="H339:J339"/>
    <mergeCell ref="H340:J340"/>
    <mergeCell ref="A313:L313"/>
    <mergeCell ref="A314:L314"/>
    <mergeCell ref="A315:L315"/>
    <mergeCell ref="A316:A317"/>
    <mergeCell ref="B316:B317"/>
    <mergeCell ref="C316:C317"/>
    <mergeCell ref="D316:D317"/>
    <mergeCell ref="E316:E317"/>
    <mergeCell ref="F316:F317"/>
    <mergeCell ref="G316:G317"/>
    <mergeCell ref="H316:I316"/>
    <mergeCell ref="J316:J317"/>
    <mergeCell ref="K316:K317"/>
    <mergeCell ref="L316:L317"/>
    <mergeCell ref="H150:J150"/>
    <mergeCell ref="H151:J151"/>
    <mergeCell ref="A158:L158"/>
    <mergeCell ref="A159:L159"/>
    <mergeCell ref="A160:L160"/>
    <mergeCell ref="H178:J178"/>
    <mergeCell ref="H179:J179"/>
    <mergeCell ref="H180:J180"/>
    <mergeCell ref="H181:J181"/>
    <mergeCell ref="G161:G162"/>
    <mergeCell ref="H161:I161"/>
    <mergeCell ref="J161:J162"/>
    <mergeCell ref="K161:K162"/>
    <mergeCell ref="K130:K131"/>
    <mergeCell ref="L130:L131"/>
    <mergeCell ref="H146:J146"/>
    <mergeCell ref="H147:J147"/>
    <mergeCell ref="H148:J148"/>
    <mergeCell ref="H149:J149"/>
    <mergeCell ref="A129:L129"/>
    <mergeCell ref="A130:A131"/>
    <mergeCell ref="B130:B131"/>
    <mergeCell ref="C130:C131"/>
    <mergeCell ref="D130:D131"/>
    <mergeCell ref="E130:E131"/>
    <mergeCell ref="F130:F131"/>
    <mergeCell ref="G130:G131"/>
    <mergeCell ref="H130:I130"/>
    <mergeCell ref="J130:J131"/>
    <mergeCell ref="H118:J118"/>
    <mergeCell ref="H119:J119"/>
    <mergeCell ref="H120:J120"/>
    <mergeCell ref="A127:L127"/>
    <mergeCell ref="A128:L128"/>
    <mergeCell ref="J99:J100"/>
    <mergeCell ref="K99:K100"/>
    <mergeCell ref="L99:L100"/>
    <mergeCell ref="H115:J115"/>
    <mergeCell ref="H116:J116"/>
    <mergeCell ref="H117:J117"/>
    <mergeCell ref="H121:J121"/>
    <mergeCell ref="H122:J122"/>
    <mergeCell ref="H123:J123"/>
    <mergeCell ref="H124:J124"/>
    <mergeCell ref="A97:L97"/>
    <mergeCell ref="A98:L98"/>
    <mergeCell ref="A99:A100"/>
    <mergeCell ref="B99:B100"/>
    <mergeCell ref="C99:C100"/>
    <mergeCell ref="D99:D100"/>
    <mergeCell ref="E99:E100"/>
    <mergeCell ref="F99:F100"/>
    <mergeCell ref="G99:G100"/>
    <mergeCell ref="H99:I99"/>
    <mergeCell ref="H86:J86"/>
    <mergeCell ref="H87:J87"/>
    <mergeCell ref="H88:J88"/>
    <mergeCell ref="H89:J89"/>
    <mergeCell ref="A96:L96"/>
    <mergeCell ref="H68:I68"/>
    <mergeCell ref="J68:J69"/>
    <mergeCell ref="K68:K69"/>
    <mergeCell ref="L68:L69"/>
    <mergeCell ref="H84:J84"/>
    <mergeCell ref="H85:J85"/>
    <mergeCell ref="H93:J93"/>
    <mergeCell ref="H37:I37"/>
    <mergeCell ref="J37:J38"/>
    <mergeCell ref="K37:K38"/>
    <mergeCell ref="L37:L38"/>
    <mergeCell ref="H53:J53"/>
    <mergeCell ref="A65:L65"/>
    <mergeCell ref="A66:L66"/>
    <mergeCell ref="A67:L67"/>
    <mergeCell ref="A68:A69"/>
    <mergeCell ref="B68:B69"/>
    <mergeCell ref="C68:C69"/>
    <mergeCell ref="D68:D69"/>
    <mergeCell ref="E68:E69"/>
    <mergeCell ref="F68:F69"/>
    <mergeCell ref="G68:G69"/>
    <mergeCell ref="H21:J21"/>
    <mergeCell ref="H22:J22"/>
    <mergeCell ref="H23:J23"/>
    <mergeCell ref="H24:J24"/>
    <mergeCell ref="H25:J25"/>
    <mergeCell ref="H28:J28"/>
    <mergeCell ref="G5:G6"/>
    <mergeCell ref="H5:I5"/>
    <mergeCell ref="J5:J6"/>
    <mergeCell ref="H27:J27"/>
    <mergeCell ref="K5:K6"/>
    <mergeCell ref="L5:L6"/>
    <mergeCell ref="H20:J20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H30:J30"/>
    <mergeCell ref="H31:J31"/>
    <mergeCell ref="H59:J59"/>
    <mergeCell ref="H60:J60"/>
    <mergeCell ref="H61:J61"/>
    <mergeCell ref="H62:J62"/>
    <mergeCell ref="H90:J90"/>
    <mergeCell ref="H91:J91"/>
    <mergeCell ref="H92:J92"/>
    <mergeCell ref="A34:L34"/>
    <mergeCell ref="A35:L35"/>
    <mergeCell ref="A36:L36"/>
    <mergeCell ref="A37:A38"/>
    <mergeCell ref="B37:B38"/>
    <mergeCell ref="C37:C38"/>
    <mergeCell ref="D37:D38"/>
    <mergeCell ref="E37:E38"/>
    <mergeCell ref="F37:F38"/>
    <mergeCell ref="H54:J54"/>
    <mergeCell ref="H55:J55"/>
    <mergeCell ref="H56:J56"/>
    <mergeCell ref="H57:J57"/>
    <mergeCell ref="H58:J58"/>
    <mergeCell ref="G37:G38"/>
    <mergeCell ref="H183:J183"/>
    <mergeCell ref="H184:J184"/>
    <mergeCell ref="H185:J185"/>
    <mergeCell ref="H186:J186"/>
    <mergeCell ref="H152:J152"/>
    <mergeCell ref="H153:J153"/>
    <mergeCell ref="H154:J154"/>
    <mergeCell ref="H155:J155"/>
    <mergeCell ref="A189:L189"/>
    <mergeCell ref="L161:L162"/>
    <mergeCell ref="H177:J177"/>
    <mergeCell ref="A161:A162"/>
    <mergeCell ref="B161:B162"/>
    <mergeCell ref="C161:C162"/>
    <mergeCell ref="D161:D162"/>
    <mergeCell ref="E161:E162"/>
    <mergeCell ref="F161:F162"/>
    <mergeCell ref="H182:J182"/>
    <mergeCell ref="A190:L190"/>
    <mergeCell ref="A191:L191"/>
    <mergeCell ref="A192:A193"/>
    <mergeCell ref="B192:B193"/>
    <mergeCell ref="C192:C193"/>
    <mergeCell ref="D192:D193"/>
    <mergeCell ref="E192:E193"/>
    <mergeCell ref="F192:F193"/>
    <mergeCell ref="G192:G193"/>
    <mergeCell ref="H192:I192"/>
    <mergeCell ref="J192:J193"/>
    <mergeCell ref="K192:K193"/>
    <mergeCell ref="L192:L193"/>
    <mergeCell ref="H208:J208"/>
    <mergeCell ref="H209:J209"/>
    <mergeCell ref="H210:J210"/>
    <mergeCell ref="H211:J211"/>
    <mergeCell ref="H212:J212"/>
    <mergeCell ref="H213:J213"/>
    <mergeCell ref="H214:J214"/>
    <mergeCell ref="H215:J215"/>
    <mergeCell ref="H216:J216"/>
    <mergeCell ref="H217:J217"/>
    <mergeCell ref="A220:L220"/>
    <mergeCell ref="A221:L221"/>
    <mergeCell ref="A222:L222"/>
    <mergeCell ref="A223:A224"/>
    <mergeCell ref="B223:B224"/>
    <mergeCell ref="C223:C224"/>
    <mergeCell ref="D223:D224"/>
    <mergeCell ref="E223:E224"/>
    <mergeCell ref="F223:F224"/>
    <mergeCell ref="G223:G224"/>
    <mergeCell ref="H223:I223"/>
    <mergeCell ref="J223:J224"/>
    <mergeCell ref="K223:K224"/>
    <mergeCell ref="L223:L224"/>
    <mergeCell ref="H239:J239"/>
    <mergeCell ref="H240:J240"/>
    <mergeCell ref="H241:J241"/>
    <mergeCell ref="H242:J242"/>
    <mergeCell ref="H243:J243"/>
    <mergeCell ref="H244:J244"/>
    <mergeCell ref="H245:J245"/>
    <mergeCell ref="H246:J246"/>
    <mergeCell ref="H247:J247"/>
    <mergeCell ref="H248:J248"/>
    <mergeCell ref="A251:L251"/>
    <mergeCell ref="A252:L252"/>
    <mergeCell ref="A253:L253"/>
    <mergeCell ref="A254:A255"/>
    <mergeCell ref="B254:B255"/>
    <mergeCell ref="C254:C255"/>
    <mergeCell ref="D254:D255"/>
    <mergeCell ref="E254:E255"/>
    <mergeCell ref="F254:F255"/>
    <mergeCell ref="G254:G255"/>
    <mergeCell ref="H254:I254"/>
    <mergeCell ref="J254:J255"/>
    <mergeCell ref="K254:K255"/>
    <mergeCell ref="L254:L255"/>
    <mergeCell ref="H270:J270"/>
    <mergeCell ref="H271:J271"/>
    <mergeCell ref="H272:J272"/>
    <mergeCell ref="H273:J273"/>
    <mergeCell ref="H274:J274"/>
    <mergeCell ref="H275:J275"/>
    <mergeCell ref="H276:J276"/>
    <mergeCell ref="H277:J277"/>
    <mergeCell ref="H278:J278"/>
    <mergeCell ref="H279:J279"/>
    <mergeCell ref="A282:L282"/>
    <mergeCell ref="A283:L283"/>
    <mergeCell ref="A284:L284"/>
    <mergeCell ref="A285:A286"/>
    <mergeCell ref="B285:B286"/>
    <mergeCell ref="C285:C286"/>
    <mergeCell ref="D285:D286"/>
    <mergeCell ref="E285:E286"/>
    <mergeCell ref="F285:F286"/>
    <mergeCell ref="G285:G286"/>
    <mergeCell ref="H285:I285"/>
    <mergeCell ref="J285:J286"/>
    <mergeCell ref="K285:K286"/>
    <mergeCell ref="L285:L286"/>
    <mergeCell ref="H310:J310"/>
    <mergeCell ref="H301:J301"/>
    <mergeCell ref="H302:J302"/>
    <mergeCell ref="H303:J303"/>
    <mergeCell ref="H304:J304"/>
    <mergeCell ref="H305:J305"/>
    <mergeCell ref="H306:J306"/>
    <mergeCell ref="H307:J307"/>
    <mergeCell ref="H308:J308"/>
    <mergeCell ref="H309:J309"/>
    <mergeCell ref="A685:L685"/>
    <mergeCell ref="A686:L686"/>
    <mergeCell ref="A687:L687"/>
    <mergeCell ref="A688:A689"/>
    <mergeCell ref="B688:B689"/>
    <mergeCell ref="C688:C689"/>
    <mergeCell ref="D688:D689"/>
    <mergeCell ref="E688:E689"/>
    <mergeCell ref="F688:F689"/>
    <mergeCell ref="G688:G689"/>
    <mergeCell ref="H688:I688"/>
    <mergeCell ref="J688:J689"/>
    <mergeCell ref="K688:K689"/>
    <mergeCell ref="L688:L689"/>
    <mergeCell ref="H704:J704"/>
    <mergeCell ref="H705:J705"/>
    <mergeCell ref="H706:J706"/>
    <mergeCell ref="H707:J707"/>
    <mergeCell ref="H708:J708"/>
    <mergeCell ref="H709:J709"/>
    <mergeCell ref="H710:J710"/>
    <mergeCell ref="H711:J711"/>
    <mergeCell ref="H712:J712"/>
    <mergeCell ref="H713:J713"/>
    <mergeCell ref="A716:L716"/>
    <mergeCell ref="A717:L717"/>
    <mergeCell ref="A718:L718"/>
    <mergeCell ref="A719:A720"/>
    <mergeCell ref="B719:B720"/>
    <mergeCell ref="C719:C720"/>
    <mergeCell ref="D719:D720"/>
    <mergeCell ref="E719:E720"/>
    <mergeCell ref="F719:F720"/>
    <mergeCell ref="G719:G720"/>
    <mergeCell ref="H719:I719"/>
    <mergeCell ref="J719:J720"/>
    <mergeCell ref="K719:K720"/>
    <mergeCell ref="L719:L720"/>
    <mergeCell ref="H735:J735"/>
    <mergeCell ref="H736:J736"/>
    <mergeCell ref="H737:J737"/>
    <mergeCell ref="H738:J738"/>
    <mergeCell ref="H739:J739"/>
    <mergeCell ref="H740:J740"/>
    <mergeCell ref="H741:J741"/>
    <mergeCell ref="H742:J742"/>
    <mergeCell ref="H743:J743"/>
    <mergeCell ref="H744:J744"/>
    <mergeCell ref="A747:L747"/>
    <mergeCell ref="A748:L748"/>
    <mergeCell ref="A749:L749"/>
    <mergeCell ref="A750:A751"/>
    <mergeCell ref="B750:B751"/>
    <mergeCell ref="C750:C751"/>
    <mergeCell ref="D750:D751"/>
    <mergeCell ref="E750:E751"/>
    <mergeCell ref="F750:F751"/>
    <mergeCell ref="G750:G751"/>
    <mergeCell ref="H750:I750"/>
    <mergeCell ref="J750:J751"/>
    <mergeCell ref="K750:K751"/>
    <mergeCell ref="L750:L751"/>
    <mergeCell ref="H766:J766"/>
    <mergeCell ref="H767:J767"/>
    <mergeCell ref="H768:J768"/>
    <mergeCell ref="H769:J769"/>
    <mergeCell ref="H770:J770"/>
    <mergeCell ref="H771:J771"/>
    <mergeCell ref="H772:J772"/>
    <mergeCell ref="H773:J773"/>
    <mergeCell ref="H774:J774"/>
    <mergeCell ref="H775:J775"/>
    <mergeCell ref="A778:L778"/>
    <mergeCell ref="A779:L779"/>
    <mergeCell ref="A780:L780"/>
    <mergeCell ref="A781:A782"/>
    <mergeCell ref="B781:B782"/>
    <mergeCell ref="C781:C782"/>
    <mergeCell ref="D781:D782"/>
    <mergeCell ref="E781:E782"/>
    <mergeCell ref="F781:F782"/>
    <mergeCell ref="G781:G782"/>
    <mergeCell ref="H781:I781"/>
    <mergeCell ref="J781:J782"/>
    <mergeCell ref="K781:K782"/>
    <mergeCell ref="L781:L782"/>
    <mergeCell ref="H797:J797"/>
    <mergeCell ref="H798:J798"/>
    <mergeCell ref="H799:J799"/>
    <mergeCell ref="H800:J800"/>
    <mergeCell ref="H801:J801"/>
    <mergeCell ref="H802:J802"/>
    <mergeCell ref="H803:J803"/>
    <mergeCell ref="H804:J804"/>
    <mergeCell ref="H805:J805"/>
    <mergeCell ref="H806:J806"/>
    <mergeCell ref="A809:L809"/>
    <mergeCell ref="A810:L810"/>
    <mergeCell ref="A811:L811"/>
    <mergeCell ref="A812:A813"/>
    <mergeCell ref="B812:B813"/>
    <mergeCell ref="C812:C813"/>
    <mergeCell ref="D812:D813"/>
    <mergeCell ref="E812:E813"/>
    <mergeCell ref="F812:F813"/>
    <mergeCell ref="G812:G813"/>
    <mergeCell ref="H812:I812"/>
    <mergeCell ref="J812:J813"/>
    <mergeCell ref="K812:K813"/>
    <mergeCell ref="L812:L813"/>
    <mergeCell ref="H828:J828"/>
    <mergeCell ref="H829:J829"/>
    <mergeCell ref="H830:J830"/>
    <mergeCell ref="H831:J831"/>
    <mergeCell ref="H832:J832"/>
    <mergeCell ref="H833:J833"/>
    <mergeCell ref="H834:J834"/>
    <mergeCell ref="H835:J835"/>
    <mergeCell ref="H836:J836"/>
    <mergeCell ref="H837:J837"/>
    <mergeCell ref="A840:L840"/>
    <mergeCell ref="A841:L841"/>
    <mergeCell ref="A842:L842"/>
    <mergeCell ref="A843:A844"/>
    <mergeCell ref="B843:B844"/>
    <mergeCell ref="C843:C844"/>
    <mergeCell ref="D843:D844"/>
    <mergeCell ref="E843:E844"/>
    <mergeCell ref="F843:F844"/>
    <mergeCell ref="G843:G844"/>
    <mergeCell ref="H843:I843"/>
    <mergeCell ref="J843:J844"/>
    <mergeCell ref="K843:K844"/>
    <mergeCell ref="L843:L844"/>
    <mergeCell ref="H868:J868"/>
    <mergeCell ref="H859:J859"/>
    <mergeCell ref="H860:J860"/>
    <mergeCell ref="H861:J861"/>
    <mergeCell ref="H862:J862"/>
    <mergeCell ref="H863:J863"/>
    <mergeCell ref="H864:J864"/>
    <mergeCell ref="H865:J865"/>
    <mergeCell ref="H866:J866"/>
    <mergeCell ref="H867:J867"/>
  </mergeCells>
  <printOptions horizontalCentered="1"/>
  <pageMargins left="0.19685039370078741" right="0.19685039370078741" top="0.19685039370078741" bottom="0" header="0" footer="0"/>
  <pageSetup paperSize="9" scale="7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ครุภัณฑ์มูลค่าต่ำกว่าเกณฑ์ 1-23</vt:lpstr>
      <vt:lpstr>ครุภัณฑ์ 24-60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2022-10-28T07:10:39Z</cp:lastPrinted>
  <dcterms:created xsi:type="dcterms:W3CDTF">2017-11-14T01:32:33Z</dcterms:created>
  <dcterms:modified xsi:type="dcterms:W3CDTF">2025-02-19T09:29:36Z</dcterms:modified>
</cp:coreProperties>
</file>