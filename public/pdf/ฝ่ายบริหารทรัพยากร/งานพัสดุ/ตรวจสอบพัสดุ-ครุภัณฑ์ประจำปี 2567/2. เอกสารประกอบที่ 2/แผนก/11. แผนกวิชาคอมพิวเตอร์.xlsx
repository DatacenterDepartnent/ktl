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0111D54C-C17F-47DE-89FF-7DF3FAF617E1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คอมพิวเตอร์" sheetId="32" r:id="rId1"/>
  </sheets>
  <definedNames>
    <definedName name="_xlnm.Print_Titles" localSheetId="0">แผนกคอมพิวเตอร์!$1:$4</definedName>
  </definedNames>
  <calcPr calcId="191029"/>
</workbook>
</file>

<file path=xl/calcChain.xml><?xml version="1.0" encoding="utf-8"?>
<calcChain xmlns="http://schemas.openxmlformats.org/spreadsheetml/2006/main">
  <c r="H36" i="32" l="1"/>
  <c r="H35" i="32"/>
  <c r="H34" i="32"/>
  <c r="H33" i="32"/>
  <c r="H32" i="32"/>
  <c r="H31" i="32"/>
  <c r="H9" i="32"/>
  <c r="H5" i="32" l="1"/>
  <c r="H6" i="32"/>
  <c r="H7" i="32"/>
  <c r="H8" i="32"/>
  <c r="H10" i="32"/>
  <c r="H11" i="32"/>
</calcChain>
</file>

<file path=xl/sharedStrings.xml><?xml version="1.0" encoding="utf-8"?>
<sst xmlns="http://schemas.openxmlformats.org/spreadsheetml/2006/main" count="74" uniqueCount="60">
  <si>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</si>
  <si>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</si>
  <si>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</si>
  <si>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</si>
  <si>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</si>
  <si>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</si>
  <si>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</si>
  <si>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</si>
  <si>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</si>
  <si>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</si>
  <si>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7110-001-0003/512-006</t>
  </si>
  <si>
    <t>7110-002-0006/482-067</t>
  </si>
  <si>
    <t>ตู้กระจก 2 บานเลื่อน</t>
  </si>
  <si>
    <t>7110-002-0006/482-068</t>
  </si>
  <si>
    <t>7110-002-0005/482-005</t>
  </si>
  <si>
    <t>7110-002-0006/492-081-084</t>
  </si>
  <si>
    <t>7110-002-0005/492-011-012</t>
  </si>
  <si>
    <t>โต๊ะเหล็ก 5 ฟุต TC-3060 BESTER</t>
  </si>
  <si>
    <t>7440-001-0003/561-001</t>
  </si>
  <si>
    <t>ครุภัณฑ์ห้องปฏิบัติการเครื่องคอมพิเวตอร์</t>
  </si>
  <si>
    <t>พร้อมระบบเครือข่าย  ประกอบด้วย</t>
  </si>
  <si>
    <t xml:space="preserve">1. เครื่องคอมพิวเตอร์แบบพกพา </t>
  </si>
  <si>
    <t xml:space="preserve">2. โต๊ะคอมพิวเตอร์พร้อมเก้าอี้ </t>
  </si>
  <si>
    <t>3. ระบบไฟฟ้าและระบบเครือข่ายท้อง-</t>
  </si>
  <si>
    <t>ถิ่นสำหรับห้องปฏิบัติการ</t>
  </si>
  <si>
    <t xml:space="preserve">4. เครื่องโปรเจคเตอร์ BenQ  </t>
  </si>
  <si>
    <t>รุ่น MX764 S/N PDV9C0170000</t>
  </si>
  <si>
    <t>5. เครื่องปรับอากาศ ขนาดไม่น้อยกว่า -</t>
  </si>
  <si>
    <t>36000 บีทียู</t>
  </si>
  <si>
    <t xml:space="preserve">6. ระบบเสียง ประกอบด้วย  </t>
  </si>
  <si>
    <t>6.1 ไมค์WirelessMicrophoneET-888A 1 อัน</t>
  </si>
  <si>
    <t>6.2 ไมค์ SHVRE PG 58 1 อัน</t>
  </si>
  <si>
    <t xml:space="preserve">7. เครื่องคอมพิวเตอร์แม่ข่าย 1 เครื่อง  </t>
  </si>
  <si>
    <t>S/N 2582F4A06PHEB</t>
  </si>
  <si>
    <t>8.อุปกรณ์กระจายเสียงสัญญาขนาด 24 ช่อง</t>
  </si>
  <si>
    <t xml:space="preserve">9. เครื่องฉายภาพ 3 มิติ ยี่ห้อ Vertex </t>
  </si>
  <si>
    <t xml:space="preserve">รุ่น D-3180 S/N 1091231802328 </t>
  </si>
  <si>
    <t xml:space="preserve">10. ตู้ RACK19 นิ้ว </t>
  </si>
  <si>
    <t>6.3 ลำโพง NTS NC-802  2 ใบ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</si>
  <si>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</si>
  <si>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</si>
  <si>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</si>
  <si>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</si>
  <si>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</si>
  <si>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</si>
  <si>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2549</t>
  </si>
  <si>
    <t>2551</t>
  </si>
  <si>
    <t>บัญชีรายการ แผนกวิชาคอมพิวเตอร์ธุรกิจ คงเหลือ</t>
  </si>
  <si>
    <t>เก้าอี้สแตนเลสหัวกลม</t>
  </si>
  <si>
    <t>7110-006-0005/652-001-010 (100)</t>
  </si>
  <si>
    <t>7730-003-0004/662-006-007</t>
  </si>
  <si>
    <t>โทรทัศน์ LED แบบ Smart TV ขนาด 55 นิ้ว</t>
  </si>
  <si>
    <t>7440-001-0002/662-008</t>
  </si>
  <si>
    <t>เครื่องคอมพิวเตอร์ All in one</t>
  </si>
  <si>
    <t>7440-010-0002/662-007-010</t>
  </si>
  <si>
    <t>เครื่องพิมพ์เลเซอร์ LED ขาว-ดำ</t>
  </si>
  <si>
    <t>7440-009-0006/662-001(4)</t>
  </si>
  <si>
    <t>อุปกรณ์กระจายสัญญาณ ขนาด 24 ช่อง</t>
  </si>
  <si>
    <t>ประจำปี 2567  ณ วันที่ 30 กันยายน 2567</t>
  </si>
  <si>
    <t>(นางกิ่งดาว  บุญประสิทธิ์)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</si>
</sst>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8" xfId="0" applyFon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 applyAlignment="1">
      <alignment horizontal="center"/>
    </xf>
    <xf numFmtId="43" fontId="6" fillId="0" borderId="1" xfId="1" applyFont="1" applyFill="1" applyBorder="1"/>
    <xf numFmtId="43" fontId="6" fillId="0" borderId="1" xfId="12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1" xfId="7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6" xfId="6" applyFont="1" applyBorder="1" applyAlignment="1">
      <alignment horizontal="left"/>
    </xf>
    <xf numFmtId="0" fontId="6" fillId="0" borderId="6" xfId="6" applyFont="1" applyBorder="1" applyAlignment="1">
      <alignment horizontal="center"/>
    </xf>
    <xf numFmtId="43" fontId="6" fillId="0" borderId="6" xfId="1" applyFont="1" applyFill="1" applyBorder="1"/>
    <xf numFmtId="0" fontId="6" fillId="0" borderId="1" xfId="8" applyFont="1" applyBorder="1" applyAlignment="1">
      <alignment horizontal="left" indent="1"/>
    </xf>
    <xf numFmtId="0" fontId="6" fillId="0" borderId="0" xfId="8" applyFont="1" applyAlignment="1">
      <alignment horizontal="center"/>
    </xf>
    <xf numFmtId="0" fontId="6" fillId="0" borderId="5" xfId="8" applyFont="1" applyBorder="1" applyAlignment="1">
      <alignment horizontal="center"/>
    </xf>
    <xf numFmtId="0" fontId="6" fillId="0" borderId="1" xfId="8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6" fillId="0" borderId="1" xfId="6" applyFont="1" applyBorder="1" applyAlignment="1">
      <alignment horizontal="left" indent="2"/>
    </xf>
    <xf numFmtId="0" fontId="6" fillId="0" borderId="1" xfId="6" applyFont="1" applyBorder="1" applyAlignment="1">
      <alignment horizontal="left" indent="1"/>
    </xf>
    <xf numFmtId="0" fontId="6" fillId="0" borderId="1" xfId="2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6" fillId="0" borderId="1" xfId="8" applyNumberFormat="1" applyFont="1" applyBorder="1" applyAlignment="1">
      <alignment horizontal="left" indent="1"/>
    </xf>
    <xf numFmtId="49" fontId="7" fillId="0" borderId="1" xfId="8" applyNumberFormat="1" applyFont="1" applyBorder="1" applyAlignment="1">
      <alignment horizontal="left" indent="2"/>
    </xf>
    <xf numFmtId="43" fontId="6" fillId="0" borderId="1" xfId="6" applyNumberFormat="1" applyFont="1" applyBorder="1"/>
    <xf numFmtId="0" fontId="7" fillId="0" borderId="1" xfId="6" applyFont="1" applyBorder="1" applyAlignment="1">
      <alignment horizontal="left" indent="2"/>
    </xf>
    <xf numFmtId="49" fontId="6" fillId="0" borderId="1" xfId="13" applyNumberFormat="1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/>
    <xf numFmtId="0" fontId="6" fillId="3" borderId="1" xfId="2" applyFont="1" applyFill="1" applyBorder="1" applyAlignment="1">
      <alignment horizontal="center"/>
    </xf>
    <xf numFmtId="0" fontId="6" fillId="3" borderId="1" xfId="5" applyFont="1" applyFill="1" applyBorder="1" applyAlignment="1">
      <alignment horizontal="center"/>
    </xf>
    <xf numFmtId="43" fontId="6" fillId="3" borderId="1" xfId="1" applyFont="1" applyFill="1" applyBorder="1"/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3" fontId="5" fillId="0" borderId="1" xfId="0" applyNumberFormat="1" applyFont="1" applyBorder="1"/>
    <xf numFmtId="0" fontId="5" fillId="0" borderId="4" xfId="0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7" xfId="2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847726</xdr:colOff>
      <xdr:row>0</xdr:row>
      <xdr:rowOff>161925</xdr:rowOff>
    </xdr:from>
    <xdr:to>
      <xdr:col>8</xdr:col>
      <xdr:colOff>428626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39026" y="16192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42"/>
  <sheetViews>
    <sheetView tabSelected="1" zoomScaleNormal="100" workbookViewId="0">
      <selection activeCell="D9" sqref="D9"/>
    </sheetView>
  </sheetViews>
  <sheetFormatPr defaultColWidth="9" defaultRowHeight="24" x14ac:dyDescent="0.55000000000000004"/>
  <cols>
    <col min="1" max="1" width="5.375" style="1" customWidth="1"/>
    <col min="2" max="2" width="9.875" style="1" customWidth="1"/>
    <col min="3" max="3" width="27.375" style="1" customWidth="1"/>
    <col min="4" max="4" width="35.5" style="3" customWidth="1"/>
    <col min="5" max="5" width="6.375" style="1" customWidth="1"/>
    <col min="6" max="6" width="6" style="1" customWidth="1"/>
    <col min="7" max="8" width="13.75" style="1" customWidth="1"/>
    <col min="9" max="9" width="8.5" style="2" customWidth="1"/>
    <col min="10" max="16384" width="9" style="1"/>
  </cols>
  <sheetData>
    <row r="1" spans="1:9" x14ac:dyDescent="0.55000000000000004">
      <c r="A1" s="4" t="s">
        <v>9</v>
      </c>
      <c r="B1" s="4"/>
      <c r="C1" s="4"/>
      <c r="D1" s="4"/>
      <c r="E1" s="4"/>
      <c r="F1" s="4"/>
      <c r="G1" s="4"/>
      <c r="H1" s="4"/>
      <c r="I1" s="4"/>
    </row>
    <row r="2" spans="1:9" x14ac:dyDescent="0.55000000000000004">
      <c r="A2" s="5" t="s">
        <v>47</v>
      </c>
      <c r="B2" s="5"/>
      <c r="C2" s="5"/>
      <c r="D2" s="5"/>
      <c r="E2" s="5"/>
      <c r="F2" s="5"/>
      <c r="G2" s="5"/>
      <c r="H2" s="5"/>
      <c r="I2" s="5"/>
    </row>
    <row r="3" spans="1:9" x14ac:dyDescent="0.55000000000000004">
      <c r="A3" s="6" t="s">
        <v>58</v>
      </c>
      <c r="B3" s="6"/>
      <c r="C3" s="6"/>
      <c r="D3" s="6"/>
      <c r="E3" s="6"/>
      <c r="F3" s="6"/>
      <c r="G3" s="6"/>
      <c r="H3" s="6"/>
      <c r="I3" s="6"/>
    </row>
    <row r="4" spans="1:9" ht="46.5" customHeight="1" x14ac:dyDescent="0.55000000000000004">
      <c r="A4" s="7" t="s">
        <v>39</v>
      </c>
      <c r="B4" s="7" t="s">
        <v>42</v>
      </c>
      <c r="C4" s="7" t="s">
        <v>43</v>
      </c>
      <c r="D4" s="8" t="s">
        <v>0</v>
      </c>
      <c r="E4" s="7" t="s">
        <v>40</v>
      </c>
      <c r="F4" s="8" t="s">
        <v>1</v>
      </c>
      <c r="G4" s="7" t="s">
        <v>41</v>
      </c>
      <c r="H4" s="7" t="s">
        <v>44</v>
      </c>
      <c r="I4" s="7" t="s">
        <v>2</v>
      </c>
    </row>
    <row r="5" spans="1:9" x14ac:dyDescent="0.55000000000000004">
      <c r="A5" s="9">
        <v>1</v>
      </c>
      <c r="B5" s="10">
        <v>2548</v>
      </c>
      <c r="C5" s="11" t="s">
        <v>11</v>
      </c>
      <c r="D5" s="11" t="s">
        <v>12</v>
      </c>
      <c r="E5" s="10" t="s">
        <v>5</v>
      </c>
      <c r="F5" s="12">
        <v>1</v>
      </c>
      <c r="G5" s="13">
        <v>2500</v>
      </c>
      <c r="H5" s="13">
        <f t="shared" ref="H5:H11" si="0">SUM(F5*G5)</f>
        <v>2500</v>
      </c>
      <c r="I5" s="14"/>
    </row>
    <row r="6" spans="1:9" x14ac:dyDescent="0.55000000000000004">
      <c r="A6" s="9">
        <v>2</v>
      </c>
      <c r="B6" s="10">
        <v>2548</v>
      </c>
      <c r="C6" s="11" t="s">
        <v>13</v>
      </c>
      <c r="D6" s="11" t="s">
        <v>12</v>
      </c>
      <c r="E6" s="10" t="s">
        <v>5</v>
      </c>
      <c r="F6" s="12">
        <v>1</v>
      </c>
      <c r="G6" s="13">
        <v>2500</v>
      </c>
      <c r="H6" s="13">
        <f t="shared" si="0"/>
        <v>2500</v>
      </c>
      <c r="I6" s="14"/>
    </row>
    <row r="7" spans="1:9" x14ac:dyDescent="0.55000000000000004">
      <c r="A7" s="9">
        <v>3</v>
      </c>
      <c r="B7" s="10">
        <v>2548</v>
      </c>
      <c r="C7" s="11" t="s">
        <v>14</v>
      </c>
      <c r="D7" s="11" t="s">
        <v>3</v>
      </c>
      <c r="E7" s="10" t="s">
        <v>5</v>
      </c>
      <c r="F7" s="12">
        <v>1</v>
      </c>
      <c r="G7" s="13">
        <v>2700</v>
      </c>
      <c r="H7" s="13">
        <f t="shared" si="0"/>
        <v>2700</v>
      </c>
      <c r="I7" s="14"/>
    </row>
    <row r="8" spans="1:9" x14ac:dyDescent="0.55000000000000004">
      <c r="A8" s="9">
        <v>4</v>
      </c>
      <c r="B8" s="15" t="s">
        <v>45</v>
      </c>
      <c r="C8" s="11" t="s">
        <v>15</v>
      </c>
      <c r="D8" s="11" t="s">
        <v>12</v>
      </c>
      <c r="E8" s="10" t="s">
        <v>5</v>
      </c>
      <c r="F8" s="12">
        <v>4</v>
      </c>
      <c r="G8" s="13">
        <v>2800</v>
      </c>
      <c r="H8" s="13">
        <f>SUM(F8*G8)</f>
        <v>11200</v>
      </c>
      <c r="I8" s="14"/>
    </row>
    <row r="9" spans="1:9" x14ac:dyDescent="0.55000000000000004">
      <c r="A9" s="9">
        <v>5</v>
      </c>
      <c r="B9" s="15" t="s">
        <v>45</v>
      </c>
      <c r="C9" s="11" t="s">
        <v>16</v>
      </c>
      <c r="D9" s="11" t="s">
        <v>3</v>
      </c>
      <c r="E9" s="10" t="s">
        <v>5</v>
      </c>
      <c r="F9" s="12">
        <v>2</v>
      </c>
      <c r="G9" s="13">
        <v>3000</v>
      </c>
      <c r="H9" s="13">
        <f>SUM(F9*G9)</f>
        <v>6000</v>
      </c>
      <c r="I9" s="14"/>
    </row>
    <row r="10" spans="1:9" x14ac:dyDescent="0.55000000000000004">
      <c r="A10" s="9">
        <v>6</v>
      </c>
      <c r="B10" s="16" t="s">
        <v>46</v>
      </c>
      <c r="C10" s="11" t="s">
        <v>10</v>
      </c>
      <c r="D10" s="11" t="s">
        <v>17</v>
      </c>
      <c r="E10" s="10" t="s">
        <v>5</v>
      </c>
      <c r="F10" s="12">
        <v>1</v>
      </c>
      <c r="G10" s="13">
        <v>5684.5</v>
      </c>
      <c r="H10" s="13">
        <f t="shared" si="0"/>
        <v>5684.5</v>
      </c>
      <c r="I10" s="10"/>
    </row>
    <row r="11" spans="1:9" x14ac:dyDescent="0.55000000000000004">
      <c r="A11" s="9">
        <v>7</v>
      </c>
      <c r="B11" s="10">
        <v>2556</v>
      </c>
      <c r="C11" s="11" t="s">
        <v>18</v>
      </c>
      <c r="D11" s="11" t="s">
        <v>19</v>
      </c>
      <c r="E11" s="10" t="s">
        <v>4</v>
      </c>
      <c r="F11" s="12">
        <v>1</v>
      </c>
      <c r="G11" s="13">
        <v>1230000</v>
      </c>
      <c r="H11" s="13">
        <f t="shared" si="0"/>
        <v>1230000</v>
      </c>
      <c r="I11" s="10"/>
    </row>
    <row r="12" spans="1:9" x14ac:dyDescent="0.55000000000000004">
      <c r="A12" s="17"/>
      <c r="B12" s="18"/>
      <c r="C12" s="19"/>
      <c r="D12" s="11" t="s">
        <v>20</v>
      </c>
      <c r="E12" s="10"/>
      <c r="F12" s="20"/>
      <c r="G12" s="21"/>
      <c r="H12" s="21"/>
      <c r="I12" s="10"/>
    </row>
    <row r="13" spans="1:9" x14ac:dyDescent="0.55000000000000004">
      <c r="A13" s="9"/>
      <c r="B13" s="18"/>
      <c r="C13" s="11"/>
      <c r="D13" s="22" t="s">
        <v>21</v>
      </c>
      <c r="E13" s="10"/>
      <c r="F13" s="23">
        <v>60</v>
      </c>
      <c r="G13" s="13"/>
      <c r="H13" s="13"/>
      <c r="I13" s="10"/>
    </row>
    <row r="14" spans="1:9" x14ac:dyDescent="0.55000000000000004">
      <c r="A14" s="17"/>
      <c r="B14" s="18"/>
      <c r="C14" s="11"/>
      <c r="D14" s="22" t="s">
        <v>22</v>
      </c>
      <c r="E14" s="10"/>
      <c r="F14" s="24">
        <v>60</v>
      </c>
      <c r="G14" s="13"/>
      <c r="H14" s="13"/>
      <c r="I14" s="10"/>
    </row>
    <row r="15" spans="1:9" x14ac:dyDescent="0.55000000000000004">
      <c r="A15" s="9"/>
      <c r="B15" s="18"/>
      <c r="C15" s="11"/>
      <c r="D15" s="22" t="s">
        <v>23</v>
      </c>
      <c r="E15" s="10"/>
      <c r="F15" s="25">
        <v>1</v>
      </c>
      <c r="G15" s="13"/>
      <c r="H15" s="13"/>
      <c r="I15" s="10"/>
    </row>
    <row r="16" spans="1:9" x14ac:dyDescent="0.55000000000000004">
      <c r="A16" s="17"/>
      <c r="B16" s="26"/>
      <c r="C16" s="11"/>
      <c r="D16" s="27" t="s">
        <v>24</v>
      </c>
      <c r="E16" s="10"/>
      <c r="F16" s="12"/>
      <c r="G16" s="13"/>
      <c r="H16" s="13"/>
      <c r="I16" s="10"/>
    </row>
    <row r="17" spans="1:9" x14ac:dyDescent="0.55000000000000004">
      <c r="A17" s="9"/>
      <c r="B17" s="15"/>
      <c r="C17" s="11"/>
      <c r="D17" s="28" t="s">
        <v>25</v>
      </c>
      <c r="E17" s="29"/>
      <c r="F17" s="12">
        <v>1</v>
      </c>
      <c r="G17" s="13"/>
      <c r="H17" s="13"/>
      <c r="I17" s="14"/>
    </row>
    <row r="18" spans="1:9" x14ac:dyDescent="0.55000000000000004">
      <c r="A18" s="17"/>
      <c r="B18" s="30"/>
      <c r="C18" s="11"/>
      <c r="D18" s="27" t="s">
        <v>26</v>
      </c>
      <c r="E18" s="29"/>
      <c r="F18" s="12"/>
      <c r="G18" s="13"/>
      <c r="H18" s="13"/>
      <c r="I18" s="14"/>
    </row>
    <row r="19" spans="1:9" x14ac:dyDescent="0.55000000000000004">
      <c r="A19" s="9"/>
      <c r="B19" s="15"/>
      <c r="C19" s="11"/>
      <c r="D19" s="31" t="s">
        <v>27</v>
      </c>
      <c r="E19" s="29"/>
      <c r="F19" s="12">
        <v>2</v>
      </c>
      <c r="G19" s="13"/>
      <c r="H19" s="13"/>
      <c r="I19" s="14"/>
    </row>
    <row r="20" spans="1:9" x14ac:dyDescent="0.55000000000000004">
      <c r="A20" s="17"/>
      <c r="B20" s="15"/>
      <c r="C20" s="11"/>
      <c r="D20" s="27" t="s">
        <v>28</v>
      </c>
      <c r="E20" s="29"/>
      <c r="F20" s="12"/>
      <c r="G20" s="13"/>
      <c r="H20" s="13"/>
      <c r="I20" s="14"/>
    </row>
    <row r="21" spans="1:9" x14ac:dyDescent="0.55000000000000004">
      <c r="A21" s="9"/>
      <c r="B21" s="15"/>
      <c r="C21" s="11"/>
      <c r="D21" s="31" t="s">
        <v>29</v>
      </c>
      <c r="E21" s="29"/>
      <c r="F21" s="12">
        <v>1</v>
      </c>
      <c r="G21" s="13"/>
      <c r="H21" s="13"/>
      <c r="I21" s="14"/>
    </row>
    <row r="22" spans="1:9" x14ac:dyDescent="0.55000000000000004">
      <c r="A22" s="17"/>
      <c r="B22" s="15"/>
      <c r="C22" s="11"/>
      <c r="D22" s="32" t="s">
        <v>30</v>
      </c>
      <c r="E22" s="29"/>
      <c r="F22" s="12"/>
      <c r="G22" s="13"/>
      <c r="H22" s="13"/>
      <c r="I22" s="14"/>
    </row>
    <row r="23" spans="1:9" x14ac:dyDescent="0.55000000000000004">
      <c r="A23" s="9"/>
      <c r="B23" s="9"/>
      <c r="C23" s="11"/>
      <c r="D23" s="32" t="s">
        <v>31</v>
      </c>
      <c r="E23" s="29"/>
      <c r="F23" s="12"/>
      <c r="G23" s="33"/>
      <c r="H23" s="33"/>
      <c r="I23" s="14"/>
    </row>
    <row r="24" spans="1:9" x14ac:dyDescent="0.55000000000000004">
      <c r="A24" s="17"/>
      <c r="B24" s="15"/>
      <c r="C24" s="11"/>
      <c r="D24" s="34" t="s">
        <v>38</v>
      </c>
      <c r="E24" s="29"/>
      <c r="F24" s="12"/>
      <c r="G24" s="13"/>
      <c r="H24" s="13"/>
      <c r="I24" s="14"/>
    </row>
    <row r="25" spans="1:9" x14ac:dyDescent="0.55000000000000004">
      <c r="A25" s="9"/>
      <c r="B25" s="15"/>
      <c r="C25" s="11"/>
      <c r="D25" s="28" t="s">
        <v>32</v>
      </c>
      <c r="E25" s="29"/>
      <c r="F25" s="12">
        <v>1</v>
      </c>
      <c r="G25" s="13"/>
      <c r="H25" s="13"/>
      <c r="I25" s="14"/>
    </row>
    <row r="26" spans="1:9" x14ac:dyDescent="0.55000000000000004">
      <c r="A26" s="17"/>
      <c r="B26" s="15"/>
      <c r="C26" s="11"/>
      <c r="D26" s="27" t="s">
        <v>33</v>
      </c>
      <c r="E26" s="29"/>
      <c r="F26" s="12"/>
      <c r="G26" s="13"/>
      <c r="H26" s="13"/>
      <c r="I26" s="14"/>
    </row>
    <row r="27" spans="1:9" x14ac:dyDescent="0.55000000000000004">
      <c r="A27" s="9"/>
      <c r="B27" s="35"/>
      <c r="C27" s="11"/>
      <c r="D27" s="28" t="s">
        <v>34</v>
      </c>
      <c r="E27" s="29"/>
      <c r="F27" s="12">
        <v>2</v>
      </c>
      <c r="G27" s="13"/>
      <c r="H27" s="13"/>
      <c r="I27" s="14"/>
    </row>
    <row r="28" spans="1:9" x14ac:dyDescent="0.55000000000000004">
      <c r="A28" s="17"/>
      <c r="B28" s="35"/>
      <c r="C28" s="11"/>
      <c r="D28" s="28" t="s">
        <v>35</v>
      </c>
      <c r="E28" s="29"/>
      <c r="F28" s="12">
        <v>1</v>
      </c>
      <c r="G28" s="13"/>
      <c r="H28" s="13"/>
      <c r="I28" s="10"/>
    </row>
    <row r="29" spans="1:9" x14ac:dyDescent="0.55000000000000004">
      <c r="A29" s="9"/>
      <c r="B29" s="35"/>
      <c r="C29" s="11"/>
      <c r="D29" s="27" t="s">
        <v>36</v>
      </c>
      <c r="E29" s="29"/>
      <c r="F29" s="12"/>
      <c r="G29" s="13"/>
      <c r="H29" s="13"/>
      <c r="I29" s="10"/>
    </row>
    <row r="30" spans="1:9" x14ac:dyDescent="0.55000000000000004">
      <c r="A30" s="17"/>
      <c r="B30" s="35"/>
      <c r="C30" s="11"/>
      <c r="D30" s="28" t="s">
        <v>37</v>
      </c>
      <c r="E30" s="29"/>
      <c r="F30" s="12">
        <v>1</v>
      </c>
      <c r="G30" s="13"/>
      <c r="H30" s="13"/>
      <c r="I30" s="10"/>
    </row>
    <row r="31" spans="1:9" x14ac:dyDescent="0.55000000000000004">
      <c r="A31" s="17">
        <v>8</v>
      </c>
      <c r="B31" s="36">
        <v>23983</v>
      </c>
      <c r="C31" s="37" t="s">
        <v>49</v>
      </c>
      <c r="D31" s="38" t="s">
        <v>48</v>
      </c>
      <c r="E31" s="39" t="s">
        <v>5</v>
      </c>
      <c r="F31" s="40">
        <v>10</v>
      </c>
      <c r="G31" s="41">
        <v>550</v>
      </c>
      <c r="H31" s="13">
        <f t="shared" ref="H31:H35" si="1">SUM(F31*G31)</f>
        <v>5500</v>
      </c>
      <c r="I31" s="10"/>
    </row>
    <row r="32" spans="1:9" x14ac:dyDescent="0.55000000000000004">
      <c r="A32" s="17">
        <v>9</v>
      </c>
      <c r="B32" s="36">
        <v>243427</v>
      </c>
      <c r="C32" s="37" t="s">
        <v>50</v>
      </c>
      <c r="D32" s="38" t="s">
        <v>51</v>
      </c>
      <c r="E32" s="39" t="s">
        <v>5</v>
      </c>
      <c r="F32" s="40">
        <v>2</v>
      </c>
      <c r="G32" s="41">
        <v>22000</v>
      </c>
      <c r="H32" s="13">
        <f t="shared" si="1"/>
        <v>44000</v>
      </c>
      <c r="I32" s="42"/>
    </row>
    <row r="33" spans="1:9" x14ac:dyDescent="0.55000000000000004">
      <c r="A33" s="17">
        <v>10</v>
      </c>
      <c r="B33" s="36">
        <v>243427</v>
      </c>
      <c r="C33" s="37" t="s">
        <v>52</v>
      </c>
      <c r="D33" s="38" t="s">
        <v>53</v>
      </c>
      <c r="E33" s="39" t="s">
        <v>5</v>
      </c>
      <c r="F33" s="40">
        <v>1</v>
      </c>
      <c r="G33" s="41">
        <v>24000</v>
      </c>
      <c r="H33" s="13">
        <f t="shared" si="1"/>
        <v>24000</v>
      </c>
      <c r="I33" s="42"/>
    </row>
    <row r="34" spans="1:9" x14ac:dyDescent="0.55000000000000004">
      <c r="A34" s="17">
        <v>11</v>
      </c>
      <c r="B34" s="36">
        <v>243427</v>
      </c>
      <c r="C34" s="37" t="s">
        <v>54</v>
      </c>
      <c r="D34" s="38" t="s">
        <v>55</v>
      </c>
      <c r="E34" s="39" t="s">
        <v>5</v>
      </c>
      <c r="F34" s="40">
        <v>4</v>
      </c>
      <c r="G34" s="41">
        <v>3300</v>
      </c>
      <c r="H34" s="13">
        <f t="shared" si="1"/>
        <v>13200</v>
      </c>
      <c r="I34" s="42"/>
    </row>
    <row r="35" spans="1:9" x14ac:dyDescent="0.55000000000000004">
      <c r="A35" s="17">
        <v>12</v>
      </c>
      <c r="B35" s="36">
        <v>243427</v>
      </c>
      <c r="C35" s="37" t="s">
        <v>56</v>
      </c>
      <c r="D35" s="38" t="s">
        <v>57</v>
      </c>
      <c r="E35" s="39" t="s">
        <v>5</v>
      </c>
      <c r="F35" s="40">
        <v>4</v>
      </c>
      <c r="G35" s="41">
        <v>4200</v>
      </c>
      <c r="H35" s="13">
        <f t="shared" si="1"/>
        <v>16800</v>
      </c>
      <c r="I35" s="42"/>
    </row>
    <row r="36" spans="1:9" x14ac:dyDescent="0.55000000000000004">
      <c r="A36" s="43" t="s">
        <v>8</v>
      </c>
      <c r="B36" s="44"/>
      <c r="C36" s="44"/>
      <c r="D36" s="44"/>
      <c r="E36" s="44"/>
      <c r="F36" s="44"/>
      <c r="G36" s="44"/>
      <c r="H36" s="45">
        <f>SUM(H5:H35)</f>
        <v>1364084.5</v>
      </c>
      <c r="I36" s="46"/>
    </row>
    <row r="37" spans="1:9" ht="28.5" customHeight="1" x14ac:dyDescent="0.55000000000000004">
      <c r="A37" s="47"/>
      <c r="B37" s="47"/>
      <c r="C37" s="47"/>
      <c r="D37" s="48"/>
      <c r="E37" s="47"/>
      <c r="F37" s="49"/>
      <c r="G37" s="47"/>
      <c r="H37" s="47"/>
      <c r="I37" s="50"/>
    </row>
    <row r="38" spans="1:9" x14ac:dyDescent="0.55000000000000004">
      <c r="A38" s="47"/>
      <c r="B38" s="47"/>
      <c r="C38" s="47"/>
      <c r="D38" s="48"/>
      <c r="E38" s="47"/>
      <c r="F38" s="51" t="s">
        <v>6</v>
      </c>
      <c r="G38" s="51"/>
      <c r="H38" s="51"/>
      <c r="I38" s="51"/>
    </row>
    <row r="39" spans="1:9" x14ac:dyDescent="0.55000000000000004">
      <c r="A39" s="47"/>
      <c r="B39" s="47"/>
      <c r="C39" s="47"/>
      <c r="D39" s="48"/>
      <c r="E39" s="47"/>
      <c r="F39" s="4" t="s">
        <v>59</v>
      </c>
      <c r="G39" s="4"/>
      <c r="H39" s="4"/>
      <c r="I39" s="4"/>
    </row>
    <row r="40" spans="1:9" x14ac:dyDescent="0.55000000000000004">
      <c r="A40" s="47"/>
      <c r="B40" s="47"/>
      <c r="C40" s="47"/>
      <c r="D40" s="48"/>
      <c r="E40" s="47"/>
      <c r="F40" s="4" t="s">
        <v>7</v>
      </c>
      <c r="G40" s="4"/>
      <c r="H40" s="4"/>
      <c r="I40" s="4"/>
    </row>
    <row r="41" spans="1:9" x14ac:dyDescent="0.55000000000000004">
      <c r="A41" s="47"/>
      <c r="B41" s="47"/>
      <c r="C41" s="47"/>
      <c r="D41" s="48"/>
      <c r="E41" s="47"/>
      <c r="F41" s="47"/>
      <c r="G41" s="47"/>
      <c r="H41" s="47"/>
      <c r="I41" s="50"/>
    </row>
    <row r="42" spans="1:9" x14ac:dyDescent="0.55000000000000004">
      <c r="A42" s="47"/>
      <c r="B42" s="47"/>
      <c r="C42" s="47"/>
      <c r="D42" s="48"/>
      <c r="E42" s="47"/>
      <c r="F42" s="47"/>
      <c r="G42" s="47"/>
      <c r="H42" s="47"/>
      <c r="I42" s="50"/>
    </row>
  </sheetData>
  <mergeCells count="7">
    <mergeCell ref="A36:G36"/>
    <mergeCell ref="F40:I40"/>
    <mergeCell ref="F39:I39"/>
    <mergeCell ref="F38:I38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แผนกคอมพิวเตอร์</vt:lpstr>
      <vt:lpstr>แผนกคอมพิวเตอร์!Print_Titles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2025-05-29T02:49:34Z</cp:lastPrinted>
  <dcterms:created xsi:type="dcterms:W3CDTF">2017-11-14T01:32:33Z</dcterms:created>
  <dcterms:modified xsi:type="dcterms:W3CDTF">2025-05-29T02:50:25Z</dcterms:modified>
</cp:coreProperties>
</file>