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แผนก\"/>
    </mc:Choice>
  </mc:AlternateContent>
  <xr:revisionPtr revIDLastSave="0" documentId="13_ncr:1_{D4B875A0-C3D0-4FC4-BE54-9B39179102FE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การตลาด" sheetId="33" r:id="rId1"/>
  </sheets>
  <calcPr calcId="191029"/>
</workbook>
</file>

<file path=xl/calcChain.xml><?xml version="1.0" encoding="utf-8"?>
<calcChain xmlns="http://schemas.openxmlformats.org/spreadsheetml/2006/main">
  <c r="H18" i="33" l="1"/>
  <c r="H17" i="33"/>
  <c r="H16" i="33"/>
  <c r="H15" i="33"/>
  <c r="H14" i="33"/>
  <c r="H13" i="33"/>
  <c r="H5" i="33" l="1"/>
  <c r="H6" i="33"/>
  <c r="H7" i="33"/>
  <c r="H8" i="33"/>
  <c r="H9" i="33"/>
  <c r="H10" i="33"/>
  <c r="H11" i="33"/>
  <c r="H12" i="33"/>
</calcChain>
</file>

<file path=xl/sharedStrings.xml><?xml version="1.0" encoding="utf-8"?>
<sst xmlns="http://schemas.openxmlformats.org/spreadsheetml/2006/main" count="62" uniqueCount="48">
  <si>
    <t>รายการ ขนาด ลักษณะ</t>
  </si>
  <si>
    <t>จำนวน</t>
  </si>
  <si>
    <t>หมายเหตุ</t>
  </si>
  <si>
    <t>งปม.</t>
  </si>
  <si>
    <t>บกศ.</t>
  </si>
  <si>
    <t>เครื่องสำรองไฟฟ้า</t>
  </si>
  <si>
    <t>เก้าอี้สำนักงาน  (ขาเหล็ก)</t>
  </si>
  <si>
    <t>....................................................</t>
  </si>
  <si>
    <t>หัวหน้าหน่วยจ่าย/หน่วยเบิก</t>
  </si>
  <si>
    <t>เครื่องโปรเจคเตอร์พร้อมจอรับภาพ</t>
  </si>
  <si>
    <t>โต๊ะเหล็ก  4  ฟุต</t>
  </si>
  <si>
    <t>รวมเป็นเงิน</t>
  </si>
  <si>
    <t xml:space="preserve"> สถานศึกษา วิทยาลัยเทคนิคกันทรลักษ์</t>
  </si>
  <si>
    <t>7110-002-0006/521-019-020</t>
  </si>
  <si>
    <t>ตู้บานเลื่อนกระจก 4 ฟุต Smart Form</t>
  </si>
  <si>
    <t>7110-007-0020/531-001</t>
  </si>
  <si>
    <t>โต๊ะวางโปรเจคเตอร์</t>
  </si>
  <si>
    <t>7110-007-0004/531-012-015</t>
  </si>
  <si>
    <t>7110-006-0006/531-019-022</t>
  </si>
  <si>
    <t>7110-002-0006/531-034-038</t>
  </si>
  <si>
    <t>ตู้เหล็ก  2 บานเลื่อนกระจก</t>
  </si>
  <si>
    <t>6730-001-0003/531-006</t>
  </si>
  <si>
    <t>6130-001-0001/531-001</t>
  </si>
  <si>
    <t>5965-001-0001/531-001</t>
  </si>
  <si>
    <t>Microphne (ไมโครโฟน)</t>
  </si>
  <si>
    <t>(นางนงลักษณ์   ศรีชา)</t>
  </si>
  <si>
    <t xml:space="preserve"> 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</si>
  <si>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</si>
  <si>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</si>
  <si>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</si>
  <si>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</si>
  <si>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</si>
  <si>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</si>
  <si>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บัญชีรายการ แผนกวิชาการตลาด คงเหลือ</t>
  </si>
  <si>
    <t>7440-010-0002/642-002(13)</t>
  </si>
  <si>
    <t xml:space="preserve"> 8 มิ.ย.64</t>
  </si>
  <si>
    <t>2552</t>
  </si>
  <si>
    <t>เครื่องพิมพ์เลเซอร์</t>
  </si>
  <si>
    <t xml:space="preserve"> 23 มิ.ย.66</t>
  </si>
  <si>
    <t>7440-001-0002/662-006-007</t>
  </si>
  <si>
    <t xml:space="preserve">เครื่องคอมพิวเตอร์ All in one </t>
  </si>
  <si>
    <t>7440-010-0002/662-005-006</t>
  </si>
  <si>
    <t>เครื่องปริ้นเตอร์ Brother DCP-T820DW</t>
  </si>
  <si>
    <t>5850-009-0001/662-001(2)</t>
  </si>
  <si>
    <t>LASER POINTER</t>
  </si>
  <si>
    <t>7110-007-0002/662-001(27)</t>
  </si>
  <si>
    <t>โต๊ะพับเอนกประสงค์</t>
  </si>
  <si>
    <t>ประจำปี 2567  ณ วันที่ 30 กันยายน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</si>
</sst>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8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top"/>
    </xf>
    <xf numFmtId="43" fontId="4" fillId="0" borderId="0" xfId="0" applyNumberFormat="1" applyFont="1" applyAlignment="1">
      <alignment horizontal="center"/>
    </xf>
    <xf numFmtId="43" fontId="4" fillId="0" borderId="0" xfId="0" applyNumberFormat="1" applyFont="1"/>
    <xf numFmtId="43" fontId="3" fillId="0" borderId="0" xfId="12" applyFont="1" applyBorder="1" applyAlignment="1"/>
    <xf numFmtId="43" fontId="3" fillId="0" borderId="0" xfId="12" applyFont="1" applyBorder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43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 applyAlignment="1">
      <alignment horizontal="left"/>
    </xf>
    <xf numFmtId="0" fontId="8" fillId="0" borderId="1" xfId="6" applyFont="1" applyBorder="1"/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1" xfId="1" applyFont="1" applyFill="1" applyBorder="1" applyAlignment="1">
      <alignment horizontal="center"/>
    </xf>
    <xf numFmtId="43" fontId="8" fillId="0" borderId="1" xfId="12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center" vertical="top"/>
    </xf>
    <xf numFmtId="0" fontId="8" fillId="0" borderId="1" xfId="6" applyFont="1" applyBorder="1" applyAlignment="1">
      <alignment horizontal="left" vertical="top"/>
    </xf>
    <xf numFmtId="0" fontId="8" fillId="0" borderId="1" xfId="6" applyFont="1" applyBorder="1" applyAlignment="1">
      <alignment vertical="top" wrapText="1"/>
    </xf>
    <xf numFmtId="0" fontId="8" fillId="0" borderId="5" xfId="6" applyFont="1" applyBorder="1" applyAlignment="1">
      <alignment horizontal="center" vertical="top"/>
    </xf>
    <xf numFmtId="43" fontId="8" fillId="0" borderId="1" xfId="1" applyFont="1" applyBorder="1" applyAlignment="1">
      <alignment vertical="top"/>
    </xf>
    <xf numFmtId="43" fontId="8" fillId="0" borderId="4" xfId="1" applyFont="1" applyFill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8" fillId="0" borderId="1" xfId="6" applyFont="1" applyBorder="1" applyAlignment="1">
      <alignment horizontal="center" vertical="top"/>
    </xf>
    <xf numFmtId="43" fontId="8" fillId="0" borderId="1" xfId="1" applyFont="1" applyFill="1" applyBorder="1" applyAlignment="1">
      <alignment horizontal="center" vertical="top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5" xfId="2" applyFont="1" applyBorder="1" applyAlignment="1">
      <alignment horizontal="center"/>
    </xf>
    <xf numFmtId="43" fontId="7" fillId="0" borderId="1" xfId="0" applyNumberFormat="1" applyFont="1" applyBorder="1"/>
    <xf numFmtId="43" fontId="7" fillId="0" borderId="4" xfId="0" applyNumberFormat="1" applyFont="1" applyBorder="1"/>
    <xf numFmtId="0" fontId="7" fillId="0" borderId="4" xfId="0" applyFont="1" applyBorder="1" applyAlignment="1">
      <alignment horizontal="center"/>
    </xf>
    <xf numFmtId="0" fontId="7" fillId="0" borderId="0" xfId="0" applyFont="1"/>
    <xf numFmtId="0" fontId="8" fillId="0" borderId="6" xfId="2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</xdr:colOff>
      <xdr:row>0</xdr:row>
      <xdr:rowOff>76200</xdr:rowOff>
    </xdr:from>
    <xdr:to>
      <xdr:col>8</xdr:col>
      <xdr:colOff>723900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8991600" y="76200"/>
          <a:ext cx="17526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A1:M23"/>
  <sheetViews>
    <sheetView tabSelected="1" topLeftCell="A4" zoomScaleNormal="100" workbookViewId="0">
      <selection activeCell="D9" sqref="D9"/>
    </sheetView>
  </sheetViews>
  <sheetFormatPr defaultColWidth="9" defaultRowHeight="24" x14ac:dyDescent="0.55000000000000004"/>
  <cols>
    <col min="1" max="1" width="5.375" style="1" customWidth="1"/>
    <col min="2" max="2" width="12.75" style="1" customWidth="1"/>
    <col min="3" max="3" width="26.75" style="1" customWidth="1"/>
    <col min="4" max="4" width="32.875" style="1" customWidth="1"/>
    <col min="5" max="5" width="8.375" style="1" customWidth="1"/>
    <col min="6" max="6" width="7.25" style="1" customWidth="1"/>
    <col min="7" max="7" width="12.75" style="1" customWidth="1"/>
    <col min="8" max="8" width="14.25" style="1" customWidth="1"/>
    <col min="9" max="9" width="12.125" style="2" customWidth="1"/>
    <col min="10" max="10" width="18.25" style="1" customWidth="1"/>
    <col min="11" max="11" width="12.75" style="1" customWidth="1"/>
    <col min="12" max="12" width="9" style="1"/>
    <col min="13" max="13" width="12.375" style="1" bestFit="1" customWidth="1"/>
    <col min="14" max="16384" width="9" style="1"/>
  </cols>
  <sheetData>
    <row r="1" spans="1:11" x14ac:dyDescent="0.55000000000000004">
      <c r="A1" s="11" t="s">
        <v>12</v>
      </c>
      <c r="B1" s="11"/>
      <c r="C1" s="11"/>
      <c r="D1" s="11"/>
      <c r="E1" s="11"/>
      <c r="F1" s="11"/>
      <c r="G1" s="11"/>
      <c r="H1" s="11"/>
      <c r="I1" s="11"/>
      <c r="J1" s="2"/>
    </row>
    <row r="2" spans="1:11" x14ac:dyDescent="0.55000000000000004">
      <c r="A2" s="12" t="s">
        <v>33</v>
      </c>
      <c r="B2" s="12"/>
      <c r="C2" s="12"/>
      <c r="D2" s="12"/>
      <c r="E2" s="12"/>
      <c r="F2" s="12"/>
      <c r="G2" s="12"/>
      <c r="H2" s="12"/>
      <c r="I2" s="12"/>
      <c r="J2" s="9"/>
    </row>
    <row r="3" spans="1:11" x14ac:dyDescent="0.55000000000000004">
      <c r="A3" s="13" t="s">
        <v>47</v>
      </c>
      <c r="B3" s="13"/>
      <c r="C3" s="13"/>
      <c r="D3" s="13"/>
      <c r="E3" s="13"/>
      <c r="F3" s="13"/>
      <c r="G3" s="13"/>
      <c r="H3" s="13"/>
      <c r="I3" s="13"/>
      <c r="J3" s="2"/>
    </row>
    <row r="4" spans="1:11" ht="45" customHeight="1" x14ac:dyDescent="0.55000000000000004">
      <c r="A4" s="14" t="s">
        <v>27</v>
      </c>
      <c r="B4" s="14" t="s">
        <v>30</v>
      </c>
      <c r="C4" s="14" t="s">
        <v>31</v>
      </c>
      <c r="D4" s="15" t="s">
        <v>0</v>
      </c>
      <c r="E4" s="14" t="s">
        <v>28</v>
      </c>
      <c r="F4" s="15" t="s">
        <v>1</v>
      </c>
      <c r="G4" s="14" t="s">
        <v>29</v>
      </c>
      <c r="H4" s="14" t="s">
        <v>32</v>
      </c>
      <c r="I4" s="14" t="s">
        <v>2</v>
      </c>
      <c r="J4" s="8"/>
    </row>
    <row r="5" spans="1:11" x14ac:dyDescent="0.55000000000000004">
      <c r="A5" s="16">
        <v>1</v>
      </c>
      <c r="B5" s="17" t="s">
        <v>36</v>
      </c>
      <c r="C5" s="18" t="s">
        <v>13</v>
      </c>
      <c r="D5" s="19" t="s">
        <v>14</v>
      </c>
      <c r="E5" s="20" t="s">
        <v>3</v>
      </c>
      <c r="F5" s="21">
        <v>2</v>
      </c>
      <c r="G5" s="22">
        <v>3000</v>
      </c>
      <c r="H5" s="22">
        <f t="shared" ref="H5:H17" si="0">SUM(F5*G5)</f>
        <v>6000</v>
      </c>
      <c r="I5" s="23"/>
      <c r="J5" s="6"/>
      <c r="K5" s="5"/>
    </row>
    <row r="6" spans="1:11" x14ac:dyDescent="0.55000000000000004">
      <c r="A6" s="24">
        <v>2</v>
      </c>
      <c r="B6" s="24">
        <v>2553</v>
      </c>
      <c r="C6" s="18" t="s">
        <v>15</v>
      </c>
      <c r="D6" s="19" t="s">
        <v>16</v>
      </c>
      <c r="E6" s="20" t="s">
        <v>3</v>
      </c>
      <c r="F6" s="21">
        <v>1</v>
      </c>
      <c r="G6" s="22">
        <v>3500</v>
      </c>
      <c r="H6" s="22">
        <f t="shared" si="0"/>
        <v>3500</v>
      </c>
      <c r="I6" s="23"/>
      <c r="J6" s="6"/>
      <c r="K6" s="5"/>
    </row>
    <row r="7" spans="1:11" x14ac:dyDescent="0.55000000000000004">
      <c r="A7" s="16">
        <v>3</v>
      </c>
      <c r="B7" s="24">
        <v>2553</v>
      </c>
      <c r="C7" s="18" t="s">
        <v>17</v>
      </c>
      <c r="D7" s="19" t="s">
        <v>10</v>
      </c>
      <c r="E7" s="20" t="s">
        <v>3</v>
      </c>
      <c r="F7" s="21">
        <v>4</v>
      </c>
      <c r="G7" s="22">
        <v>3750</v>
      </c>
      <c r="H7" s="22">
        <f t="shared" si="0"/>
        <v>15000</v>
      </c>
      <c r="I7" s="23"/>
      <c r="J7" s="7"/>
      <c r="K7" s="5"/>
    </row>
    <row r="8" spans="1:11" x14ac:dyDescent="0.55000000000000004">
      <c r="A8" s="24">
        <v>4</v>
      </c>
      <c r="B8" s="24">
        <v>2553</v>
      </c>
      <c r="C8" s="18" t="s">
        <v>18</v>
      </c>
      <c r="D8" s="19" t="s">
        <v>6</v>
      </c>
      <c r="E8" s="20" t="s">
        <v>3</v>
      </c>
      <c r="F8" s="21">
        <v>4</v>
      </c>
      <c r="G8" s="22">
        <v>1150</v>
      </c>
      <c r="H8" s="22">
        <f t="shared" si="0"/>
        <v>4600</v>
      </c>
      <c r="I8" s="23"/>
      <c r="J8" s="7"/>
      <c r="K8" s="5"/>
    </row>
    <row r="9" spans="1:11" x14ac:dyDescent="0.55000000000000004">
      <c r="A9" s="16">
        <v>5</v>
      </c>
      <c r="B9" s="24">
        <v>2553</v>
      </c>
      <c r="C9" s="18" t="s">
        <v>19</v>
      </c>
      <c r="D9" s="19" t="s">
        <v>20</v>
      </c>
      <c r="E9" s="20" t="s">
        <v>3</v>
      </c>
      <c r="F9" s="21">
        <v>5</v>
      </c>
      <c r="G9" s="22">
        <v>3000</v>
      </c>
      <c r="H9" s="22">
        <f t="shared" si="0"/>
        <v>15000</v>
      </c>
      <c r="I9" s="25"/>
      <c r="K9" s="5"/>
    </row>
    <row r="10" spans="1:11" x14ac:dyDescent="0.55000000000000004">
      <c r="A10" s="24">
        <v>6</v>
      </c>
      <c r="B10" s="24">
        <v>2553</v>
      </c>
      <c r="C10" s="18" t="s">
        <v>21</v>
      </c>
      <c r="D10" s="19" t="s">
        <v>9</v>
      </c>
      <c r="E10" s="20" t="s">
        <v>3</v>
      </c>
      <c r="F10" s="21">
        <v>1</v>
      </c>
      <c r="G10" s="22">
        <v>32000</v>
      </c>
      <c r="H10" s="22">
        <f t="shared" si="0"/>
        <v>32000</v>
      </c>
      <c r="I10" s="25"/>
      <c r="K10" s="5"/>
    </row>
    <row r="11" spans="1:11" x14ac:dyDescent="0.55000000000000004">
      <c r="A11" s="16">
        <v>7</v>
      </c>
      <c r="B11" s="24">
        <v>2553</v>
      </c>
      <c r="C11" s="26" t="s">
        <v>22</v>
      </c>
      <c r="D11" s="26" t="s">
        <v>5</v>
      </c>
      <c r="E11" s="20" t="s">
        <v>3</v>
      </c>
      <c r="F11" s="24">
        <v>1</v>
      </c>
      <c r="G11" s="22">
        <v>2590</v>
      </c>
      <c r="H11" s="22">
        <f t="shared" si="0"/>
        <v>2590</v>
      </c>
      <c r="I11" s="25"/>
      <c r="K11" s="5"/>
    </row>
    <row r="12" spans="1:11" x14ac:dyDescent="0.55000000000000004">
      <c r="A12" s="24">
        <v>8</v>
      </c>
      <c r="B12" s="24">
        <v>2553</v>
      </c>
      <c r="C12" s="18" t="s">
        <v>23</v>
      </c>
      <c r="D12" s="19" t="s">
        <v>24</v>
      </c>
      <c r="E12" s="25" t="s">
        <v>3</v>
      </c>
      <c r="F12" s="21">
        <v>1</v>
      </c>
      <c r="G12" s="22">
        <v>1850</v>
      </c>
      <c r="H12" s="22">
        <f t="shared" si="0"/>
        <v>1850</v>
      </c>
      <c r="I12" s="25"/>
      <c r="K12" s="5"/>
    </row>
    <row r="13" spans="1:11" s="3" customFormat="1" ht="24" customHeight="1" x14ac:dyDescent="0.2">
      <c r="A13" s="16">
        <v>9</v>
      </c>
      <c r="B13" s="27" t="s">
        <v>35</v>
      </c>
      <c r="C13" s="28" t="s">
        <v>34</v>
      </c>
      <c r="D13" s="29" t="s">
        <v>37</v>
      </c>
      <c r="E13" s="27" t="s">
        <v>4</v>
      </c>
      <c r="F13" s="30">
        <v>1</v>
      </c>
      <c r="G13" s="31">
        <v>2690</v>
      </c>
      <c r="H13" s="32">
        <f t="shared" si="0"/>
        <v>2690</v>
      </c>
      <c r="I13" s="33"/>
      <c r="J13" s="10"/>
      <c r="K13" s="10"/>
    </row>
    <row r="14" spans="1:11" s="3" customFormat="1" ht="24" customHeight="1" x14ac:dyDescent="0.55000000000000004">
      <c r="A14" s="24">
        <v>10</v>
      </c>
      <c r="B14" s="27" t="s">
        <v>38</v>
      </c>
      <c r="C14" s="28" t="s">
        <v>39</v>
      </c>
      <c r="D14" s="29" t="s">
        <v>40</v>
      </c>
      <c r="E14" s="27" t="s">
        <v>4</v>
      </c>
      <c r="F14" s="34">
        <v>2</v>
      </c>
      <c r="G14" s="31">
        <v>20000</v>
      </c>
      <c r="H14" s="32">
        <f t="shared" si="0"/>
        <v>40000</v>
      </c>
      <c r="I14" s="33"/>
      <c r="J14" s="10"/>
      <c r="K14" s="10"/>
    </row>
    <row r="15" spans="1:11" s="3" customFormat="1" ht="24" customHeight="1" x14ac:dyDescent="0.2">
      <c r="A15" s="16">
        <v>11</v>
      </c>
      <c r="B15" s="27" t="s">
        <v>38</v>
      </c>
      <c r="C15" s="28" t="s">
        <v>41</v>
      </c>
      <c r="D15" s="29" t="s">
        <v>42</v>
      </c>
      <c r="E15" s="27" t="s">
        <v>4</v>
      </c>
      <c r="F15" s="34">
        <v>2</v>
      </c>
      <c r="G15" s="31">
        <v>8000</v>
      </c>
      <c r="H15" s="35">
        <f t="shared" si="0"/>
        <v>16000</v>
      </c>
      <c r="I15" s="33"/>
      <c r="J15" s="10"/>
      <c r="K15" s="10"/>
    </row>
    <row r="16" spans="1:11" s="3" customFormat="1" ht="24" customHeight="1" x14ac:dyDescent="0.55000000000000004">
      <c r="A16" s="24">
        <v>12</v>
      </c>
      <c r="B16" s="27" t="s">
        <v>38</v>
      </c>
      <c r="C16" s="28" t="s">
        <v>43</v>
      </c>
      <c r="D16" s="29" t="s">
        <v>44</v>
      </c>
      <c r="E16" s="27" t="s">
        <v>4</v>
      </c>
      <c r="F16" s="34">
        <v>2</v>
      </c>
      <c r="G16" s="31">
        <v>3190</v>
      </c>
      <c r="H16" s="35">
        <f t="shared" si="0"/>
        <v>6380</v>
      </c>
      <c r="I16" s="33"/>
      <c r="J16" s="10"/>
      <c r="K16" s="10"/>
    </row>
    <row r="17" spans="1:13" s="3" customFormat="1" ht="24" customHeight="1" x14ac:dyDescent="0.2">
      <c r="A17" s="16">
        <v>13</v>
      </c>
      <c r="B17" s="27" t="s">
        <v>38</v>
      </c>
      <c r="C17" s="28" t="s">
        <v>45</v>
      </c>
      <c r="D17" s="29" t="s">
        <v>46</v>
      </c>
      <c r="E17" s="27" t="s">
        <v>4</v>
      </c>
      <c r="F17" s="34">
        <v>27</v>
      </c>
      <c r="G17" s="31">
        <v>1350</v>
      </c>
      <c r="H17" s="35">
        <f t="shared" si="0"/>
        <v>36450</v>
      </c>
      <c r="I17" s="33"/>
      <c r="J17" s="10"/>
      <c r="K17" s="10"/>
    </row>
    <row r="18" spans="1:13" x14ac:dyDescent="0.55000000000000004">
      <c r="A18" s="36" t="s">
        <v>11</v>
      </c>
      <c r="B18" s="37"/>
      <c r="C18" s="37"/>
      <c r="D18" s="37"/>
      <c r="E18" s="38"/>
      <c r="F18" s="39"/>
      <c r="G18" s="40" t="s">
        <v>26</v>
      </c>
      <c r="H18" s="41">
        <f>SUM(H5:H17)</f>
        <v>182060</v>
      </c>
      <c r="I18" s="42"/>
      <c r="J18" s="4"/>
      <c r="K18" s="5"/>
      <c r="M18" s="5"/>
    </row>
    <row r="19" spans="1:13" ht="36" customHeight="1" x14ac:dyDescent="0.55000000000000004">
      <c r="A19" s="43"/>
      <c r="B19" s="43"/>
      <c r="C19" s="43"/>
      <c r="D19" s="43"/>
      <c r="E19" s="43"/>
      <c r="F19" s="44"/>
      <c r="G19" s="43"/>
      <c r="H19" s="43"/>
      <c r="I19" s="45"/>
    </row>
    <row r="20" spans="1:13" x14ac:dyDescent="0.55000000000000004">
      <c r="A20" s="43"/>
      <c r="B20" s="43"/>
      <c r="C20" s="43"/>
      <c r="D20" s="43"/>
      <c r="E20" s="43"/>
      <c r="F20" s="11" t="s">
        <v>7</v>
      </c>
      <c r="G20" s="11"/>
      <c r="H20" s="11"/>
      <c r="I20" s="11"/>
      <c r="J20" s="2"/>
    </row>
    <row r="21" spans="1:13" x14ac:dyDescent="0.55000000000000004">
      <c r="A21" s="43"/>
      <c r="B21" s="43"/>
      <c r="C21" s="43"/>
      <c r="D21" s="43"/>
      <c r="E21" s="43"/>
      <c r="F21" s="11" t="s">
        <v>25</v>
      </c>
      <c r="G21" s="11"/>
      <c r="H21" s="11"/>
      <c r="I21" s="11"/>
      <c r="J21" s="2"/>
      <c r="M21" s="5"/>
    </row>
    <row r="22" spans="1:13" x14ac:dyDescent="0.55000000000000004">
      <c r="A22" s="43"/>
      <c r="B22" s="43"/>
      <c r="C22" s="43"/>
      <c r="D22" s="43"/>
      <c r="E22" s="43"/>
      <c r="F22" s="11" t="s">
        <v>8</v>
      </c>
      <c r="G22" s="11"/>
      <c r="H22" s="11"/>
      <c r="I22" s="11"/>
      <c r="J22" s="2"/>
    </row>
    <row r="23" spans="1:13" x14ac:dyDescent="0.55000000000000004">
      <c r="A23" s="46"/>
      <c r="B23" s="46"/>
      <c r="C23" s="46"/>
      <c r="D23" s="46"/>
      <c r="E23" s="46"/>
      <c r="F23" s="46"/>
      <c r="G23" s="46"/>
      <c r="H23" s="46"/>
      <c r="I23" s="47"/>
    </row>
  </sheetData>
  <mergeCells count="7">
    <mergeCell ref="A1:I1"/>
    <mergeCell ref="A2:I2"/>
    <mergeCell ref="A3:I3"/>
    <mergeCell ref="F22:I22"/>
    <mergeCell ref="F21:I21"/>
    <mergeCell ref="A18:E18"/>
    <mergeCell ref="F20:I20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2025-05-29T02:45:49Z</cp:lastPrinted>
  <dcterms:created xsi:type="dcterms:W3CDTF">2017-11-14T01:32:33Z</dcterms:created>
  <dcterms:modified xsi:type="dcterms:W3CDTF">2025-05-29T02:46:20Z</dcterms:modified>
</cp:coreProperties>
</file>