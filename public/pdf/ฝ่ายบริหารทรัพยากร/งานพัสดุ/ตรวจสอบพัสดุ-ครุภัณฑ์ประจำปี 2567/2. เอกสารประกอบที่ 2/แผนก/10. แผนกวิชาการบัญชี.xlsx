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0A1787A6-763B-41E6-9E17-F3974D45ED3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บัญชี" sheetId="34" r:id="rId1"/>
  </sheets>
  <calcPr calcId="191029"/>
</workbook>
</file>

<file path=xl/calcChain.xml><?xml version="1.0" encoding="utf-8"?>
<calcChain xmlns="http://schemas.openxmlformats.org/spreadsheetml/2006/main">
  <c r="H22" i="34" l="1"/>
  <c r="H21" i="34"/>
  <c r="H20" i="34"/>
  <c r="H18" i="34"/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  <c r="H19" i="34"/>
</calcChain>
</file>

<file path=xl/sharedStrings.xml><?xml version="1.0" encoding="utf-8"?>
<sst xmlns="http://schemas.openxmlformats.org/spreadsheetml/2006/main" count="75" uniqueCount="58">
  <si>
    <t>รายการ ขนาด ลักษณะ</t>
  </si>
  <si>
    <t>จำนวน</t>
  </si>
  <si>
    <t>หมายเหตุ</t>
  </si>
  <si>
    <t>ตู้เหล็ก 4  ลิ้นชัก</t>
  </si>
  <si>
    <t>งปม.</t>
  </si>
  <si>
    <t>บกศ.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</si>
  <si>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</si>
  <si>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</si>
  <si>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</si>
  <si>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</si>
  <si>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</si>
  <si>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</si>
  <si>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</si>
  <si>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เก้าอี้สำนักงาน  S - 35 หนัง</t>
  </si>
  <si>
    <t>6730-001-0003/531-018</t>
  </si>
  <si>
    <t>7125-002-0002/391-005-391-009</t>
  </si>
  <si>
    <t>7110-002-0005/391-001-391-005</t>
  </si>
  <si>
    <t>ตู้เหล็ก  2  บาน</t>
  </si>
  <si>
    <t>7110-007-0012/391-001-031</t>
  </si>
  <si>
    <t>โต๊ะเรียนบัญชีพร้อมเก้าอี้</t>
  </si>
  <si>
    <t>7110-002-0005/401-011-401-014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</si>
  <si>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</si>
  <si>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</si>
  <si>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</si>
  <si>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</si>
  <si>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</si>
  <si>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7110-007-0007/531-001-030</t>
  </si>
  <si>
    <t>โต๊ะพับเอนกประสงค์ ขนาด 60*200*75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</si>
  <si>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</si>
  <si>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</si>
  <si>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</si>
  <si>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</si>
  <si>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</si>
  <si>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</si>
  <si>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</si>
  <si>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</si>
  <si>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</si>
  <si>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</si>
  <si>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</si>
  <si>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</si>
  <si>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</si>
  <si>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</si>
  <si>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</si>
  <si>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</si>
  <si>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</si>
  <si>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</si>
  <si>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</si>
  <si>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</si>
  <si>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</si>
  <si>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2556</t>
  </si>
  <si>
    <t>18-ก.ค.-65</t>
  </si>
  <si>
    <t>เครื่องปรับอากาศขนาด 25,000 BTU</t>
  </si>
  <si>
    <t>4120-001-0001/652-001 (3)</t>
  </si>
  <si>
    <t>13-มิ.ย.-66</t>
  </si>
  <si>
    <t>7730-003-0004/662-001(5)</t>
  </si>
  <si>
    <t>โทรทัศน์ LED แบบ Smart TV ขนาด 55 นิ้ว</t>
  </si>
  <si>
    <t>(นางสาวเพ็ญธิดา แก้วคำ)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</si>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</sst>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1" xfId="12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7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1" xfId="1" applyFont="1" applyBorder="1"/>
    <xf numFmtId="49" fontId="8" fillId="0" borderId="1" xfId="6" applyNumberFormat="1" applyFont="1" applyBorder="1"/>
    <xf numFmtId="49" fontId="9" fillId="0" borderId="1" xfId="6" applyNumberFormat="1" applyFont="1" applyBorder="1"/>
    <xf numFmtId="43" fontId="8" fillId="0" borderId="7" xfId="12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43" fontId="7" fillId="0" borderId="8" xfId="0" applyNumberFormat="1" applyFont="1" applyBorder="1"/>
    <xf numFmtId="43" fontId="7" fillId="0" borderId="7" xfId="0" applyNumberFormat="1" applyFont="1" applyBorder="1"/>
    <xf numFmtId="43" fontId="7" fillId="0" borderId="7" xfId="0" applyNumberFormat="1" applyFont="1" applyBorder="1" applyAlignment="1">
      <alignment horizontal="center"/>
    </xf>
    <xf numFmtId="0" fontId="10" fillId="0" borderId="0" xfId="0" applyFont="1"/>
    <xf numFmtId="0" fontId="11" fillId="0" borderId="6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0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142875</xdr:rowOff>
    </xdr:from>
    <xdr:to>
      <xdr:col>8</xdr:col>
      <xdr:colOff>609600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077200" y="1428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28"/>
  <sheetViews>
    <sheetView tabSelected="1" zoomScaleNormal="100" workbookViewId="0">
      <selection activeCell="J22" sqref="J22"/>
    </sheetView>
  </sheetViews>
  <sheetFormatPr defaultColWidth="9" defaultRowHeight="24" x14ac:dyDescent="0.55000000000000004"/>
  <cols>
    <col min="1" max="1" width="5.25" style="1" customWidth="1"/>
    <col min="2" max="2" width="12.25" style="1" customWidth="1"/>
    <col min="3" max="3" width="29.75" style="1" customWidth="1"/>
    <col min="4" max="4" width="33.875" style="1" customWidth="1"/>
    <col min="5" max="5" width="7.125" style="1" customWidth="1"/>
    <col min="6" max="6" width="6.625" style="1" customWidth="1"/>
    <col min="7" max="8" width="12.625" style="1" customWidth="1"/>
    <col min="9" max="9" width="10.375" style="1" customWidth="1"/>
    <col min="10" max="16384" width="9" style="1"/>
  </cols>
  <sheetData>
    <row r="1" spans="1:9" x14ac:dyDescent="0.55000000000000004">
      <c r="A1" s="4" t="s">
        <v>12</v>
      </c>
      <c r="B1" s="4"/>
      <c r="C1" s="4"/>
      <c r="D1" s="4"/>
      <c r="E1" s="4"/>
      <c r="F1" s="4"/>
      <c r="G1" s="4"/>
      <c r="H1" s="4"/>
      <c r="I1" s="4"/>
    </row>
    <row r="2" spans="1:9" x14ac:dyDescent="0.55000000000000004">
      <c r="A2" s="5" t="s">
        <v>43</v>
      </c>
      <c r="B2" s="5"/>
      <c r="C2" s="5"/>
      <c r="D2" s="5"/>
      <c r="E2" s="5"/>
      <c r="F2" s="5"/>
      <c r="G2" s="5"/>
      <c r="H2" s="5"/>
      <c r="I2" s="5"/>
    </row>
    <row r="3" spans="1:9" x14ac:dyDescent="0.55000000000000004">
      <c r="A3" s="6" t="s">
        <v>57</v>
      </c>
      <c r="B3" s="6"/>
      <c r="C3" s="6"/>
      <c r="D3" s="6"/>
      <c r="E3" s="6"/>
      <c r="F3" s="6"/>
      <c r="G3" s="6"/>
      <c r="H3" s="6"/>
      <c r="I3" s="6"/>
    </row>
    <row r="4" spans="1:9" ht="44.25" customHeight="1" x14ac:dyDescent="0.55000000000000004">
      <c r="A4" s="7" t="s">
        <v>37</v>
      </c>
      <c r="B4" s="7" t="s">
        <v>40</v>
      </c>
      <c r="C4" s="7" t="s">
        <v>41</v>
      </c>
      <c r="D4" s="8" t="s">
        <v>0</v>
      </c>
      <c r="E4" s="7" t="s">
        <v>38</v>
      </c>
      <c r="F4" s="8" t="s">
        <v>1</v>
      </c>
      <c r="G4" s="7" t="s">
        <v>39</v>
      </c>
      <c r="H4" s="7" t="s">
        <v>42</v>
      </c>
      <c r="I4" s="7" t="s">
        <v>2</v>
      </c>
    </row>
    <row r="5" spans="1:9" x14ac:dyDescent="0.55000000000000004">
      <c r="A5" s="9">
        <v>1</v>
      </c>
      <c r="B5" s="10" t="s">
        <v>47</v>
      </c>
      <c r="C5" s="11" t="s">
        <v>15</v>
      </c>
      <c r="D5" s="11" t="s">
        <v>3</v>
      </c>
      <c r="E5" s="12" t="s">
        <v>4</v>
      </c>
      <c r="F5" s="13">
        <v>5</v>
      </c>
      <c r="G5" s="14">
        <v>3300</v>
      </c>
      <c r="H5" s="14">
        <f t="shared" ref="H5:H17" si="0">SUM(F5*G5)</f>
        <v>16500</v>
      </c>
      <c r="I5" s="15"/>
    </row>
    <row r="6" spans="1:9" x14ac:dyDescent="0.55000000000000004">
      <c r="A6" s="16">
        <v>2</v>
      </c>
      <c r="B6" s="10" t="s">
        <v>47</v>
      </c>
      <c r="C6" s="11" t="s">
        <v>16</v>
      </c>
      <c r="D6" s="11" t="s">
        <v>17</v>
      </c>
      <c r="E6" s="12" t="s">
        <v>4</v>
      </c>
      <c r="F6" s="13">
        <v>5</v>
      </c>
      <c r="G6" s="14">
        <v>3300</v>
      </c>
      <c r="H6" s="14">
        <f t="shared" si="0"/>
        <v>16500</v>
      </c>
      <c r="I6" s="15"/>
    </row>
    <row r="7" spans="1:9" s="3" customFormat="1" x14ac:dyDescent="0.55000000000000004">
      <c r="A7" s="9">
        <v>3</v>
      </c>
      <c r="B7" s="10" t="s">
        <v>47</v>
      </c>
      <c r="C7" s="11" t="s">
        <v>18</v>
      </c>
      <c r="D7" s="11" t="s">
        <v>19</v>
      </c>
      <c r="E7" s="12" t="s">
        <v>4</v>
      </c>
      <c r="F7" s="13">
        <v>33</v>
      </c>
      <c r="G7" s="14">
        <v>2400</v>
      </c>
      <c r="H7" s="14">
        <f t="shared" si="0"/>
        <v>79200</v>
      </c>
      <c r="I7" s="15"/>
    </row>
    <row r="8" spans="1:9" x14ac:dyDescent="0.55000000000000004">
      <c r="A8" s="16">
        <v>4</v>
      </c>
      <c r="B8" s="17" t="s">
        <v>48</v>
      </c>
      <c r="C8" s="11" t="s">
        <v>20</v>
      </c>
      <c r="D8" s="11" t="s">
        <v>17</v>
      </c>
      <c r="E8" s="18" t="s">
        <v>4</v>
      </c>
      <c r="F8" s="13">
        <v>4</v>
      </c>
      <c r="G8" s="14">
        <v>2200</v>
      </c>
      <c r="H8" s="14">
        <f t="shared" si="0"/>
        <v>8800</v>
      </c>
      <c r="I8" s="18"/>
    </row>
    <row r="9" spans="1:9" x14ac:dyDescent="0.55000000000000004">
      <c r="A9" s="9">
        <v>5</v>
      </c>
      <c r="B9" s="18">
        <v>2551</v>
      </c>
      <c r="C9" s="11" t="s">
        <v>21</v>
      </c>
      <c r="D9" s="11" t="s">
        <v>22</v>
      </c>
      <c r="E9" s="18" t="s">
        <v>5</v>
      </c>
      <c r="F9" s="13">
        <v>1</v>
      </c>
      <c r="G9" s="14">
        <v>5684.5</v>
      </c>
      <c r="H9" s="14">
        <f t="shared" si="0"/>
        <v>5684.5</v>
      </c>
      <c r="I9" s="18"/>
    </row>
    <row r="10" spans="1:9" x14ac:dyDescent="0.55000000000000004">
      <c r="A10" s="16">
        <v>6</v>
      </c>
      <c r="B10" s="18">
        <v>2551</v>
      </c>
      <c r="C10" s="11" t="s">
        <v>23</v>
      </c>
      <c r="D10" s="11" t="s">
        <v>13</v>
      </c>
      <c r="E10" s="18" t="s">
        <v>5</v>
      </c>
      <c r="F10" s="13">
        <v>1</v>
      </c>
      <c r="G10" s="19">
        <v>1006.25</v>
      </c>
      <c r="H10" s="14">
        <f t="shared" si="0"/>
        <v>1006.25</v>
      </c>
      <c r="I10" s="18"/>
    </row>
    <row r="11" spans="1:9" x14ac:dyDescent="0.55000000000000004">
      <c r="A11" s="9">
        <v>7</v>
      </c>
      <c r="B11" s="18">
        <v>2553</v>
      </c>
      <c r="C11" s="11" t="s">
        <v>24</v>
      </c>
      <c r="D11" s="11" t="s">
        <v>9</v>
      </c>
      <c r="E11" s="18" t="s">
        <v>4</v>
      </c>
      <c r="F11" s="13">
        <v>5</v>
      </c>
      <c r="G11" s="19">
        <v>3500</v>
      </c>
      <c r="H11" s="14">
        <f t="shared" si="0"/>
        <v>17500</v>
      </c>
      <c r="I11" s="18"/>
    </row>
    <row r="12" spans="1:9" x14ac:dyDescent="0.55000000000000004">
      <c r="A12" s="16">
        <v>8</v>
      </c>
      <c r="B12" s="18">
        <v>2553</v>
      </c>
      <c r="C12" s="11" t="s">
        <v>25</v>
      </c>
      <c r="D12" s="11" t="s">
        <v>10</v>
      </c>
      <c r="E12" s="12" t="s">
        <v>4</v>
      </c>
      <c r="F12" s="13">
        <v>2</v>
      </c>
      <c r="G12" s="20">
        <v>32000</v>
      </c>
      <c r="H12" s="14">
        <f t="shared" si="0"/>
        <v>64000</v>
      </c>
      <c r="I12" s="18"/>
    </row>
    <row r="13" spans="1:9" x14ac:dyDescent="0.55000000000000004">
      <c r="A13" s="9">
        <v>9</v>
      </c>
      <c r="B13" s="18">
        <v>2553</v>
      </c>
      <c r="C13" s="11" t="s">
        <v>26</v>
      </c>
      <c r="D13" s="11" t="s">
        <v>27</v>
      </c>
      <c r="E13" s="12" t="s">
        <v>4</v>
      </c>
      <c r="F13" s="13">
        <v>30</v>
      </c>
      <c r="G13" s="19">
        <v>2350</v>
      </c>
      <c r="H13" s="14">
        <f t="shared" si="0"/>
        <v>70500</v>
      </c>
      <c r="I13" s="15"/>
    </row>
    <row r="14" spans="1:9" x14ac:dyDescent="0.55000000000000004">
      <c r="A14" s="16">
        <v>10</v>
      </c>
      <c r="B14" s="18">
        <v>2553</v>
      </c>
      <c r="C14" s="11" t="s">
        <v>28</v>
      </c>
      <c r="D14" s="11" t="s">
        <v>29</v>
      </c>
      <c r="E14" s="12" t="s">
        <v>4</v>
      </c>
      <c r="F14" s="13">
        <v>1</v>
      </c>
      <c r="G14" s="19">
        <v>33000</v>
      </c>
      <c r="H14" s="14">
        <f t="shared" si="0"/>
        <v>33000</v>
      </c>
      <c r="I14" s="15"/>
    </row>
    <row r="15" spans="1:9" x14ac:dyDescent="0.55000000000000004">
      <c r="A15" s="9">
        <v>11</v>
      </c>
      <c r="B15" s="18">
        <v>2553</v>
      </c>
      <c r="C15" s="11" t="s">
        <v>14</v>
      </c>
      <c r="D15" s="11" t="s">
        <v>30</v>
      </c>
      <c r="E15" s="12" t="s">
        <v>4</v>
      </c>
      <c r="F15" s="13">
        <v>1</v>
      </c>
      <c r="G15" s="19">
        <v>11000</v>
      </c>
      <c r="H15" s="14">
        <f t="shared" si="0"/>
        <v>11000</v>
      </c>
      <c r="I15" s="15"/>
    </row>
    <row r="16" spans="1:9" x14ac:dyDescent="0.55000000000000004">
      <c r="A16" s="16">
        <v>12</v>
      </c>
      <c r="B16" s="18">
        <v>2553</v>
      </c>
      <c r="C16" s="11" t="s">
        <v>31</v>
      </c>
      <c r="D16" s="11" t="s">
        <v>32</v>
      </c>
      <c r="E16" s="12" t="s">
        <v>4</v>
      </c>
      <c r="F16" s="13">
        <v>1</v>
      </c>
      <c r="G16" s="19">
        <v>31000</v>
      </c>
      <c r="H16" s="14">
        <f t="shared" si="0"/>
        <v>31000</v>
      </c>
      <c r="I16" s="15"/>
    </row>
    <row r="17" spans="1:9" x14ac:dyDescent="0.55000000000000004">
      <c r="A17" s="9">
        <v>13</v>
      </c>
      <c r="B17" s="18">
        <v>2553</v>
      </c>
      <c r="C17" s="11" t="s">
        <v>33</v>
      </c>
      <c r="D17" s="11" t="s">
        <v>6</v>
      </c>
      <c r="E17" s="12" t="s">
        <v>4</v>
      </c>
      <c r="F17" s="13">
        <v>2</v>
      </c>
      <c r="G17" s="19">
        <v>3750</v>
      </c>
      <c r="H17" s="14">
        <f t="shared" si="0"/>
        <v>7500</v>
      </c>
      <c r="I17" s="15"/>
    </row>
    <row r="18" spans="1:9" x14ac:dyDescent="0.55000000000000004">
      <c r="A18" s="16">
        <v>14</v>
      </c>
      <c r="B18" s="10" t="s">
        <v>49</v>
      </c>
      <c r="C18" s="21" t="s">
        <v>34</v>
      </c>
      <c r="D18" s="21" t="s">
        <v>35</v>
      </c>
      <c r="E18" s="12" t="s">
        <v>36</v>
      </c>
      <c r="F18" s="13">
        <v>1</v>
      </c>
      <c r="G18" s="20">
        <v>20865</v>
      </c>
      <c r="H18" s="14">
        <f t="shared" ref="H18" si="1">SUM(F18*G18)</f>
        <v>20865</v>
      </c>
      <c r="I18" s="15"/>
    </row>
    <row r="19" spans="1:9" x14ac:dyDescent="0.55000000000000004">
      <c r="A19" s="9">
        <v>15</v>
      </c>
      <c r="B19" s="10" t="s">
        <v>45</v>
      </c>
      <c r="C19" s="21" t="s">
        <v>44</v>
      </c>
      <c r="D19" s="21" t="s">
        <v>46</v>
      </c>
      <c r="E19" s="12" t="s">
        <v>5</v>
      </c>
      <c r="F19" s="13">
        <v>1</v>
      </c>
      <c r="G19" s="20">
        <v>2690</v>
      </c>
      <c r="H19" s="14">
        <f>SUM(F19*G19)</f>
        <v>2690</v>
      </c>
      <c r="I19" s="15"/>
    </row>
    <row r="20" spans="1:9" x14ac:dyDescent="0.55000000000000004">
      <c r="A20" s="16">
        <v>16</v>
      </c>
      <c r="B20" s="10" t="s">
        <v>50</v>
      </c>
      <c r="C20" s="21" t="s">
        <v>52</v>
      </c>
      <c r="D20" s="21" t="s">
        <v>51</v>
      </c>
      <c r="E20" s="12" t="s">
        <v>5</v>
      </c>
      <c r="F20" s="13">
        <v>1</v>
      </c>
      <c r="G20" s="20">
        <v>29500</v>
      </c>
      <c r="H20" s="14">
        <f>SUM(F20*G20)</f>
        <v>29500</v>
      </c>
      <c r="I20" s="15"/>
    </row>
    <row r="21" spans="1:9" x14ac:dyDescent="0.55000000000000004">
      <c r="A21" s="9">
        <v>17</v>
      </c>
      <c r="B21" s="10" t="s">
        <v>53</v>
      </c>
      <c r="C21" s="21" t="s">
        <v>54</v>
      </c>
      <c r="D21" s="22" t="s">
        <v>55</v>
      </c>
      <c r="E21" s="12" t="s">
        <v>5</v>
      </c>
      <c r="F21" s="13">
        <v>5</v>
      </c>
      <c r="G21" s="20">
        <v>22000</v>
      </c>
      <c r="H21" s="19">
        <f>SUM(F21*G21)</f>
        <v>110000</v>
      </c>
      <c r="I21" s="23"/>
    </row>
    <row r="22" spans="1:9" x14ac:dyDescent="0.55000000000000004">
      <c r="A22" s="24" t="s">
        <v>11</v>
      </c>
      <c r="B22" s="6"/>
      <c r="C22" s="6"/>
      <c r="D22" s="6"/>
      <c r="E22" s="25"/>
      <c r="F22" s="26"/>
      <c r="G22" s="27"/>
      <c r="H22" s="28">
        <f>SUM(H5:H21)</f>
        <v>525245.75</v>
      </c>
      <c r="I22" s="29"/>
    </row>
    <row r="23" spans="1:9" x14ac:dyDescent="0.55000000000000004">
      <c r="A23" s="30"/>
      <c r="B23" s="30"/>
      <c r="C23" s="30"/>
      <c r="D23" s="30"/>
      <c r="E23" s="30"/>
      <c r="F23" s="31"/>
      <c r="G23" s="30"/>
      <c r="H23" s="30"/>
      <c r="I23" s="30"/>
    </row>
    <row r="24" spans="1:9" x14ac:dyDescent="0.55000000000000004">
      <c r="A24" s="30"/>
      <c r="B24" s="30"/>
      <c r="C24" s="30"/>
      <c r="D24" s="30"/>
      <c r="E24" s="30"/>
      <c r="F24" s="32"/>
      <c r="G24" s="30"/>
      <c r="H24" s="30"/>
      <c r="I24" s="30"/>
    </row>
    <row r="25" spans="1:9" x14ac:dyDescent="0.55000000000000004">
      <c r="A25" s="30"/>
      <c r="B25" s="30"/>
      <c r="C25" s="30"/>
      <c r="D25" s="30"/>
      <c r="E25" s="30"/>
      <c r="F25" s="33" t="s">
        <v>7</v>
      </c>
      <c r="G25" s="33"/>
      <c r="H25" s="33"/>
      <c r="I25" s="33"/>
    </row>
    <row r="26" spans="1:9" x14ac:dyDescent="0.55000000000000004">
      <c r="A26" s="30"/>
      <c r="B26" s="30"/>
      <c r="C26" s="30"/>
      <c r="D26" s="30"/>
      <c r="E26" s="30"/>
      <c r="F26" s="4" t="s">
        <v>56</v>
      </c>
      <c r="G26" s="4"/>
      <c r="H26" s="4"/>
      <c r="I26" s="4"/>
    </row>
    <row r="27" spans="1:9" x14ac:dyDescent="0.55000000000000004">
      <c r="A27" s="30"/>
      <c r="B27" s="30"/>
      <c r="C27" s="30"/>
      <c r="D27" s="30"/>
      <c r="E27" s="30"/>
      <c r="F27" s="4" t="s">
        <v>8</v>
      </c>
      <c r="G27" s="4"/>
      <c r="H27" s="4"/>
      <c r="I27" s="4"/>
    </row>
    <row r="28" spans="1:9" x14ac:dyDescent="0.55000000000000004">
      <c r="F28" s="2"/>
      <c r="G28" s="2"/>
      <c r="H28" s="2"/>
      <c r="I28" s="2"/>
    </row>
  </sheetData>
  <mergeCells count="7">
    <mergeCell ref="A1:I1"/>
    <mergeCell ref="A2:I2"/>
    <mergeCell ref="A3:I3"/>
    <mergeCell ref="A22:E22"/>
    <mergeCell ref="F27:I27"/>
    <mergeCell ref="F26:I26"/>
    <mergeCell ref="F25:I25"/>
  </mergeCells>
  <phoneticPr fontId="6" type="noConversion"/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2025-05-29T03:39:03Z</cp:lastPrinted>
  <dcterms:created xsi:type="dcterms:W3CDTF">2017-11-14T01:32:33Z</dcterms:created>
  <dcterms:modified xsi:type="dcterms:W3CDTF">2025-05-29T03:41:18Z</dcterms:modified>
</cp:coreProperties>
</file>