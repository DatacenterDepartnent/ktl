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D8FA1404-63ED-4844-9E3F-41BABEE10F9C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เทคนิคพื้นฐาน" sheetId="28" r:id="rId1"/>
  </sheets>
  <calcPr calcId="191029"/>
</workbook>
</file>

<file path=xl/calcChain.xml><?xml version="1.0" encoding="utf-8"?>
<calcChain xmlns="http://schemas.openxmlformats.org/spreadsheetml/2006/main">
  <c r="H17" i="28" l="1"/>
  <c r="H16" i="28"/>
  <c r="H15" i="28"/>
  <c r="H14" i="28"/>
  <c r="H13" i="28"/>
  <c r="H5" i="28" l="1"/>
  <c r="H6" i="28"/>
  <c r="H7" i="28"/>
  <c r="H8" i="28"/>
  <c r="H10" i="28"/>
  <c r="H11" i="28"/>
  <c r="H9" i="28"/>
  <c r="H12" i="28"/>
</calcChain>
</file>

<file path=xl/sharedStrings.xml><?xml version="1.0" encoding="utf-8"?>
<sst xmlns="http://schemas.openxmlformats.org/spreadsheetml/2006/main" count="57" uniqueCount="49">
  <si>
    <t>รายการ ขนาด ลักษณะ</t>
  </si>
  <si>
    <t>จำนวน</t>
  </si>
  <si>
    <t>หมายเหตุ</t>
  </si>
  <si>
    <t>งปม.</t>
  </si>
  <si>
    <t>บกศ.</t>
  </si>
  <si>
    <t>รวมเป็นเงิน</t>
  </si>
  <si>
    <t xml:space="preserve"> สถานศึกษา วิทยาลัยเทคนิคกันทรลักษ์</t>
  </si>
  <si>
    <t>บัญชีรายการครุภัณฑ์ แผนกวิชาเทคนิคพื้นฐาน คงเหลือ</t>
  </si>
  <si>
    <t>3446-005-0001/391-001-004</t>
  </si>
  <si>
    <t>ทั่งตีเหล็กขนาด 50 กก.</t>
  </si>
  <si>
    <t>7195-008-0001/452-001</t>
  </si>
  <si>
    <t>ตู้โชว์กระจก ขนาด 4 ฟุต</t>
  </si>
  <si>
    <t>7125-001-0002/521-001-003</t>
  </si>
  <si>
    <t>ตู้ล๊อกเกอร์ 18 ช่อง TAIYO</t>
  </si>
  <si>
    <t>6910-001-0021/531-001-002</t>
  </si>
  <si>
    <t>เครื่องเทอเรทมิลลิ่งจีน  รุ่น  x6340W</t>
  </si>
  <si>
    <t>7125-002-0010/551-001</t>
  </si>
  <si>
    <t>5130-007-0004/551-003</t>
  </si>
  <si>
    <t>สว่านไฟฟ้า ขนาด 13 มม.</t>
  </si>
  <si>
    <t>เครื่องพลาสม่าเอนกประสงค์</t>
  </si>
  <si>
    <t>ชุดตู้เครื่องมือ 7 ลิ้นชัก พร้อมเครื่องมือ ไม่น้อยกว่า 200 ชิ้น</t>
  </si>
  <si>
    <t>7430-003-001/632-003</t>
  </si>
  <si>
    <t>เครื่องปริ้นเตอร์ บราเทอร์ DCP-T510W</t>
  </si>
  <si>
    <t>ว่าที่ร้อยเอก .............................................</t>
  </si>
  <si>
    <t>3433-002-0003/531-001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</si>
  <si>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</si>
  <si>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</si>
  <si>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</si>
  <si>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</si>
  <si>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</si>
  <si>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</si>
  <si>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7440-010-0002/642-007(13)</t>
  </si>
  <si>
    <t>เครื่องพิมพ์เลเซอร์</t>
  </si>
  <si>
    <t>2539</t>
  </si>
  <si>
    <t>2545</t>
  </si>
  <si>
    <t>2552</t>
  </si>
  <si>
    <t>2553</t>
  </si>
  <si>
    <t xml:space="preserve"> 8 มิ.ย.64</t>
  </si>
  <si>
    <t xml:space="preserve">             (สายชล  ทองแป)</t>
  </si>
  <si>
    <t xml:space="preserve">            หัวหน้าหน่วยจ่าย/หน่วยเบิก</t>
  </si>
  <si>
    <t>4140-001-0002/662-001(28)</t>
  </si>
  <si>
    <t>พัดลมติดผนัง</t>
  </si>
  <si>
    <t xml:space="preserve">7110 - 007 - 0015 / 676  - 001 (60) </t>
  </si>
  <si>
    <t xml:space="preserve">พื้นฐาน โต๊ะเขียนแบบ ขนาด 60 × 100 ซม. รุ่น 303 - M </t>
  </si>
  <si>
    <t>จรส. เบิกพัก</t>
  </si>
  <si>
    <t xml:space="preserve">7105 - 005 - 0002 / 676 - 001 (60) </t>
  </si>
  <si>
    <t xml:space="preserve">เก้าอี้เหล็กเบาะคลุมบุฟองน้ำขุ้มหนังเทียม </t>
  </si>
  <si>
    <t>จรส.เบิกพัก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</si>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</sst>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5"/>
      <name val="TH Sarabun New"/>
      <family val="2"/>
    </font>
    <font>
      <b/>
      <sz val="14"/>
      <color theme="1"/>
      <name val="TH Sarabun New"/>
      <family val="2"/>
    </font>
    <font>
      <sz val="16"/>
      <name val="TH Sarabun New"/>
      <family val="2"/>
    </font>
    <font>
      <sz val="16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6">
    <xf numFmtId="0" fontId="0" fillId="0" borderId="0" xfId="0"/>
    <xf numFmtId="0" fontId="4" fillId="0" borderId="0" xfId="0" applyFont="1"/>
    <xf numFmtId="43" fontId="3" fillId="0" borderId="0" xfId="12" applyFont="1" applyBorder="1" applyAlignme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8" fillId="0" borderId="5" xfId="6" applyFont="1" applyBorder="1" applyAlignment="1">
      <alignment horizontal="left"/>
    </xf>
    <xf numFmtId="0" fontId="8" fillId="0" borderId="1" xfId="6" applyFont="1" applyBorder="1" applyAlignment="1">
      <alignment horizontal="left"/>
    </xf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1" xfId="1" applyFont="1" applyFill="1" applyBorder="1"/>
    <xf numFmtId="43" fontId="8" fillId="0" borderId="5" xfId="1" applyFont="1" applyFill="1" applyBorder="1"/>
    <xf numFmtId="43" fontId="8" fillId="0" borderId="1" xfId="12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/>
    <xf numFmtId="43" fontId="8" fillId="0" borderId="1" xfId="1" applyFont="1" applyBorder="1"/>
    <xf numFmtId="43" fontId="8" fillId="0" borderId="5" xfId="1" applyFont="1" applyBorder="1"/>
    <xf numFmtId="43" fontId="8" fillId="0" borderId="1" xfId="12" applyFont="1" applyBorder="1" applyAlignment="1">
      <alignment horizontal="center"/>
    </xf>
    <xf numFmtId="49" fontId="8" fillId="0" borderId="1" xfId="7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8" fillId="0" borderId="1" xfId="6" applyNumberFormat="1" applyFont="1" applyBorder="1" applyAlignment="1">
      <alignment horizontal="center"/>
    </xf>
    <xf numFmtId="0" fontId="9" fillId="0" borderId="1" xfId="6" applyFont="1" applyBorder="1"/>
    <xf numFmtId="15" fontId="7" fillId="0" borderId="1" xfId="0" applyNumberFormat="1" applyFont="1" applyBorder="1" applyAlignment="1">
      <alignment horizontal="center"/>
    </xf>
    <xf numFmtId="43" fontId="8" fillId="0" borderId="2" xfId="1" applyFont="1" applyBorder="1"/>
    <xf numFmtId="0" fontId="7" fillId="0" borderId="4" xfId="0" applyFont="1" applyBorder="1" applyAlignment="1">
      <alignment horizontal="center"/>
    </xf>
    <xf numFmtId="0" fontId="8" fillId="0" borderId="3" xfId="6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3" fontId="7" fillId="0" borderId="2" xfId="0" applyNumberFormat="1" applyFont="1" applyBorder="1"/>
    <xf numFmtId="43" fontId="7" fillId="0" borderId="1" xfId="0" applyNumberFormat="1" applyFont="1" applyBorder="1"/>
    <xf numFmtId="0" fontId="7" fillId="0" borderId="0" xfId="0" applyFont="1" applyAlignment="1">
      <alignment horizontal="center"/>
    </xf>
    <xf numFmtId="0" fontId="11" fillId="0" borderId="0" xfId="2" applyFont="1" applyAlignment="1">
      <alignment horizontal="center"/>
    </xf>
    <xf numFmtId="43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171450</xdr:rowOff>
    </xdr:from>
    <xdr:to>
      <xdr:col>8</xdr:col>
      <xdr:colOff>590550</xdr:colOff>
      <xdr:row>1</xdr:row>
      <xdr:rowOff>190500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953375" y="171450"/>
          <a:ext cx="1485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K23"/>
  <sheetViews>
    <sheetView tabSelected="1" topLeftCell="A7" workbookViewId="0">
      <selection activeCell="G12" sqref="G12"/>
    </sheetView>
  </sheetViews>
  <sheetFormatPr defaultColWidth="9" defaultRowHeight="24" x14ac:dyDescent="0.55000000000000004"/>
  <cols>
    <col min="1" max="1" width="5" style="1" customWidth="1"/>
    <col min="2" max="2" width="10.875" style="1" customWidth="1"/>
    <col min="3" max="3" width="29.875" style="1" customWidth="1"/>
    <col min="4" max="4" width="42.375" style="1" customWidth="1"/>
    <col min="5" max="5" width="9.125" style="1" customWidth="1"/>
    <col min="6" max="6" width="6" style="1" customWidth="1"/>
    <col min="7" max="7" width="12.5" style="1" customWidth="1"/>
    <col min="8" max="8" width="13.25" style="1" customWidth="1"/>
    <col min="9" max="9" width="7.75" style="4" customWidth="1"/>
    <col min="10" max="10" width="13" style="1" customWidth="1"/>
    <col min="11" max="11" width="9.125" style="1" customWidth="1"/>
    <col min="12" max="16384" width="9" style="1"/>
  </cols>
  <sheetData>
    <row r="1" spans="1:11" x14ac:dyDescent="0.55000000000000004">
      <c r="A1" s="8" t="s">
        <v>6</v>
      </c>
      <c r="B1" s="8"/>
      <c r="C1" s="8"/>
      <c r="D1" s="8"/>
      <c r="E1" s="8"/>
      <c r="F1" s="8"/>
      <c r="G1" s="8"/>
      <c r="H1" s="8"/>
      <c r="I1" s="8"/>
      <c r="J1" s="4"/>
      <c r="K1" s="4"/>
    </row>
    <row r="2" spans="1:11" x14ac:dyDescent="0.55000000000000004">
      <c r="A2" s="9" t="s">
        <v>7</v>
      </c>
      <c r="B2" s="9"/>
      <c r="C2" s="9"/>
      <c r="D2" s="9"/>
      <c r="E2" s="9"/>
      <c r="F2" s="9"/>
      <c r="G2" s="9"/>
      <c r="H2" s="9"/>
      <c r="I2" s="9"/>
      <c r="J2" s="6"/>
      <c r="K2" s="6"/>
    </row>
    <row r="3" spans="1:11" x14ac:dyDescent="0.55000000000000004">
      <c r="A3" s="10" t="s">
        <v>48</v>
      </c>
      <c r="B3" s="10"/>
      <c r="C3" s="10"/>
      <c r="D3" s="10"/>
      <c r="E3" s="10"/>
      <c r="F3" s="10"/>
      <c r="G3" s="10"/>
      <c r="H3" s="10"/>
      <c r="I3" s="10"/>
      <c r="J3" s="4"/>
      <c r="K3" s="4"/>
    </row>
    <row r="4" spans="1:11" ht="43.5" customHeight="1" x14ac:dyDescent="0.55000000000000004">
      <c r="A4" s="11" t="s">
        <v>25</v>
      </c>
      <c r="B4" s="11" t="s">
        <v>28</v>
      </c>
      <c r="C4" s="11" t="s">
        <v>29</v>
      </c>
      <c r="D4" s="12" t="s">
        <v>0</v>
      </c>
      <c r="E4" s="11" t="s">
        <v>26</v>
      </c>
      <c r="F4" s="12" t="s">
        <v>1</v>
      </c>
      <c r="G4" s="11" t="s">
        <v>27</v>
      </c>
      <c r="H4" s="11" t="s">
        <v>30</v>
      </c>
      <c r="I4" s="11" t="s">
        <v>2</v>
      </c>
      <c r="J4" s="5"/>
      <c r="K4" s="5"/>
    </row>
    <row r="5" spans="1:11" s="7" customFormat="1" x14ac:dyDescent="0.55000000000000004">
      <c r="A5" s="13">
        <v>1</v>
      </c>
      <c r="B5" s="14" t="s">
        <v>33</v>
      </c>
      <c r="C5" s="15" t="s">
        <v>8</v>
      </c>
      <c r="D5" s="16" t="s">
        <v>9</v>
      </c>
      <c r="E5" s="17" t="s">
        <v>3</v>
      </c>
      <c r="F5" s="18">
        <v>2</v>
      </c>
      <c r="G5" s="19">
        <v>3000</v>
      </c>
      <c r="H5" s="20">
        <f t="shared" ref="H5:H14" si="0">SUM(F5*G5)</f>
        <v>6000</v>
      </c>
      <c r="I5" s="21"/>
      <c r="J5" s="2"/>
      <c r="K5" s="2"/>
    </row>
    <row r="6" spans="1:11" x14ac:dyDescent="0.55000000000000004">
      <c r="A6" s="13">
        <v>2</v>
      </c>
      <c r="B6" s="22" t="s">
        <v>34</v>
      </c>
      <c r="C6" s="16" t="s">
        <v>10</v>
      </c>
      <c r="D6" s="23" t="s">
        <v>11</v>
      </c>
      <c r="E6" s="17" t="s">
        <v>4</v>
      </c>
      <c r="F6" s="18">
        <v>1</v>
      </c>
      <c r="G6" s="24">
        <v>1850</v>
      </c>
      <c r="H6" s="25">
        <f t="shared" si="0"/>
        <v>1850</v>
      </c>
      <c r="I6" s="26"/>
      <c r="J6" s="3"/>
      <c r="K6" s="3"/>
    </row>
    <row r="7" spans="1:11" x14ac:dyDescent="0.55000000000000004">
      <c r="A7" s="13">
        <v>3</v>
      </c>
      <c r="B7" s="27" t="s">
        <v>35</v>
      </c>
      <c r="C7" s="16" t="s">
        <v>12</v>
      </c>
      <c r="D7" s="23" t="s">
        <v>13</v>
      </c>
      <c r="E7" s="17" t="s">
        <v>3</v>
      </c>
      <c r="F7" s="18">
        <v>3</v>
      </c>
      <c r="G7" s="24">
        <v>8200</v>
      </c>
      <c r="H7" s="25">
        <f t="shared" si="0"/>
        <v>24600</v>
      </c>
      <c r="I7" s="28"/>
    </row>
    <row r="8" spans="1:11" x14ac:dyDescent="0.55000000000000004">
      <c r="A8" s="13">
        <v>4</v>
      </c>
      <c r="B8" s="27" t="s">
        <v>36</v>
      </c>
      <c r="C8" s="16" t="s">
        <v>14</v>
      </c>
      <c r="D8" s="23" t="s">
        <v>15</v>
      </c>
      <c r="E8" s="17" t="s">
        <v>3</v>
      </c>
      <c r="F8" s="18">
        <v>2</v>
      </c>
      <c r="G8" s="24">
        <v>257850.47</v>
      </c>
      <c r="H8" s="25">
        <f t="shared" si="0"/>
        <v>515700.94</v>
      </c>
      <c r="I8" s="28"/>
    </row>
    <row r="9" spans="1:11" x14ac:dyDescent="0.55000000000000004">
      <c r="A9" s="13">
        <v>5</v>
      </c>
      <c r="B9" s="28">
        <v>2553</v>
      </c>
      <c r="C9" s="16" t="s">
        <v>24</v>
      </c>
      <c r="D9" s="23" t="s">
        <v>19</v>
      </c>
      <c r="E9" s="28" t="s">
        <v>3</v>
      </c>
      <c r="F9" s="29">
        <v>1</v>
      </c>
      <c r="G9" s="24">
        <v>37500</v>
      </c>
      <c r="H9" s="25">
        <f>SUM(F9*G9)</f>
        <v>37500</v>
      </c>
      <c r="I9" s="28"/>
    </row>
    <row r="10" spans="1:11" x14ac:dyDescent="0.55000000000000004">
      <c r="A10" s="13">
        <v>6</v>
      </c>
      <c r="B10" s="28">
        <v>2555</v>
      </c>
      <c r="C10" s="16" t="s">
        <v>16</v>
      </c>
      <c r="D10" s="30" t="s">
        <v>20</v>
      </c>
      <c r="E10" s="28" t="s">
        <v>3</v>
      </c>
      <c r="F10" s="18">
        <v>1</v>
      </c>
      <c r="G10" s="24">
        <v>0</v>
      </c>
      <c r="H10" s="25">
        <f t="shared" si="0"/>
        <v>0</v>
      </c>
      <c r="I10" s="28"/>
    </row>
    <row r="11" spans="1:11" x14ac:dyDescent="0.55000000000000004">
      <c r="A11" s="13">
        <v>7</v>
      </c>
      <c r="B11" s="28">
        <v>2555</v>
      </c>
      <c r="C11" s="16" t="s">
        <v>17</v>
      </c>
      <c r="D11" s="23" t="s">
        <v>18</v>
      </c>
      <c r="E11" s="28" t="s">
        <v>3</v>
      </c>
      <c r="F11" s="29">
        <v>1</v>
      </c>
      <c r="G11" s="24">
        <v>15400</v>
      </c>
      <c r="H11" s="25">
        <f t="shared" si="0"/>
        <v>15400</v>
      </c>
      <c r="I11" s="28"/>
    </row>
    <row r="12" spans="1:11" x14ac:dyDescent="0.55000000000000004">
      <c r="A12" s="13">
        <v>8</v>
      </c>
      <c r="B12" s="28">
        <v>2563</v>
      </c>
      <c r="C12" s="16" t="s">
        <v>21</v>
      </c>
      <c r="D12" s="16" t="s">
        <v>22</v>
      </c>
      <c r="E12" s="28" t="s">
        <v>4</v>
      </c>
      <c r="F12" s="18">
        <v>1</v>
      </c>
      <c r="G12" s="24">
        <v>4990</v>
      </c>
      <c r="H12" s="25">
        <f t="shared" si="0"/>
        <v>4990</v>
      </c>
      <c r="I12" s="28"/>
    </row>
    <row r="13" spans="1:11" x14ac:dyDescent="0.55000000000000004">
      <c r="A13" s="13">
        <v>9</v>
      </c>
      <c r="B13" s="31" t="s">
        <v>37</v>
      </c>
      <c r="C13" s="16" t="s">
        <v>31</v>
      </c>
      <c r="D13" s="16" t="s">
        <v>32</v>
      </c>
      <c r="E13" s="28" t="s">
        <v>4</v>
      </c>
      <c r="F13" s="18">
        <v>1</v>
      </c>
      <c r="G13" s="32">
        <v>2690</v>
      </c>
      <c r="H13" s="25">
        <f t="shared" si="0"/>
        <v>2690</v>
      </c>
      <c r="I13" s="33"/>
    </row>
    <row r="14" spans="1:11" x14ac:dyDescent="0.55000000000000004">
      <c r="A14" s="13">
        <v>10</v>
      </c>
      <c r="B14" s="31">
        <v>243419</v>
      </c>
      <c r="C14" s="16" t="s">
        <v>40</v>
      </c>
      <c r="D14" s="16" t="s">
        <v>41</v>
      </c>
      <c r="E14" s="28" t="s">
        <v>4</v>
      </c>
      <c r="F14" s="18">
        <v>28</v>
      </c>
      <c r="G14" s="24">
        <v>1760</v>
      </c>
      <c r="H14" s="25">
        <f t="shared" si="0"/>
        <v>49280</v>
      </c>
      <c r="I14" s="33"/>
    </row>
    <row r="15" spans="1:11" x14ac:dyDescent="0.55000000000000004">
      <c r="A15" s="13">
        <v>11</v>
      </c>
      <c r="B15" s="31">
        <v>24427</v>
      </c>
      <c r="C15" s="16" t="s">
        <v>42</v>
      </c>
      <c r="D15" s="34" t="s">
        <v>43</v>
      </c>
      <c r="E15" s="35" t="s">
        <v>44</v>
      </c>
      <c r="F15" s="18">
        <v>60</v>
      </c>
      <c r="G15" s="32">
        <v>5100</v>
      </c>
      <c r="H15" s="25">
        <f>SUM(G15*F15)</f>
        <v>306000</v>
      </c>
      <c r="I15" s="33"/>
    </row>
    <row r="16" spans="1:11" x14ac:dyDescent="0.55000000000000004">
      <c r="A16" s="13">
        <v>12</v>
      </c>
      <c r="B16" s="31">
        <v>24427</v>
      </c>
      <c r="C16" s="16" t="s">
        <v>45</v>
      </c>
      <c r="D16" s="34" t="s">
        <v>46</v>
      </c>
      <c r="E16" s="35" t="s">
        <v>47</v>
      </c>
      <c r="F16" s="18">
        <v>60</v>
      </c>
      <c r="G16" s="32">
        <v>950</v>
      </c>
      <c r="H16" s="25">
        <f>SUM(G16*F16)</f>
        <v>57000</v>
      </c>
      <c r="I16" s="33"/>
    </row>
    <row r="17" spans="1:11" x14ac:dyDescent="0.55000000000000004">
      <c r="A17" s="36" t="s">
        <v>5</v>
      </c>
      <c r="B17" s="37"/>
      <c r="C17" s="37"/>
      <c r="D17" s="37"/>
      <c r="E17" s="38"/>
      <c r="F17" s="17"/>
      <c r="G17" s="39"/>
      <c r="H17" s="40">
        <f>SUM(H5:H16)</f>
        <v>1021010.94</v>
      </c>
      <c r="I17" s="33"/>
      <c r="J17" s="4"/>
      <c r="K17" s="4"/>
    </row>
    <row r="18" spans="1:11" x14ac:dyDescent="0.55000000000000004">
      <c r="A18" s="41"/>
      <c r="B18" s="41"/>
      <c r="C18" s="41"/>
      <c r="D18" s="41"/>
      <c r="E18" s="41"/>
      <c r="F18" s="42"/>
      <c r="G18" s="43"/>
      <c r="H18" s="43"/>
      <c r="I18" s="44"/>
      <c r="J18" s="4"/>
      <c r="K18" s="4"/>
    </row>
    <row r="19" spans="1:11" x14ac:dyDescent="0.55000000000000004">
      <c r="A19" s="45"/>
      <c r="B19" s="45"/>
      <c r="C19" s="45"/>
      <c r="D19" s="45"/>
      <c r="E19" s="45"/>
      <c r="F19" s="42"/>
      <c r="G19" s="45"/>
      <c r="H19" s="45"/>
      <c r="I19" s="44"/>
    </row>
    <row r="20" spans="1:11" x14ac:dyDescent="0.55000000000000004">
      <c r="A20" s="45"/>
      <c r="B20" s="45"/>
      <c r="C20" s="45"/>
      <c r="D20" s="45"/>
      <c r="E20" s="45"/>
      <c r="F20" s="8" t="s">
        <v>23</v>
      </c>
      <c r="G20" s="8"/>
      <c r="H20" s="8"/>
      <c r="I20" s="8"/>
      <c r="J20" s="4"/>
      <c r="K20" s="4"/>
    </row>
    <row r="21" spans="1:11" x14ac:dyDescent="0.55000000000000004">
      <c r="A21" s="45"/>
      <c r="B21" s="45"/>
      <c r="C21" s="45"/>
      <c r="D21" s="45"/>
      <c r="E21" s="45"/>
      <c r="F21" s="8" t="s">
        <v>38</v>
      </c>
      <c r="G21" s="8"/>
      <c r="H21" s="8"/>
      <c r="I21" s="8"/>
      <c r="J21" s="4"/>
      <c r="K21" s="4"/>
    </row>
    <row r="22" spans="1:11" x14ac:dyDescent="0.55000000000000004">
      <c r="A22" s="45"/>
      <c r="B22" s="45"/>
      <c r="C22" s="45"/>
      <c r="D22" s="45"/>
      <c r="E22" s="45"/>
      <c r="F22" s="8" t="s">
        <v>39</v>
      </c>
      <c r="G22" s="8"/>
      <c r="H22" s="8"/>
      <c r="I22" s="8"/>
      <c r="J22" s="4"/>
      <c r="K22" s="4"/>
    </row>
    <row r="23" spans="1:11" x14ac:dyDescent="0.55000000000000004">
      <c r="A23" s="45"/>
      <c r="B23" s="45"/>
      <c r="C23" s="45"/>
      <c r="D23" s="45"/>
      <c r="E23" s="45"/>
      <c r="F23" s="45"/>
      <c r="G23" s="45"/>
      <c r="H23" s="45"/>
      <c r="I23" s="44"/>
    </row>
  </sheetData>
  <mergeCells count="7">
    <mergeCell ref="F22:I22"/>
    <mergeCell ref="A17:E17"/>
    <mergeCell ref="F20:I20"/>
    <mergeCell ref="F21:I21"/>
    <mergeCell ref="A1:I1"/>
    <mergeCell ref="A2:I2"/>
    <mergeCell ref="A3:I3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แผนกเทคนิคพื้นฐาน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2025-05-29T02:39:30Z</cp:lastPrinted>
  <dcterms:created xsi:type="dcterms:W3CDTF">2017-11-14T01:32:33Z</dcterms:created>
  <dcterms:modified xsi:type="dcterms:W3CDTF">2025-05-29T02:40:19Z</dcterms:modified>
</cp:coreProperties>
</file>