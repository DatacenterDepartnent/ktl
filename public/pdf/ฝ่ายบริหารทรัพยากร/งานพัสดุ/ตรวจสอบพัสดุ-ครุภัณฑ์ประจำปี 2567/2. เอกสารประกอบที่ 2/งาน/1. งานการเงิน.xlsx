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2. เอกสารประกอบที่ 2\งาน\"/>
    </mc:Choice>
  </mc:AlternateContent>
  <xr:revisionPtr revIDLastSave="0" documentId="13_ncr:1_{56D55409-6200-4F22-B658-2D6C869D9F27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การเงิน" sheetId="8" r:id="rId1"/>
  </sheets>
  <calcPr calcId="191029"/>
</workbook>
</file>

<file path=xl/calcChain.xml><?xml version="1.0" encoding="utf-8"?>
<calcChain xmlns="http://schemas.openxmlformats.org/spreadsheetml/2006/main">
  <c r="H17" i="8" l="1"/>
  <c r="H16" i="8" l="1"/>
  <c r="H15" i="8"/>
  <c r="H14" i="8"/>
  <c r="H6" i="8" l="1"/>
  <c r="H7" i="8"/>
  <c r="H8" i="8"/>
  <c r="H9" i="8"/>
  <c r="H10" i="8"/>
  <c r="H11" i="8"/>
  <c r="H12" i="8"/>
  <c r="H13" i="8"/>
  <c r="H5" i="8"/>
</calcChain>
</file>

<file path=xl/sharedStrings.xml><?xml version="1.0" encoding="utf-8"?>
<sst xmlns="http://schemas.openxmlformats.org/spreadsheetml/2006/main" count="57" uniqueCount="50">
  <si>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</si>
  <si>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</si>
  <si>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</si>
  <si>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</si>
  <si>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ตู้เหล็ก 15 ลิ้นชัก</t>
  </si>
  <si>
    <t>งปม.</t>
  </si>
  <si>
    <t>บกศ.</t>
  </si>
  <si>
    <t>ตู้เหล็ก 4 ลิ้นชัก KINGK0NG</t>
  </si>
  <si>
    <t>หัวหน้าหน่วยจ่าย/หน่วยเบิก</t>
  </si>
  <si>
    <t>7125-002-0002/391-002</t>
  </si>
  <si>
    <t>4140-001-0001/391-001</t>
  </si>
  <si>
    <t>7110-004-0001/391-001</t>
  </si>
  <si>
    <t>7110-002-0002/403-001 -002</t>
  </si>
  <si>
    <t>7125-002-0002/401-013</t>
  </si>
  <si>
    <t>7110-002-0006/401-006</t>
  </si>
  <si>
    <t>7110-002-0005/472-003-004</t>
  </si>
  <si>
    <t>พัดลมตั้งโต๊ะ 16" ฮาตาริ</t>
  </si>
  <si>
    <t>ตู้นิรภัย</t>
  </si>
  <si>
    <t>ตู้เหล็ก 4 ลิ้นชัก PRERIDENT</t>
  </si>
  <si>
    <t>ตู้เหล็ก 2 บานเลื่อน PRERIDENT</t>
  </si>
  <si>
    <t>ตู้  2  บานประตู</t>
  </si>
  <si>
    <t>รวมเป็นเงิน</t>
  </si>
  <si>
    <t>........................................................</t>
  </si>
  <si>
    <t>7490-013-0001/622-001</t>
  </si>
  <si>
    <t>เครื่องนับพันธบัตร</t>
  </si>
  <si>
    <t>24 มิ.ย. 62</t>
  </si>
  <si>
    <t>17 มิ.ย. 62</t>
  </si>
  <si>
    <t>4120-001-0002/622-001</t>
  </si>
  <si>
    <t>เครื่องปรับอากาศขนาด 40 QBY</t>
  </si>
  <si>
    <t>บริจาค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</si>
  <si>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</si>
  <si>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</si>
  <si>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</si>
  <si>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</si>
  <si>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</si>
  <si>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</si>
  <si>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 งานการเงิน  คงเหลือ</t>
  </si>
  <si>
    <t xml:space="preserve"> 18 มิ.ย.64</t>
  </si>
  <si>
    <t>7440-001-0011/642-001</t>
  </si>
  <si>
    <t>โปรแกรมพิมพ์ใบเสร็จรับเงิน</t>
  </si>
  <si>
    <t>(นายอุทัย จรรยากรณ์)</t>
  </si>
  <si>
    <t xml:space="preserve">27 พ.ย.  66 </t>
  </si>
  <si>
    <t xml:space="preserve">7430 - 010 - 0022 / 672 - 001 </t>
  </si>
  <si>
    <t xml:space="preserve">เครื่องพิมพ์ MultiFunCtion แบบฉีดหมึก (อิงค์เจ็ท) </t>
  </si>
  <si>
    <t>บกศ</t>
  </si>
  <si>
    <t xml:space="preserve">29 พ.ย. 66 </t>
  </si>
  <si>
    <t xml:space="preserve">7430- 010 - 0009 / 672 - 001 </t>
  </si>
  <si>
    <t>เครื่องพิมพ์เลเซอร์ ขาว - ดำ</t>
  </si>
  <si>
    <t xml:space="preserve">บกศ. </t>
  </si>
  <si>
    <t>ประจำปี 2567  ณ วันที่ 30 กันยายน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</si>
</sst>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TH Sarabun New"/>
      <family val="2"/>
    </font>
    <font>
      <sz val="16"/>
      <name val="TH Sarabun New"/>
      <family val="2"/>
    </font>
    <font>
      <sz val="14"/>
      <name val="TH Sarabun Ne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7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43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6" applyFont="1" applyBorder="1" applyAlignment="1">
      <alignment horizontal="left" vertical="center"/>
    </xf>
    <xf numFmtId="0" fontId="7" fillId="0" borderId="1" xfId="2" applyFont="1" applyBorder="1" applyAlignment="1">
      <alignment horizontal="center"/>
    </xf>
    <xf numFmtId="0" fontId="7" fillId="0" borderId="1" xfId="5" applyFont="1" applyBorder="1" applyAlignment="1">
      <alignment horizontal="center"/>
    </xf>
    <xf numFmtId="43" fontId="7" fillId="0" borderId="1" xfId="1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1" xfId="6" applyFont="1" applyBorder="1"/>
    <xf numFmtId="43" fontId="7" fillId="0" borderId="1" xfId="1" applyFont="1" applyBorder="1"/>
    <xf numFmtId="43" fontId="6" fillId="0" borderId="1" xfId="0" applyNumberFormat="1" applyFont="1" applyBorder="1" applyAlignment="1">
      <alignment horizontal="center"/>
    </xf>
    <xf numFmtId="49" fontId="7" fillId="0" borderId="1" xfId="7" applyNumberFormat="1" applyFont="1" applyBorder="1" applyAlignment="1">
      <alignment horizontal="center"/>
    </xf>
    <xf numFmtId="0" fontId="7" fillId="0" borderId="3" xfId="6" applyFont="1" applyBorder="1" applyAlignment="1">
      <alignment horizontal="left"/>
    </xf>
    <xf numFmtId="0" fontId="8" fillId="0" borderId="1" xfId="6" applyFont="1" applyBorder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43" fontId="7" fillId="0" borderId="1" xfId="5" applyNumberFormat="1" applyFont="1" applyBorder="1"/>
    <xf numFmtId="0" fontId="6" fillId="0" borderId="0" xfId="0" applyFont="1"/>
    <xf numFmtId="0" fontId="6" fillId="0" borderId="0" xfId="0" applyFont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781050</xdr:colOff>
      <xdr:row>0</xdr:row>
      <xdr:rowOff>180974</xdr:rowOff>
    </xdr:from>
    <xdr:to>
      <xdr:col>8</xdr:col>
      <xdr:colOff>561975</xdr:colOff>
      <xdr:row>1</xdr:row>
      <xdr:rowOff>200024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 txBox="1"/>
      </xdr:nvSpPr>
      <xdr:spPr>
        <a:xfrm>
          <a:off x="8534400" y="180974"/>
          <a:ext cx="16097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7030A0"/>
  </sheetPr>
  <dimension ref="A1:J23"/>
  <sheetViews>
    <sheetView tabSelected="1" topLeftCell="A13" workbookViewId="0">
      <selection activeCell="J16" sqref="J16"/>
    </sheetView>
  </sheetViews>
  <sheetFormatPr defaultColWidth="9" defaultRowHeight="24" x14ac:dyDescent="0.55000000000000004"/>
  <cols>
    <col min="1" max="1" width="5.625" style="1" customWidth="1"/>
    <col min="2" max="2" width="12.25" style="1" customWidth="1"/>
    <col min="3" max="3" width="26" style="1" customWidth="1"/>
    <col min="4" max="4" width="34.375" style="1" customWidth="1"/>
    <col min="5" max="5" width="8" style="1" customWidth="1"/>
    <col min="6" max="6" width="7" style="1" customWidth="1"/>
    <col min="7" max="7" width="11.875" style="1" customWidth="1"/>
    <col min="8" max="8" width="13" style="1" customWidth="1"/>
    <col min="9" max="9" width="10.125" style="3" customWidth="1"/>
    <col min="10" max="10" width="15.875" style="3" customWidth="1"/>
    <col min="11" max="16384" width="9" style="1"/>
  </cols>
  <sheetData>
    <row r="1" spans="1:10" ht="24.75" customHeight="1" x14ac:dyDescent="0.55000000000000004">
      <c r="A1" s="5" t="s">
        <v>3</v>
      </c>
      <c r="B1" s="5"/>
      <c r="C1" s="5"/>
      <c r="D1" s="5"/>
      <c r="E1" s="5"/>
      <c r="F1" s="5"/>
      <c r="G1" s="5"/>
      <c r="H1" s="5"/>
      <c r="I1" s="5"/>
    </row>
    <row r="2" spans="1:10" x14ac:dyDescent="0.55000000000000004">
      <c r="A2" s="5" t="s">
        <v>36</v>
      </c>
      <c r="B2" s="5"/>
      <c r="C2" s="5"/>
      <c r="D2" s="5"/>
      <c r="E2" s="5"/>
      <c r="F2" s="5"/>
      <c r="G2" s="5"/>
      <c r="H2" s="5"/>
      <c r="I2" s="5"/>
    </row>
    <row r="3" spans="1:10" x14ac:dyDescent="0.55000000000000004">
      <c r="A3" s="6" t="s">
        <v>49</v>
      </c>
      <c r="B3" s="6"/>
      <c r="C3" s="6"/>
      <c r="D3" s="6"/>
      <c r="E3" s="6"/>
      <c r="F3" s="6"/>
      <c r="G3" s="6"/>
      <c r="H3" s="6"/>
      <c r="I3" s="6"/>
    </row>
    <row r="4" spans="1:10" s="2" customFormat="1" ht="42.75" customHeight="1" x14ac:dyDescent="0.2">
      <c r="A4" s="7" t="s">
        <v>30</v>
      </c>
      <c r="B4" s="7" t="s">
        <v>33</v>
      </c>
      <c r="C4" s="7" t="s">
        <v>34</v>
      </c>
      <c r="D4" s="8" t="s">
        <v>0</v>
      </c>
      <c r="E4" s="7" t="s">
        <v>31</v>
      </c>
      <c r="F4" s="8" t="s">
        <v>1</v>
      </c>
      <c r="G4" s="7" t="s">
        <v>32</v>
      </c>
      <c r="H4" s="7" t="s">
        <v>35</v>
      </c>
      <c r="I4" s="8" t="s">
        <v>2</v>
      </c>
    </row>
    <row r="5" spans="1:10" x14ac:dyDescent="0.55000000000000004">
      <c r="A5" s="9">
        <v>1</v>
      </c>
      <c r="B5" s="9">
        <v>2539</v>
      </c>
      <c r="C5" s="10" t="s">
        <v>9</v>
      </c>
      <c r="D5" s="10" t="s">
        <v>7</v>
      </c>
      <c r="E5" s="11" t="s">
        <v>5</v>
      </c>
      <c r="F5" s="12">
        <v>1</v>
      </c>
      <c r="G5" s="13">
        <v>2300</v>
      </c>
      <c r="H5" s="13">
        <f>SUM(F5*G5)</f>
        <v>2300</v>
      </c>
      <c r="I5" s="9"/>
    </row>
    <row r="6" spans="1:10" x14ac:dyDescent="0.55000000000000004">
      <c r="A6" s="9">
        <v>2</v>
      </c>
      <c r="B6" s="9">
        <v>2539</v>
      </c>
      <c r="C6" s="10" t="s">
        <v>10</v>
      </c>
      <c r="D6" s="10" t="s">
        <v>16</v>
      </c>
      <c r="E6" s="11" t="s">
        <v>5</v>
      </c>
      <c r="F6" s="12">
        <v>1</v>
      </c>
      <c r="G6" s="13">
        <v>900</v>
      </c>
      <c r="H6" s="13">
        <f t="shared" ref="H6:H13" si="0">SUM(F6*G6)</f>
        <v>900</v>
      </c>
      <c r="I6" s="9"/>
    </row>
    <row r="7" spans="1:10" x14ac:dyDescent="0.55000000000000004">
      <c r="A7" s="9">
        <v>3</v>
      </c>
      <c r="B7" s="9">
        <v>2539</v>
      </c>
      <c r="C7" s="10" t="s">
        <v>11</v>
      </c>
      <c r="D7" s="10" t="s">
        <v>17</v>
      </c>
      <c r="E7" s="11" t="s">
        <v>5</v>
      </c>
      <c r="F7" s="12">
        <v>1</v>
      </c>
      <c r="G7" s="13">
        <v>10500</v>
      </c>
      <c r="H7" s="13">
        <f t="shared" si="0"/>
        <v>10500</v>
      </c>
      <c r="I7" s="9"/>
    </row>
    <row r="8" spans="1:10" x14ac:dyDescent="0.55000000000000004">
      <c r="A8" s="9">
        <v>4</v>
      </c>
      <c r="B8" s="9">
        <v>2540</v>
      </c>
      <c r="C8" s="14" t="s">
        <v>12</v>
      </c>
      <c r="D8" s="15" t="s">
        <v>4</v>
      </c>
      <c r="E8" s="11" t="s">
        <v>29</v>
      </c>
      <c r="F8" s="12">
        <v>2</v>
      </c>
      <c r="G8" s="16">
        <v>2300</v>
      </c>
      <c r="H8" s="13">
        <f t="shared" si="0"/>
        <v>4600</v>
      </c>
      <c r="I8" s="17"/>
      <c r="J8" s="4"/>
    </row>
    <row r="9" spans="1:10" x14ac:dyDescent="0.55000000000000004">
      <c r="A9" s="9">
        <v>5</v>
      </c>
      <c r="B9" s="9">
        <v>2540</v>
      </c>
      <c r="C9" s="10" t="s">
        <v>13</v>
      </c>
      <c r="D9" s="10" t="s">
        <v>18</v>
      </c>
      <c r="E9" s="11" t="s">
        <v>5</v>
      </c>
      <c r="F9" s="12">
        <v>1</v>
      </c>
      <c r="G9" s="13">
        <v>2200</v>
      </c>
      <c r="H9" s="13">
        <f t="shared" si="0"/>
        <v>2200</v>
      </c>
      <c r="I9" s="9"/>
    </row>
    <row r="10" spans="1:10" x14ac:dyDescent="0.55000000000000004">
      <c r="A10" s="9">
        <v>6</v>
      </c>
      <c r="B10" s="9">
        <v>2540</v>
      </c>
      <c r="C10" s="10" t="s">
        <v>14</v>
      </c>
      <c r="D10" s="10" t="s">
        <v>19</v>
      </c>
      <c r="E10" s="11" t="s">
        <v>5</v>
      </c>
      <c r="F10" s="12">
        <v>1</v>
      </c>
      <c r="G10" s="13">
        <v>2250</v>
      </c>
      <c r="H10" s="13">
        <f t="shared" si="0"/>
        <v>2250</v>
      </c>
      <c r="I10" s="9"/>
    </row>
    <row r="11" spans="1:10" x14ac:dyDescent="0.55000000000000004">
      <c r="A11" s="9">
        <v>7</v>
      </c>
      <c r="B11" s="9">
        <v>2547</v>
      </c>
      <c r="C11" s="14" t="s">
        <v>15</v>
      </c>
      <c r="D11" s="15" t="s">
        <v>20</v>
      </c>
      <c r="E11" s="11" t="s">
        <v>6</v>
      </c>
      <c r="F11" s="12">
        <v>2</v>
      </c>
      <c r="G11" s="16">
        <v>2500</v>
      </c>
      <c r="H11" s="13">
        <f t="shared" si="0"/>
        <v>5000</v>
      </c>
      <c r="I11" s="9"/>
    </row>
    <row r="12" spans="1:10" x14ac:dyDescent="0.55000000000000004">
      <c r="A12" s="9">
        <v>8</v>
      </c>
      <c r="B12" s="18" t="s">
        <v>26</v>
      </c>
      <c r="C12" s="14" t="s">
        <v>23</v>
      </c>
      <c r="D12" s="15" t="s">
        <v>24</v>
      </c>
      <c r="E12" s="11" t="s">
        <v>6</v>
      </c>
      <c r="F12" s="12">
        <v>1</v>
      </c>
      <c r="G12" s="16">
        <v>7800</v>
      </c>
      <c r="H12" s="13">
        <f t="shared" si="0"/>
        <v>7800</v>
      </c>
      <c r="I12" s="9"/>
    </row>
    <row r="13" spans="1:10" x14ac:dyDescent="0.55000000000000004">
      <c r="A13" s="9">
        <v>9</v>
      </c>
      <c r="B13" s="18" t="s">
        <v>25</v>
      </c>
      <c r="C13" s="14" t="s">
        <v>27</v>
      </c>
      <c r="D13" s="15" t="s">
        <v>28</v>
      </c>
      <c r="E13" s="11" t="s">
        <v>6</v>
      </c>
      <c r="F13" s="12">
        <v>1</v>
      </c>
      <c r="G13" s="16">
        <v>39500</v>
      </c>
      <c r="H13" s="13">
        <f t="shared" si="0"/>
        <v>39500</v>
      </c>
      <c r="I13" s="9"/>
    </row>
    <row r="14" spans="1:10" x14ac:dyDescent="0.55000000000000004">
      <c r="A14" s="9">
        <v>10</v>
      </c>
      <c r="B14" s="18" t="s">
        <v>37</v>
      </c>
      <c r="C14" s="14" t="s">
        <v>38</v>
      </c>
      <c r="D14" s="15" t="s">
        <v>39</v>
      </c>
      <c r="E14" s="11" t="s">
        <v>6</v>
      </c>
      <c r="F14" s="12">
        <v>1</v>
      </c>
      <c r="G14" s="16">
        <v>30000</v>
      </c>
      <c r="H14" s="13">
        <f t="shared" ref="H14:H16" si="1">SUM(F14*G14)</f>
        <v>30000</v>
      </c>
      <c r="I14" s="9"/>
    </row>
    <row r="15" spans="1:10" x14ac:dyDescent="0.55000000000000004">
      <c r="A15" s="9">
        <v>11</v>
      </c>
      <c r="B15" s="18" t="s">
        <v>41</v>
      </c>
      <c r="C15" s="19" t="s">
        <v>42</v>
      </c>
      <c r="D15" s="20" t="s">
        <v>43</v>
      </c>
      <c r="E15" s="11" t="s">
        <v>44</v>
      </c>
      <c r="F15" s="12">
        <v>1</v>
      </c>
      <c r="G15" s="16">
        <v>8000</v>
      </c>
      <c r="H15" s="13">
        <f t="shared" si="1"/>
        <v>8000</v>
      </c>
      <c r="I15" s="9"/>
    </row>
    <row r="16" spans="1:10" x14ac:dyDescent="0.55000000000000004">
      <c r="A16" s="9">
        <v>12</v>
      </c>
      <c r="B16" s="18" t="s">
        <v>45</v>
      </c>
      <c r="C16" s="19" t="s">
        <v>46</v>
      </c>
      <c r="D16" s="15" t="s">
        <v>47</v>
      </c>
      <c r="E16" s="11" t="s">
        <v>48</v>
      </c>
      <c r="F16" s="12">
        <v>1</v>
      </c>
      <c r="G16" s="16">
        <v>3300</v>
      </c>
      <c r="H16" s="13">
        <f t="shared" si="1"/>
        <v>3300</v>
      </c>
      <c r="I16" s="9"/>
    </row>
    <row r="17" spans="1:9" x14ac:dyDescent="0.55000000000000004">
      <c r="A17" s="21" t="s">
        <v>21</v>
      </c>
      <c r="B17" s="22"/>
      <c r="C17" s="22"/>
      <c r="D17" s="22"/>
      <c r="E17" s="23"/>
      <c r="F17" s="24"/>
      <c r="G17" s="24"/>
      <c r="H17" s="13">
        <f>SUM(H5:H16)</f>
        <v>116350</v>
      </c>
      <c r="I17" s="9"/>
    </row>
    <row r="18" spans="1:9" x14ac:dyDescent="0.55000000000000004">
      <c r="A18" s="25"/>
      <c r="B18" s="25"/>
      <c r="C18" s="25"/>
      <c r="D18" s="25"/>
      <c r="E18" s="25"/>
      <c r="F18" s="25"/>
      <c r="G18" s="25"/>
      <c r="H18" s="25"/>
      <c r="I18" s="26"/>
    </row>
    <row r="19" spans="1:9" x14ac:dyDescent="0.55000000000000004">
      <c r="A19" s="25"/>
      <c r="B19" s="25"/>
      <c r="C19" s="25"/>
      <c r="D19" s="25"/>
      <c r="E19" s="25"/>
      <c r="F19" s="25"/>
      <c r="G19" s="25"/>
      <c r="H19" s="25"/>
      <c r="I19" s="26"/>
    </row>
    <row r="20" spans="1:9" x14ac:dyDescent="0.55000000000000004">
      <c r="A20" s="25"/>
      <c r="B20" s="25"/>
      <c r="C20" s="25"/>
      <c r="D20" s="25"/>
      <c r="E20" s="25"/>
      <c r="F20" s="5" t="s">
        <v>22</v>
      </c>
      <c r="G20" s="5"/>
      <c r="H20" s="5"/>
      <c r="I20" s="5"/>
    </row>
    <row r="21" spans="1:9" x14ac:dyDescent="0.55000000000000004">
      <c r="A21" s="25"/>
      <c r="B21" s="25"/>
      <c r="C21" s="25"/>
      <c r="D21" s="25"/>
      <c r="E21" s="25"/>
      <c r="F21" s="5" t="s">
        <v>40</v>
      </c>
      <c r="G21" s="5"/>
      <c r="H21" s="5"/>
      <c r="I21" s="5"/>
    </row>
    <row r="22" spans="1:9" x14ac:dyDescent="0.55000000000000004">
      <c r="A22" s="25"/>
      <c r="B22" s="25"/>
      <c r="C22" s="25"/>
      <c r="D22" s="25"/>
      <c r="E22" s="25"/>
      <c r="F22" s="5" t="s">
        <v>8</v>
      </c>
      <c r="G22" s="5"/>
      <c r="H22" s="5"/>
      <c r="I22" s="5"/>
    </row>
    <row r="23" spans="1:9" x14ac:dyDescent="0.55000000000000004">
      <c r="A23" s="25"/>
      <c r="B23" s="25"/>
      <c r="C23" s="25"/>
      <c r="D23" s="25"/>
      <c r="E23" s="25"/>
      <c r="F23" s="26"/>
      <c r="G23" s="26"/>
      <c r="H23" s="26"/>
      <c r="I23" s="26"/>
    </row>
  </sheetData>
  <mergeCells count="7">
    <mergeCell ref="F20:I20"/>
    <mergeCell ref="F21:I21"/>
    <mergeCell ref="F22:I22"/>
    <mergeCell ref="A1:I1"/>
    <mergeCell ref="A2:I2"/>
    <mergeCell ref="A3:I3"/>
    <mergeCell ref="A17:E17"/>
  </mergeCells>
  <printOptions horizontalCentered="1"/>
  <pageMargins left="0.19685039370078741" right="0" top="0.59055118110236227" bottom="0.19685039370078741" header="0" footer="0"/>
  <pageSetup paperSize="9" scale="7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งานการเงิน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2025-05-29T06:15:44Z</cp:lastPrinted>
  <dcterms:created xsi:type="dcterms:W3CDTF">2017-11-14T01:32:33Z</dcterms:created>
  <dcterms:modified xsi:type="dcterms:W3CDTF">2025-05-29T06:16:27Z</dcterms:modified>
</cp:coreProperties>
</file>