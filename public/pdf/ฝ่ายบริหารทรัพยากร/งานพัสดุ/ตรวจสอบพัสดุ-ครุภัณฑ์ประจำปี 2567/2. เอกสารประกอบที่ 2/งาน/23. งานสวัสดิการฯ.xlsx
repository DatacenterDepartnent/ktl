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F11310D9-D85C-4B79-9357-D2348DDA22F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วัสดิการ" sheetId="10" r:id="rId1"/>
  </sheets>
  <calcPr calcId="191029"/>
</workbook>
</file>

<file path=xl/calcChain.xml><?xml version="1.0" encoding="utf-8"?>
<calcChain xmlns="http://schemas.openxmlformats.org/spreadsheetml/2006/main">
  <c r="H11" i="10" l="1"/>
  <c r="H10" i="10"/>
  <c r="H6" i="10"/>
  <c r="H7" i="10"/>
  <c r="H8" i="10"/>
  <c r="H9" i="10"/>
  <c r="H5" i="10"/>
</calcChain>
</file>

<file path=xl/sharedStrings.xml><?xml version="1.0" encoding="utf-8"?>
<sst xmlns="http://schemas.openxmlformats.org/spreadsheetml/2006/main" count="36" uniqueCount="32">
  <si>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</si>
  <si>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</si>
  <si>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</si>
  <si>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</si>
  <si>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</si>
  <si>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</si>
  <si>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</si>
  <si>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</si>
  <si>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</si>
  <si>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7150-003-0001/432-001-002</t>
  </si>
  <si>
    <t>4140-001-0001/432-005</t>
  </si>
  <si>
    <t>7110-002-0006/482-064</t>
  </si>
  <si>
    <t>7125-002-0002/531-001</t>
  </si>
  <si>
    <t>เตียงเหล็ก</t>
  </si>
  <si>
    <t>พัดลมตั้งพื้น 16 นิ้ว</t>
  </si>
  <si>
    <t>ตู้บานเลื่อนกระจก สูง  (ตู้ยา)</t>
  </si>
  <si>
    <t>ตู้กินมือกด,เท้าเหยียบ</t>
  </si>
  <si>
    <t>(นางเพ็ชรา  โหม่งมาตร์)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</si>
  <si>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</si>
  <si>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</si>
  <si>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</si>
  <si>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</si>
  <si>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</si>
  <si>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</si>
  <si>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</si>
  <si>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4610-007-0001/602-001 (4)</t>
  </si>
  <si>
    <t>บัญชีรายการ งานสวัสดิการนักเรียนนักศึกษา  คงเหลือ</t>
  </si>
  <si>
    <t>9 ส.ค.60</t>
  </si>
  <si>
    <t>24 ส.ค.65</t>
  </si>
  <si>
    <t>4140-002-0001/652-001(2)</t>
  </si>
  <si>
    <t>พัดลมดูดอากาศติดผนัง ขนาดไม่น้อยกว่า 20 นิ้ว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</si>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</sst>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43" fontId="7" fillId="0" borderId="1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/>
    <xf numFmtId="49" fontId="9" fillId="0" borderId="1" xfId="6" applyNumberFormat="1" applyFont="1" applyBorder="1" applyAlignment="1">
      <alignment horizontal="left"/>
    </xf>
    <xf numFmtId="43" fontId="9" fillId="0" borderId="1" xfId="1" applyFont="1" applyBorder="1" applyAlignment="1">
      <alignment horizontal="right"/>
    </xf>
    <xf numFmtId="49" fontId="9" fillId="0" borderId="1" xfId="6" applyNumberFormat="1" applyFont="1" applyBorder="1"/>
    <xf numFmtId="49" fontId="9" fillId="0" borderId="1" xfId="0" applyNumberFormat="1" applyFont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187" fontId="9" fillId="0" borderId="1" xfId="1" applyNumberFormat="1" applyFont="1" applyBorder="1"/>
    <xf numFmtId="0" fontId="9" fillId="0" borderId="4" xfId="2" applyFont="1" applyBorder="1" applyAlignment="1">
      <alignment horizontal="center"/>
    </xf>
    <xf numFmtId="43" fontId="9" fillId="0" borderId="4" xfId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123825</xdr:rowOff>
    </xdr:from>
    <xdr:to>
      <xdr:col>8</xdr:col>
      <xdr:colOff>647700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543800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16"/>
  <sheetViews>
    <sheetView tabSelected="1" zoomScaleNormal="100" workbookViewId="0">
      <selection activeCell="D13" sqref="D13"/>
    </sheetView>
  </sheetViews>
  <sheetFormatPr defaultColWidth="9" defaultRowHeight="24" x14ac:dyDescent="0.55000000000000004"/>
  <cols>
    <col min="1" max="1" width="5.625" style="1" customWidth="1"/>
    <col min="2" max="2" width="10.5" style="1" customWidth="1"/>
    <col min="3" max="3" width="24.75" style="1" customWidth="1"/>
    <col min="4" max="4" width="38.75" style="1" customWidth="1"/>
    <col min="5" max="5" width="7" style="1" customWidth="1"/>
    <col min="6" max="6" width="6.25" style="1" customWidth="1"/>
    <col min="7" max="8" width="11.5" style="1" customWidth="1"/>
    <col min="9" max="9" width="10" style="1" customWidth="1"/>
    <col min="10" max="10" width="22.125" style="1" customWidth="1"/>
    <col min="11" max="16384" width="9" style="1"/>
  </cols>
  <sheetData>
    <row r="1" spans="1:10" x14ac:dyDescent="0.55000000000000004">
      <c r="A1" s="14" t="s">
        <v>3</v>
      </c>
      <c r="B1" s="14"/>
      <c r="C1" s="14"/>
      <c r="D1" s="14"/>
      <c r="E1" s="14"/>
      <c r="F1" s="14"/>
      <c r="G1" s="14"/>
      <c r="H1" s="14"/>
      <c r="I1" s="14"/>
    </row>
    <row r="2" spans="1:10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10" x14ac:dyDescent="0.55000000000000004">
      <c r="A3" s="15" t="s">
        <v>31</v>
      </c>
      <c r="B3" s="15"/>
      <c r="C3" s="15"/>
      <c r="D3" s="15"/>
      <c r="E3" s="15"/>
      <c r="F3" s="15"/>
      <c r="G3" s="15"/>
      <c r="H3" s="15"/>
      <c r="I3" s="15"/>
    </row>
    <row r="4" spans="1:10" s="2" customFormat="1" ht="41.25" customHeight="1" x14ac:dyDescent="0.2">
      <c r="A4" s="16" t="s">
        <v>18</v>
      </c>
      <c r="B4" s="16" t="s">
        <v>21</v>
      </c>
      <c r="C4" s="16" t="s">
        <v>22</v>
      </c>
      <c r="D4" s="17" t="s">
        <v>0</v>
      </c>
      <c r="E4" s="16" t="s">
        <v>19</v>
      </c>
      <c r="F4" s="17" t="s">
        <v>1</v>
      </c>
      <c r="G4" s="16" t="s">
        <v>20</v>
      </c>
      <c r="H4" s="16" t="s">
        <v>24</v>
      </c>
      <c r="I4" s="17" t="s">
        <v>2</v>
      </c>
    </row>
    <row r="5" spans="1:10" s="3" customFormat="1" x14ac:dyDescent="0.55000000000000004">
      <c r="A5" s="18">
        <v>1</v>
      </c>
      <c r="B5" s="18">
        <v>2543</v>
      </c>
      <c r="C5" s="19" t="s">
        <v>9</v>
      </c>
      <c r="D5" s="20" t="s">
        <v>13</v>
      </c>
      <c r="E5" s="21" t="s">
        <v>5</v>
      </c>
      <c r="F5" s="22">
        <v>2</v>
      </c>
      <c r="G5" s="23">
        <v>1450</v>
      </c>
      <c r="H5" s="23">
        <f>SUM(F5*G5)</f>
        <v>2900</v>
      </c>
      <c r="I5" s="18"/>
      <c r="J5" s="4"/>
    </row>
    <row r="6" spans="1:10" s="3" customFormat="1" x14ac:dyDescent="0.55000000000000004">
      <c r="A6" s="18">
        <v>2</v>
      </c>
      <c r="B6" s="18">
        <v>2543</v>
      </c>
      <c r="C6" s="19" t="s">
        <v>10</v>
      </c>
      <c r="D6" s="24" t="s">
        <v>14</v>
      </c>
      <c r="E6" s="21" t="s">
        <v>5</v>
      </c>
      <c r="F6" s="22">
        <v>1</v>
      </c>
      <c r="G6" s="25">
        <v>1500</v>
      </c>
      <c r="H6" s="23">
        <f t="shared" ref="H6:H10" si="0">SUM(F6*G6)</f>
        <v>1500</v>
      </c>
      <c r="I6" s="18"/>
      <c r="J6" s="4"/>
    </row>
    <row r="7" spans="1:10" s="3" customFormat="1" x14ac:dyDescent="0.55000000000000004">
      <c r="A7" s="18">
        <v>3</v>
      </c>
      <c r="B7" s="18">
        <v>2548</v>
      </c>
      <c r="C7" s="19" t="s">
        <v>11</v>
      </c>
      <c r="D7" s="20" t="s">
        <v>8</v>
      </c>
      <c r="E7" s="21" t="s">
        <v>5</v>
      </c>
      <c r="F7" s="22">
        <v>1</v>
      </c>
      <c r="G7" s="23">
        <v>3350</v>
      </c>
      <c r="H7" s="23">
        <f t="shared" si="0"/>
        <v>3350</v>
      </c>
      <c r="I7" s="18"/>
      <c r="J7" s="4"/>
    </row>
    <row r="8" spans="1:10" s="3" customFormat="1" x14ac:dyDescent="0.55000000000000004">
      <c r="A8" s="18">
        <v>4</v>
      </c>
      <c r="B8" s="18">
        <v>2553</v>
      </c>
      <c r="C8" s="24" t="s">
        <v>12</v>
      </c>
      <c r="D8" s="26" t="s">
        <v>15</v>
      </c>
      <c r="E8" s="21" t="s">
        <v>4</v>
      </c>
      <c r="F8" s="22">
        <v>1</v>
      </c>
      <c r="G8" s="23">
        <v>4400</v>
      </c>
      <c r="H8" s="23">
        <f t="shared" si="0"/>
        <v>4400</v>
      </c>
      <c r="I8" s="18"/>
      <c r="J8" s="4"/>
    </row>
    <row r="9" spans="1:10" s="3" customFormat="1" x14ac:dyDescent="0.55000000000000004">
      <c r="A9" s="18">
        <v>5</v>
      </c>
      <c r="B9" s="27" t="s">
        <v>27</v>
      </c>
      <c r="C9" s="28" t="s">
        <v>25</v>
      </c>
      <c r="D9" s="20" t="s">
        <v>16</v>
      </c>
      <c r="E9" s="21" t="s">
        <v>5</v>
      </c>
      <c r="F9" s="22">
        <v>4</v>
      </c>
      <c r="G9" s="29">
        <v>15000</v>
      </c>
      <c r="H9" s="23">
        <f t="shared" si="0"/>
        <v>60000</v>
      </c>
      <c r="I9" s="18"/>
      <c r="J9" s="4"/>
    </row>
    <row r="10" spans="1:10" s="3" customFormat="1" x14ac:dyDescent="0.55000000000000004">
      <c r="A10" s="18">
        <v>6</v>
      </c>
      <c r="B10" s="27" t="s">
        <v>28</v>
      </c>
      <c r="C10" s="28" t="s">
        <v>29</v>
      </c>
      <c r="D10" s="20" t="s">
        <v>30</v>
      </c>
      <c r="E10" s="30" t="s">
        <v>5</v>
      </c>
      <c r="F10" s="22">
        <v>2</v>
      </c>
      <c r="G10" s="29">
        <v>1950</v>
      </c>
      <c r="H10" s="31">
        <f t="shared" si="0"/>
        <v>3900</v>
      </c>
      <c r="I10" s="18"/>
      <c r="J10" s="4"/>
    </row>
    <row r="11" spans="1:10" x14ac:dyDescent="0.55000000000000004">
      <c r="A11" s="11" t="s">
        <v>23</v>
      </c>
      <c r="B11" s="12"/>
      <c r="C11" s="12"/>
      <c r="D11" s="12"/>
      <c r="E11" s="13"/>
      <c r="F11" s="5"/>
      <c r="G11" s="6"/>
      <c r="H11" s="7">
        <f>SUM(H5:H10)</f>
        <v>76050</v>
      </c>
      <c r="I11" s="8"/>
    </row>
    <row r="14" spans="1:10" x14ac:dyDescent="0.55000000000000004">
      <c r="F14" s="9" t="s">
        <v>6</v>
      </c>
      <c r="G14" s="9"/>
      <c r="H14" s="9"/>
      <c r="I14" s="9"/>
      <c r="J14" s="4"/>
    </row>
    <row r="15" spans="1:10" x14ac:dyDescent="0.55000000000000004">
      <c r="F15" s="10" t="s">
        <v>17</v>
      </c>
      <c r="G15" s="10"/>
      <c r="H15" s="10"/>
      <c r="I15" s="10"/>
      <c r="J15" s="4"/>
    </row>
    <row r="16" spans="1:10" x14ac:dyDescent="0.55000000000000004">
      <c r="F16" s="10" t="s">
        <v>7</v>
      </c>
      <c r="G16" s="10"/>
      <c r="H16" s="10"/>
      <c r="I16" s="10"/>
      <c r="J16" s="4"/>
    </row>
  </sheetData>
  <mergeCells count="7">
    <mergeCell ref="F14:I14"/>
    <mergeCell ref="F15:I15"/>
    <mergeCell ref="F16:I16"/>
    <mergeCell ref="A1:I1"/>
    <mergeCell ref="A2:I2"/>
    <mergeCell ref="A3:I3"/>
    <mergeCell ref="A11:E11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งานสวัสดิการ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2025-05-30T02:25:42Z</cp:lastPrinted>
  <dcterms:created xsi:type="dcterms:W3CDTF">2017-11-14T01:32:33Z</dcterms:created>
  <dcterms:modified xsi:type="dcterms:W3CDTF">2025-05-30T02:26:02Z</dcterms:modified>
</cp:coreProperties>
</file>