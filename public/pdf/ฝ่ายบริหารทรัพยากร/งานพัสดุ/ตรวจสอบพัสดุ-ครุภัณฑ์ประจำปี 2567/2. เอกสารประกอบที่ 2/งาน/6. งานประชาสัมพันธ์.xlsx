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D782310B-8ECA-4F65-BAD2-9545078A1293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ประชาสัมพันธ์" sheetId="3" r:id="rId1"/>
  </sheets>
  <calcPr calcId="191029"/>
</workbook>
</file>

<file path=xl/calcChain.xml><?xml version="1.0" encoding="utf-8"?>
<calcChain xmlns="http://schemas.openxmlformats.org/spreadsheetml/2006/main">
  <c r="H14" i="3" l="1"/>
  <c r="H13" i="3"/>
  <c r="H12" i="3"/>
  <c r="H11" i="3"/>
  <c r="H5" i="3"/>
  <c r="H6" i="3"/>
  <c r="H7" i="3"/>
  <c r="H8" i="3"/>
  <c r="H9" i="3"/>
  <c r="H10" i="3"/>
</calcChain>
</file>

<file path=xl/sharedStrings.xml><?xml version="1.0" encoding="utf-8"?>
<sst xmlns="http://schemas.openxmlformats.org/spreadsheetml/2006/main" count="43" uniqueCount="37">
  <si>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</si>
  <si>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</si>
  <si>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</si>
  <si>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</si>
  <si>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</si>
  <si>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กล้องดิจิตอล</t>
  </si>
  <si>
    <t>งปม.</t>
  </si>
  <si>
    <t>บกศ.</t>
  </si>
  <si>
    <t>7110-002-0002/492-004</t>
  </si>
  <si>
    <t>7110-002-0006/492-069</t>
  </si>
  <si>
    <t>7110-007-0001/531-003</t>
  </si>
  <si>
    <t>7110-007-0004/531-005</t>
  </si>
  <si>
    <t>ตู้ 2 บานเลื่อนกระจก 4 ฟุต</t>
  </si>
  <si>
    <t>โต๊ะคอมพิวเตอร์  60*100*75</t>
  </si>
  <si>
    <t>โต๊ะทำงานเหล็ก  4  ฟุต</t>
  </si>
  <si>
    <t>เครื่องคอมพิวเตอร์ ALL IN ONE</t>
  </si>
  <si>
    <t>....................................................</t>
  </si>
  <si>
    <t>หัวหน้าหน่วยจ่าย/หน่วยเบิก</t>
  </si>
  <si>
    <t>6720-0702-6001</t>
  </si>
  <si>
    <t>7440-001-6003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</si>
  <si>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</si>
  <si>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</si>
  <si>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</si>
  <si>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</si>
  <si>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</si>
  <si>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</si>
  <si>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</si>
  <si>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 งานประชาสัมพันธ์  คงเหลือ</t>
  </si>
  <si>
    <t>6720-005-0004/662-001</t>
  </si>
  <si>
    <t>กล้องถ่ายภาพ Canon</t>
  </si>
  <si>
    <t>6760-016-0001/662-001</t>
  </si>
  <si>
    <t xml:space="preserve">เลนส์ขยายภาพ </t>
  </si>
  <si>
    <t>6640 - 027 -0001 / 672 - 001</t>
  </si>
  <si>
    <t xml:space="preserve">เลนส์กล้องถ่ายภาพ canon rfioomm F/2.8 &lt; macro is  </t>
  </si>
  <si>
    <t>บกศ</t>
  </si>
  <si>
    <t xml:space="preserve"> (นางสาวณัตติยา  หล่อวินิจนันท์)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</si>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</sst>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1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6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43" fontId="4" fillId="0" borderId="0" xfId="0" applyNumberFormat="1" applyFont="1"/>
    <xf numFmtId="0" fontId="3" fillId="0" borderId="0" xfId="0" applyFont="1"/>
    <xf numFmtId="43" fontId="3" fillId="0" borderId="0" xfId="0" applyNumberFormat="1" applyFont="1"/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/>
    <xf numFmtId="0" fontId="8" fillId="0" borderId="1" xfId="0" applyFont="1" applyBorder="1" applyAlignment="1">
      <alignment horizontal="center"/>
    </xf>
    <xf numFmtId="49" fontId="8" fillId="0" borderId="1" xfId="6" applyNumberFormat="1" applyFont="1" applyBorder="1" applyAlignment="1">
      <alignment horizontal="left"/>
    </xf>
    <xf numFmtId="43" fontId="8" fillId="0" borderId="1" xfId="1" applyFont="1" applyBorder="1" applyAlignment="1">
      <alignment horizontal="right"/>
    </xf>
    <xf numFmtId="0" fontId="8" fillId="0" borderId="5" xfId="6" applyFont="1" applyBorder="1" applyAlignment="1">
      <alignment horizontal="left"/>
    </xf>
    <xf numFmtId="0" fontId="8" fillId="0" borderId="5" xfId="6" applyFont="1" applyBorder="1"/>
    <xf numFmtId="43" fontId="8" fillId="0" borderId="5" xfId="1" applyFont="1" applyBorder="1"/>
    <xf numFmtId="0" fontId="7" fillId="2" borderId="1" xfId="0" applyFont="1" applyFill="1" applyBorder="1" applyAlignment="1">
      <alignment horizontal="center"/>
    </xf>
    <xf numFmtId="0" fontId="8" fillId="2" borderId="1" xfId="6" applyFont="1" applyFill="1" applyBorder="1" applyAlignment="1">
      <alignment horizontal="left"/>
    </xf>
    <xf numFmtId="0" fontId="8" fillId="2" borderId="1" xfId="6" applyFont="1" applyFill="1" applyBorder="1"/>
    <xf numFmtId="0" fontId="8" fillId="2" borderId="1" xfId="2" applyFont="1" applyFill="1" applyBorder="1" applyAlignment="1">
      <alignment horizontal="center"/>
    </xf>
    <xf numFmtId="0" fontId="8" fillId="2" borderId="1" xfId="5" applyFont="1" applyFill="1" applyBorder="1" applyAlignment="1">
      <alignment horizontal="center"/>
    </xf>
    <xf numFmtId="43" fontId="8" fillId="2" borderId="1" xfId="1" applyFont="1" applyFill="1" applyBorder="1"/>
    <xf numFmtId="15" fontId="7" fillId="0" borderId="1" xfId="0" applyNumberFormat="1" applyFont="1" applyBorder="1" applyAlignment="1">
      <alignment horizontal="center"/>
    </xf>
    <xf numFmtId="49" fontId="8" fillId="2" borderId="1" xfId="0" applyNumberFormat="1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43" fontId="8" fillId="0" borderId="1" xfId="1" applyFont="1" applyBorder="1" applyAlignment="1">
      <alignment horizontal="center"/>
    </xf>
    <xf numFmtId="49" fontId="8" fillId="2" borderId="3" xfId="0" applyNumberFormat="1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3" fontId="8" fillId="0" borderId="1" xfId="5" applyNumberFormat="1" applyFont="1" applyBorder="1"/>
    <xf numFmtId="43" fontId="8" fillId="0" borderId="1" xfId="1" applyFont="1" applyBorder="1" applyAlignment="1"/>
    <xf numFmtId="0" fontId="7" fillId="0" borderId="1" xfId="0" applyFont="1" applyBorder="1"/>
    <xf numFmtId="0" fontId="10" fillId="0" borderId="0" xfId="0" applyFont="1" applyAlignment="1">
      <alignment horizontal="center"/>
    </xf>
    <xf numFmtId="43" fontId="11" fillId="0" borderId="0" xfId="5" applyNumberFormat="1" applyFont="1"/>
    <xf numFmtId="43" fontId="11" fillId="0" borderId="0" xfId="1" applyFont="1" applyBorder="1" applyAlignment="1"/>
    <xf numFmtId="0" fontId="10" fillId="0" borderId="0" xfId="0" applyFo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114299</xdr:rowOff>
    </xdr:from>
    <xdr:to>
      <xdr:col>8</xdr:col>
      <xdr:colOff>676275</xdr:colOff>
      <xdr:row>1</xdr:row>
      <xdr:rowOff>142874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/>
      </xdr:nvSpPr>
      <xdr:spPr>
        <a:xfrm>
          <a:off x="8524875" y="114299"/>
          <a:ext cx="16954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030A0"/>
  </sheetPr>
  <dimension ref="A1:K20"/>
  <sheetViews>
    <sheetView tabSelected="1" zoomScaleNormal="100" workbookViewId="0">
      <selection activeCell="D16" sqref="D16"/>
    </sheetView>
  </sheetViews>
  <sheetFormatPr defaultColWidth="9" defaultRowHeight="24" x14ac:dyDescent="0.55000000000000004"/>
  <cols>
    <col min="1" max="1" width="5.625" style="1" customWidth="1"/>
    <col min="2" max="2" width="12.25" style="3" customWidth="1"/>
    <col min="3" max="3" width="26" style="3" customWidth="1"/>
    <col min="4" max="4" width="32.625" style="1" customWidth="1"/>
    <col min="5" max="5" width="7.375" style="1" customWidth="1"/>
    <col min="6" max="6" width="7.25" style="1" customWidth="1"/>
    <col min="7" max="8" width="12.75" style="1" customWidth="1"/>
    <col min="9" max="9" width="8.625" style="1" customWidth="1"/>
    <col min="10" max="10" width="16" style="1" customWidth="1"/>
    <col min="11" max="11" width="12" style="1" customWidth="1"/>
    <col min="12" max="16384" width="9" style="1"/>
  </cols>
  <sheetData>
    <row r="1" spans="1:11" x14ac:dyDescent="0.55000000000000004">
      <c r="A1" s="7" t="s">
        <v>3</v>
      </c>
      <c r="B1" s="7"/>
      <c r="C1" s="7"/>
      <c r="D1" s="7"/>
      <c r="E1" s="7"/>
      <c r="F1" s="7"/>
      <c r="G1" s="7"/>
      <c r="H1" s="7"/>
      <c r="I1" s="7"/>
    </row>
    <row r="2" spans="1:11" x14ac:dyDescent="0.55000000000000004">
      <c r="A2" s="7" t="s">
        <v>27</v>
      </c>
      <c r="B2" s="7"/>
      <c r="C2" s="7"/>
      <c r="D2" s="7"/>
      <c r="E2" s="7"/>
      <c r="F2" s="7"/>
      <c r="G2" s="7"/>
      <c r="H2" s="7"/>
      <c r="I2" s="7"/>
    </row>
    <row r="3" spans="1:11" x14ac:dyDescent="0.55000000000000004">
      <c r="A3" s="8" t="s">
        <v>36</v>
      </c>
      <c r="B3" s="8"/>
      <c r="C3" s="8"/>
      <c r="D3" s="8"/>
      <c r="E3" s="8"/>
      <c r="F3" s="8"/>
      <c r="G3" s="8"/>
      <c r="H3" s="8"/>
      <c r="I3" s="8"/>
    </row>
    <row r="4" spans="1:11" s="2" customFormat="1" ht="44.25" customHeight="1" x14ac:dyDescent="0.2">
      <c r="A4" s="9" t="s">
        <v>20</v>
      </c>
      <c r="B4" s="9" t="s">
        <v>23</v>
      </c>
      <c r="C4" s="9" t="s">
        <v>24</v>
      </c>
      <c r="D4" s="10" t="s">
        <v>0</v>
      </c>
      <c r="E4" s="9" t="s">
        <v>21</v>
      </c>
      <c r="F4" s="10" t="s">
        <v>1</v>
      </c>
      <c r="G4" s="9" t="s">
        <v>22</v>
      </c>
      <c r="H4" s="9" t="s">
        <v>26</v>
      </c>
      <c r="I4" s="10" t="s">
        <v>2</v>
      </c>
    </row>
    <row r="5" spans="1:11" x14ac:dyDescent="0.55000000000000004">
      <c r="A5" s="11">
        <v>1</v>
      </c>
      <c r="B5" s="11">
        <v>2549</v>
      </c>
      <c r="C5" s="12" t="s">
        <v>8</v>
      </c>
      <c r="D5" s="13" t="s">
        <v>4</v>
      </c>
      <c r="E5" s="14" t="s">
        <v>7</v>
      </c>
      <c r="F5" s="15">
        <v>1</v>
      </c>
      <c r="G5" s="16">
        <v>2900</v>
      </c>
      <c r="H5" s="16">
        <f t="shared" ref="H5:H13" si="0">SUM(F5*G5)</f>
        <v>2900</v>
      </c>
      <c r="I5" s="11"/>
      <c r="K5" s="4"/>
    </row>
    <row r="6" spans="1:11" s="5" customFormat="1" x14ac:dyDescent="0.55000000000000004">
      <c r="A6" s="17">
        <v>2</v>
      </c>
      <c r="B6" s="17">
        <v>2549</v>
      </c>
      <c r="C6" s="12" t="s">
        <v>9</v>
      </c>
      <c r="D6" s="18" t="s">
        <v>12</v>
      </c>
      <c r="E6" s="14" t="s">
        <v>7</v>
      </c>
      <c r="F6" s="15">
        <v>1</v>
      </c>
      <c r="G6" s="19">
        <v>2800</v>
      </c>
      <c r="H6" s="16">
        <f t="shared" si="0"/>
        <v>2800</v>
      </c>
      <c r="I6" s="17"/>
      <c r="K6" s="6"/>
    </row>
    <row r="7" spans="1:11" x14ac:dyDescent="0.55000000000000004">
      <c r="A7" s="11">
        <v>3</v>
      </c>
      <c r="B7" s="11">
        <v>2553</v>
      </c>
      <c r="C7" s="20" t="s">
        <v>10</v>
      </c>
      <c r="D7" s="21" t="s">
        <v>13</v>
      </c>
      <c r="E7" s="14" t="s">
        <v>6</v>
      </c>
      <c r="F7" s="15">
        <v>1</v>
      </c>
      <c r="G7" s="22">
        <v>900</v>
      </c>
      <c r="H7" s="16">
        <f t="shared" si="0"/>
        <v>900</v>
      </c>
      <c r="I7" s="11"/>
      <c r="K7" s="4"/>
    </row>
    <row r="8" spans="1:11" x14ac:dyDescent="0.55000000000000004">
      <c r="A8" s="17">
        <v>4</v>
      </c>
      <c r="B8" s="23">
        <v>2553</v>
      </c>
      <c r="C8" s="24" t="s">
        <v>11</v>
      </c>
      <c r="D8" s="25" t="s">
        <v>14</v>
      </c>
      <c r="E8" s="26" t="s">
        <v>6</v>
      </c>
      <c r="F8" s="27">
        <v>1</v>
      </c>
      <c r="G8" s="28">
        <v>3750</v>
      </c>
      <c r="H8" s="28">
        <f t="shared" si="0"/>
        <v>3750</v>
      </c>
      <c r="I8" s="23"/>
      <c r="K8" s="4"/>
    </row>
    <row r="9" spans="1:11" x14ac:dyDescent="0.55000000000000004">
      <c r="A9" s="11">
        <v>5</v>
      </c>
      <c r="B9" s="29">
        <v>22128</v>
      </c>
      <c r="C9" s="30" t="s">
        <v>18</v>
      </c>
      <c r="D9" s="31" t="s">
        <v>5</v>
      </c>
      <c r="E9" s="11" t="s">
        <v>7</v>
      </c>
      <c r="F9" s="15">
        <v>1</v>
      </c>
      <c r="G9" s="32">
        <v>45900</v>
      </c>
      <c r="H9" s="16">
        <f t="shared" si="0"/>
        <v>45900</v>
      </c>
      <c r="I9" s="11"/>
      <c r="K9" s="4"/>
    </row>
    <row r="10" spans="1:11" x14ac:dyDescent="0.55000000000000004">
      <c r="A10" s="17">
        <v>6</v>
      </c>
      <c r="B10" s="29">
        <v>22128</v>
      </c>
      <c r="C10" s="30" t="s">
        <v>19</v>
      </c>
      <c r="D10" s="31" t="s">
        <v>15</v>
      </c>
      <c r="E10" s="11" t="s">
        <v>7</v>
      </c>
      <c r="F10" s="15">
        <v>1</v>
      </c>
      <c r="G10" s="32">
        <v>19900</v>
      </c>
      <c r="H10" s="16">
        <f t="shared" si="0"/>
        <v>19900</v>
      </c>
      <c r="I10" s="11"/>
      <c r="K10" s="4"/>
    </row>
    <row r="11" spans="1:11" x14ac:dyDescent="0.55000000000000004">
      <c r="A11" s="11">
        <v>7</v>
      </c>
      <c r="B11" s="29">
        <v>243350</v>
      </c>
      <c r="C11" s="30" t="s">
        <v>28</v>
      </c>
      <c r="D11" s="31" t="s">
        <v>29</v>
      </c>
      <c r="E11" s="11" t="s">
        <v>7</v>
      </c>
      <c r="F11" s="15">
        <v>1</v>
      </c>
      <c r="G11" s="16">
        <v>44100</v>
      </c>
      <c r="H11" s="16">
        <f t="shared" si="0"/>
        <v>44100</v>
      </c>
      <c r="I11" s="11"/>
      <c r="K11" s="4"/>
    </row>
    <row r="12" spans="1:11" x14ac:dyDescent="0.55000000000000004">
      <c r="A12" s="17">
        <v>8</v>
      </c>
      <c r="B12" s="29">
        <v>243350</v>
      </c>
      <c r="C12" s="30" t="s">
        <v>30</v>
      </c>
      <c r="D12" s="31" t="s">
        <v>31</v>
      </c>
      <c r="E12" s="11" t="s">
        <v>7</v>
      </c>
      <c r="F12" s="15">
        <v>1</v>
      </c>
      <c r="G12" s="16">
        <v>15900</v>
      </c>
      <c r="H12" s="16">
        <f t="shared" si="0"/>
        <v>15900</v>
      </c>
      <c r="I12" s="11"/>
      <c r="K12" s="4"/>
    </row>
    <row r="13" spans="1:11" x14ac:dyDescent="0.55000000000000004">
      <c r="A13" s="11">
        <v>9</v>
      </c>
      <c r="B13" s="29">
        <v>24570</v>
      </c>
      <c r="C13" s="33" t="s">
        <v>32</v>
      </c>
      <c r="D13" s="34" t="s">
        <v>33</v>
      </c>
      <c r="E13" s="35" t="s">
        <v>34</v>
      </c>
      <c r="F13" s="15">
        <v>1</v>
      </c>
      <c r="G13" s="16">
        <v>51866</v>
      </c>
      <c r="H13" s="16">
        <f t="shared" si="0"/>
        <v>51866</v>
      </c>
      <c r="I13" s="11"/>
      <c r="K13" s="4"/>
    </row>
    <row r="14" spans="1:11" x14ac:dyDescent="0.55000000000000004">
      <c r="A14" s="36" t="s">
        <v>25</v>
      </c>
      <c r="B14" s="37"/>
      <c r="C14" s="37"/>
      <c r="D14" s="37"/>
      <c r="E14" s="38"/>
      <c r="F14" s="39"/>
      <c r="G14" s="40"/>
      <c r="H14" s="40">
        <f>SUM(H5:H13)</f>
        <v>188016</v>
      </c>
      <c r="I14" s="41"/>
    </row>
    <row r="15" spans="1:11" x14ac:dyDescent="0.55000000000000004">
      <c r="A15" s="42"/>
      <c r="B15" s="42"/>
      <c r="C15" s="42"/>
      <c r="D15" s="42"/>
      <c r="E15" s="42"/>
      <c r="F15" s="43"/>
      <c r="G15" s="44"/>
      <c r="H15" s="44"/>
      <c r="I15" s="45"/>
    </row>
    <row r="16" spans="1:11" x14ac:dyDescent="0.55000000000000004">
      <c r="A16" s="42"/>
      <c r="B16" s="42"/>
      <c r="C16" s="42"/>
      <c r="D16" s="42"/>
      <c r="E16" s="42"/>
      <c r="F16" s="43"/>
      <c r="G16" s="44"/>
      <c r="H16" s="44"/>
      <c r="I16" s="45"/>
    </row>
    <row r="17" spans="1:10" ht="27.75" customHeight="1" x14ac:dyDescent="0.55000000000000004">
      <c r="A17" s="45"/>
      <c r="B17" s="42"/>
      <c r="C17" s="42"/>
      <c r="D17" s="45"/>
      <c r="E17" s="45"/>
      <c r="F17" s="7" t="s">
        <v>16</v>
      </c>
      <c r="G17" s="7"/>
      <c r="H17" s="7"/>
      <c r="I17" s="7"/>
      <c r="J17" s="3"/>
    </row>
    <row r="18" spans="1:10" x14ac:dyDescent="0.55000000000000004">
      <c r="A18" s="45"/>
      <c r="B18" s="42"/>
      <c r="C18" s="42"/>
      <c r="D18" s="45"/>
      <c r="E18" s="45"/>
      <c r="F18" s="7" t="s">
        <v>35</v>
      </c>
      <c r="G18" s="7"/>
      <c r="H18" s="7"/>
      <c r="I18" s="7"/>
      <c r="J18" s="3"/>
    </row>
    <row r="19" spans="1:10" x14ac:dyDescent="0.55000000000000004">
      <c r="A19" s="45"/>
      <c r="B19" s="42"/>
      <c r="C19" s="42"/>
      <c r="D19" s="45"/>
      <c r="E19" s="45"/>
      <c r="F19" s="7" t="s">
        <v>17</v>
      </c>
      <c r="G19" s="7"/>
      <c r="H19" s="7"/>
      <c r="I19" s="7"/>
      <c r="J19" s="3"/>
    </row>
    <row r="20" spans="1:10" x14ac:dyDescent="0.55000000000000004">
      <c r="A20" s="45"/>
      <c r="B20" s="42"/>
      <c r="C20" s="42"/>
      <c r="D20" s="45"/>
      <c r="E20" s="45"/>
      <c r="F20" s="45"/>
      <c r="G20" s="45"/>
      <c r="H20" s="45"/>
      <c r="I20" s="45"/>
    </row>
  </sheetData>
  <mergeCells count="7">
    <mergeCell ref="F17:I17"/>
    <mergeCell ref="F18:I18"/>
    <mergeCell ref="F19:I19"/>
    <mergeCell ref="A1:I1"/>
    <mergeCell ref="A2:I2"/>
    <mergeCell ref="A3:I3"/>
    <mergeCell ref="A14:E14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งานประชาสัมพันธ์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2025-05-29T06:53:27Z</cp:lastPrinted>
  <dcterms:created xsi:type="dcterms:W3CDTF">2017-11-14T01:32:33Z</dcterms:created>
  <dcterms:modified xsi:type="dcterms:W3CDTF">2025-05-29T06:54:09Z</dcterms:modified>
</cp:coreProperties>
</file>