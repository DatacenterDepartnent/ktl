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C3425351-53FC-42A1-A8C6-898B707684C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สื่อการเรียนการสอน" sheetId="19" r:id="rId1"/>
  </sheets>
  <definedNames>
    <definedName name="_xlnm.Print_Titles" localSheetId="0">งานสื่อการเรียนการสอน!$1:$4</definedName>
  </definedNames>
  <calcPr calcId="191029"/>
</workbook>
</file>

<file path=xl/calcChain.xml><?xml version="1.0" encoding="utf-8"?>
<calcChain xmlns="http://schemas.openxmlformats.org/spreadsheetml/2006/main">
  <c r="H30" i="19" l="1"/>
  <c r="H29" i="19"/>
  <c r="H28" i="19"/>
  <c r="H27" i="19"/>
  <c r="H26" i="19"/>
  <c r="H25" i="19"/>
  <c r="H19" i="19" l="1"/>
  <c r="H20" i="19"/>
  <c r="H21" i="19"/>
  <c r="H22" i="19"/>
  <c r="H23" i="19"/>
  <c r="H24" i="19"/>
  <c r="H18" i="19"/>
  <c r="H17" i="19"/>
  <c r="H16" i="19"/>
  <c r="H15" i="19"/>
  <c r="H14" i="19"/>
  <c r="H13" i="19"/>
  <c r="H12" i="19" l="1"/>
  <c r="H11" i="19"/>
  <c r="H10" i="19"/>
  <c r="H5" i="19" l="1"/>
  <c r="H6" i="19"/>
  <c r="H7" i="19"/>
  <c r="H8" i="19" l="1"/>
  <c r="H9" i="19"/>
</calcChain>
</file>

<file path=xl/sharedStrings.xml><?xml version="1.0" encoding="utf-8"?>
<sst xmlns="http://schemas.openxmlformats.org/spreadsheetml/2006/main" count="100" uniqueCount="73">
  <si>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</si>
  <si>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</si>
  <si>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</si>
  <si>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</si>
  <si>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</si>
  <si>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</si>
  <si>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อุดหนุน</t>
  </si>
  <si>
    <t>หัวหน้าหน่วยจ่าย/หน่วยเบิก</t>
  </si>
  <si>
    <t>รวมเป็นเงิน</t>
  </si>
  <si>
    <t>7110-007-0015/551-001-034</t>
  </si>
  <si>
    <t>6730-002-0001/551-002</t>
  </si>
  <si>
    <t>7730-005-0001/551-002-008</t>
  </si>
  <si>
    <t>7730-005-0001/566-013</t>
  </si>
  <si>
    <t>7440-001-0001/566-003-006</t>
  </si>
  <si>
    <t>โต๊ะประชุม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</si>
  <si>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</si>
  <si>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</si>
  <si>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</si>
  <si>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</si>
  <si>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</si>
  <si>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</si>
  <si>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</si>
  <si>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</si>
  <si>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</si>
  <si>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</si>
  <si>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5965-001-0002/642-001</t>
  </si>
  <si>
    <t>ชุดไมโครโฟนประชุมคอนเฟอร์เร้นซ์</t>
  </si>
  <si>
    <t>5965-001-0002/642-002</t>
  </si>
  <si>
    <t>ชุดไมค์ประชุมสำหรับประธาน</t>
  </si>
  <si>
    <t>5965-001-0002/642-003(8)</t>
  </si>
  <si>
    <t>ชุดไมค์ประชุมสำหรับผู้ร่วมประชุม</t>
  </si>
  <si>
    <t>6730-001-0003/642-001</t>
  </si>
  <si>
    <t>เครื่อง Present (โปรเจคเตอร์อินเตอร์แอคทีพ)</t>
  </si>
  <si>
    <t>6730-001-0003/642-002</t>
  </si>
  <si>
    <t>เครื่อง Present (กระดานสำหรับอินเตอร์แอคทีพ)</t>
  </si>
  <si>
    <t>6730-007-0006/642-001(13)</t>
  </si>
  <si>
    <t>เครื่องมัลติมีเดียโปรเจคเตอร์ (โปรเจคเตอร์สำหรับห้องเรียน)</t>
  </si>
  <si>
    <t>7440-001-0003/642-001(13)</t>
  </si>
  <si>
    <t>เครื่องคอมพิวเตอร์พร้อมแป้นพิมพ์ขนาด 64 บิต (All In One)</t>
  </si>
  <si>
    <t>บัญชีรายการ งานสื่อการเรียนการสอน คงเหลือ</t>
  </si>
  <si>
    <t>................................................................</t>
  </si>
  <si>
    <t xml:space="preserve"> 30 พ.ย.64</t>
  </si>
  <si>
    <t xml:space="preserve"> 14 ม.ค.64</t>
  </si>
  <si>
    <t xml:space="preserve"> 27 พ.ค.64</t>
  </si>
  <si>
    <t>6730-001-0003/656-001(2)</t>
  </si>
  <si>
    <t>โปรเจคเตอร์อินเตอร์แอคทีฟพร้อมกระดาน</t>
  </si>
  <si>
    <t xml:space="preserve"> 22 ธ.ค.64</t>
  </si>
  <si>
    <t>5965-002-0001/656-001(65)</t>
  </si>
  <si>
    <t>ลำโพงช่วยสอน</t>
  </si>
  <si>
    <t>5850-003-0001/652-001</t>
  </si>
  <si>
    <t>5935-006-0001/652-001</t>
  </si>
  <si>
    <t>5965-001-0001/652-001(2)</t>
  </si>
  <si>
    <t>5835-002-0003/652-001</t>
  </si>
  <si>
    <t>5835-001-0001/652-001</t>
  </si>
  <si>
    <t>5965-006-0001/652-001(2)</t>
  </si>
  <si>
    <t>ตู้แร็ค</t>
  </si>
  <si>
    <t>ปลั๊กไฟ</t>
  </si>
  <si>
    <t>ไมล์ลอยคู่</t>
  </si>
  <si>
    <t>มิกเซอร์</t>
  </si>
  <si>
    <t>เพาเวอร์แอมป์</t>
  </si>
  <si>
    <t>ขาตั้งตู้ลำโพง</t>
  </si>
  <si>
    <t>5830-001-0003/662-001</t>
  </si>
  <si>
    <t>เครื่องผสมเสียง 8 ช่อง พร้อมขยายเสียงในตัว</t>
  </si>
  <si>
    <t>7730-003-0002/662-001</t>
  </si>
  <si>
    <t>จอทีวีมัลติทัชสกรีน แบบ 4 k ไม่น้อยกว่า 75 นิ้ว</t>
  </si>
  <si>
    <t>3730-007-0006/662-001</t>
  </si>
  <si>
    <t xml:space="preserve">เครื่องฉายชนิด 3 LCD projecter </t>
  </si>
  <si>
    <t>6730-001-0001/662-001</t>
  </si>
  <si>
    <t>โปรเจคเตอร์ เครื่อฉายภาพนิ่ง (เฉพาะเครื่อง)</t>
  </si>
  <si>
    <t>7730-007-0003/662-001(3)</t>
  </si>
  <si>
    <t>จอภาพ Led Touch screen 65 นิ้ว</t>
  </si>
  <si>
    <t>(นายสันติ ไชยประดิษฐ์)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</si>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</sst>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2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43" fontId="8" fillId="0" borderId="1" xfId="1" applyFont="1" applyBorder="1"/>
    <xf numFmtId="15" fontId="7" fillId="0" borderId="1" xfId="0" applyNumberFormat="1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8</xdr:col>
      <xdr:colOff>447675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96325" y="161925"/>
          <a:ext cx="14478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J35"/>
  <sheetViews>
    <sheetView tabSelected="1" topLeftCell="A28" zoomScaleNormal="100" workbookViewId="0">
      <selection activeCell="H31" sqref="H31"/>
    </sheetView>
  </sheetViews>
  <sheetFormatPr defaultColWidth="9" defaultRowHeight="24" x14ac:dyDescent="0.55000000000000004"/>
  <cols>
    <col min="1" max="1" width="4.75" style="1" customWidth="1"/>
    <col min="2" max="2" width="10.75" style="3" customWidth="1"/>
    <col min="3" max="3" width="24.625" style="1" customWidth="1"/>
    <col min="4" max="4" width="49.25" style="1" customWidth="1"/>
    <col min="5" max="5" width="7.25" style="1" customWidth="1"/>
    <col min="6" max="6" width="6" style="1" customWidth="1"/>
    <col min="7" max="7" width="11.75" style="1" customWidth="1"/>
    <col min="8" max="8" width="13" style="1" customWidth="1"/>
    <col min="9" max="9" width="8.375" style="1" customWidth="1"/>
    <col min="10" max="10" width="14.25" style="1" customWidth="1"/>
    <col min="11" max="16384" width="9" style="1"/>
  </cols>
  <sheetData>
    <row r="1" spans="1:10" x14ac:dyDescent="0.55000000000000004">
      <c r="A1" s="4" t="s">
        <v>3</v>
      </c>
      <c r="B1" s="4"/>
      <c r="C1" s="4"/>
      <c r="D1" s="4"/>
      <c r="E1" s="4"/>
      <c r="F1" s="4"/>
      <c r="G1" s="4"/>
      <c r="H1" s="4"/>
      <c r="I1" s="4"/>
    </row>
    <row r="2" spans="1:10" x14ac:dyDescent="0.55000000000000004">
      <c r="A2" s="4" t="s">
        <v>39</v>
      </c>
      <c r="B2" s="4"/>
      <c r="C2" s="4"/>
      <c r="D2" s="4"/>
      <c r="E2" s="4"/>
      <c r="F2" s="4"/>
      <c r="G2" s="4"/>
      <c r="H2" s="4"/>
      <c r="I2" s="4"/>
    </row>
    <row r="3" spans="1:10" x14ac:dyDescent="0.55000000000000004">
      <c r="A3" s="5" t="s">
        <v>72</v>
      </c>
      <c r="B3" s="5"/>
      <c r="C3" s="5"/>
      <c r="D3" s="5"/>
      <c r="E3" s="5"/>
      <c r="F3" s="5"/>
      <c r="G3" s="5"/>
      <c r="H3" s="5"/>
      <c r="I3" s="5"/>
    </row>
    <row r="4" spans="1:10" ht="45" customHeight="1" x14ac:dyDescent="0.55000000000000004">
      <c r="A4" s="6" t="s">
        <v>19</v>
      </c>
      <c r="B4" s="6" t="s">
        <v>22</v>
      </c>
      <c r="C4" s="6" t="s">
        <v>23</v>
      </c>
      <c r="D4" s="7" t="s">
        <v>0</v>
      </c>
      <c r="E4" s="6" t="s">
        <v>20</v>
      </c>
      <c r="F4" s="7" t="s">
        <v>1</v>
      </c>
      <c r="G4" s="6" t="s">
        <v>21</v>
      </c>
      <c r="H4" s="6" t="s">
        <v>24</v>
      </c>
      <c r="I4" s="6" t="s">
        <v>2</v>
      </c>
      <c r="J4" s="2"/>
    </row>
    <row r="5" spans="1:10" x14ac:dyDescent="0.55000000000000004">
      <c r="A5" s="8">
        <v>1</v>
      </c>
      <c r="B5" s="8">
        <v>2555</v>
      </c>
      <c r="C5" s="9" t="s">
        <v>9</v>
      </c>
      <c r="D5" s="10" t="s">
        <v>14</v>
      </c>
      <c r="E5" s="11" t="s">
        <v>4</v>
      </c>
      <c r="F5" s="12">
        <v>34</v>
      </c>
      <c r="G5" s="13">
        <v>2535</v>
      </c>
      <c r="H5" s="13">
        <f t="shared" ref="H5:H7" si="0">SUM(F5*G5)</f>
        <v>86190</v>
      </c>
      <c r="I5" s="8"/>
    </row>
    <row r="6" spans="1:10" x14ac:dyDescent="0.55000000000000004">
      <c r="A6" s="8">
        <v>2</v>
      </c>
      <c r="B6" s="8">
        <v>2555</v>
      </c>
      <c r="C6" s="9" t="s">
        <v>10</v>
      </c>
      <c r="D6" s="10" t="s">
        <v>15</v>
      </c>
      <c r="E6" s="11" t="s">
        <v>4</v>
      </c>
      <c r="F6" s="12">
        <v>1</v>
      </c>
      <c r="G6" s="13">
        <v>45500</v>
      </c>
      <c r="H6" s="13">
        <f t="shared" si="0"/>
        <v>45500</v>
      </c>
      <c r="I6" s="8"/>
    </row>
    <row r="7" spans="1:10" x14ac:dyDescent="0.55000000000000004">
      <c r="A7" s="8">
        <v>3</v>
      </c>
      <c r="B7" s="8">
        <v>2555</v>
      </c>
      <c r="C7" s="9" t="s">
        <v>11</v>
      </c>
      <c r="D7" s="10" t="s">
        <v>16</v>
      </c>
      <c r="E7" s="11" t="s">
        <v>4</v>
      </c>
      <c r="F7" s="12">
        <v>7</v>
      </c>
      <c r="G7" s="13">
        <v>28500</v>
      </c>
      <c r="H7" s="13">
        <f t="shared" si="0"/>
        <v>199500</v>
      </c>
      <c r="I7" s="8"/>
    </row>
    <row r="8" spans="1:10" x14ac:dyDescent="0.55000000000000004">
      <c r="A8" s="8">
        <v>4</v>
      </c>
      <c r="B8" s="8">
        <v>2556</v>
      </c>
      <c r="C8" s="9" t="s">
        <v>12</v>
      </c>
      <c r="D8" s="10" t="s">
        <v>17</v>
      </c>
      <c r="E8" s="12" t="s">
        <v>6</v>
      </c>
      <c r="F8" s="12">
        <v>1</v>
      </c>
      <c r="G8" s="13">
        <v>24800</v>
      </c>
      <c r="H8" s="13">
        <f>SUM(F8*G8)</f>
        <v>24800</v>
      </c>
      <c r="I8" s="8"/>
    </row>
    <row r="9" spans="1:10" x14ac:dyDescent="0.55000000000000004">
      <c r="A9" s="8">
        <v>5</v>
      </c>
      <c r="B9" s="8">
        <v>2556</v>
      </c>
      <c r="C9" s="9" t="s">
        <v>13</v>
      </c>
      <c r="D9" s="10" t="s">
        <v>18</v>
      </c>
      <c r="E9" s="12" t="s">
        <v>6</v>
      </c>
      <c r="F9" s="12">
        <v>4</v>
      </c>
      <c r="G9" s="13">
        <v>18650</v>
      </c>
      <c r="H9" s="13">
        <f t="shared" ref="H9:H29" si="1">SUM(F9*G9)</f>
        <v>74600</v>
      </c>
      <c r="I9" s="8"/>
    </row>
    <row r="10" spans="1:10" x14ac:dyDescent="0.55000000000000004">
      <c r="A10" s="8">
        <v>6</v>
      </c>
      <c r="B10" s="14" t="s">
        <v>42</v>
      </c>
      <c r="C10" s="9" t="s">
        <v>25</v>
      </c>
      <c r="D10" s="10" t="s">
        <v>26</v>
      </c>
      <c r="E10" s="12" t="s">
        <v>5</v>
      </c>
      <c r="F10" s="15">
        <v>1</v>
      </c>
      <c r="G10" s="13">
        <v>12000</v>
      </c>
      <c r="H10" s="13">
        <f t="shared" si="1"/>
        <v>12000</v>
      </c>
      <c r="I10" s="8"/>
    </row>
    <row r="11" spans="1:10" x14ac:dyDescent="0.55000000000000004">
      <c r="A11" s="8">
        <v>7</v>
      </c>
      <c r="B11" s="14" t="s">
        <v>42</v>
      </c>
      <c r="C11" s="9" t="s">
        <v>27</v>
      </c>
      <c r="D11" s="10" t="s">
        <v>28</v>
      </c>
      <c r="E11" s="12" t="s">
        <v>5</v>
      </c>
      <c r="F11" s="15">
        <v>1</v>
      </c>
      <c r="G11" s="13">
        <v>5600</v>
      </c>
      <c r="H11" s="13">
        <f t="shared" si="1"/>
        <v>5600</v>
      </c>
      <c r="I11" s="8"/>
    </row>
    <row r="12" spans="1:10" x14ac:dyDescent="0.55000000000000004">
      <c r="A12" s="8">
        <v>8</v>
      </c>
      <c r="B12" s="14" t="s">
        <v>42</v>
      </c>
      <c r="C12" s="9" t="s">
        <v>29</v>
      </c>
      <c r="D12" s="10" t="s">
        <v>30</v>
      </c>
      <c r="E12" s="12" t="s">
        <v>5</v>
      </c>
      <c r="F12" s="15">
        <v>8</v>
      </c>
      <c r="G12" s="13">
        <v>5500</v>
      </c>
      <c r="H12" s="13">
        <f t="shared" si="1"/>
        <v>44000</v>
      </c>
      <c r="I12" s="8"/>
    </row>
    <row r="13" spans="1:10" x14ac:dyDescent="0.55000000000000004">
      <c r="A13" s="8">
        <v>9</v>
      </c>
      <c r="B13" s="14" t="s">
        <v>43</v>
      </c>
      <c r="C13" s="9" t="s">
        <v>31</v>
      </c>
      <c r="D13" s="10" t="s">
        <v>32</v>
      </c>
      <c r="E13" s="12" t="s">
        <v>5</v>
      </c>
      <c r="F13" s="15">
        <v>1</v>
      </c>
      <c r="G13" s="13">
        <v>169000</v>
      </c>
      <c r="H13" s="13">
        <f t="shared" si="1"/>
        <v>169000</v>
      </c>
      <c r="I13" s="8"/>
    </row>
    <row r="14" spans="1:10" x14ac:dyDescent="0.55000000000000004">
      <c r="A14" s="8">
        <v>10</v>
      </c>
      <c r="B14" s="14" t="s">
        <v>43</v>
      </c>
      <c r="C14" s="9" t="s">
        <v>33</v>
      </c>
      <c r="D14" s="10" t="s">
        <v>34</v>
      </c>
      <c r="E14" s="12" t="s">
        <v>5</v>
      </c>
      <c r="F14" s="15">
        <v>1</v>
      </c>
      <c r="G14" s="13">
        <v>20000</v>
      </c>
      <c r="H14" s="13">
        <f t="shared" si="1"/>
        <v>20000</v>
      </c>
      <c r="I14" s="8"/>
    </row>
    <row r="15" spans="1:10" x14ac:dyDescent="0.55000000000000004">
      <c r="A15" s="8">
        <v>11</v>
      </c>
      <c r="B15" s="14" t="s">
        <v>43</v>
      </c>
      <c r="C15" s="9" t="s">
        <v>35</v>
      </c>
      <c r="D15" s="10" t="s">
        <v>36</v>
      </c>
      <c r="E15" s="12" t="s">
        <v>5</v>
      </c>
      <c r="F15" s="15">
        <v>13</v>
      </c>
      <c r="G15" s="13">
        <v>13000</v>
      </c>
      <c r="H15" s="13">
        <f t="shared" si="1"/>
        <v>169000</v>
      </c>
      <c r="I15" s="8"/>
    </row>
    <row r="16" spans="1:10" x14ac:dyDescent="0.55000000000000004">
      <c r="A16" s="8">
        <v>12</v>
      </c>
      <c r="B16" s="14" t="s">
        <v>43</v>
      </c>
      <c r="C16" s="9" t="s">
        <v>37</v>
      </c>
      <c r="D16" s="10" t="s">
        <v>38</v>
      </c>
      <c r="E16" s="12" t="s">
        <v>5</v>
      </c>
      <c r="F16" s="15">
        <v>13</v>
      </c>
      <c r="G16" s="13">
        <v>17000</v>
      </c>
      <c r="H16" s="13">
        <f t="shared" si="1"/>
        <v>221000</v>
      </c>
      <c r="I16" s="8"/>
    </row>
    <row r="17" spans="1:10" x14ac:dyDescent="0.55000000000000004">
      <c r="A17" s="8">
        <v>13</v>
      </c>
      <c r="B17" s="14" t="s">
        <v>41</v>
      </c>
      <c r="C17" s="9" t="s">
        <v>44</v>
      </c>
      <c r="D17" s="10" t="s">
        <v>45</v>
      </c>
      <c r="E17" s="12" t="s">
        <v>6</v>
      </c>
      <c r="F17" s="15">
        <v>2</v>
      </c>
      <c r="G17" s="13">
        <v>149000</v>
      </c>
      <c r="H17" s="13">
        <f t="shared" si="1"/>
        <v>298000</v>
      </c>
      <c r="I17" s="8"/>
    </row>
    <row r="18" spans="1:10" x14ac:dyDescent="0.55000000000000004">
      <c r="A18" s="8">
        <v>14</v>
      </c>
      <c r="B18" s="14" t="s">
        <v>46</v>
      </c>
      <c r="C18" s="9" t="s">
        <v>47</v>
      </c>
      <c r="D18" s="10" t="s">
        <v>48</v>
      </c>
      <c r="E18" s="12" t="s">
        <v>6</v>
      </c>
      <c r="F18" s="15">
        <v>65</v>
      </c>
      <c r="G18" s="13">
        <v>4000</v>
      </c>
      <c r="H18" s="13">
        <f t="shared" si="1"/>
        <v>260000</v>
      </c>
      <c r="I18" s="8"/>
    </row>
    <row r="19" spans="1:10" x14ac:dyDescent="0.55000000000000004">
      <c r="A19" s="8">
        <v>15</v>
      </c>
      <c r="B19" s="14">
        <v>23873</v>
      </c>
      <c r="C19" s="9" t="s">
        <v>49</v>
      </c>
      <c r="D19" s="10" t="s">
        <v>55</v>
      </c>
      <c r="E19" s="12" t="s">
        <v>5</v>
      </c>
      <c r="F19" s="15">
        <v>1</v>
      </c>
      <c r="G19" s="13">
        <v>3500</v>
      </c>
      <c r="H19" s="13">
        <f t="shared" si="1"/>
        <v>3500</v>
      </c>
      <c r="I19" s="8"/>
    </row>
    <row r="20" spans="1:10" x14ac:dyDescent="0.55000000000000004">
      <c r="A20" s="8">
        <v>16</v>
      </c>
      <c r="B20" s="14">
        <v>23873</v>
      </c>
      <c r="C20" s="9" t="s">
        <v>50</v>
      </c>
      <c r="D20" s="10" t="s">
        <v>56</v>
      </c>
      <c r="E20" s="12" t="s">
        <v>5</v>
      </c>
      <c r="F20" s="15">
        <v>1</v>
      </c>
      <c r="G20" s="13">
        <v>2660</v>
      </c>
      <c r="H20" s="13">
        <f t="shared" si="1"/>
        <v>2660</v>
      </c>
      <c r="I20" s="8"/>
    </row>
    <row r="21" spans="1:10" x14ac:dyDescent="0.55000000000000004">
      <c r="A21" s="8">
        <v>17</v>
      </c>
      <c r="B21" s="14">
        <v>23873</v>
      </c>
      <c r="C21" s="9" t="s">
        <v>51</v>
      </c>
      <c r="D21" s="10" t="s">
        <v>57</v>
      </c>
      <c r="E21" s="12" t="s">
        <v>5</v>
      </c>
      <c r="F21" s="15">
        <v>2</v>
      </c>
      <c r="G21" s="13">
        <v>29500</v>
      </c>
      <c r="H21" s="13">
        <f t="shared" si="1"/>
        <v>59000</v>
      </c>
      <c r="I21" s="8"/>
    </row>
    <row r="22" spans="1:10" x14ac:dyDescent="0.55000000000000004">
      <c r="A22" s="8">
        <v>18</v>
      </c>
      <c r="B22" s="14">
        <v>23873</v>
      </c>
      <c r="C22" s="9" t="s">
        <v>52</v>
      </c>
      <c r="D22" s="10" t="s">
        <v>58</v>
      </c>
      <c r="E22" s="12" t="s">
        <v>5</v>
      </c>
      <c r="F22" s="15">
        <v>1</v>
      </c>
      <c r="G22" s="13">
        <v>30800</v>
      </c>
      <c r="H22" s="13">
        <f t="shared" si="1"/>
        <v>30800</v>
      </c>
      <c r="I22" s="8"/>
    </row>
    <row r="23" spans="1:10" x14ac:dyDescent="0.55000000000000004">
      <c r="A23" s="8">
        <v>19</v>
      </c>
      <c r="B23" s="14">
        <v>23873</v>
      </c>
      <c r="C23" s="9" t="s">
        <v>53</v>
      </c>
      <c r="D23" s="10" t="s">
        <v>59</v>
      </c>
      <c r="E23" s="12" t="s">
        <v>5</v>
      </c>
      <c r="F23" s="15">
        <v>1</v>
      </c>
      <c r="G23" s="13">
        <v>11900</v>
      </c>
      <c r="H23" s="13">
        <f t="shared" si="1"/>
        <v>11900</v>
      </c>
      <c r="I23" s="8"/>
    </row>
    <row r="24" spans="1:10" x14ac:dyDescent="0.55000000000000004">
      <c r="A24" s="8">
        <v>20</v>
      </c>
      <c r="B24" s="14">
        <v>23873</v>
      </c>
      <c r="C24" s="9" t="s">
        <v>54</v>
      </c>
      <c r="D24" s="10" t="s">
        <v>60</v>
      </c>
      <c r="E24" s="12" t="s">
        <v>5</v>
      </c>
      <c r="F24" s="15">
        <v>2</v>
      </c>
      <c r="G24" s="13">
        <v>3500</v>
      </c>
      <c r="H24" s="13">
        <f t="shared" si="1"/>
        <v>7000</v>
      </c>
      <c r="I24" s="8"/>
    </row>
    <row r="25" spans="1:10" x14ac:dyDescent="0.55000000000000004">
      <c r="A25" s="8">
        <v>21</v>
      </c>
      <c r="B25" s="14">
        <v>24075</v>
      </c>
      <c r="C25" s="9" t="s">
        <v>61</v>
      </c>
      <c r="D25" s="10" t="s">
        <v>62</v>
      </c>
      <c r="E25" s="12" t="s">
        <v>5</v>
      </c>
      <c r="F25" s="15">
        <v>1</v>
      </c>
      <c r="G25" s="13">
        <v>10500</v>
      </c>
      <c r="H25" s="13">
        <f t="shared" si="1"/>
        <v>10500</v>
      </c>
      <c r="I25" s="8"/>
    </row>
    <row r="26" spans="1:10" x14ac:dyDescent="0.55000000000000004">
      <c r="A26" s="8">
        <v>22</v>
      </c>
      <c r="B26" s="14">
        <v>24085</v>
      </c>
      <c r="C26" s="9" t="s">
        <v>63</v>
      </c>
      <c r="D26" s="10" t="s">
        <v>64</v>
      </c>
      <c r="E26" s="12" t="s">
        <v>5</v>
      </c>
      <c r="F26" s="15">
        <v>1</v>
      </c>
      <c r="G26" s="13">
        <v>299000</v>
      </c>
      <c r="H26" s="13">
        <f t="shared" si="1"/>
        <v>299000</v>
      </c>
      <c r="I26" s="8"/>
    </row>
    <row r="27" spans="1:10" x14ac:dyDescent="0.55000000000000004">
      <c r="A27" s="8">
        <v>23</v>
      </c>
      <c r="B27" s="14">
        <v>24085</v>
      </c>
      <c r="C27" s="9" t="s">
        <v>65</v>
      </c>
      <c r="D27" s="10" t="s">
        <v>66</v>
      </c>
      <c r="E27" s="12" t="s">
        <v>5</v>
      </c>
      <c r="F27" s="15">
        <v>1</v>
      </c>
      <c r="G27" s="13">
        <v>499000</v>
      </c>
      <c r="H27" s="13">
        <f t="shared" si="1"/>
        <v>499000</v>
      </c>
      <c r="I27" s="8"/>
    </row>
    <row r="28" spans="1:10" x14ac:dyDescent="0.55000000000000004">
      <c r="A28" s="8">
        <v>24</v>
      </c>
      <c r="B28" s="14">
        <v>24279</v>
      </c>
      <c r="C28" s="9" t="s">
        <v>67</v>
      </c>
      <c r="D28" s="10" t="s">
        <v>68</v>
      </c>
      <c r="E28" s="12" t="s">
        <v>5</v>
      </c>
      <c r="F28" s="15">
        <v>1</v>
      </c>
      <c r="G28" s="13">
        <v>27900</v>
      </c>
      <c r="H28" s="13">
        <f t="shared" si="1"/>
        <v>27900</v>
      </c>
      <c r="I28" s="8"/>
    </row>
    <row r="29" spans="1:10" x14ac:dyDescent="0.55000000000000004">
      <c r="A29" s="8">
        <v>25</v>
      </c>
      <c r="B29" s="14">
        <v>24361</v>
      </c>
      <c r="C29" s="9" t="s">
        <v>69</v>
      </c>
      <c r="D29" s="10" t="s">
        <v>70</v>
      </c>
      <c r="E29" s="12" t="s">
        <v>5</v>
      </c>
      <c r="F29" s="15">
        <v>3</v>
      </c>
      <c r="G29" s="13">
        <v>68990</v>
      </c>
      <c r="H29" s="13">
        <f t="shared" si="1"/>
        <v>206970</v>
      </c>
      <c r="I29" s="8"/>
    </row>
    <row r="30" spans="1:10" x14ac:dyDescent="0.55000000000000004">
      <c r="A30" s="16" t="s">
        <v>8</v>
      </c>
      <c r="B30" s="16"/>
      <c r="C30" s="16"/>
      <c r="D30" s="16"/>
      <c r="E30" s="16"/>
      <c r="F30" s="17"/>
      <c r="G30" s="18"/>
      <c r="H30" s="18">
        <f>SUM(H5:H29)</f>
        <v>2787420</v>
      </c>
      <c r="I30" s="17"/>
      <c r="J30" s="3"/>
    </row>
    <row r="31" spans="1:10" ht="24" customHeight="1" x14ac:dyDescent="0.55000000000000004">
      <c r="A31" s="19"/>
      <c r="B31" s="20"/>
      <c r="C31" s="19"/>
      <c r="D31" s="19"/>
      <c r="E31" s="19"/>
      <c r="F31" s="19"/>
      <c r="G31" s="19"/>
      <c r="H31" s="19"/>
      <c r="I31" s="19"/>
    </row>
    <row r="32" spans="1:10" ht="24" customHeight="1" x14ac:dyDescent="0.55000000000000004">
      <c r="A32" s="19"/>
      <c r="B32" s="20"/>
      <c r="C32" s="19"/>
      <c r="D32" s="19"/>
      <c r="E32" s="19"/>
      <c r="F32" s="19"/>
      <c r="G32" s="19"/>
      <c r="H32" s="19"/>
      <c r="I32" s="19"/>
    </row>
    <row r="33" spans="1:10" x14ac:dyDescent="0.55000000000000004">
      <c r="A33" s="19"/>
      <c r="B33" s="20"/>
      <c r="C33" s="19"/>
      <c r="D33" s="19"/>
      <c r="E33" s="19"/>
      <c r="F33" s="21" t="s">
        <v>40</v>
      </c>
      <c r="G33" s="21"/>
      <c r="H33" s="21"/>
      <c r="I33" s="21"/>
      <c r="J33" s="3"/>
    </row>
    <row r="34" spans="1:10" x14ac:dyDescent="0.55000000000000004">
      <c r="A34" s="19"/>
      <c r="B34" s="20"/>
      <c r="C34" s="19"/>
      <c r="D34" s="19"/>
      <c r="E34" s="19"/>
      <c r="F34" s="22" t="s">
        <v>71</v>
      </c>
      <c r="G34" s="22"/>
      <c r="H34" s="22"/>
      <c r="I34" s="22"/>
      <c r="J34" s="3"/>
    </row>
    <row r="35" spans="1:10" x14ac:dyDescent="0.55000000000000004">
      <c r="A35" s="19"/>
      <c r="B35" s="20"/>
      <c r="C35" s="19"/>
      <c r="D35" s="19"/>
      <c r="E35" s="19"/>
      <c r="F35" s="4" t="s">
        <v>7</v>
      </c>
      <c r="G35" s="4"/>
      <c r="H35" s="4"/>
      <c r="I35" s="4"/>
      <c r="J35" s="3"/>
    </row>
  </sheetData>
  <mergeCells count="7">
    <mergeCell ref="F33:I33"/>
    <mergeCell ref="F34:I34"/>
    <mergeCell ref="F35:I35"/>
    <mergeCell ref="A30:E30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งานสื่อการเรียนการสอน</vt:lpstr>
      <vt:lpstr>งานสื่อการเรียนการสอน!Print_Titles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2025-05-29T09:43:13Z</cp:lastPrinted>
  <dcterms:created xsi:type="dcterms:W3CDTF">2017-11-14T01:32:33Z</dcterms:created>
  <dcterms:modified xsi:type="dcterms:W3CDTF">2025-05-29T09:43:50Z</dcterms:modified>
</cp:coreProperties>
</file>