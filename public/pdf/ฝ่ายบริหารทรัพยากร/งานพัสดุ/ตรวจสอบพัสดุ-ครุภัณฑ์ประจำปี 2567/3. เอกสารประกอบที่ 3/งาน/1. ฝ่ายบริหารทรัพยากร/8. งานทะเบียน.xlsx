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3. เอกสารประกอบที่ 3\งาน\1. ฝ่ายบริหารทรัพยากร\"/>
    </mc:Choice>
  </mc:AlternateContent>
  <xr:revisionPtr revIDLastSave="0" documentId="13_ncr:1_{F3A7E6F4-BB95-4537-A4E9-39E480ECAC3F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ทะเบียน" sheetId="46" r:id="rId1"/>
  </sheets>
  <definedNames>
    <definedName name="_xlnm.Print_Titles" localSheetId="0">งานทะเบียน!$2:$5</definedName>
  </definedNames>
  <calcPr calcId="191029"/>
</workbook>
</file>

<file path=xl/calcChain.xml><?xml version="1.0" encoding="utf-8"?>
<calcChain xmlns="http://schemas.openxmlformats.org/spreadsheetml/2006/main">
  <c r="K16" i="46" l="1"/>
  <c r="K11" i="46"/>
  <c r="K10" i="46"/>
  <c r="K12" i="46"/>
  <c r="K13" i="46"/>
  <c r="K14" i="46"/>
  <c r="K9" i="46"/>
  <c r="K8" i="46"/>
  <c r="K7" i="46"/>
</calcChain>
</file>

<file path=xl/sharedStrings.xml><?xml version="1.0" encoding="utf-8"?>
<sst xmlns="http://schemas.openxmlformats.org/spreadsheetml/2006/main" count="57" uniqueCount="42">
  <si>
    <t>รายการ ขนาด ลักษณะ</t>
  </si>
  <si>
    <t>จำนวน</t>
  </si>
  <si>
    <t>หมายเหตุ</t>
  </si>
  <si>
    <t>ชำรุด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</si>
  <si>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</si>
  <si>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</si>
  <si>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</si>
  <si>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</si>
  <si>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</si>
  <si>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</si>
  <si>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</si>
  <si>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</si>
  <si>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</si>
  <si>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</si>
  <si>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</si>
  <si>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</si>
  <si>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</si>
  <si>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</si>
  <si>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หัวหน้าหน่วยจ่าย/หน่วยเบิก</t>
  </si>
  <si>
    <t>งปม.</t>
  </si>
  <si>
    <t>บกศ.</t>
  </si>
  <si>
    <t>รวมเป็นเงิน</t>
  </si>
  <si>
    <t>เอกสารหมายเลข.......................</t>
  </si>
  <si>
    <t>......................................................</t>
  </si>
  <si>
    <t>ประจำปี 2567 สิ้นงวดเมื่อวันที่ 30 กันยายน 2567 ของงานทะเบียน</t>
  </si>
  <si>
    <t>2551</t>
  </si>
  <si>
    <t>6720-005-0002/512-008</t>
  </si>
  <si>
    <t>กล้องดิจิตอล CANNON POWER SHOT A 590 IS</t>
  </si>
  <si>
    <t>7440-001-0001/512-159</t>
  </si>
  <si>
    <t>เครื่องคอมพิวเตอร์ SVOA</t>
  </si>
  <si>
    <t>7440-001-0004/512-158</t>
  </si>
  <si>
    <t>7110-002-0002/521-004</t>
  </si>
  <si>
    <t>ตู้เหล็ก 15 ลิ้นชัก</t>
  </si>
  <si>
    <t>7430-00/8-0002/592-001</t>
  </si>
  <si>
    <t>เครื่องปริ้นเตอร์ CANON LBp 3050</t>
  </si>
  <si>
    <t>6130-001-0001/531-004</t>
  </si>
  <si>
    <t>เครื่องสำรองไฟ</t>
  </si>
  <si>
    <t>7440-001-0001/531-145</t>
  </si>
  <si>
    <t xml:space="preserve">เครื่องคอมพิวเตอร์ พร้อมโต๊ะเก้าอี้ </t>
  </si>
  <si>
    <t>7430-003-0002/622-031</t>
  </si>
  <si>
    <t>เครื่องปริ้นเตอร์ Brother MFC-L2715</t>
  </si>
  <si>
    <t>(นางสาวมัลลิกา  ศรีสุนนท์)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</si>
</sst>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  <font>
      <b/>
      <sz val="14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3" fontId="5" fillId="0" borderId="6" xfId="0" applyNumberFormat="1" applyFont="1" applyBorder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/>
    </xf>
    <xf numFmtId="0" fontId="6" fillId="0" borderId="1" xfId="6" applyFont="1" applyBorder="1" applyAlignment="1">
      <alignment horizontal="left"/>
    </xf>
    <xf numFmtId="0" fontId="6" fillId="0" borderId="1" xfId="6" applyFont="1" applyBorder="1"/>
    <xf numFmtId="0" fontId="6" fillId="0" borderId="1" xfId="2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43" fontId="6" fillId="0" borderId="1" xfId="1" applyFont="1" applyBorder="1"/>
    <xf numFmtId="43" fontId="6" fillId="0" borderId="1" xfId="12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0" xfId="2" applyFont="1" applyAlignment="1">
      <alignment horizontal="center"/>
    </xf>
    <xf numFmtId="43" fontId="5" fillId="0" borderId="0" xfId="0" applyNumberFormat="1" applyFont="1"/>
    <xf numFmtId="0" fontId="7" fillId="0" borderId="0" xfId="0" applyFont="1" applyAlignment="1">
      <alignment horizontal="center"/>
    </xf>
    <xf numFmtId="14" fontId="6" fillId="0" borderId="1" xfId="0" applyNumberFormat="1" applyFont="1" applyBorder="1" applyAlignment="1">
      <alignment horizontal="center"/>
    </xf>
    <xf numFmtId="43" fontId="6" fillId="0" borderId="1" xfId="12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1552574</xdr:colOff>
      <xdr:row>17</xdr:row>
      <xdr:rowOff>57149</xdr:rowOff>
    </xdr:from>
    <xdr:to>
      <xdr:col>11</xdr:col>
      <xdr:colOff>1885949</xdr:colOff>
      <xdr:row>22</xdr:row>
      <xdr:rowOff>38102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955D1047-21A4-4F75-9011-B37C28F16525}"/>
            </a:ext>
          </a:extLst>
        </xdr:cNvPr>
        <xdr:cNvSpPr txBox="1"/>
      </xdr:nvSpPr>
      <xdr:spPr>
        <a:xfrm rot="5400000">
          <a:off x="11606210" y="7691438"/>
          <a:ext cx="1504953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4"/>
  <sheetViews>
    <sheetView tabSelected="1" topLeftCell="C4" zoomScaleNormal="100" workbookViewId="0">
      <selection activeCell="B15" sqref="B15"/>
    </sheetView>
  </sheetViews>
  <sheetFormatPr defaultColWidth="9" defaultRowHeight="24" x14ac:dyDescent="0.55000000000000004"/>
  <cols>
    <col min="1" max="1" width="5.25" style="1" customWidth="1"/>
    <col min="2" max="2" width="12" style="3" customWidth="1"/>
    <col min="3" max="3" width="24" style="2" customWidth="1"/>
    <col min="4" max="4" width="44.625" style="1" customWidth="1"/>
    <col min="5" max="5" width="7.625" style="1" customWidth="1"/>
    <col min="6" max="6" width="8.625" style="1" customWidth="1"/>
    <col min="7" max="7" width="6.625" style="1" customWidth="1"/>
    <col min="8" max="9" width="7.625" style="1" customWidth="1"/>
    <col min="10" max="10" width="12.625" style="1" customWidth="1"/>
    <col min="11" max="11" width="16.875" style="1" customWidth="1"/>
    <col min="12" max="12" width="20.375" style="3" customWidth="1"/>
    <col min="13" max="16384" width="9" style="1"/>
  </cols>
  <sheetData>
    <row r="1" spans="1:12" x14ac:dyDescent="0.55000000000000004">
      <c r="A1" s="6"/>
      <c r="B1" s="4"/>
      <c r="C1" s="7"/>
      <c r="D1" s="6"/>
      <c r="E1" s="6"/>
      <c r="F1" s="6"/>
      <c r="G1" s="6"/>
      <c r="H1" s="6"/>
      <c r="I1" s="6"/>
      <c r="J1" s="6"/>
      <c r="K1" s="6"/>
      <c r="L1" s="4" t="s">
        <v>22</v>
      </c>
    </row>
    <row r="2" spans="1:12" x14ac:dyDescent="0.55000000000000004">
      <c r="A2" s="26" t="s">
        <v>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x14ac:dyDescent="0.55000000000000004">
      <c r="A3" s="34" t="s">
        <v>5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x14ac:dyDescent="0.55000000000000004">
      <c r="A4" s="35" t="s">
        <v>24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ht="28.5" customHeight="1" x14ac:dyDescent="0.55000000000000004">
      <c r="A5" s="36" t="s">
        <v>6</v>
      </c>
      <c r="B5" s="29" t="s">
        <v>17</v>
      </c>
      <c r="C5" s="29" t="s">
        <v>14</v>
      </c>
      <c r="D5" s="38" t="s">
        <v>0</v>
      </c>
      <c r="E5" s="36" t="s">
        <v>9</v>
      </c>
      <c r="F5" s="36" t="s">
        <v>8</v>
      </c>
      <c r="G5" s="40" t="s">
        <v>10</v>
      </c>
      <c r="H5" s="27" t="s">
        <v>1</v>
      </c>
      <c r="I5" s="28"/>
      <c r="J5" s="29" t="s">
        <v>13</v>
      </c>
      <c r="K5" s="29" t="s">
        <v>7</v>
      </c>
      <c r="L5" s="29" t="s">
        <v>12</v>
      </c>
    </row>
    <row r="6" spans="1:12" ht="45" customHeight="1" x14ac:dyDescent="0.55000000000000004">
      <c r="A6" s="37"/>
      <c r="B6" s="30"/>
      <c r="C6" s="30"/>
      <c r="D6" s="39"/>
      <c r="E6" s="37"/>
      <c r="F6" s="37"/>
      <c r="G6" s="41"/>
      <c r="H6" s="8" t="s">
        <v>11</v>
      </c>
      <c r="I6" s="9" t="s">
        <v>3</v>
      </c>
      <c r="J6" s="30"/>
      <c r="K6" s="30"/>
      <c r="L6" s="30"/>
    </row>
    <row r="7" spans="1:12" x14ac:dyDescent="0.55000000000000004">
      <c r="A7" s="10">
        <v>1</v>
      </c>
      <c r="B7" s="11" t="s">
        <v>25</v>
      </c>
      <c r="C7" s="12" t="s">
        <v>26</v>
      </c>
      <c r="D7" s="13" t="s">
        <v>27</v>
      </c>
      <c r="E7" s="14" t="s">
        <v>20</v>
      </c>
      <c r="F7" s="14">
        <v>16</v>
      </c>
      <c r="G7" s="14">
        <v>0</v>
      </c>
      <c r="H7" s="14">
        <v>1</v>
      </c>
      <c r="I7" s="15">
        <v>1</v>
      </c>
      <c r="J7" s="16">
        <v>7400</v>
      </c>
      <c r="K7" s="16">
        <f>SUM(J7*I7)</f>
        <v>7400</v>
      </c>
      <c r="L7" s="25" t="s">
        <v>3</v>
      </c>
    </row>
    <row r="8" spans="1:12" x14ac:dyDescent="0.55000000000000004">
      <c r="A8" s="10">
        <v>2</v>
      </c>
      <c r="B8" s="18">
        <v>2551</v>
      </c>
      <c r="C8" s="12" t="s">
        <v>28</v>
      </c>
      <c r="D8" s="13" t="s">
        <v>29</v>
      </c>
      <c r="E8" s="14" t="s">
        <v>20</v>
      </c>
      <c r="F8" s="14">
        <v>16</v>
      </c>
      <c r="G8" s="14">
        <v>0</v>
      </c>
      <c r="H8" s="14">
        <v>1</v>
      </c>
      <c r="I8" s="15">
        <v>1</v>
      </c>
      <c r="J8" s="16">
        <v>22000</v>
      </c>
      <c r="K8" s="16">
        <f>SUM(J8*I8)</f>
        <v>22000</v>
      </c>
      <c r="L8" s="25" t="s">
        <v>3</v>
      </c>
    </row>
    <row r="9" spans="1:12" x14ac:dyDescent="0.55000000000000004">
      <c r="A9" s="10">
        <v>3</v>
      </c>
      <c r="B9" s="18">
        <v>2551</v>
      </c>
      <c r="C9" s="12" t="s">
        <v>30</v>
      </c>
      <c r="D9" s="13" t="s">
        <v>29</v>
      </c>
      <c r="E9" s="14" t="s">
        <v>20</v>
      </c>
      <c r="F9" s="14">
        <v>16</v>
      </c>
      <c r="G9" s="14">
        <v>0</v>
      </c>
      <c r="H9" s="14">
        <v>1</v>
      </c>
      <c r="I9" s="15">
        <v>1</v>
      </c>
      <c r="J9" s="16">
        <v>26900</v>
      </c>
      <c r="K9" s="16">
        <f>SUM(J9*I9)</f>
        <v>26900</v>
      </c>
      <c r="L9" s="25" t="s">
        <v>3</v>
      </c>
    </row>
    <row r="10" spans="1:12" x14ac:dyDescent="0.55000000000000004">
      <c r="A10" s="10">
        <v>4</v>
      </c>
      <c r="B10" s="18">
        <v>2552</v>
      </c>
      <c r="C10" s="12" t="s">
        <v>31</v>
      </c>
      <c r="D10" s="13" t="s">
        <v>32</v>
      </c>
      <c r="E10" s="14" t="s">
        <v>19</v>
      </c>
      <c r="F10" s="14">
        <v>15</v>
      </c>
      <c r="G10" s="14">
        <v>0</v>
      </c>
      <c r="H10" s="14">
        <v>1</v>
      </c>
      <c r="I10" s="15">
        <v>1</v>
      </c>
      <c r="J10" s="16">
        <v>3000</v>
      </c>
      <c r="K10" s="16">
        <f t="shared" ref="K10:K14" si="0">SUM(J10*I10)</f>
        <v>3000</v>
      </c>
      <c r="L10" s="25" t="s">
        <v>3</v>
      </c>
    </row>
    <row r="11" spans="1:12" x14ac:dyDescent="0.55000000000000004">
      <c r="A11" s="10">
        <v>5</v>
      </c>
      <c r="B11" s="18">
        <v>2553</v>
      </c>
      <c r="C11" s="12" t="s">
        <v>33</v>
      </c>
      <c r="D11" s="13" t="s">
        <v>34</v>
      </c>
      <c r="E11" s="14" t="s">
        <v>19</v>
      </c>
      <c r="F11" s="14">
        <v>14</v>
      </c>
      <c r="G11" s="14">
        <v>0</v>
      </c>
      <c r="H11" s="14">
        <v>1</v>
      </c>
      <c r="I11" s="15">
        <v>1</v>
      </c>
      <c r="J11" s="16">
        <v>5350</v>
      </c>
      <c r="K11" s="16">
        <f t="shared" si="0"/>
        <v>5350</v>
      </c>
      <c r="L11" s="25" t="s">
        <v>3</v>
      </c>
    </row>
    <row r="12" spans="1:12" x14ac:dyDescent="0.55000000000000004">
      <c r="A12" s="10">
        <v>6</v>
      </c>
      <c r="B12" s="18">
        <v>2553</v>
      </c>
      <c r="C12" s="12" t="s">
        <v>35</v>
      </c>
      <c r="D12" s="13" t="s">
        <v>36</v>
      </c>
      <c r="E12" s="14" t="s">
        <v>19</v>
      </c>
      <c r="F12" s="14">
        <v>14</v>
      </c>
      <c r="G12" s="14">
        <v>0</v>
      </c>
      <c r="H12" s="14">
        <v>1</v>
      </c>
      <c r="I12" s="15">
        <v>1</v>
      </c>
      <c r="J12" s="16">
        <v>2590</v>
      </c>
      <c r="K12" s="16">
        <f t="shared" si="0"/>
        <v>2590</v>
      </c>
      <c r="L12" s="25" t="s">
        <v>3</v>
      </c>
    </row>
    <row r="13" spans="1:12" x14ac:dyDescent="0.55000000000000004">
      <c r="A13" s="10">
        <v>7</v>
      </c>
      <c r="B13" s="18">
        <v>2553</v>
      </c>
      <c r="C13" s="12" t="s">
        <v>37</v>
      </c>
      <c r="D13" s="13" t="s">
        <v>38</v>
      </c>
      <c r="E13" s="14" t="s">
        <v>19</v>
      </c>
      <c r="F13" s="14">
        <v>14</v>
      </c>
      <c r="G13" s="14">
        <v>0</v>
      </c>
      <c r="H13" s="14">
        <v>1</v>
      </c>
      <c r="I13" s="15">
        <v>1</v>
      </c>
      <c r="J13" s="16">
        <v>17000</v>
      </c>
      <c r="K13" s="16">
        <f t="shared" si="0"/>
        <v>17000</v>
      </c>
      <c r="L13" s="25" t="s">
        <v>3</v>
      </c>
    </row>
    <row r="14" spans="1:12" x14ac:dyDescent="0.55000000000000004">
      <c r="A14" s="10">
        <v>8</v>
      </c>
      <c r="B14" s="24">
        <v>241772</v>
      </c>
      <c r="C14" s="12" t="s">
        <v>39</v>
      </c>
      <c r="D14" s="13" t="s">
        <v>40</v>
      </c>
      <c r="E14" s="14" t="s">
        <v>20</v>
      </c>
      <c r="F14" s="14">
        <v>6</v>
      </c>
      <c r="G14" s="14">
        <v>0</v>
      </c>
      <c r="H14" s="14">
        <v>1</v>
      </c>
      <c r="I14" s="15">
        <v>1</v>
      </c>
      <c r="J14" s="16">
        <v>14900</v>
      </c>
      <c r="K14" s="16">
        <f t="shared" si="0"/>
        <v>14900</v>
      </c>
      <c r="L14" s="25" t="s">
        <v>3</v>
      </c>
    </row>
    <row r="15" spans="1:12" x14ac:dyDescent="0.55000000000000004">
      <c r="A15" s="10"/>
      <c r="B15" s="19"/>
      <c r="C15" s="12"/>
      <c r="D15" s="13"/>
      <c r="E15" s="14"/>
      <c r="F15" s="14"/>
      <c r="G15" s="14"/>
      <c r="H15" s="14"/>
      <c r="I15" s="15"/>
      <c r="J15" s="16"/>
      <c r="K15" s="16"/>
      <c r="L15" s="17"/>
    </row>
    <row r="16" spans="1:12" ht="24.75" thickBot="1" x14ac:dyDescent="0.6">
      <c r="A16" s="31" t="s">
        <v>21</v>
      </c>
      <c r="B16" s="32"/>
      <c r="C16" s="32"/>
      <c r="D16" s="32"/>
      <c r="E16" s="32"/>
      <c r="F16" s="32"/>
      <c r="G16" s="32"/>
      <c r="H16" s="32"/>
      <c r="I16" s="32"/>
      <c r="J16" s="33"/>
      <c r="K16" s="5">
        <f>SUM(K7:K15)</f>
        <v>99140</v>
      </c>
      <c r="L16" s="20"/>
    </row>
    <row r="17" spans="1:12" ht="24.75" thickTop="1" x14ac:dyDescent="0.55000000000000004">
      <c r="A17" s="4"/>
      <c r="B17" s="4"/>
      <c r="C17" s="4"/>
      <c r="D17" s="4"/>
      <c r="E17" s="4"/>
      <c r="F17" s="4"/>
      <c r="G17" s="4"/>
      <c r="H17" s="4"/>
      <c r="I17" s="21"/>
      <c r="J17" s="22"/>
      <c r="K17" s="22"/>
      <c r="L17" s="4"/>
    </row>
    <row r="18" spans="1:12" x14ac:dyDescent="0.55000000000000004">
      <c r="A18" s="6"/>
      <c r="B18" s="23" t="s">
        <v>2</v>
      </c>
      <c r="C18" s="7" t="s">
        <v>15</v>
      </c>
      <c r="D18" s="6"/>
      <c r="E18" s="6"/>
      <c r="F18" s="6"/>
      <c r="G18" s="6"/>
      <c r="H18" s="6"/>
      <c r="I18" s="21"/>
      <c r="J18" s="6"/>
      <c r="K18" s="6"/>
      <c r="L18" s="4"/>
    </row>
    <row r="19" spans="1:12" x14ac:dyDescent="0.55000000000000004">
      <c r="A19" s="6"/>
      <c r="B19" s="4"/>
      <c r="C19" s="7" t="s">
        <v>16</v>
      </c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55000000000000004">
      <c r="A20" s="6"/>
      <c r="B20" s="4"/>
      <c r="C20" s="7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55000000000000004">
      <c r="A21" s="6"/>
      <c r="B21" s="4"/>
      <c r="C21" s="7"/>
      <c r="D21" s="6"/>
      <c r="E21" s="6"/>
      <c r="F21" s="6"/>
      <c r="G21" s="6"/>
      <c r="H21" s="26" t="s">
        <v>23</v>
      </c>
      <c r="I21" s="26"/>
      <c r="J21" s="26"/>
      <c r="K21" s="26"/>
      <c r="L21" s="6"/>
    </row>
    <row r="22" spans="1:12" x14ac:dyDescent="0.55000000000000004">
      <c r="A22" s="6"/>
      <c r="B22" s="4"/>
      <c r="C22" s="7"/>
      <c r="D22" s="6"/>
      <c r="E22" s="6"/>
      <c r="F22" s="6"/>
      <c r="G22" s="6"/>
      <c r="H22" s="26" t="s">
        <v>41</v>
      </c>
      <c r="I22" s="26"/>
      <c r="J22" s="26"/>
      <c r="K22" s="26"/>
      <c r="L22" s="4"/>
    </row>
    <row r="23" spans="1:12" x14ac:dyDescent="0.55000000000000004">
      <c r="A23" s="6"/>
      <c r="B23" s="4"/>
      <c r="C23" s="7"/>
      <c r="D23" s="6"/>
      <c r="E23" s="6"/>
      <c r="F23" s="6"/>
      <c r="G23" s="6"/>
      <c r="H23" s="26" t="s">
        <v>18</v>
      </c>
      <c r="I23" s="26"/>
      <c r="J23" s="26"/>
      <c r="K23" s="26"/>
      <c r="L23" s="4"/>
    </row>
    <row r="24" spans="1:12" x14ac:dyDescent="0.55000000000000004">
      <c r="A24" s="6"/>
      <c r="B24" s="4"/>
      <c r="C24" s="7"/>
      <c r="D24" s="6"/>
      <c r="E24" s="6"/>
      <c r="F24" s="6"/>
      <c r="G24" s="6"/>
      <c r="H24" s="6"/>
      <c r="I24" s="6"/>
      <c r="J24" s="6"/>
      <c r="K24" s="6"/>
      <c r="L24" s="4"/>
    </row>
  </sheetData>
  <mergeCells count="18">
    <mergeCell ref="L5:L6"/>
    <mergeCell ref="A16:J16"/>
    <mergeCell ref="H21:K21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3:K23"/>
    <mergeCell ref="H22:K22"/>
    <mergeCell ref="H5:I5"/>
    <mergeCell ref="J5:J6"/>
    <mergeCell ref="K5:K6"/>
  </mergeCells>
  <printOptions horizontalCentered="1"/>
  <pageMargins left="0.19685039370078741" right="0" top="0.39370078740157483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งานทะเบียน</vt:lpstr>
      <vt:lpstr>งานทะเบียน!Print_Titles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2025-08-19T09:14:25Z</cp:lastPrinted>
  <dcterms:created xsi:type="dcterms:W3CDTF">2017-11-14T01:32:33Z</dcterms:created>
  <dcterms:modified xsi:type="dcterms:W3CDTF">2025-08-19T09:14:43Z</dcterms:modified>
</cp:coreProperties>
</file>