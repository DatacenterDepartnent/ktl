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1. ฝ่ายบริหารทรัพยากร\"/>
    </mc:Choice>
  </mc:AlternateContent>
  <xr:revisionPtr revIDLastSave="0" documentId="13_ncr:1_{25A26569-F7C9-4A78-A2E5-950D3813AB4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calcPr calcId="191029"/>
</workbook>
</file>

<file path=xl/calcChain.xml><?xml version="1.0" encoding="utf-8"?>
<calcChain xmlns="http://schemas.openxmlformats.org/spreadsheetml/2006/main">
  <c r="K15" i="46" l="1"/>
  <c r="K13" i="46"/>
  <c r="K12" i="46"/>
  <c r="K11" i="46"/>
  <c r="K10" i="46"/>
  <c r="K9" i="46"/>
  <c r="K8" i="46"/>
</calcChain>
</file>

<file path=xl/sharedStrings.xml><?xml version="1.0" encoding="utf-8"?>
<sst xmlns="http://schemas.openxmlformats.org/spreadsheetml/2006/main" count="54" uniqueCount="41">
  <si>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</si>
  <si>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</si>
  <si>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</si>
  <si>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</si>
  <si>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</si>
  <si>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</si>
  <si>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</si>
  <si>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</si>
  <si>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</si>
  <si>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</si>
  <si>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</si>
  <si>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</si>
  <si>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</si>
  <si>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</si>
  <si>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</si>
  <si>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</si>
  <si>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</si>
  <si>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</si>
  <si>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</si>
  <si>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</si>
  <si>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(นายสุขสันต์  สิทธิมวล)</t>
  </si>
  <si>
    <t>......................................................</t>
  </si>
  <si>
    <t>ประจำปี 2567 สิ้นงวดเมื่อวันที่ 30 กันยายน 2567 ของงานอาคารสถานที่</t>
  </si>
  <si>
    <t>2548</t>
  </si>
  <si>
    <t>2805-001-0002/482-001</t>
  </si>
  <si>
    <t>เครื่องยนต์สูบเฉียง 85.5 HONDA</t>
  </si>
  <si>
    <t>บกศ.</t>
  </si>
  <si>
    <t>4140-001-0001/622-001(60)</t>
  </si>
  <si>
    <t>พัดลมโคจร</t>
  </si>
  <si>
    <t>7105-005-0001/632-001(5)</t>
  </si>
  <si>
    <t>เก้าอี้สนาม</t>
  </si>
  <si>
    <t>7105-006-0001/642-001</t>
  </si>
  <si>
    <t>โต๊ะน้ำชาหน้ากระจกกลม+เก้าอี้หวายเทียม</t>
  </si>
  <si>
    <t>25/11/2563</t>
  </si>
  <si>
    <t>29/08/2562</t>
  </si>
  <si>
    <t>20/08/2563</t>
  </si>
  <si>
    <t>7105-006-0002/642-001(3)</t>
  </si>
  <si>
    <t>โต๊ะกลางหน้าหิน</t>
  </si>
  <si>
    <t>7105-006-0002/642-001</t>
  </si>
  <si>
    <t>โต๊ะน้ำชา 2 ที่นั่ง (แบบเหลี่ยม)</t>
  </si>
  <si>
    <t>รวมเป็นเงิน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</si>
</sst>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43" fontId="5" fillId="0" borderId="8" xfId="0" applyNumberFormat="1" applyFont="1" applyBorder="1"/>
    <xf numFmtId="43" fontId="6" fillId="0" borderId="5" xfId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 applyAlignment="1">
      <alignment horizontal="left" vertical="center"/>
    </xf>
    <xf numFmtId="0" fontId="6" fillId="0" borderId="1" xfId="2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0" borderId="5" xfId="6" applyFont="1" applyBorder="1" applyAlignment="1">
      <alignment horizontal="left"/>
    </xf>
    <xf numFmtId="0" fontId="6" fillId="0" borderId="6" xfId="6" applyFont="1" applyBorder="1" applyAlignment="1">
      <alignment horizontal="left" vertical="center"/>
    </xf>
    <xf numFmtId="0" fontId="6" fillId="0" borderId="1" xfId="6" applyFont="1" applyBorder="1"/>
    <xf numFmtId="43" fontId="6" fillId="0" borderId="1" xfId="1" applyFont="1" applyFill="1" applyBorder="1" applyAlignment="1">
      <alignment horizontal="center"/>
    </xf>
    <xf numFmtId="0" fontId="6" fillId="0" borderId="1" xfId="6" applyFont="1" applyBorder="1" applyAlignment="1">
      <alignment horizontal="center"/>
    </xf>
    <xf numFmtId="49" fontId="6" fillId="0" borderId="1" xfId="7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43" fontId="6" fillId="0" borderId="1" xfId="12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7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1228723</xdr:colOff>
      <xdr:row>15</xdr:row>
      <xdr:rowOff>200026</xdr:rowOff>
    </xdr:from>
    <xdr:to>
      <xdr:col>11</xdr:col>
      <xdr:colOff>1552572</xdr:colOff>
      <xdr:row>20</xdr:row>
      <xdr:rowOff>114301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A6B165C-7321-488D-9C6B-B0272E167414}"/>
            </a:ext>
          </a:extLst>
        </xdr:cNvPr>
        <xdr:cNvSpPr txBox="1"/>
      </xdr:nvSpPr>
      <xdr:spPr>
        <a:xfrm rot="5400000">
          <a:off x="11810998" y="7962901"/>
          <a:ext cx="1447800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3"/>
  <sheetViews>
    <sheetView tabSelected="1" zoomScaleNormal="100" workbookViewId="0">
      <selection activeCell="K18" sqref="K18"/>
    </sheetView>
  </sheetViews>
  <sheetFormatPr defaultColWidth="9" defaultRowHeight="24"/>
  <cols>
    <col min="1" max="1" width="6" style="1" customWidth="1"/>
    <col min="2" max="2" width="15.42578125" style="3" customWidth="1"/>
    <col min="3" max="3" width="31.7109375" style="2" customWidth="1"/>
    <col min="4" max="4" width="40" style="1" customWidth="1"/>
    <col min="5" max="5" width="8.5703125" style="1" customWidth="1"/>
    <col min="6" max="6" width="9.28515625" style="1" customWidth="1"/>
    <col min="7" max="7" width="6.5703125" style="1" customWidth="1"/>
    <col min="8" max="8" width="8" style="1" customWidth="1"/>
    <col min="9" max="9" width="7.5703125" style="1" customWidth="1"/>
    <col min="10" max="10" width="15.85546875" style="1" customWidth="1"/>
    <col min="11" max="11" width="16.85546875" style="1" customWidth="1"/>
    <col min="12" max="12" width="25.85546875" style="3" customWidth="1"/>
    <col min="13" max="16384" width="9" style="1"/>
  </cols>
  <sheetData>
    <row r="1" spans="1:12">
      <c r="A1" s="8"/>
      <c r="B1" s="4"/>
      <c r="C1" s="9"/>
      <c r="D1" s="8"/>
      <c r="E1" s="8"/>
      <c r="F1" s="8"/>
      <c r="G1" s="8"/>
      <c r="H1" s="8"/>
      <c r="I1" s="8"/>
      <c r="J1" s="8"/>
      <c r="K1" s="8"/>
      <c r="L1" s="4" t="s">
        <v>19</v>
      </c>
    </row>
    <row r="2" spans="1:12">
      <c r="A2" s="31" t="s">
        <v>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6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>
      <c r="A4" s="33" t="s">
        <v>22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12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28.5" customHeight="1">
      <c r="A6" s="34" t="s">
        <v>7</v>
      </c>
      <c r="B6" s="34" t="s">
        <v>18</v>
      </c>
      <c r="C6" s="34" t="s">
        <v>15</v>
      </c>
      <c r="D6" s="36" t="s">
        <v>0</v>
      </c>
      <c r="E6" s="34" t="s">
        <v>10</v>
      </c>
      <c r="F6" s="34" t="s">
        <v>9</v>
      </c>
      <c r="G6" s="38" t="s">
        <v>11</v>
      </c>
      <c r="H6" s="40" t="s">
        <v>1</v>
      </c>
      <c r="I6" s="41"/>
      <c r="J6" s="34" t="s">
        <v>14</v>
      </c>
      <c r="K6" s="34" t="s">
        <v>8</v>
      </c>
      <c r="L6" s="34" t="s">
        <v>13</v>
      </c>
    </row>
    <row r="7" spans="1:12" ht="45.75" customHeight="1">
      <c r="A7" s="35"/>
      <c r="B7" s="35"/>
      <c r="C7" s="35"/>
      <c r="D7" s="37"/>
      <c r="E7" s="35"/>
      <c r="F7" s="35"/>
      <c r="G7" s="39"/>
      <c r="H7" s="10" t="s">
        <v>12</v>
      </c>
      <c r="I7" s="11" t="s">
        <v>3</v>
      </c>
      <c r="J7" s="35"/>
      <c r="K7" s="35"/>
      <c r="L7" s="35"/>
    </row>
    <row r="8" spans="1:12">
      <c r="A8" s="12">
        <v>1</v>
      </c>
      <c r="B8" s="13" t="s">
        <v>23</v>
      </c>
      <c r="C8" s="14" t="s">
        <v>24</v>
      </c>
      <c r="D8" s="15" t="s">
        <v>25</v>
      </c>
      <c r="E8" s="16" t="s">
        <v>26</v>
      </c>
      <c r="F8" s="16">
        <v>19</v>
      </c>
      <c r="G8" s="16">
        <v>0</v>
      </c>
      <c r="H8" s="16">
        <v>1</v>
      </c>
      <c r="I8" s="16">
        <v>1</v>
      </c>
      <c r="J8" s="17">
        <v>6440</v>
      </c>
      <c r="K8" s="17">
        <f t="shared" ref="K8:K13" si="0">SUM(J8*I8)</f>
        <v>6440</v>
      </c>
      <c r="L8" s="30" t="s">
        <v>3</v>
      </c>
    </row>
    <row r="9" spans="1:12">
      <c r="A9" s="19">
        <v>2</v>
      </c>
      <c r="B9" s="13" t="s">
        <v>34</v>
      </c>
      <c r="C9" s="20" t="s">
        <v>27</v>
      </c>
      <c r="D9" s="21" t="s">
        <v>28</v>
      </c>
      <c r="E9" s="16" t="s">
        <v>26</v>
      </c>
      <c r="F9" s="16">
        <v>5</v>
      </c>
      <c r="G9" s="16">
        <v>0</v>
      </c>
      <c r="H9" s="16">
        <v>1</v>
      </c>
      <c r="I9" s="16">
        <v>1</v>
      </c>
      <c r="J9" s="7">
        <v>9965</v>
      </c>
      <c r="K9" s="17">
        <f t="shared" si="0"/>
        <v>9965</v>
      </c>
      <c r="L9" s="30" t="s">
        <v>3</v>
      </c>
    </row>
    <row r="10" spans="1:12">
      <c r="A10" s="12">
        <v>3</v>
      </c>
      <c r="B10" s="13" t="s">
        <v>35</v>
      </c>
      <c r="C10" s="14" t="s">
        <v>29</v>
      </c>
      <c r="D10" s="22" t="s">
        <v>30</v>
      </c>
      <c r="E10" s="16" t="s">
        <v>26</v>
      </c>
      <c r="F10" s="16">
        <v>4</v>
      </c>
      <c r="G10" s="16">
        <v>0</v>
      </c>
      <c r="H10" s="16">
        <v>5</v>
      </c>
      <c r="I10" s="16">
        <v>5</v>
      </c>
      <c r="J10" s="23">
        <v>14654</v>
      </c>
      <c r="K10" s="17">
        <f t="shared" si="0"/>
        <v>73270</v>
      </c>
      <c r="L10" s="30" t="s">
        <v>3</v>
      </c>
    </row>
    <row r="11" spans="1:12">
      <c r="A11" s="19">
        <v>4</v>
      </c>
      <c r="B11" s="13" t="s">
        <v>33</v>
      </c>
      <c r="C11" s="14" t="s">
        <v>31</v>
      </c>
      <c r="D11" s="22" t="s">
        <v>32</v>
      </c>
      <c r="E11" s="16" t="s">
        <v>26</v>
      </c>
      <c r="F11" s="16">
        <v>4</v>
      </c>
      <c r="G11" s="16">
        <v>0</v>
      </c>
      <c r="H11" s="16">
        <v>1</v>
      </c>
      <c r="I11" s="16">
        <v>1</v>
      </c>
      <c r="J11" s="23">
        <v>1590</v>
      </c>
      <c r="K11" s="17">
        <f t="shared" si="0"/>
        <v>1590</v>
      </c>
      <c r="L11" s="30" t="s">
        <v>3</v>
      </c>
    </row>
    <row r="12" spans="1:12">
      <c r="A12" s="12">
        <v>5</v>
      </c>
      <c r="B12" s="13" t="s">
        <v>33</v>
      </c>
      <c r="C12" s="14" t="s">
        <v>36</v>
      </c>
      <c r="D12" s="14" t="s">
        <v>37</v>
      </c>
      <c r="E12" s="16" t="s">
        <v>26</v>
      </c>
      <c r="F12" s="16">
        <v>4</v>
      </c>
      <c r="G12" s="16">
        <v>0</v>
      </c>
      <c r="H12" s="16">
        <v>3</v>
      </c>
      <c r="I12" s="16">
        <v>3</v>
      </c>
      <c r="J12" s="23">
        <v>3450</v>
      </c>
      <c r="K12" s="17">
        <f t="shared" si="0"/>
        <v>10350</v>
      </c>
      <c r="L12" s="30" t="s">
        <v>3</v>
      </c>
    </row>
    <row r="13" spans="1:12">
      <c r="A13" s="19">
        <v>6</v>
      </c>
      <c r="B13" s="13" t="s">
        <v>33</v>
      </c>
      <c r="C13" s="14" t="s">
        <v>38</v>
      </c>
      <c r="D13" s="14" t="s">
        <v>39</v>
      </c>
      <c r="E13" s="16" t="s">
        <v>26</v>
      </c>
      <c r="F13" s="16">
        <v>4</v>
      </c>
      <c r="G13" s="16">
        <v>0</v>
      </c>
      <c r="H13" s="16">
        <v>1</v>
      </c>
      <c r="I13" s="16">
        <v>1</v>
      </c>
      <c r="J13" s="23">
        <v>3990</v>
      </c>
      <c r="K13" s="17">
        <f t="shared" si="0"/>
        <v>3990</v>
      </c>
      <c r="L13" s="30" t="s">
        <v>3</v>
      </c>
    </row>
    <row r="14" spans="1:12">
      <c r="A14" s="12"/>
      <c r="B14" s="25"/>
      <c r="C14" s="14"/>
      <c r="D14" s="14"/>
      <c r="E14" s="16"/>
      <c r="F14" s="16"/>
      <c r="G14" s="16"/>
      <c r="H14" s="24"/>
      <c r="I14" s="24"/>
      <c r="J14" s="23"/>
      <c r="K14" s="17"/>
      <c r="L14" s="18"/>
    </row>
    <row r="15" spans="1:12" ht="24.75" thickBot="1">
      <c r="A15" s="42" t="s">
        <v>40</v>
      </c>
      <c r="B15" s="43"/>
      <c r="C15" s="43"/>
      <c r="D15" s="43"/>
      <c r="E15" s="43"/>
      <c r="F15" s="43"/>
      <c r="G15" s="43"/>
      <c r="H15" s="43"/>
      <c r="I15" s="43"/>
      <c r="J15" s="44"/>
      <c r="K15" s="6">
        <f>SUM(K8:K14)</f>
        <v>105605</v>
      </c>
      <c r="L15" s="26"/>
    </row>
    <row r="16" spans="1:12" ht="24.75" thickTop="1">
      <c r="A16" s="4"/>
      <c r="B16" s="4"/>
      <c r="C16" s="4"/>
      <c r="D16" s="4"/>
      <c r="E16" s="4"/>
      <c r="F16" s="4"/>
      <c r="G16" s="4"/>
      <c r="H16" s="4"/>
      <c r="I16" s="27"/>
      <c r="J16" s="28"/>
      <c r="K16" s="28"/>
      <c r="L16" s="4"/>
    </row>
    <row r="17" spans="1:12">
      <c r="A17" s="8"/>
      <c r="B17" s="29" t="s">
        <v>2</v>
      </c>
      <c r="C17" s="9" t="s">
        <v>16</v>
      </c>
      <c r="D17" s="8"/>
      <c r="E17" s="8"/>
      <c r="F17" s="8"/>
      <c r="G17" s="8"/>
      <c r="H17" s="8"/>
      <c r="I17" s="27"/>
      <c r="J17" s="8"/>
      <c r="K17" s="8"/>
      <c r="L17" s="4"/>
    </row>
    <row r="18" spans="1:12">
      <c r="A18" s="8"/>
      <c r="B18" s="4"/>
      <c r="C18" s="9" t="s">
        <v>17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8"/>
      <c r="B19" s="4"/>
      <c r="C19" s="9"/>
      <c r="D19" s="8"/>
      <c r="E19" s="8"/>
      <c r="F19" s="8"/>
      <c r="G19" s="8"/>
      <c r="H19" s="8"/>
      <c r="I19" s="8"/>
      <c r="J19" s="8"/>
      <c r="K19" s="8"/>
      <c r="L19" s="8"/>
    </row>
    <row r="20" spans="1:12">
      <c r="A20" s="8"/>
      <c r="B20" s="4"/>
      <c r="C20" s="9"/>
      <c r="D20" s="8"/>
      <c r="E20" s="8"/>
      <c r="F20" s="8"/>
      <c r="G20" s="8"/>
      <c r="H20" s="31" t="s">
        <v>21</v>
      </c>
      <c r="I20" s="31"/>
      <c r="J20" s="31"/>
      <c r="K20" s="31"/>
      <c r="L20" s="8"/>
    </row>
    <row r="21" spans="1:12">
      <c r="A21" s="8"/>
      <c r="B21" s="4"/>
      <c r="C21" s="9"/>
      <c r="D21" s="8"/>
      <c r="E21" s="8"/>
      <c r="F21" s="8"/>
      <c r="G21" s="8"/>
      <c r="H21" s="31" t="s">
        <v>20</v>
      </c>
      <c r="I21" s="31"/>
      <c r="J21" s="31"/>
      <c r="K21" s="31"/>
      <c r="L21" s="4"/>
    </row>
    <row r="22" spans="1:12">
      <c r="A22" s="8"/>
      <c r="B22" s="4"/>
      <c r="C22" s="9"/>
      <c r="D22" s="8"/>
      <c r="E22" s="8"/>
      <c r="F22" s="8"/>
      <c r="G22" s="8"/>
      <c r="H22" s="31" t="s">
        <v>4</v>
      </c>
      <c r="I22" s="31"/>
      <c r="J22" s="31"/>
      <c r="K22" s="31"/>
      <c r="L22" s="4"/>
    </row>
    <row r="23" spans="1:12">
      <c r="A23" s="8"/>
      <c r="B23" s="4"/>
      <c r="C23" s="9"/>
      <c r="D23" s="8"/>
      <c r="E23" s="8"/>
      <c r="F23" s="8"/>
      <c r="G23" s="8"/>
      <c r="H23" s="8"/>
      <c r="I23" s="8"/>
      <c r="J23" s="8"/>
      <c r="K23" s="8"/>
      <c r="L23" s="4"/>
    </row>
  </sheetData>
  <mergeCells count="18">
    <mergeCell ref="H20:K20"/>
    <mergeCell ref="H21:K21"/>
    <mergeCell ref="H22:K22"/>
    <mergeCell ref="A15:J15"/>
    <mergeCell ref="A2:L2"/>
    <mergeCell ref="A3:L3"/>
    <mergeCell ref="A4:L4"/>
    <mergeCell ref="A6:A7"/>
    <mergeCell ref="B6:B7"/>
    <mergeCell ref="C6:C7"/>
    <mergeCell ref="D6:D7"/>
    <mergeCell ref="E6:E7"/>
    <mergeCell ref="F6:F7"/>
    <mergeCell ref="G6:G7"/>
    <mergeCell ref="H6:I6"/>
    <mergeCell ref="J6:J7"/>
    <mergeCell ref="K6:K7"/>
    <mergeCell ref="L6:L7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2024-12-25T01:53:17Z</cp:lastPrinted>
  <dcterms:created xsi:type="dcterms:W3CDTF">2017-11-14T01:32:33Z</dcterms:created>
  <dcterms:modified xsi:type="dcterms:W3CDTF">2025-01-15T07:17:15Z</dcterms:modified>
</cp:coreProperties>
</file>