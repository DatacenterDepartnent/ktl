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FB819938-0218-433B-B89E-FA2837F664B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ัญชี" sheetId="46" r:id="rId1"/>
  </sheets>
  <definedNames>
    <definedName name="_xlnm.Print_Titles" localSheetId="0">งานบัญชี!$2:$5</definedName>
  </definedNames>
  <calcPr calcId="191029"/>
</workbook>
</file>

<file path=xl/calcChain.xml><?xml version="1.0" encoding="utf-8"?>
<calcChain xmlns="http://schemas.openxmlformats.org/spreadsheetml/2006/main">
  <c r="K11" i="46" l="1"/>
  <c r="K10" i="46"/>
  <c r="K9" i="46"/>
  <c r="K8" i="46"/>
  <c r="K7" i="46"/>
</calcChain>
</file>

<file path=xl/sharedStrings.xml><?xml version="1.0" encoding="utf-8"?>
<sst xmlns="http://schemas.openxmlformats.org/spreadsheetml/2006/main" count="40" uniqueCount="34">
  <si>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</si>
  <si>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</si>
  <si>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</si>
  <si>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</si>
  <si>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</si>
  <si>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</si>
  <si>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</si>
  <si>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</si>
  <si>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</si>
  <si>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</si>
  <si>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</si>
  <si>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</si>
  <si>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</si>
  <si>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</si>
  <si>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</si>
  <si>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</si>
  <si>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</si>
  <si>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</si>
  <si>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</si>
  <si>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</si>
  <si>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</si>
  <si>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งปม.</t>
  </si>
  <si>
    <t>(นางสาวสุลัดดา  ยอดกุล)</t>
  </si>
  <si>
    <t>7110-002-0006/492-079</t>
  </si>
  <si>
    <t>ตู้บานเลื่อนกระจก 4 ฟุต</t>
  </si>
  <si>
    <t>บกศ.</t>
  </si>
  <si>
    <t>FLASH DRIVE 512 MB</t>
  </si>
  <si>
    <t>7440-009-0001/492-002</t>
  </si>
  <si>
    <t>2552</t>
  </si>
  <si>
    <t>7430-008-0003-521-013</t>
  </si>
  <si>
    <t>เครื่องปริ้นเตอร์ HP 1006</t>
  </si>
  <si>
    <t>7430-008-0002/531-018</t>
  </si>
  <si>
    <t>เครื่องปริ้นเตอร์ HP Lasejet P 1102</t>
  </si>
  <si>
    <t>ประจำปี 2567 สิ้นงวดเมื่อวันที่ 30 กันยายน 2567 ของงานบัญชี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</si>
</sst>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0_-;\-* #,##0.0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49" fontId="6" fillId="2" borderId="1" xfId="0" applyNumberFormat="1" applyFont="1" applyFill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/>
    <xf numFmtId="0" fontId="6" fillId="0" borderId="1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43" fontId="5" fillId="0" borderId="5" xfId="1" applyFont="1" applyBorder="1" applyAlignment="1">
      <alignment horizontal="center" vertical="center" wrapText="1"/>
    </xf>
    <xf numFmtId="165" fontId="6" fillId="0" borderId="1" xfId="1" applyNumberFormat="1" applyFont="1" applyBorder="1"/>
    <xf numFmtId="2" fontId="5" fillId="0" borderId="5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1866900</xdr:colOff>
      <xdr:row>11</xdr:row>
      <xdr:rowOff>247650</xdr:rowOff>
    </xdr:from>
    <xdr:to>
      <xdr:col>11</xdr:col>
      <xdr:colOff>2190750</xdr:colOff>
      <xdr:row>16</xdr:row>
      <xdr:rowOff>219075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63300" y="3924300"/>
          <a:ext cx="15049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0"/>
  <sheetViews>
    <sheetView tabSelected="1" topLeftCell="A7" zoomScaleNormal="100" workbookViewId="0">
      <selection activeCell="L15" sqref="L15"/>
    </sheetView>
  </sheetViews>
  <sheetFormatPr defaultColWidth="9" defaultRowHeight="24"/>
  <cols>
    <col min="1" max="1" width="5.28515625" style="1" customWidth="1"/>
    <col min="2" max="2" width="12" style="3" customWidth="1"/>
    <col min="3" max="3" width="25.7109375" style="2" customWidth="1"/>
    <col min="4" max="4" width="45" style="1" customWidth="1"/>
    <col min="5" max="5" width="8.710937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34.42578125" style="3" customWidth="1"/>
    <col min="13" max="16384" width="9" style="1"/>
  </cols>
  <sheetData>
    <row r="1" spans="1:12">
      <c r="A1" s="11"/>
      <c r="B1" s="4"/>
      <c r="C1" s="12"/>
      <c r="D1" s="11"/>
      <c r="E1" s="11"/>
      <c r="F1" s="11"/>
      <c r="G1" s="11"/>
      <c r="H1" s="11"/>
      <c r="I1" s="11"/>
      <c r="J1" s="11"/>
      <c r="K1" s="11"/>
      <c r="L1" s="4" t="s">
        <v>19</v>
      </c>
    </row>
    <row r="2" spans="1:12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10" t="s">
        <v>33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8.5" customHeight="1">
      <c r="A5" s="13" t="s">
        <v>7</v>
      </c>
      <c r="B5" s="13" t="s">
        <v>18</v>
      </c>
      <c r="C5" s="13" t="s">
        <v>15</v>
      </c>
      <c r="D5" s="14" t="s">
        <v>0</v>
      </c>
      <c r="E5" s="13" t="s">
        <v>10</v>
      </c>
      <c r="F5" s="35" t="s">
        <v>9</v>
      </c>
      <c r="G5" s="15" t="s">
        <v>11</v>
      </c>
      <c r="H5" s="16" t="s">
        <v>1</v>
      </c>
      <c r="I5" s="17"/>
      <c r="J5" s="13" t="s">
        <v>14</v>
      </c>
      <c r="K5" s="13" t="s">
        <v>8</v>
      </c>
      <c r="L5" s="13" t="s">
        <v>13</v>
      </c>
    </row>
    <row r="6" spans="1:12" ht="45" customHeight="1">
      <c r="A6" s="18"/>
      <c r="B6" s="18"/>
      <c r="C6" s="18"/>
      <c r="D6" s="19"/>
      <c r="E6" s="18"/>
      <c r="F6" s="36"/>
      <c r="G6" s="20"/>
      <c r="H6" s="21" t="s">
        <v>12</v>
      </c>
      <c r="I6" s="22" t="s">
        <v>3</v>
      </c>
      <c r="J6" s="18"/>
      <c r="K6" s="18"/>
      <c r="L6" s="18"/>
    </row>
    <row r="7" spans="1:12" ht="27" customHeight="1">
      <c r="A7" s="37">
        <v>1</v>
      </c>
      <c r="B7" s="37">
        <v>2549</v>
      </c>
      <c r="C7" s="37" t="s">
        <v>23</v>
      </c>
      <c r="D7" s="43" t="s">
        <v>24</v>
      </c>
      <c r="E7" s="37" t="s">
        <v>25</v>
      </c>
      <c r="F7" s="38">
        <v>18</v>
      </c>
      <c r="G7" s="39">
        <v>0</v>
      </c>
      <c r="H7" s="21">
        <v>1</v>
      </c>
      <c r="I7" s="22">
        <v>1</v>
      </c>
      <c r="J7" s="40">
        <v>2800</v>
      </c>
      <c r="K7" s="40">
        <f>SUM(J7*I7)</f>
        <v>2800</v>
      </c>
      <c r="L7" s="37" t="s">
        <v>3</v>
      </c>
    </row>
    <row r="8" spans="1:12" ht="27" customHeight="1">
      <c r="A8" s="37">
        <v>2</v>
      </c>
      <c r="B8" s="37">
        <v>2549</v>
      </c>
      <c r="C8" s="37" t="s">
        <v>27</v>
      </c>
      <c r="D8" s="44" t="s">
        <v>26</v>
      </c>
      <c r="E8" s="37" t="s">
        <v>25</v>
      </c>
      <c r="F8" s="38">
        <v>18</v>
      </c>
      <c r="G8" s="39">
        <v>0</v>
      </c>
      <c r="H8" s="21">
        <v>1</v>
      </c>
      <c r="I8" s="22">
        <v>1</v>
      </c>
      <c r="J8" s="42">
        <v>695.5</v>
      </c>
      <c r="K8" s="42">
        <f>SUM(J8*I8)</f>
        <v>695.5</v>
      </c>
      <c r="L8" s="37" t="s">
        <v>3</v>
      </c>
    </row>
    <row r="9" spans="1:12" ht="27" customHeight="1">
      <c r="A9" s="37">
        <v>3</v>
      </c>
      <c r="B9" s="23" t="s">
        <v>28</v>
      </c>
      <c r="C9" s="24" t="s">
        <v>29</v>
      </c>
      <c r="D9" s="25" t="s">
        <v>30</v>
      </c>
      <c r="E9" s="26" t="s">
        <v>21</v>
      </c>
      <c r="F9" s="26">
        <v>15</v>
      </c>
      <c r="G9" s="26">
        <v>0</v>
      </c>
      <c r="H9" s="26">
        <v>1</v>
      </c>
      <c r="I9" s="27">
        <v>1</v>
      </c>
      <c r="J9" s="41">
        <v>4900</v>
      </c>
      <c r="K9" s="42">
        <f>SUM(J9*I9)</f>
        <v>4900</v>
      </c>
      <c r="L9" s="37" t="s">
        <v>3</v>
      </c>
    </row>
    <row r="10" spans="1:12" ht="27" customHeight="1" thickBot="1">
      <c r="A10" s="37">
        <v>4</v>
      </c>
      <c r="B10" s="29">
        <v>2553</v>
      </c>
      <c r="C10" s="24" t="s">
        <v>31</v>
      </c>
      <c r="D10" s="25" t="s">
        <v>32</v>
      </c>
      <c r="E10" s="26" t="s">
        <v>21</v>
      </c>
      <c r="F10" s="26">
        <v>14</v>
      </c>
      <c r="G10" s="26">
        <v>0</v>
      </c>
      <c r="H10" s="26">
        <v>1</v>
      </c>
      <c r="I10" s="27">
        <v>1</v>
      </c>
      <c r="J10" s="28">
        <v>3950</v>
      </c>
      <c r="K10" s="42">
        <f>SUM(J10*I10)</f>
        <v>3950</v>
      </c>
      <c r="L10" s="37" t="s">
        <v>3</v>
      </c>
    </row>
    <row r="11" spans="1:12" ht="24.75" thickBot="1">
      <c r="A11" s="5"/>
      <c r="B11" s="6"/>
      <c r="C11" s="6"/>
      <c r="D11" s="6"/>
      <c r="E11" s="6"/>
      <c r="F11" s="6"/>
      <c r="G11" s="6"/>
      <c r="H11" s="6"/>
      <c r="I11" s="6"/>
      <c r="J11" s="7"/>
      <c r="K11" s="30">
        <f>SUM(K7:K10)</f>
        <v>12345.5</v>
      </c>
      <c r="L11" s="31"/>
    </row>
    <row r="12" spans="1:12" ht="24.75" thickTop="1">
      <c r="A12" s="4"/>
      <c r="B12" s="4"/>
      <c r="C12" s="4"/>
      <c r="D12" s="4"/>
      <c r="E12" s="4"/>
      <c r="F12" s="4"/>
      <c r="G12" s="4"/>
      <c r="H12" s="4"/>
      <c r="I12" s="32"/>
      <c r="J12" s="33"/>
      <c r="K12" s="33"/>
      <c r="L12" s="4"/>
    </row>
    <row r="13" spans="1:12">
      <c r="A13" s="11"/>
      <c r="B13" s="34" t="s">
        <v>2</v>
      </c>
      <c r="C13" s="12" t="s">
        <v>16</v>
      </c>
      <c r="D13" s="11"/>
      <c r="E13" s="11"/>
      <c r="F13" s="11"/>
      <c r="G13" s="11"/>
      <c r="H13" s="11"/>
      <c r="I13" s="32"/>
      <c r="J13" s="11"/>
      <c r="K13" s="11"/>
      <c r="L13" s="4"/>
    </row>
    <row r="14" spans="1:12">
      <c r="A14" s="11"/>
      <c r="B14" s="4"/>
      <c r="C14" s="12" t="s">
        <v>17</v>
      </c>
      <c r="D14" s="11"/>
      <c r="E14" s="11"/>
      <c r="F14" s="11"/>
      <c r="G14" s="11"/>
      <c r="H14" s="11"/>
      <c r="I14" s="11"/>
      <c r="J14" s="11"/>
      <c r="K14" s="11"/>
      <c r="L14" s="11"/>
    </row>
    <row r="15" spans="1:12">
      <c r="A15" s="11"/>
      <c r="B15" s="4"/>
      <c r="C15" s="12"/>
      <c r="D15" s="11"/>
      <c r="E15" s="11"/>
      <c r="F15" s="11"/>
      <c r="G15" s="11"/>
      <c r="H15" s="11"/>
      <c r="I15" s="11"/>
      <c r="J15" s="11"/>
      <c r="K15" s="11"/>
      <c r="L15" s="11"/>
    </row>
    <row r="16" spans="1:12">
      <c r="A16" s="11"/>
      <c r="B16" s="4"/>
      <c r="C16" s="12"/>
      <c r="D16" s="11"/>
      <c r="E16" s="11"/>
      <c r="F16" s="11"/>
      <c r="G16" s="11"/>
      <c r="H16" s="8" t="s">
        <v>20</v>
      </c>
      <c r="I16" s="8"/>
      <c r="J16" s="8"/>
      <c r="K16" s="8"/>
      <c r="L16" s="11"/>
    </row>
    <row r="17" spans="1:12">
      <c r="A17" s="11"/>
      <c r="B17" s="4"/>
      <c r="C17" s="12"/>
      <c r="D17" s="11"/>
      <c r="E17" s="11"/>
      <c r="F17" s="11"/>
      <c r="G17" s="11"/>
      <c r="H17" s="8" t="s">
        <v>22</v>
      </c>
      <c r="I17" s="8"/>
      <c r="J17" s="8"/>
      <c r="K17" s="8"/>
      <c r="L17" s="4"/>
    </row>
    <row r="18" spans="1:12">
      <c r="A18" s="11"/>
      <c r="B18" s="4"/>
      <c r="C18" s="12"/>
      <c r="D18" s="11"/>
      <c r="E18" s="11"/>
      <c r="F18" s="11"/>
      <c r="G18" s="11"/>
      <c r="H18" s="8" t="s">
        <v>4</v>
      </c>
      <c r="I18" s="8"/>
      <c r="J18" s="8"/>
      <c r="K18" s="8"/>
      <c r="L18" s="4"/>
    </row>
    <row r="19" spans="1:12">
      <c r="A19" s="11"/>
      <c r="B19" s="4"/>
      <c r="C19" s="12"/>
      <c r="D19" s="11"/>
      <c r="E19" s="11"/>
      <c r="F19" s="11"/>
      <c r="G19" s="11"/>
      <c r="H19" s="11"/>
      <c r="I19" s="11"/>
      <c r="J19" s="11"/>
      <c r="K19" s="11"/>
      <c r="L19" s="4"/>
    </row>
    <row r="20" spans="1:12">
      <c r="A20" s="11"/>
      <c r="B20" s="4"/>
      <c r="C20" s="12"/>
      <c r="D20" s="11"/>
      <c r="E20" s="11"/>
      <c r="F20" s="11"/>
      <c r="G20" s="11"/>
      <c r="H20" s="11"/>
      <c r="I20" s="11"/>
      <c r="J20" s="11"/>
      <c r="K20" s="11"/>
      <c r="L20" s="4"/>
    </row>
  </sheetData>
  <mergeCells count="18">
    <mergeCell ref="H18:K18"/>
    <mergeCell ref="H17:K17"/>
    <mergeCell ref="H5:I5"/>
    <mergeCell ref="J5:J6"/>
    <mergeCell ref="K5:K6"/>
    <mergeCell ref="L5:L6"/>
    <mergeCell ref="A11:J11"/>
    <mergeCell ref="H16:K1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งานบัญชี</vt:lpstr>
      <vt:lpstr>งานบัญชี!Print_Titles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2024-11-26T03:54:33Z</cp:lastPrinted>
  <dcterms:created xsi:type="dcterms:W3CDTF">2017-11-14T01:32:33Z</dcterms:created>
  <dcterms:modified xsi:type="dcterms:W3CDTF">2024-11-26T08:05:16Z</dcterms:modified>
</cp:coreProperties>
</file>