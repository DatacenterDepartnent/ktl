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01A2FA78-100E-4879-8311-DE406840A62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ไฟฟ้ากำลัง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8" i="34" l="1"/>
  <c r="K70" i="34"/>
  <c r="K71" i="34"/>
  <c r="K72" i="34"/>
  <c r="K73" i="34"/>
  <c r="K74" i="34"/>
  <c r="K75" i="34"/>
  <c r="K76" i="34"/>
  <c r="K77" i="34"/>
  <c r="K69" i="34"/>
  <c r="K68" i="34"/>
  <c r="K53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38" i="34"/>
  <c r="K37" i="34"/>
  <c r="K22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7" i="34"/>
</calcChain>
</file>

<file path=xl/sharedStrings.xml><?xml version="1.0" encoding="utf-8"?>
<sst xmlns="http://schemas.openxmlformats.org/spreadsheetml/2006/main" count="310" uniqueCount="136">
  <si>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</si>
  <si>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</si>
  <si>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</si>
  <si>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</si>
  <si>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</si>
  <si>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</si>
  <si>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</si>
  <si>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</si>
  <si>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</si>
  <si>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</si>
  <si>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</si>
  <si>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</si>
  <si>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</si>
  <si>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</si>
  <si>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</si>
  <si>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</si>
  <si>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</si>
  <si>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</si>
  <si>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</si>
  <si>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</si>
  <si>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(นายคัคเนศวร์  โกมลศรี)</t>
  </si>
  <si>
    <t>2539</t>
  </si>
  <si>
    <t>5950-004-0001/391-001-391-010</t>
  </si>
  <si>
    <t>6910-001-0007/391-001</t>
  </si>
  <si>
    <t>6910-001-0006/391-001-391-007</t>
  </si>
  <si>
    <t>5905-006-0005/391-001-391-020</t>
  </si>
  <si>
    <t>5905-006-0004/391-001-391-010</t>
  </si>
  <si>
    <t>5905-006-0003/391-001-391-010</t>
  </si>
  <si>
    <t>7110-007-0017/391-001-391-006</t>
  </si>
  <si>
    <t>6625-002-0004/391-001</t>
  </si>
  <si>
    <t>ทรานฟอร์เมอร์ 1 เฟส</t>
  </si>
  <si>
    <t>แรงเคลื่อนคงที่</t>
  </si>
  <si>
    <t>ชุดฝึกไฟฟ้าเบื้องต้น</t>
  </si>
  <si>
    <t>ดิจิตอลแคมป์ออนมิเตอร์ (001,002,003)</t>
  </si>
  <si>
    <t>เครื่องวัดกระแสสลับแบบพอร์ทเทเบิ้ล</t>
  </si>
  <si>
    <t>เครื่องวัดกระแสไฟฟ้าตรงแบบไมโครแอมป์</t>
  </si>
  <si>
    <t>โต๊ะงานช่างกล</t>
  </si>
  <si>
    <t>ชุดสาธิตทดลองระบบเครื่องมือวัด</t>
  </si>
  <si>
    <t>6625-003-0010/391-001,003,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</si>
  <si>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</si>
  <si>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</si>
  <si>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</si>
  <si>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</si>
  <si>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</si>
  <si>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</si>
  <si>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</si>
  <si>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</si>
  <si>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R-L-C  แบบดิจิตอล</t>
  </si>
  <si>
    <t>มัลติมิเตอร์</t>
  </si>
  <si>
    <t>2540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</si>
  <si>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</si>
  <si>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</si>
  <si>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</si>
  <si>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</si>
  <si>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</si>
  <si>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</si>
  <si>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</si>
  <si>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</si>
  <si>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</si>
  <si>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</si>
  <si>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</si>
  <si>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</si>
  <si>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</si>
  <si>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</si>
  <si>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</si>
  <si>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</si>
  <si>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</si>
  <si>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</si>
  <si>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</si>
  <si>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</si>
  <si>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</si>
  <si>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</si>
  <si>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</si>
  <si>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</si>
  <si>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</si>
  <si>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</si>
  <si>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</si>
  <si>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</si>
  <si>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</si>
  <si>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ชุดฝึกโปรแกรมเมเบิลคอนโทรล</t>
  </si>
  <si>
    <t>4110-008-0002/411-001</t>
  </si>
  <si>
    <t>ชุดฝึกเครื่องทำความเย็น</t>
  </si>
  <si>
    <t>2542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</si>
  <si>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</si>
  <si>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</si>
  <si>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</si>
  <si>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</si>
  <si>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</si>
  <si>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</si>
  <si>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</si>
  <si>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</si>
  <si>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5110-022-0001/421-001</t>
  </si>
  <si>
    <t>เครื่องมืองานท่อไฟฟ้าบาง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</si>
  <si>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</si>
  <si>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</si>
  <si>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</si>
  <si>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</si>
  <si>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</si>
  <si>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</si>
  <si>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</si>
  <si>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โต๊ะพับเอนกประสงค์ 6 ฟุต</t>
  </si>
  <si>
    <t>ยอดยกไป</t>
  </si>
  <si>
    <t>งปม.</t>
  </si>
  <si>
    <t>ยอดยกมา</t>
  </si>
  <si>
    <t>22 ปี</t>
  </si>
  <si>
    <t>19 ปี</t>
  </si>
  <si>
    <t xml:space="preserve"> -</t>
  </si>
  <si>
    <t xml:space="preserve"> - </t>
  </si>
  <si>
    <t>หน้าจอแตก</t>
  </si>
  <si>
    <t>โต๊ะและอุปกรณ์ประกอบชำรุด</t>
  </si>
  <si>
    <t>ตัวปรับความเร็วชำรุด</t>
  </si>
  <si>
    <t>หน้าจอแตกและปุ่มกดชำรุด</t>
  </si>
  <si>
    <t>คอมเพรสเซอร์ชำรุด</t>
  </si>
  <si>
    <t>หน้าจอชำรุด</t>
  </si>
  <si>
    <t>หน้าจอแสดงผลชำรุด</t>
  </si>
  <si>
    <t>ด้ามจับหัก</t>
  </si>
  <si>
    <t>มัลติมิเตอร์แตกหัก</t>
  </si>
  <si>
    <t>คอมพิวเตอร์ชำรุด</t>
  </si>
  <si>
    <t>ลำดับ
ที่</t>
  </si>
  <si>
    <t>6625-003-0004/391-001-391-002/
391-015, 022-024</t>
  </si>
  <si>
    <t>แตกหัก</t>
  </si>
  <si>
    <t>อุปกรณ์แตกหัก</t>
  </si>
  <si>
    <t>แผงวงจรไหม้</t>
  </si>
  <si>
    <t>แตก</t>
  </si>
  <si>
    <t>พื้นโต๊ะทะลุ</t>
  </si>
  <si>
    <t>เครื่องวัดชำรุด</t>
  </si>
  <si>
    <t>หน้อจอแตก</t>
  </si>
  <si>
    <t>แผงวงจรชำรุด</t>
  </si>
  <si>
    <t>วงจรไหม้</t>
  </si>
  <si>
    <t>มอเตอร์ไหม้</t>
  </si>
  <si>
    <t>ผุ แตกหัก</t>
  </si>
  <si>
    <t>ขาหัก</t>
  </si>
  <si>
    <t>ประจำปี 2565 สิ้นงวดเมื่อวันที่ 30 กันยายน 2565 ของแผนกวิชาไฟฟ้ากำลัง</t>
  </si>
  <si>
    <t>เอกสารหมายเลข.....……….</t>
  </si>
  <si>
    <t xml:space="preserve"> </t>
  </si>
  <si>
    <t xml:space="preserve"> 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</si>
</sst>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5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6" xfId="6" applyFont="1" applyBorder="1" applyAlignment="1">
      <alignment horizontal="left"/>
    </xf>
    <xf numFmtId="0" fontId="3" fillId="0" borderId="4" xfId="6" applyFont="1" applyBorder="1" applyAlignment="1">
      <alignment horizontal="left"/>
    </xf>
    <xf numFmtId="2" fontId="3" fillId="0" borderId="5" xfId="6" applyNumberFormat="1" applyFont="1" applyBorder="1" applyAlignment="1">
      <alignment horizontal="left" vertical="top" wrapText="1"/>
    </xf>
    <xf numFmtId="2" fontId="3" fillId="0" borderId="1" xfId="6" applyNumberFormat="1" applyFont="1" applyBorder="1" applyAlignment="1">
      <alignment horizontal="left" vertical="top"/>
    </xf>
    <xf numFmtId="0" fontId="9" fillId="0" borderId="1" xfId="6" applyFont="1" applyBorder="1"/>
    <xf numFmtId="0" fontId="3" fillId="0" borderId="4" xfId="6" applyFont="1" applyBorder="1" applyAlignment="1">
      <alignment horizontal="center"/>
    </xf>
    <xf numFmtId="1" fontId="3" fillId="0" borderId="1" xfId="6" applyNumberFormat="1" applyFont="1" applyBorder="1" applyAlignment="1">
      <alignment horizontal="center" vertical="top"/>
    </xf>
    <xf numFmtId="43" fontId="3" fillId="0" borderId="5" xfId="1" applyFont="1" applyBorder="1"/>
    <xf numFmtId="43" fontId="3" fillId="0" borderId="1" xfId="1" applyFont="1" applyBorder="1"/>
    <xf numFmtId="43" fontId="3" fillId="0" borderId="4" xfId="1" applyFont="1" applyBorder="1"/>
    <xf numFmtId="43" fontId="3" fillId="0" borderId="1" xfId="1" applyFont="1" applyBorder="1" applyAlignment="1"/>
    <xf numFmtId="49" fontId="3" fillId="0" borderId="1" xfId="0" applyNumberFormat="1" applyFont="1" applyBorder="1" applyAlignment="1">
      <alignment horizontal="center" vertical="top"/>
    </xf>
    <xf numFmtId="43" fontId="3" fillId="0" borderId="1" xfId="12" applyNumberFormat="1" applyFont="1" applyFill="1" applyBorder="1" applyAlignment="1">
      <alignment horizontal="left"/>
    </xf>
    <xf numFmtId="43" fontId="3" fillId="0" borderId="1" xfId="12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/>
    </xf>
    <xf numFmtId="0" fontId="3" fillId="3" borderId="7" xfId="6" applyFont="1" applyFill="1" applyBorder="1" applyAlignment="1">
      <alignment horizontal="left"/>
    </xf>
    <xf numFmtId="0" fontId="7" fillId="0" borderId="7" xfId="6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3" fillId="0" borderId="7" xfId="6" applyFont="1" applyBorder="1" applyAlignment="1">
      <alignment horizontal="center"/>
    </xf>
    <xf numFmtId="43" fontId="7" fillId="0" borderId="7" xfId="1" applyFont="1" applyBorder="1"/>
    <xf numFmtId="0" fontId="4" fillId="3" borderId="7" xfId="0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3" fillId="0" borderId="8" xfId="6" applyFont="1" applyBorder="1" applyAlignment="1">
      <alignment horizontal="left"/>
    </xf>
    <xf numFmtId="0" fontId="3" fillId="0" borderId="8" xfId="6" applyFont="1" applyBorder="1"/>
    <xf numFmtId="0" fontId="3" fillId="0" borderId="8" xfId="2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8" xfId="6" applyFont="1" applyBorder="1" applyAlignment="1">
      <alignment horizontal="center"/>
    </xf>
    <xf numFmtId="43" fontId="3" fillId="0" borderId="8" xfId="1" applyFont="1" applyBorder="1"/>
    <xf numFmtId="0" fontId="4" fillId="0" borderId="8" xfId="0" applyFont="1" applyFill="1" applyBorder="1" applyAlignment="1">
      <alignment horizontal="left"/>
    </xf>
    <xf numFmtId="43" fontId="7" fillId="0" borderId="5" xfId="1" applyFont="1" applyBorder="1"/>
    <xf numFmtId="43" fontId="7" fillId="0" borderId="5" xfId="1" applyFont="1" applyBorder="1" applyAlignment="1">
      <alignment horizontal="center"/>
    </xf>
    <xf numFmtId="0" fontId="3" fillId="0" borderId="8" xfId="6" applyFont="1" applyFill="1" applyBorder="1" applyAlignment="1">
      <alignment horizontal="center"/>
    </xf>
    <xf numFmtId="43" fontId="6" fillId="0" borderId="9" xfId="0" applyNumberFormat="1" applyFont="1" applyBorder="1" applyAlignment="1"/>
    <xf numFmtId="0" fontId="4" fillId="0" borderId="9" xfId="0" applyFont="1" applyFill="1" applyBorder="1" applyAlignment="1">
      <alignment horizontal="left"/>
    </xf>
    <xf numFmtId="43" fontId="3" fillId="0" borderId="8" xfId="1" applyFont="1" applyBorder="1" applyAlignment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1133474</xdr:colOff>
      <xdr:row>23</xdr:row>
      <xdr:rowOff>57156</xdr:rowOff>
    </xdr:from>
    <xdr:to>
      <xdr:col>11</xdr:col>
      <xdr:colOff>1457321</xdr:colOff>
      <xdr:row>27</xdr:row>
      <xdr:rowOff>295280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C6449E2C-F82E-4BCB-A84B-CD88012B3A42}"/>
            </a:ext>
          </a:extLst>
        </xdr:cNvPr>
        <xdr:cNvSpPr txBox="1"/>
      </xdr:nvSpPr>
      <xdr:spPr>
        <a:xfrm rot="5400000">
          <a:off x="11672886" y="7939094"/>
          <a:ext cx="1457324" cy="323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1152524</xdr:colOff>
      <xdr:row>54</xdr:row>
      <xdr:rowOff>104783</xdr:rowOff>
    </xdr:from>
    <xdr:to>
      <xdr:col>11</xdr:col>
      <xdr:colOff>1476371</xdr:colOff>
      <xdr:row>59</xdr:row>
      <xdr:rowOff>38107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4DB334EA-FE45-4A29-A771-7B926DF5DA4A}"/>
            </a:ext>
          </a:extLst>
        </xdr:cNvPr>
        <xdr:cNvSpPr txBox="1"/>
      </xdr:nvSpPr>
      <xdr:spPr>
        <a:xfrm rot="5400000">
          <a:off x="11691936" y="17740321"/>
          <a:ext cx="1457324" cy="323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1133473</xdr:colOff>
      <xdr:row>79</xdr:row>
      <xdr:rowOff>104778</xdr:rowOff>
    </xdr:from>
    <xdr:to>
      <xdr:col>11</xdr:col>
      <xdr:colOff>1457322</xdr:colOff>
      <xdr:row>83</xdr:row>
      <xdr:rowOff>295276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FB30C649-72E0-4CAE-A3B7-BD592306EC2B}"/>
            </a:ext>
          </a:extLst>
        </xdr:cNvPr>
        <xdr:cNvSpPr txBox="1"/>
      </xdr:nvSpPr>
      <xdr:spPr>
        <a:xfrm rot="5400000">
          <a:off x="11696699" y="25336502"/>
          <a:ext cx="140969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7FDF-5FC9-4B42-9CE3-764A8D6CD4F2}">
  <dimension ref="A1:L85"/>
  <sheetViews>
    <sheetView tabSelected="1" workbookViewId="0">
      <selection activeCell="E46" sqref="E46"/>
    </sheetView>
  </sheetViews>
  <sheetFormatPr defaultRowHeight="24" customHeight="1"/>
  <cols>
    <col min="1" max="1" width="5.7109375" customWidth="1"/>
    <col min="2" max="2" width="12.7109375" customWidth="1"/>
    <col min="3" max="3" width="36.5703125" customWidth="1"/>
    <col min="4" max="4" width="38.42578125" customWidth="1"/>
    <col min="5" max="5" width="8.28515625" customWidth="1"/>
    <col min="6" max="6" width="8.85546875" customWidth="1"/>
    <col min="7" max="7" width="8" customWidth="1"/>
    <col min="8" max="8" width="8.28515625" customWidth="1"/>
    <col min="9" max="9" width="8.140625" customWidth="1"/>
    <col min="10" max="10" width="14.85546875" customWidth="1"/>
    <col min="11" max="11" width="16.28515625" customWidth="1"/>
    <col min="12" max="12" width="26.5703125" customWidth="1"/>
  </cols>
  <sheetData>
    <row r="1" spans="1:12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3" t="s">
        <v>133</v>
      </c>
    </row>
    <row r="2" spans="1:12" ht="24" customHeight="1">
      <c r="A2" s="43" t="s">
        <v>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24" customHeight="1">
      <c r="A3" s="44" t="s">
        <v>19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ht="24" customHeight="1">
      <c r="A4" s="45" t="s">
        <v>132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ht="24" customHeight="1">
      <c r="A5" s="46" t="s">
        <v>118</v>
      </c>
      <c r="B5" s="46" t="s">
        <v>18</v>
      </c>
      <c r="C5" s="46" t="s">
        <v>15</v>
      </c>
      <c r="D5" s="48" t="s">
        <v>0</v>
      </c>
      <c r="E5" s="46" t="s">
        <v>10</v>
      </c>
      <c r="F5" s="46" t="s">
        <v>9</v>
      </c>
      <c r="G5" s="50" t="s">
        <v>11</v>
      </c>
      <c r="H5" s="52" t="s">
        <v>1</v>
      </c>
      <c r="I5" s="53"/>
      <c r="J5" s="46" t="s">
        <v>14</v>
      </c>
      <c r="K5" s="46" t="s">
        <v>8</v>
      </c>
      <c r="L5" s="46" t="s">
        <v>13</v>
      </c>
    </row>
    <row r="6" spans="1:12" ht="48">
      <c r="A6" s="47"/>
      <c r="B6" s="47"/>
      <c r="C6" s="47"/>
      <c r="D6" s="49"/>
      <c r="E6" s="47"/>
      <c r="F6" s="47"/>
      <c r="G6" s="51"/>
      <c r="H6" s="14" t="s">
        <v>12</v>
      </c>
      <c r="I6" s="11" t="s">
        <v>3</v>
      </c>
      <c r="J6" s="47"/>
      <c r="K6" s="47"/>
      <c r="L6" s="47"/>
    </row>
    <row r="7" spans="1:12" ht="24" customHeight="1">
      <c r="A7" s="9">
        <v>1</v>
      </c>
      <c r="B7" s="24" t="s">
        <v>21</v>
      </c>
      <c r="C7" s="25" t="s">
        <v>22</v>
      </c>
      <c r="D7" s="1" t="s">
        <v>30</v>
      </c>
      <c r="E7" s="4" t="s">
        <v>102</v>
      </c>
      <c r="F7" s="4">
        <v>26</v>
      </c>
      <c r="G7" s="4" t="s">
        <v>107</v>
      </c>
      <c r="H7" s="5">
        <v>10</v>
      </c>
      <c r="I7" s="5">
        <v>10</v>
      </c>
      <c r="J7" s="33">
        <v>3271.03</v>
      </c>
      <c r="K7" s="33">
        <f>SUM(I7*J7)</f>
        <v>32710.300000000003</v>
      </c>
      <c r="L7" s="38" t="s">
        <v>120</v>
      </c>
    </row>
    <row r="8" spans="1:12" ht="24" customHeight="1">
      <c r="A8" s="9">
        <v>2</v>
      </c>
      <c r="B8" s="24" t="s">
        <v>21</v>
      </c>
      <c r="C8" s="3" t="s">
        <v>23</v>
      </c>
      <c r="D8" s="1" t="s">
        <v>31</v>
      </c>
      <c r="E8" s="4" t="s">
        <v>102</v>
      </c>
      <c r="F8" s="4">
        <v>26</v>
      </c>
      <c r="G8" s="4" t="s">
        <v>107</v>
      </c>
      <c r="H8" s="5">
        <v>1</v>
      </c>
      <c r="I8" s="5">
        <v>1</v>
      </c>
      <c r="J8" s="34">
        <v>499900</v>
      </c>
      <c r="K8" s="33">
        <f t="shared" ref="K8:K21" si="0">SUM(I8*J8)</f>
        <v>499900</v>
      </c>
      <c r="L8" s="38" t="s">
        <v>120</v>
      </c>
    </row>
    <row r="9" spans="1:12" ht="24" customHeight="1">
      <c r="A9" s="9">
        <v>3</v>
      </c>
      <c r="B9" s="24" t="s">
        <v>21</v>
      </c>
      <c r="C9" s="3" t="s">
        <v>24</v>
      </c>
      <c r="D9" s="1" t="s">
        <v>32</v>
      </c>
      <c r="E9" s="4" t="s">
        <v>102</v>
      </c>
      <c r="F9" s="4">
        <v>26</v>
      </c>
      <c r="G9" s="4" t="s">
        <v>107</v>
      </c>
      <c r="H9" s="5">
        <v>7</v>
      </c>
      <c r="I9" s="5">
        <v>7</v>
      </c>
      <c r="J9" s="34">
        <v>49972</v>
      </c>
      <c r="K9" s="33">
        <f t="shared" si="0"/>
        <v>349804</v>
      </c>
      <c r="L9" s="38" t="s">
        <v>121</v>
      </c>
    </row>
    <row r="10" spans="1:12" ht="24" customHeight="1">
      <c r="A10" s="9">
        <v>4</v>
      </c>
      <c r="B10" s="24" t="s">
        <v>21</v>
      </c>
      <c r="C10" s="3" t="s">
        <v>25</v>
      </c>
      <c r="D10" s="1" t="s">
        <v>33</v>
      </c>
      <c r="E10" s="4" t="s">
        <v>102</v>
      </c>
      <c r="F10" s="4">
        <v>26</v>
      </c>
      <c r="G10" s="4" t="s">
        <v>107</v>
      </c>
      <c r="H10" s="5">
        <v>20</v>
      </c>
      <c r="I10" s="5">
        <v>20</v>
      </c>
      <c r="J10" s="34">
        <v>1985</v>
      </c>
      <c r="K10" s="33">
        <f t="shared" si="0"/>
        <v>39700</v>
      </c>
      <c r="L10" s="38" t="s">
        <v>113</v>
      </c>
    </row>
    <row r="11" spans="1:12" ht="24" customHeight="1">
      <c r="A11" s="9">
        <v>5</v>
      </c>
      <c r="B11" s="24" t="s">
        <v>21</v>
      </c>
      <c r="C11" s="3" t="s">
        <v>26</v>
      </c>
      <c r="D11" s="1" t="s">
        <v>34</v>
      </c>
      <c r="E11" s="4" t="s">
        <v>102</v>
      </c>
      <c r="F11" s="4">
        <v>26</v>
      </c>
      <c r="G11" s="4" t="s">
        <v>107</v>
      </c>
      <c r="H11" s="5">
        <v>10</v>
      </c>
      <c r="I11" s="5">
        <v>10</v>
      </c>
      <c r="J11" s="34">
        <v>14970</v>
      </c>
      <c r="K11" s="33">
        <f t="shared" si="0"/>
        <v>149700</v>
      </c>
      <c r="L11" s="38" t="s">
        <v>122</v>
      </c>
    </row>
    <row r="12" spans="1:12" ht="24" customHeight="1">
      <c r="A12" s="9">
        <v>6</v>
      </c>
      <c r="B12" s="24" t="s">
        <v>21</v>
      </c>
      <c r="C12" s="25" t="s">
        <v>27</v>
      </c>
      <c r="D12" s="1" t="s">
        <v>35</v>
      </c>
      <c r="E12" s="4" t="s">
        <v>102</v>
      </c>
      <c r="F12" s="4">
        <v>26</v>
      </c>
      <c r="G12" s="4" t="s">
        <v>107</v>
      </c>
      <c r="H12" s="5">
        <v>10</v>
      </c>
      <c r="I12" s="5">
        <v>10</v>
      </c>
      <c r="J12" s="34">
        <v>4970</v>
      </c>
      <c r="K12" s="33">
        <f t="shared" si="0"/>
        <v>49700</v>
      </c>
      <c r="L12" s="38" t="s">
        <v>123</v>
      </c>
    </row>
    <row r="13" spans="1:12" ht="24" customHeight="1">
      <c r="A13" s="9">
        <v>7</v>
      </c>
      <c r="B13" s="24" t="s">
        <v>21</v>
      </c>
      <c r="C13" s="25" t="s">
        <v>28</v>
      </c>
      <c r="D13" s="1" t="s">
        <v>36</v>
      </c>
      <c r="E13" s="4" t="s">
        <v>102</v>
      </c>
      <c r="F13" s="4">
        <v>26</v>
      </c>
      <c r="G13" s="4" t="s">
        <v>107</v>
      </c>
      <c r="H13" s="5">
        <v>6</v>
      </c>
      <c r="I13" s="5">
        <v>6</v>
      </c>
      <c r="J13" s="34">
        <v>9950</v>
      </c>
      <c r="K13" s="33">
        <f t="shared" si="0"/>
        <v>59700</v>
      </c>
      <c r="L13" s="38" t="s">
        <v>124</v>
      </c>
    </row>
    <row r="14" spans="1:12" ht="24" customHeight="1">
      <c r="A14" s="9">
        <v>8</v>
      </c>
      <c r="B14" s="24" t="s">
        <v>21</v>
      </c>
      <c r="C14" s="26" t="s">
        <v>29</v>
      </c>
      <c r="D14" s="27" t="s">
        <v>37</v>
      </c>
      <c r="E14" s="4" t="s">
        <v>102</v>
      </c>
      <c r="F14" s="4">
        <v>26</v>
      </c>
      <c r="G14" s="4" t="s">
        <v>107</v>
      </c>
      <c r="H14" s="31">
        <v>1</v>
      </c>
      <c r="I14" s="31">
        <v>1</v>
      </c>
      <c r="J14" s="35">
        <v>484700</v>
      </c>
      <c r="K14" s="33">
        <f t="shared" si="0"/>
        <v>484700</v>
      </c>
      <c r="L14" s="38" t="s">
        <v>125</v>
      </c>
    </row>
    <row r="15" spans="1:12" ht="24" customHeight="1">
      <c r="A15" s="9">
        <v>9</v>
      </c>
      <c r="B15" s="24" t="s">
        <v>21</v>
      </c>
      <c r="C15" s="3" t="s">
        <v>38</v>
      </c>
      <c r="D15" s="3" t="s">
        <v>39</v>
      </c>
      <c r="E15" s="4" t="s">
        <v>102</v>
      </c>
      <c r="F15" s="4">
        <v>26</v>
      </c>
      <c r="G15" s="4" t="s">
        <v>107</v>
      </c>
      <c r="H15" s="5">
        <v>2</v>
      </c>
      <c r="I15" s="5">
        <v>2</v>
      </c>
      <c r="J15" s="34">
        <v>9975</v>
      </c>
      <c r="K15" s="33">
        <f t="shared" si="0"/>
        <v>19950</v>
      </c>
      <c r="L15" s="38" t="s">
        <v>126</v>
      </c>
    </row>
    <row r="16" spans="1:12" ht="24" customHeight="1">
      <c r="A16" s="9">
        <v>10</v>
      </c>
      <c r="B16" s="24" t="s">
        <v>21</v>
      </c>
      <c r="C16" s="3" t="s">
        <v>40</v>
      </c>
      <c r="D16" s="3" t="s">
        <v>41</v>
      </c>
      <c r="E16" s="4" t="s">
        <v>102</v>
      </c>
      <c r="F16" s="4">
        <v>26</v>
      </c>
      <c r="G16" s="4" t="s">
        <v>107</v>
      </c>
      <c r="H16" s="5">
        <v>5</v>
      </c>
      <c r="I16" s="5">
        <v>5</v>
      </c>
      <c r="J16" s="34">
        <v>2985</v>
      </c>
      <c r="K16" s="33">
        <f t="shared" si="0"/>
        <v>14925</v>
      </c>
      <c r="L16" s="38" t="s">
        <v>108</v>
      </c>
    </row>
    <row r="17" spans="1:12" ht="24" customHeight="1">
      <c r="A17" s="9">
        <v>11</v>
      </c>
      <c r="B17" s="24" t="s">
        <v>21</v>
      </c>
      <c r="C17" s="3" t="s">
        <v>42</v>
      </c>
      <c r="D17" s="3" t="s">
        <v>43</v>
      </c>
      <c r="E17" s="4" t="s">
        <v>102</v>
      </c>
      <c r="F17" s="4">
        <v>26</v>
      </c>
      <c r="G17" s="4" t="s">
        <v>107</v>
      </c>
      <c r="H17" s="5">
        <v>2</v>
      </c>
      <c r="I17" s="5">
        <v>2</v>
      </c>
      <c r="J17" s="34">
        <v>17200</v>
      </c>
      <c r="K17" s="33">
        <f t="shared" si="0"/>
        <v>34400</v>
      </c>
      <c r="L17" s="38" t="s">
        <v>121</v>
      </c>
    </row>
    <row r="18" spans="1:12" ht="24" customHeight="1">
      <c r="A18" s="9">
        <v>12</v>
      </c>
      <c r="B18" s="24" t="s">
        <v>21</v>
      </c>
      <c r="C18" s="25" t="s">
        <v>44</v>
      </c>
      <c r="D18" s="3" t="s">
        <v>45</v>
      </c>
      <c r="E18" s="4" t="s">
        <v>102</v>
      </c>
      <c r="F18" s="4">
        <v>26</v>
      </c>
      <c r="G18" s="4" t="s">
        <v>107</v>
      </c>
      <c r="H18" s="5">
        <v>2</v>
      </c>
      <c r="I18" s="5">
        <v>2</v>
      </c>
      <c r="J18" s="34">
        <v>7950</v>
      </c>
      <c r="K18" s="33">
        <f t="shared" si="0"/>
        <v>15900</v>
      </c>
      <c r="L18" s="38" t="s">
        <v>108</v>
      </c>
    </row>
    <row r="19" spans="1:12" ht="24" customHeight="1">
      <c r="A19" s="9">
        <v>13</v>
      </c>
      <c r="B19" s="24" t="s">
        <v>21</v>
      </c>
      <c r="C19" s="25" t="s">
        <v>46</v>
      </c>
      <c r="D19" s="3" t="s">
        <v>47</v>
      </c>
      <c r="E19" s="4" t="s">
        <v>102</v>
      </c>
      <c r="F19" s="4">
        <v>26</v>
      </c>
      <c r="G19" s="4" t="s">
        <v>107</v>
      </c>
      <c r="H19" s="5">
        <v>1</v>
      </c>
      <c r="I19" s="5">
        <v>1</v>
      </c>
      <c r="J19" s="34">
        <v>79500</v>
      </c>
      <c r="K19" s="33">
        <f t="shared" si="0"/>
        <v>79500</v>
      </c>
      <c r="L19" s="38" t="s">
        <v>127</v>
      </c>
    </row>
    <row r="20" spans="1:12" ht="24" customHeight="1">
      <c r="A20" s="9">
        <v>14</v>
      </c>
      <c r="B20" s="37" t="s">
        <v>21</v>
      </c>
      <c r="C20" s="28" t="s">
        <v>119</v>
      </c>
      <c r="D20" s="29" t="s">
        <v>48</v>
      </c>
      <c r="E20" s="12" t="s">
        <v>102</v>
      </c>
      <c r="F20" s="4">
        <v>26</v>
      </c>
      <c r="G20" s="12" t="s">
        <v>107</v>
      </c>
      <c r="H20" s="32">
        <v>2</v>
      </c>
      <c r="I20" s="32">
        <v>2</v>
      </c>
      <c r="J20" s="13">
        <v>7925</v>
      </c>
      <c r="K20" s="33">
        <f t="shared" si="0"/>
        <v>15850</v>
      </c>
      <c r="L20" s="39" t="s">
        <v>108</v>
      </c>
    </row>
    <row r="21" spans="1:12" ht="24" customHeight="1" thickBot="1">
      <c r="A21" s="67">
        <v>15</v>
      </c>
      <c r="B21" s="68" t="s">
        <v>49</v>
      </c>
      <c r="C21" s="69" t="s">
        <v>50</v>
      </c>
      <c r="D21" s="70" t="s">
        <v>51</v>
      </c>
      <c r="E21" s="71" t="s">
        <v>102</v>
      </c>
      <c r="F21" s="72">
        <v>25</v>
      </c>
      <c r="G21" s="71" t="s">
        <v>107</v>
      </c>
      <c r="H21" s="73">
        <v>1</v>
      </c>
      <c r="I21" s="73">
        <v>1</v>
      </c>
      <c r="J21" s="74">
        <v>925000</v>
      </c>
      <c r="K21" s="74">
        <f t="shared" si="0"/>
        <v>925000</v>
      </c>
      <c r="L21" s="75" t="s">
        <v>121</v>
      </c>
    </row>
    <row r="22" spans="1:12" ht="24" customHeight="1" thickBot="1">
      <c r="A22" s="55"/>
      <c r="B22" s="56"/>
      <c r="C22" s="57"/>
      <c r="D22" s="58"/>
      <c r="E22" s="59"/>
      <c r="F22" s="59"/>
      <c r="G22" s="60"/>
      <c r="H22" s="59"/>
      <c r="I22" s="61"/>
      <c r="J22" s="58" t="s">
        <v>101</v>
      </c>
      <c r="K22" s="62">
        <f>SUM(K7:K21)</f>
        <v>2771439.3</v>
      </c>
      <c r="L22" s="63"/>
    </row>
    <row r="23" spans="1:12" ht="24" customHeight="1" thickTop="1">
      <c r="A23" s="42"/>
      <c r="B23" s="42"/>
      <c r="C23" s="42"/>
      <c r="D23" s="42"/>
      <c r="E23" s="42"/>
      <c r="F23" s="42"/>
      <c r="G23" s="42"/>
      <c r="H23" s="42"/>
      <c r="I23" s="64"/>
      <c r="J23" s="16"/>
      <c r="K23" s="16"/>
      <c r="L23" s="23"/>
    </row>
    <row r="24" spans="1:12" ht="24" customHeight="1">
      <c r="A24" s="2"/>
      <c r="B24" s="65" t="s">
        <v>2</v>
      </c>
      <c r="C24" s="18" t="s">
        <v>16</v>
      </c>
      <c r="D24" s="2"/>
      <c r="E24" s="2"/>
      <c r="F24" s="2"/>
      <c r="G24" s="2"/>
      <c r="H24" s="2"/>
      <c r="I24" s="64"/>
      <c r="J24" s="2"/>
      <c r="K24" s="2"/>
      <c r="L24" s="23"/>
    </row>
    <row r="25" spans="1:12" ht="24" customHeight="1">
      <c r="A25" s="2"/>
      <c r="B25" s="23"/>
      <c r="C25" s="18" t="s">
        <v>17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ht="24" customHeight="1">
      <c r="A26" s="2"/>
      <c r="B26" s="23"/>
      <c r="C26" s="18"/>
      <c r="D26" s="2"/>
      <c r="E26" s="2"/>
      <c r="F26" s="2"/>
      <c r="G26" s="2" t="s">
        <v>134</v>
      </c>
      <c r="H26" s="2"/>
      <c r="I26" s="2"/>
      <c r="J26" s="2"/>
      <c r="K26" s="2"/>
      <c r="L26" s="2"/>
    </row>
    <row r="27" spans="1:12" ht="24" customHeight="1">
      <c r="A27" s="2"/>
      <c r="B27" s="23"/>
      <c r="C27" s="18"/>
      <c r="D27" s="2"/>
      <c r="E27" s="2"/>
      <c r="F27" s="2"/>
      <c r="G27" s="2"/>
      <c r="H27" s="66" t="s">
        <v>135</v>
      </c>
      <c r="I27" s="66"/>
      <c r="J27" s="66"/>
      <c r="K27" s="66"/>
      <c r="L27" s="2"/>
    </row>
    <row r="28" spans="1:12" ht="24" customHeight="1">
      <c r="A28" s="2"/>
      <c r="B28" s="23"/>
      <c r="C28" s="18"/>
      <c r="D28" s="2"/>
      <c r="E28" s="2"/>
      <c r="F28" s="2"/>
      <c r="G28" s="2"/>
      <c r="H28" s="66" t="s">
        <v>20</v>
      </c>
      <c r="I28" s="66"/>
      <c r="J28" s="66"/>
      <c r="K28" s="66"/>
      <c r="L28" s="23"/>
    </row>
    <row r="29" spans="1:12" ht="24" customHeight="1">
      <c r="A29" s="2"/>
      <c r="B29" s="23"/>
      <c r="C29" s="18"/>
      <c r="D29" s="2"/>
      <c r="E29" s="2"/>
      <c r="F29" s="2"/>
      <c r="G29" s="2"/>
      <c r="H29" s="66" t="s">
        <v>5</v>
      </c>
      <c r="I29" s="66"/>
      <c r="J29" s="66"/>
      <c r="K29" s="66"/>
      <c r="L29" s="23"/>
    </row>
    <row r="31" spans="1:12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3" t="s">
        <v>133</v>
      </c>
    </row>
    <row r="32" spans="1:12" ht="24" customHeight="1">
      <c r="A32" s="43" t="s">
        <v>7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spans="1:12" ht="24" customHeight="1">
      <c r="A33" s="44" t="s">
        <v>19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</row>
    <row r="34" spans="1:12" ht="24" customHeight="1">
      <c r="A34" s="45" t="s">
        <v>132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 ht="24" customHeight="1">
      <c r="A35" s="46" t="s">
        <v>118</v>
      </c>
      <c r="B35" s="46" t="s">
        <v>18</v>
      </c>
      <c r="C35" s="46" t="s">
        <v>15</v>
      </c>
      <c r="D35" s="48" t="s">
        <v>0</v>
      </c>
      <c r="E35" s="46" t="s">
        <v>10</v>
      </c>
      <c r="F35" s="46" t="s">
        <v>9</v>
      </c>
      <c r="G35" s="50" t="s">
        <v>11</v>
      </c>
      <c r="H35" s="52" t="s">
        <v>1</v>
      </c>
      <c r="I35" s="53"/>
      <c r="J35" s="46" t="s">
        <v>14</v>
      </c>
      <c r="K35" s="46" t="s">
        <v>8</v>
      </c>
      <c r="L35" s="46" t="s">
        <v>13</v>
      </c>
    </row>
    <row r="36" spans="1:12" ht="48">
      <c r="A36" s="47"/>
      <c r="B36" s="47"/>
      <c r="C36" s="47"/>
      <c r="D36" s="49"/>
      <c r="E36" s="47"/>
      <c r="F36" s="47"/>
      <c r="G36" s="51"/>
      <c r="H36" s="14" t="s">
        <v>12</v>
      </c>
      <c r="I36" s="11" t="s">
        <v>3</v>
      </c>
      <c r="J36" s="47"/>
      <c r="K36" s="47"/>
      <c r="L36" s="47"/>
    </row>
    <row r="37" spans="1:12" ht="24" customHeight="1">
      <c r="A37" s="9"/>
      <c r="B37" s="24"/>
      <c r="C37" s="25"/>
      <c r="D37" s="1"/>
      <c r="E37" s="4"/>
      <c r="F37" s="4"/>
      <c r="G37" s="4"/>
      <c r="H37" s="5"/>
      <c r="I37" s="5"/>
      <c r="J37" s="77" t="s">
        <v>103</v>
      </c>
      <c r="K37" s="76">
        <f>SUM(K22)</f>
        <v>2771439.3</v>
      </c>
      <c r="L37" s="38"/>
    </row>
    <row r="38" spans="1:12" ht="24" customHeight="1">
      <c r="A38" s="9">
        <v>16</v>
      </c>
      <c r="B38" s="24" t="s">
        <v>49</v>
      </c>
      <c r="C38" s="3" t="s">
        <v>52</v>
      </c>
      <c r="D38" s="1" t="s">
        <v>53</v>
      </c>
      <c r="E38" s="4" t="s">
        <v>102</v>
      </c>
      <c r="F38" s="15">
        <v>25</v>
      </c>
      <c r="G38" s="4" t="s">
        <v>107</v>
      </c>
      <c r="H38" s="5">
        <v>1</v>
      </c>
      <c r="I38" s="5">
        <v>1</v>
      </c>
      <c r="J38" s="34">
        <v>541900</v>
      </c>
      <c r="K38" s="33">
        <f>SUM(I38*J38)</f>
        <v>541900</v>
      </c>
      <c r="L38" s="40" t="s">
        <v>121</v>
      </c>
    </row>
    <row r="39" spans="1:12" ht="24" customHeight="1">
      <c r="A39" s="9">
        <v>17</v>
      </c>
      <c r="B39" s="24" t="s">
        <v>49</v>
      </c>
      <c r="C39" s="3" t="s">
        <v>54</v>
      </c>
      <c r="D39" s="1" t="s">
        <v>55</v>
      </c>
      <c r="E39" s="4" t="s">
        <v>102</v>
      </c>
      <c r="F39" s="15">
        <v>25</v>
      </c>
      <c r="G39" s="4" t="s">
        <v>107</v>
      </c>
      <c r="H39" s="5">
        <v>1</v>
      </c>
      <c r="I39" s="5">
        <v>1</v>
      </c>
      <c r="J39" s="34">
        <v>121300</v>
      </c>
      <c r="K39" s="33">
        <f t="shared" ref="K39:K52" si="1">SUM(I39*J39)</f>
        <v>121300</v>
      </c>
      <c r="L39" s="40" t="s">
        <v>121</v>
      </c>
    </row>
    <row r="40" spans="1:12" ht="24" customHeight="1">
      <c r="A40" s="9">
        <v>18</v>
      </c>
      <c r="B40" s="24" t="s">
        <v>49</v>
      </c>
      <c r="C40" s="3" t="s">
        <v>56</v>
      </c>
      <c r="D40" s="1" t="s">
        <v>57</v>
      </c>
      <c r="E40" s="4" t="s">
        <v>102</v>
      </c>
      <c r="F40" s="15">
        <v>25</v>
      </c>
      <c r="G40" s="4" t="s">
        <v>107</v>
      </c>
      <c r="H40" s="5">
        <v>5</v>
      </c>
      <c r="I40" s="5">
        <v>5</v>
      </c>
      <c r="J40" s="34">
        <v>89880</v>
      </c>
      <c r="K40" s="33">
        <f t="shared" si="1"/>
        <v>449400</v>
      </c>
      <c r="L40" s="40" t="s">
        <v>121</v>
      </c>
    </row>
    <row r="41" spans="1:12" ht="24" customHeight="1">
      <c r="A41" s="9">
        <v>19</v>
      </c>
      <c r="B41" s="24" t="s">
        <v>49</v>
      </c>
      <c r="C41" s="3" t="s">
        <v>58</v>
      </c>
      <c r="D41" s="1" t="s">
        <v>59</v>
      </c>
      <c r="E41" s="4" t="s">
        <v>102</v>
      </c>
      <c r="F41" s="15">
        <v>25</v>
      </c>
      <c r="G41" s="4" t="s">
        <v>107</v>
      </c>
      <c r="H41" s="5">
        <v>5</v>
      </c>
      <c r="I41" s="5">
        <v>5</v>
      </c>
      <c r="J41" s="34">
        <v>34882</v>
      </c>
      <c r="K41" s="33">
        <f t="shared" si="1"/>
        <v>174410</v>
      </c>
      <c r="L41" s="40" t="s">
        <v>121</v>
      </c>
    </row>
    <row r="42" spans="1:12" ht="24" customHeight="1">
      <c r="A42" s="9">
        <v>20</v>
      </c>
      <c r="B42" s="24" t="s">
        <v>49</v>
      </c>
      <c r="C42" s="3" t="s">
        <v>60</v>
      </c>
      <c r="D42" s="1" t="s">
        <v>61</v>
      </c>
      <c r="E42" s="4" t="s">
        <v>102</v>
      </c>
      <c r="F42" s="15">
        <v>25</v>
      </c>
      <c r="G42" s="4" t="s">
        <v>107</v>
      </c>
      <c r="H42" s="5">
        <v>5</v>
      </c>
      <c r="I42" s="5">
        <v>5</v>
      </c>
      <c r="J42" s="34">
        <v>34882</v>
      </c>
      <c r="K42" s="33">
        <f t="shared" si="1"/>
        <v>174410</v>
      </c>
      <c r="L42" s="40" t="s">
        <v>121</v>
      </c>
    </row>
    <row r="43" spans="1:12" ht="24" customHeight="1">
      <c r="A43" s="9">
        <v>21</v>
      </c>
      <c r="B43" s="24" t="s">
        <v>49</v>
      </c>
      <c r="C43" s="3" t="s">
        <v>62</v>
      </c>
      <c r="D43" s="1" t="s">
        <v>63</v>
      </c>
      <c r="E43" s="4" t="s">
        <v>102</v>
      </c>
      <c r="F43" s="15">
        <v>25</v>
      </c>
      <c r="G43" s="4" t="s">
        <v>107</v>
      </c>
      <c r="H43" s="5">
        <v>1</v>
      </c>
      <c r="I43" s="5">
        <v>1</v>
      </c>
      <c r="J43" s="34">
        <v>499690</v>
      </c>
      <c r="K43" s="33">
        <f t="shared" si="1"/>
        <v>499690</v>
      </c>
      <c r="L43" s="40" t="s">
        <v>121</v>
      </c>
    </row>
    <row r="44" spans="1:12" ht="24" customHeight="1">
      <c r="A44" s="9">
        <v>22</v>
      </c>
      <c r="B44" s="24" t="s">
        <v>49</v>
      </c>
      <c r="C44" s="3" t="s">
        <v>64</v>
      </c>
      <c r="D44" s="1" t="s">
        <v>65</v>
      </c>
      <c r="E44" s="4" t="s">
        <v>102</v>
      </c>
      <c r="F44" s="15">
        <v>25</v>
      </c>
      <c r="G44" s="4" t="s">
        <v>107</v>
      </c>
      <c r="H44" s="5">
        <v>1</v>
      </c>
      <c r="I44" s="5">
        <v>1</v>
      </c>
      <c r="J44" s="34">
        <v>179760</v>
      </c>
      <c r="K44" s="33">
        <f t="shared" si="1"/>
        <v>179760</v>
      </c>
      <c r="L44" s="40" t="s">
        <v>121</v>
      </c>
    </row>
    <row r="45" spans="1:12" ht="24" customHeight="1">
      <c r="A45" s="9">
        <v>23</v>
      </c>
      <c r="B45" s="24" t="s">
        <v>49</v>
      </c>
      <c r="C45" s="25" t="s">
        <v>66</v>
      </c>
      <c r="D45" s="1" t="s">
        <v>67</v>
      </c>
      <c r="E45" s="4" t="s">
        <v>102</v>
      </c>
      <c r="F45" s="15">
        <v>25</v>
      </c>
      <c r="G45" s="4" t="s">
        <v>107</v>
      </c>
      <c r="H45" s="5">
        <v>5</v>
      </c>
      <c r="I45" s="5">
        <v>5</v>
      </c>
      <c r="J45" s="34">
        <v>92234</v>
      </c>
      <c r="K45" s="33">
        <f t="shared" si="1"/>
        <v>461170</v>
      </c>
      <c r="L45" s="40" t="s">
        <v>121</v>
      </c>
    </row>
    <row r="46" spans="1:12" ht="24" customHeight="1">
      <c r="A46" s="9">
        <v>24</v>
      </c>
      <c r="B46" s="24" t="s">
        <v>49</v>
      </c>
      <c r="C46" s="25" t="s">
        <v>68</v>
      </c>
      <c r="D46" s="1" t="s">
        <v>69</v>
      </c>
      <c r="E46" s="4" t="s">
        <v>102</v>
      </c>
      <c r="F46" s="15">
        <v>25</v>
      </c>
      <c r="G46" s="4" t="s">
        <v>107</v>
      </c>
      <c r="H46" s="5">
        <v>5</v>
      </c>
      <c r="I46" s="5">
        <v>5</v>
      </c>
      <c r="J46" s="34">
        <v>59706</v>
      </c>
      <c r="K46" s="33">
        <f t="shared" si="1"/>
        <v>298530</v>
      </c>
      <c r="L46" s="40" t="s">
        <v>121</v>
      </c>
    </row>
    <row r="47" spans="1:12" ht="24" customHeight="1">
      <c r="A47" s="9">
        <v>25</v>
      </c>
      <c r="B47" s="15">
        <v>2541</v>
      </c>
      <c r="C47" s="25" t="s">
        <v>70</v>
      </c>
      <c r="D47" s="1" t="s">
        <v>71</v>
      </c>
      <c r="E47" s="4" t="s">
        <v>102</v>
      </c>
      <c r="F47" s="15">
        <v>24</v>
      </c>
      <c r="G47" s="4" t="s">
        <v>106</v>
      </c>
      <c r="H47" s="5">
        <v>1</v>
      </c>
      <c r="I47" s="5">
        <v>1</v>
      </c>
      <c r="J47" s="34">
        <v>200000</v>
      </c>
      <c r="K47" s="33">
        <f t="shared" si="1"/>
        <v>200000</v>
      </c>
      <c r="L47" s="40" t="s">
        <v>109</v>
      </c>
    </row>
    <row r="48" spans="1:12" ht="24" customHeight="1">
      <c r="A48" s="9">
        <v>26</v>
      </c>
      <c r="B48" s="15">
        <v>2541</v>
      </c>
      <c r="C48" s="25" t="s">
        <v>72</v>
      </c>
      <c r="D48" s="1" t="s">
        <v>73</v>
      </c>
      <c r="E48" s="4" t="s">
        <v>102</v>
      </c>
      <c r="F48" s="15">
        <v>24</v>
      </c>
      <c r="G48" s="4" t="s">
        <v>106</v>
      </c>
      <c r="H48" s="5">
        <v>1</v>
      </c>
      <c r="I48" s="5">
        <v>1</v>
      </c>
      <c r="J48" s="34">
        <v>48950</v>
      </c>
      <c r="K48" s="33">
        <f t="shared" si="1"/>
        <v>48950</v>
      </c>
      <c r="L48" s="40" t="s">
        <v>128</v>
      </c>
    </row>
    <row r="49" spans="1:12" ht="24" customHeight="1">
      <c r="A49" s="9">
        <v>27</v>
      </c>
      <c r="B49" s="15">
        <v>2541</v>
      </c>
      <c r="C49" s="25" t="s">
        <v>74</v>
      </c>
      <c r="D49" s="1" t="s">
        <v>75</v>
      </c>
      <c r="E49" s="4" t="s">
        <v>102</v>
      </c>
      <c r="F49" s="15">
        <v>24</v>
      </c>
      <c r="G49" s="4" t="s">
        <v>106</v>
      </c>
      <c r="H49" s="5">
        <v>1</v>
      </c>
      <c r="I49" s="5">
        <v>1</v>
      </c>
      <c r="J49" s="34">
        <v>29700</v>
      </c>
      <c r="K49" s="33">
        <f t="shared" si="1"/>
        <v>29700</v>
      </c>
      <c r="L49" s="40" t="s">
        <v>114</v>
      </c>
    </row>
    <row r="50" spans="1:12" ht="24" customHeight="1">
      <c r="A50" s="9">
        <v>28</v>
      </c>
      <c r="B50" s="15">
        <v>2541</v>
      </c>
      <c r="C50" s="25" t="s">
        <v>76</v>
      </c>
      <c r="D50" s="1" t="s">
        <v>77</v>
      </c>
      <c r="E50" s="4" t="s">
        <v>102</v>
      </c>
      <c r="F50" s="15">
        <v>24</v>
      </c>
      <c r="G50" s="4" t="s">
        <v>106</v>
      </c>
      <c r="H50" s="5">
        <v>1</v>
      </c>
      <c r="I50" s="5">
        <v>1</v>
      </c>
      <c r="J50" s="34">
        <v>115060</v>
      </c>
      <c r="K50" s="33">
        <f t="shared" si="1"/>
        <v>115060</v>
      </c>
      <c r="L50" s="40" t="s">
        <v>110</v>
      </c>
    </row>
    <row r="51" spans="1:12" ht="24" customHeight="1">
      <c r="A51" s="9">
        <v>29</v>
      </c>
      <c r="B51" s="15">
        <v>2541</v>
      </c>
      <c r="C51" s="3" t="s">
        <v>78</v>
      </c>
      <c r="D51" s="1" t="s">
        <v>79</v>
      </c>
      <c r="E51" s="4" t="s">
        <v>102</v>
      </c>
      <c r="F51" s="15">
        <v>24</v>
      </c>
      <c r="G51" s="4" t="s">
        <v>106</v>
      </c>
      <c r="H51" s="10">
        <v>1</v>
      </c>
      <c r="I51" s="10">
        <v>1</v>
      </c>
      <c r="J51" s="34">
        <v>46750</v>
      </c>
      <c r="K51" s="33">
        <f t="shared" si="1"/>
        <v>46750</v>
      </c>
      <c r="L51" s="40" t="s">
        <v>113</v>
      </c>
    </row>
    <row r="52" spans="1:12" ht="24" customHeight="1" thickBot="1">
      <c r="A52" s="67">
        <v>30</v>
      </c>
      <c r="B52" s="72">
        <v>2541</v>
      </c>
      <c r="C52" s="69" t="s">
        <v>80</v>
      </c>
      <c r="D52" s="70" t="s">
        <v>81</v>
      </c>
      <c r="E52" s="71" t="s">
        <v>102</v>
      </c>
      <c r="F52" s="72">
        <v>24</v>
      </c>
      <c r="G52" s="71" t="s">
        <v>106</v>
      </c>
      <c r="H52" s="78">
        <v>1</v>
      </c>
      <c r="I52" s="78">
        <v>1</v>
      </c>
      <c r="J52" s="74">
        <v>44990</v>
      </c>
      <c r="K52" s="74">
        <f t="shared" si="1"/>
        <v>44990</v>
      </c>
      <c r="L52" s="75" t="s">
        <v>112</v>
      </c>
    </row>
    <row r="53" spans="1:12" ht="24" customHeight="1" thickBot="1">
      <c r="A53" s="55"/>
      <c r="B53" s="56"/>
      <c r="C53" s="57"/>
      <c r="D53" s="58"/>
      <c r="E53" s="59"/>
      <c r="F53" s="59"/>
      <c r="G53" s="60"/>
      <c r="H53" s="59"/>
      <c r="I53" s="61"/>
      <c r="J53" s="58" t="s">
        <v>101</v>
      </c>
      <c r="K53" s="62">
        <f>SUM(K37:K52)</f>
        <v>6157459.2999999998</v>
      </c>
      <c r="L53" s="63"/>
    </row>
    <row r="54" spans="1:12" ht="24" customHeight="1" thickTop="1">
      <c r="A54" s="42"/>
      <c r="B54" s="42"/>
      <c r="C54" s="42"/>
      <c r="D54" s="42"/>
      <c r="E54" s="42"/>
      <c r="F54" s="42"/>
      <c r="G54" s="42"/>
      <c r="H54" s="42"/>
      <c r="I54" s="64"/>
      <c r="J54" s="16"/>
      <c r="K54" s="16"/>
      <c r="L54" s="23"/>
    </row>
    <row r="55" spans="1:12" ht="24" customHeight="1">
      <c r="A55" s="2"/>
      <c r="B55" s="65" t="s">
        <v>2</v>
      </c>
      <c r="C55" s="18" t="s">
        <v>16</v>
      </c>
      <c r="D55" s="2"/>
      <c r="E55" s="2"/>
      <c r="F55" s="2"/>
      <c r="G55" s="2"/>
      <c r="H55" s="2"/>
      <c r="I55" s="64"/>
      <c r="J55" s="2"/>
      <c r="K55" s="2"/>
      <c r="L55" s="23"/>
    </row>
    <row r="56" spans="1:12" ht="24" customHeight="1">
      <c r="A56" s="2"/>
      <c r="B56" s="23"/>
      <c r="C56" s="18" t="s">
        <v>17</v>
      </c>
      <c r="D56" s="2"/>
      <c r="E56" s="2"/>
      <c r="F56" s="2"/>
      <c r="G56" s="2"/>
      <c r="H56" s="2"/>
      <c r="I56" s="2"/>
      <c r="J56" s="2"/>
      <c r="K56" s="2"/>
      <c r="L56" s="2"/>
    </row>
    <row r="57" spans="1:12" ht="24" customHeight="1">
      <c r="A57" s="2"/>
      <c r="B57" s="23"/>
      <c r="C57" s="18"/>
      <c r="D57" s="2"/>
      <c r="E57" s="2"/>
      <c r="F57" s="2"/>
      <c r="G57" s="2" t="s">
        <v>134</v>
      </c>
      <c r="H57" s="2"/>
      <c r="I57" s="2"/>
      <c r="J57" s="2"/>
      <c r="K57" s="2"/>
      <c r="L57" s="2"/>
    </row>
    <row r="58" spans="1:12" ht="24" customHeight="1">
      <c r="A58" s="2"/>
      <c r="B58" s="23"/>
      <c r="C58" s="18"/>
      <c r="D58" s="2"/>
      <c r="E58" s="2"/>
      <c r="F58" s="2"/>
      <c r="G58" s="2"/>
      <c r="H58" s="66" t="s">
        <v>135</v>
      </c>
      <c r="I58" s="66"/>
      <c r="J58" s="66"/>
      <c r="K58" s="66"/>
      <c r="L58" s="2"/>
    </row>
    <row r="59" spans="1:12" ht="24" customHeight="1">
      <c r="A59" s="2"/>
      <c r="B59" s="23"/>
      <c r="C59" s="18"/>
      <c r="D59" s="2"/>
      <c r="E59" s="2"/>
      <c r="F59" s="2"/>
      <c r="G59" s="2"/>
      <c r="H59" s="66" t="s">
        <v>20</v>
      </c>
      <c r="I59" s="66"/>
      <c r="J59" s="66"/>
      <c r="K59" s="66"/>
      <c r="L59" s="23"/>
    </row>
    <row r="60" spans="1:12" ht="24" customHeight="1">
      <c r="A60" s="2"/>
      <c r="B60" s="23"/>
      <c r="C60" s="18"/>
      <c r="D60" s="2"/>
      <c r="E60" s="2"/>
      <c r="F60" s="2"/>
      <c r="G60" s="2"/>
      <c r="H60" s="66" t="s">
        <v>5</v>
      </c>
      <c r="I60" s="66"/>
      <c r="J60" s="66"/>
      <c r="K60" s="66"/>
      <c r="L60" s="23"/>
    </row>
    <row r="62" spans="1:12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3" t="s">
        <v>133</v>
      </c>
    </row>
    <row r="63" spans="1:12" ht="24" customHeight="1">
      <c r="A63" s="43" t="s">
        <v>7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 spans="1:12" ht="24" customHeight="1">
      <c r="A64" s="44" t="s">
        <v>19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</row>
    <row r="65" spans="1:12" ht="24" customHeight="1">
      <c r="A65" s="45" t="s">
        <v>132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 ht="24" customHeight="1">
      <c r="A66" s="46" t="s">
        <v>118</v>
      </c>
      <c r="B66" s="46" t="s">
        <v>18</v>
      </c>
      <c r="C66" s="46" t="s">
        <v>15</v>
      </c>
      <c r="D66" s="48" t="s">
        <v>0</v>
      </c>
      <c r="E66" s="46" t="s">
        <v>10</v>
      </c>
      <c r="F66" s="46" t="s">
        <v>9</v>
      </c>
      <c r="G66" s="50" t="s">
        <v>11</v>
      </c>
      <c r="H66" s="52" t="s">
        <v>1</v>
      </c>
      <c r="I66" s="53"/>
      <c r="J66" s="46" t="s">
        <v>14</v>
      </c>
      <c r="K66" s="46" t="s">
        <v>8</v>
      </c>
      <c r="L66" s="46" t="s">
        <v>13</v>
      </c>
    </row>
    <row r="67" spans="1:12" ht="24" customHeight="1">
      <c r="A67" s="47"/>
      <c r="B67" s="47"/>
      <c r="C67" s="47"/>
      <c r="D67" s="49"/>
      <c r="E67" s="47"/>
      <c r="F67" s="47"/>
      <c r="G67" s="51"/>
      <c r="H67" s="14" t="s">
        <v>12</v>
      </c>
      <c r="I67" s="11" t="s">
        <v>3</v>
      </c>
      <c r="J67" s="47"/>
      <c r="K67" s="47"/>
      <c r="L67" s="47"/>
    </row>
    <row r="68" spans="1:12" ht="24" customHeight="1">
      <c r="A68" s="9"/>
      <c r="B68" s="24"/>
      <c r="C68" s="25"/>
      <c r="D68" s="1"/>
      <c r="E68" s="4"/>
      <c r="F68" s="4"/>
      <c r="G68" s="4"/>
      <c r="H68" s="5"/>
      <c r="I68" s="5"/>
      <c r="J68" s="77" t="s">
        <v>103</v>
      </c>
      <c r="K68" s="76">
        <f>SUM(K53)</f>
        <v>6157459.2999999998</v>
      </c>
      <c r="L68" s="38"/>
    </row>
    <row r="69" spans="1:12" ht="24" customHeight="1">
      <c r="A69" s="9">
        <v>31</v>
      </c>
      <c r="B69" s="24" t="s">
        <v>82</v>
      </c>
      <c r="C69" s="3" t="s">
        <v>83</v>
      </c>
      <c r="D69" s="1" t="s">
        <v>84</v>
      </c>
      <c r="E69" s="4" t="s">
        <v>102</v>
      </c>
      <c r="F69" s="15" t="s">
        <v>104</v>
      </c>
      <c r="G69" s="4" t="s">
        <v>106</v>
      </c>
      <c r="H69" s="5">
        <v>1</v>
      </c>
      <c r="I69" s="5">
        <v>1</v>
      </c>
      <c r="J69" s="34">
        <v>271500</v>
      </c>
      <c r="K69" s="33">
        <f>SUM(I69*J69)</f>
        <v>271500</v>
      </c>
      <c r="L69" s="40" t="s">
        <v>129</v>
      </c>
    </row>
    <row r="70" spans="1:12" ht="24" customHeight="1">
      <c r="A70" s="9">
        <v>32</v>
      </c>
      <c r="B70" s="24" t="s">
        <v>82</v>
      </c>
      <c r="C70" s="3" t="s">
        <v>85</v>
      </c>
      <c r="D70" s="30" t="s">
        <v>86</v>
      </c>
      <c r="E70" s="4" t="s">
        <v>102</v>
      </c>
      <c r="F70" s="15" t="s">
        <v>104</v>
      </c>
      <c r="G70" s="4" t="s">
        <v>106</v>
      </c>
      <c r="H70" s="5">
        <v>1</v>
      </c>
      <c r="I70" s="5">
        <v>1</v>
      </c>
      <c r="J70" s="34">
        <v>58300</v>
      </c>
      <c r="K70" s="33">
        <f t="shared" ref="K70:K77" si="2">SUM(I70*J70)</f>
        <v>58300</v>
      </c>
      <c r="L70" s="40" t="s">
        <v>111</v>
      </c>
    </row>
    <row r="71" spans="1:12" ht="24" customHeight="1">
      <c r="A71" s="9">
        <v>33</v>
      </c>
      <c r="B71" s="24" t="s">
        <v>82</v>
      </c>
      <c r="C71" s="3" t="s">
        <v>87</v>
      </c>
      <c r="D71" s="1" t="s">
        <v>88</v>
      </c>
      <c r="E71" s="4" t="s">
        <v>102</v>
      </c>
      <c r="F71" s="15" t="s">
        <v>104</v>
      </c>
      <c r="G71" s="4" t="s">
        <v>106</v>
      </c>
      <c r="H71" s="5">
        <v>1</v>
      </c>
      <c r="I71" s="5">
        <v>1</v>
      </c>
      <c r="J71" s="34">
        <v>46200</v>
      </c>
      <c r="K71" s="33">
        <f t="shared" si="2"/>
        <v>46200</v>
      </c>
      <c r="L71" s="40" t="s">
        <v>109</v>
      </c>
    </row>
    <row r="72" spans="1:12" ht="24" customHeight="1">
      <c r="A72" s="9">
        <v>34</v>
      </c>
      <c r="B72" s="24" t="s">
        <v>82</v>
      </c>
      <c r="C72" s="3" t="s">
        <v>89</v>
      </c>
      <c r="D72" s="1" t="s">
        <v>90</v>
      </c>
      <c r="E72" s="4" t="s">
        <v>102</v>
      </c>
      <c r="F72" s="15" t="s">
        <v>104</v>
      </c>
      <c r="G72" s="4" t="s">
        <v>106</v>
      </c>
      <c r="H72" s="5">
        <v>1</v>
      </c>
      <c r="I72" s="5">
        <v>1</v>
      </c>
      <c r="J72" s="34">
        <v>42900</v>
      </c>
      <c r="K72" s="33">
        <f t="shared" si="2"/>
        <v>42900</v>
      </c>
      <c r="L72" s="40" t="s">
        <v>115</v>
      </c>
    </row>
    <row r="73" spans="1:12" ht="24" customHeight="1">
      <c r="A73" s="9">
        <v>35</v>
      </c>
      <c r="B73" s="24" t="s">
        <v>82</v>
      </c>
      <c r="C73" s="3" t="s">
        <v>91</v>
      </c>
      <c r="D73" s="1" t="s">
        <v>92</v>
      </c>
      <c r="E73" s="4" t="s">
        <v>102</v>
      </c>
      <c r="F73" s="15" t="s">
        <v>104</v>
      </c>
      <c r="G73" s="4" t="s">
        <v>106</v>
      </c>
      <c r="H73" s="5">
        <v>1</v>
      </c>
      <c r="I73" s="5">
        <v>1</v>
      </c>
      <c r="J73" s="34">
        <v>11000</v>
      </c>
      <c r="K73" s="33">
        <f t="shared" si="2"/>
        <v>11000</v>
      </c>
      <c r="L73" s="40" t="s">
        <v>130</v>
      </c>
    </row>
    <row r="74" spans="1:12" ht="24" customHeight="1">
      <c r="A74" s="9">
        <v>36</v>
      </c>
      <c r="B74" s="24" t="s">
        <v>82</v>
      </c>
      <c r="C74" s="3" t="s">
        <v>93</v>
      </c>
      <c r="D74" s="1" t="s">
        <v>94</v>
      </c>
      <c r="E74" s="4" t="s">
        <v>102</v>
      </c>
      <c r="F74" s="15" t="s">
        <v>104</v>
      </c>
      <c r="G74" s="4" t="s">
        <v>106</v>
      </c>
      <c r="H74" s="5">
        <v>1</v>
      </c>
      <c r="I74" s="5">
        <v>1</v>
      </c>
      <c r="J74" s="34">
        <v>12100</v>
      </c>
      <c r="K74" s="33">
        <f t="shared" si="2"/>
        <v>12100</v>
      </c>
      <c r="L74" s="40" t="s">
        <v>130</v>
      </c>
    </row>
    <row r="75" spans="1:12" ht="24" customHeight="1">
      <c r="A75" s="9">
        <v>37</v>
      </c>
      <c r="B75" s="9">
        <v>2545</v>
      </c>
      <c r="C75" s="3" t="s">
        <v>95</v>
      </c>
      <c r="D75" s="1" t="s">
        <v>96</v>
      </c>
      <c r="E75" s="4" t="s">
        <v>102</v>
      </c>
      <c r="F75" s="15" t="s">
        <v>105</v>
      </c>
      <c r="G75" s="4" t="s">
        <v>106</v>
      </c>
      <c r="H75" s="5">
        <v>1</v>
      </c>
      <c r="I75" s="5">
        <v>1</v>
      </c>
      <c r="J75" s="34">
        <v>176550</v>
      </c>
      <c r="K75" s="33">
        <f t="shared" si="2"/>
        <v>176550</v>
      </c>
      <c r="L75" s="40" t="s">
        <v>116</v>
      </c>
    </row>
    <row r="76" spans="1:12" ht="24" customHeight="1">
      <c r="A76" s="9">
        <v>38</v>
      </c>
      <c r="B76" s="9">
        <v>2545</v>
      </c>
      <c r="C76" s="3" t="s">
        <v>97</v>
      </c>
      <c r="D76" s="1" t="s">
        <v>98</v>
      </c>
      <c r="E76" s="4" t="s">
        <v>102</v>
      </c>
      <c r="F76" s="15" t="s">
        <v>105</v>
      </c>
      <c r="G76" s="4" t="s">
        <v>106</v>
      </c>
      <c r="H76" s="5">
        <v>1</v>
      </c>
      <c r="I76" s="5">
        <v>1</v>
      </c>
      <c r="J76" s="36">
        <v>131182</v>
      </c>
      <c r="K76" s="33">
        <f t="shared" si="2"/>
        <v>131182</v>
      </c>
      <c r="L76" s="40" t="s">
        <v>117</v>
      </c>
    </row>
    <row r="77" spans="1:12" ht="24" customHeight="1" thickBot="1">
      <c r="A77" s="9">
        <v>39</v>
      </c>
      <c r="B77" s="67">
        <v>2545</v>
      </c>
      <c r="C77" s="69" t="s">
        <v>99</v>
      </c>
      <c r="D77" s="70" t="s">
        <v>100</v>
      </c>
      <c r="E77" s="71" t="s">
        <v>102</v>
      </c>
      <c r="F77" s="72" t="s">
        <v>105</v>
      </c>
      <c r="G77" s="71" t="s">
        <v>106</v>
      </c>
      <c r="H77" s="73">
        <v>10</v>
      </c>
      <c r="I77" s="73">
        <v>10</v>
      </c>
      <c r="J77" s="81">
        <v>1605</v>
      </c>
      <c r="K77" s="74">
        <f t="shared" si="2"/>
        <v>16050</v>
      </c>
      <c r="L77" s="75" t="s">
        <v>131</v>
      </c>
    </row>
    <row r="78" spans="1:12" ht="24" customHeight="1" thickBot="1">
      <c r="A78" s="82" t="s">
        <v>6</v>
      </c>
      <c r="B78" s="83"/>
      <c r="C78" s="83"/>
      <c r="D78" s="83"/>
      <c r="E78" s="83"/>
      <c r="F78" s="83"/>
      <c r="G78" s="83"/>
      <c r="H78" s="83"/>
      <c r="I78" s="83"/>
      <c r="J78" s="84"/>
      <c r="K78" s="79">
        <f>SUM(K68:K77)</f>
        <v>6923241.2999999998</v>
      </c>
      <c r="L78" s="80"/>
    </row>
    <row r="79" spans="1:12" ht="24" customHeight="1" thickTop="1">
      <c r="A79" s="6"/>
      <c r="B79" s="6"/>
      <c r="C79" s="6"/>
      <c r="D79" s="6"/>
      <c r="E79" s="6"/>
      <c r="F79" s="6"/>
      <c r="G79" s="6"/>
      <c r="H79" s="6"/>
      <c r="I79" s="21"/>
      <c r="J79" s="6"/>
      <c r="K79" s="6"/>
      <c r="L79" s="8"/>
    </row>
    <row r="80" spans="1:12" ht="24" customHeight="1">
      <c r="A80" s="6"/>
      <c r="B80" s="22" t="s">
        <v>2</v>
      </c>
      <c r="C80" s="17" t="s">
        <v>16</v>
      </c>
      <c r="D80" s="6"/>
      <c r="E80" s="6"/>
      <c r="F80" s="6"/>
      <c r="G80" s="6"/>
      <c r="H80" s="6"/>
      <c r="I80" s="2"/>
      <c r="J80" s="2"/>
      <c r="K80" s="2"/>
      <c r="L80" s="20"/>
    </row>
    <row r="81" spans="1:12" ht="24" customHeight="1">
      <c r="A81" s="6"/>
      <c r="B81" s="41"/>
      <c r="C81" s="17" t="s">
        <v>17</v>
      </c>
      <c r="D81" s="6"/>
      <c r="E81" s="6"/>
      <c r="F81" s="6"/>
      <c r="G81" s="6"/>
      <c r="H81" s="6"/>
      <c r="L81" s="20"/>
    </row>
    <row r="82" spans="1:12" ht="24" customHeight="1">
      <c r="A82" s="6"/>
      <c r="B82" s="2"/>
      <c r="C82" s="2"/>
      <c r="D82" s="18"/>
      <c r="E82" s="19"/>
      <c r="F82" s="19"/>
      <c r="G82" s="6"/>
      <c r="H82" s="6"/>
      <c r="L82" s="20"/>
    </row>
    <row r="83" spans="1:12" ht="24" customHeight="1">
      <c r="A83" s="2"/>
      <c r="B83" s="2"/>
      <c r="C83" s="2"/>
      <c r="D83" s="2"/>
      <c r="E83" s="2"/>
      <c r="F83" s="2"/>
      <c r="G83" s="2"/>
      <c r="H83" s="2"/>
      <c r="I83" s="54" t="s">
        <v>4</v>
      </c>
      <c r="J83" s="54"/>
      <c r="K83" s="54"/>
      <c r="L83" s="7"/>
    </row>
    <row r="84" spans="1:12" ht="24" customHeight="1">
      <c r="I84" s="54" t="s">
        <v>20</v>
      </c>
      <c r="J84" s="54"/>
      <c r="K84" s="54"/>
    </row>
    <row r="85" spans="1:12" ht="24" customHeight="1">
      <c r="I85" s="54" t="s">
        <v>5</v>
      </c>
      <c r="J85" s="54"/>
      <c r="K85" s="54"/>
    </row>
  </sheetData>
  <mergeCells count="52">
    <mergeCell ref="A78:J78"/>
    <mergeCell ref="I83:K83"/>
    <mergeCell ref="I84:K84"/>
    <mergeCell ref="I85:K85"/>
    <mergeCell ref="F66:F67"/>
    <mergeCell ref="G66:G67"/>
    <mergeCell ref="H66:I66"/>
    <mergeCell ref="J66:J67"/>
    <mergeCell ref="K66:K67"/>
    <mergeCell ref="L66:L67"/>
    <mergeCell ref="H59:K59"/>
    <mergeCell ref="H60:K60"/>
    <mergeCell ref="A63:L63"/>
    <mergeCell ref="A64:L64"/>
    <mergeCell ref="A65:L65"/>
    <mergeCell ref="A66:A67"/>
    <mergeCell ref="B66:B67"/>
    <mergeCell ref="C66:C67"/>
    <mergeCell ref="D66:D67"/>
    <mergeCell ref="E66:E67"/>
    <mergeCell ref="G35:G36"/>
    <mergeCell ref="H35:I35"/>
    <mergeCell ref="J35:J36"/>
    <mergeCell ref="K35:K36"/>
    <mergeCell ref="L35:L36"/>
    <mergeCell ref="H58:K58"/>
    <mergeCell ref="H29:K29"/>
    <mergeCell ref="A32:L32"/>
    <mergeCell ref="A33:L33"/>
    <mergeCell ref="A34:L34"/>
    <mergeCell ref="A35:A36"/>
    <mergeCell ref="B35:B36"/>
    <mergeCell ref="C35:C36"/>
    <mergeCell ref="D35:D36"/>
    <mergeCell ref="E35:E36"/>
    <mergeCell ref="F35:F36"/>
    <mergeCell ref="H5:I5"/>
    <mergeCell ref="J5:J6"/>
    <mergeCell ref="K5:K6"/>
    <mergeCell ref="L5:L6"/>
    <mergeCell ref="H27:K27"/>
    <mergeCell ref="H28:K2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ไฟฟ้ากำลัง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2022-10-18T09:46:24Z</cp:lastPrinted>
  <dcterms:created xsi:type="dcterms:W3CDTF">2017-11-14T01:32:33Z</dcterms:created>
  <dcterms:modified xsi:type="dcterms:W3CDTF">2022-10-18T09:47:31Z</dcterms:modified>
</cp:coreProperties>
</file>