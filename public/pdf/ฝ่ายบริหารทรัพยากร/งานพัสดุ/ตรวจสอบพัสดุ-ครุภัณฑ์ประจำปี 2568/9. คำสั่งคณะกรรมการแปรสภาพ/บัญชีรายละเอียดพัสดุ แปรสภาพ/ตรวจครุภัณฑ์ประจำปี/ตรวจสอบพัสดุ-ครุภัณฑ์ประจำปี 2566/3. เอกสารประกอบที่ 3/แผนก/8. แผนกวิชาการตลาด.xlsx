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แผนก\"/>
    </mc:Choice>
  </mc:AlternateContent>
  <xr:revisionPtr revIDLastSave="0" documentId="13_ncr:1_{766A8C0F-BFEB-49F8-8D8F-F5A250A8F27D}" xr6:coauthVersionLast="47" xr6:coauthVersionMax="47" xr10:uidLastSave="{00000000-0000-0000-0000-000000000000}"/>
  <bookViews>
    <workbookView xWindow="8265" yWindow="1455" windowWidth="15210" windowHeight="11370" tabRatio="897" xr2:uid="{00000000-000D-0000-FFFF-FFFF00000000}"/>
  </bookViews>
  <sheets>
    <sheet name="แผนกการตลาด" sheetId="3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33" l="1"/>
  <c r="K9" i="33"/>
  <c r="K10" i="33"/>
  <c r="K11" i="33"/>
  <c r="K12" i="33"/>
  <c r="K13" i="33"/>
  <c r="K14" i="33"/>
  <c r="K15" i="33"/>
  <c r="K16" i="33"/>
  <c r="K17" i="33"/>
  <c r="K18" i="33"/>
  <c r="K19" i="33"/>
  <c r="K7" i="33"/>
  <c r="K21" i="33" s="1"/>
  <c r="K20" i="33"/>
</calcChain>
</file>

<file path=xl/sharedStrings.xml><?xml version="1.0" encoding="utf-8"?>
<sst xmlns="http://schemas.openxmlformats.org/spreadsheetml/2006/main" count="95" uniqueCount="64">
  <si>
    <t>รายการ ขนาด ลักษณะ</t>
  </si>
  <si>
    <t>จำนวน</t>
  </si>
  <si>
    <t>หมายเหตุ</t>
  </si>
  <si>
    <t>โต๊ะพิมพ์ดีด</t>
  </si>
  <si>
    <t>งปม.</t>
  </si>
  <si>
    <t>บกศ.</t>
  </si>
  <si>
    <t>เครื่องคอมพิวเตอร์พร้อมโต๊ะเก้าอี้</t>
  </si>
  <si>
    <t>ชำรุด</t>
  </si>
  <si>
    <t>เครื่องคอมพิวเตอร์</t>
  </si>
  <si>
    <t>รวมเป็นเงิน</t>
  </si>
  <si>
    <t xml:space="preserve"> สถานศึกษา วิทยาลัยเทคนิคกันทรลักษ์</t>
  </si>
  <si>
    <t>7430-001-0001/501-026-065</t>
  </si>
  <si>
    <t>เครื่องพิมพ์ดีดภาษาอังกฤษแคร่  15"</t>
  </si>
  <si>
    <t>7440-008-0001/501-057</t>
  </si>
  <si>
    <t>7110-007-0004/514-001-080</t>
  </si>
  <si>
    <t>7110-006-0006/514-001-080</t>
  </si>
  <si>
    <t>เก้าอี้พิมพ์ดีด</t>
  </si>
  <si>
    <t>7440-001-0001/531-123</t>
  </si>
  <si>
    <t>7430-001-0001/531-066-075</t>
  </si>
  <si>
    <t>5440-003-0001/531-001-002</t>
  </si>
  <si>
    <t>โต๊ะม้าหินอ่อนพร้อมเก้าอี้</t>
  </si>
  <si>
    <t>5150-002-0001/531-001</t>
  </si>
  <si>
    <t>ซุ้มกาแฟ</t>
  </si>
  <si>
    <t>7320-012-0001/531-001</t>
  </si>
  <si>
    <t>เครื่องปัน panasonic -799N</t>
  </si>
  <si>
    <t>เครื่องทำแซนวิส  Philips -2415</t>
  </si>
  <si>
    <t>7320-007-0001/531-001</t>
  </si>
  <si>
    <t>Saeco Nina Plus White color</t>
  </si>
  <si>
    <t>7320-007-0002/531-001</t>
  </si>
  <si>
    <t>Saeco Grinder MC 2002</t>
  </si>
  <si>
    <t>7730-005-0001/531-001</t>
  </si>
  <si>
    <t>TV LCD 42"  panasonic</t>
  </si>
  <si>
    <t>7440-001-0003/561-001-020</t>
  </si>
  <si>
    <t>เครื่องคอมพิวเตอร์สำหรับประมวลผล แบบที่ 2
(จอขนาดไม่น้อยกว่า 18 นิ้ว)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</si>
  <si>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</si>
  <si>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</si>
  <si>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</si>
  <si>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</si>
  <si>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</si>
  <si>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</si>
  <si>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</si>
  <si>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</si>
  <si>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</si>
  <si>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</si>
  <si>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</si>
  <si>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 xml:space="preserve"> -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</si>
  <si>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</si>
  <si>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</si>
  <si>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 xml:space="preserve"> </t>
  </si>
  <si>
    <t>ฮาร์ดดิสชำรุด โต๊ะเก้าอี้ขาหัก อยู่แผนก</t>
  </si>
  <si>
    <t>..............................................................</t>
  </si>
  <si>
    <t>(นางนงลักษณ์  ศรีชา)</t>
  </si>
  <si>
    <t>หัวหน้าหน่วยจ่าย/หน่วยเบิก</t>
  </si>
  <si>
    <t xml:space="preserve">แคร่หัก  </t>
  </si>
  <si>
    <t xml:space="preserve">ฮาร์ดดิสชำรุด  </t>
  </si>
  <si>
    <t xml:space="preserve">ขาหัก  </t>
  </si>
  <si>
    <t>หัก</t>
  </si>
  <si>
    <t xml:space="preserve">ซุ้มหัก  </t>
  </si>
  <si>
    <t xml:space="preserve">มอเตอร์ชำรุด  </t>
  </si>
  <si>
    <t xml:space="preserve">สายไฟชำรุด  </t>
  </si>
  <si>
    <t>มอเตอร์ไหม้</t>
  </si>
  <si>
    <t xml:space="preserve">จอชำรุด  </t>
  </si>
  <si>
    <t>ประจำปี 2565 สิ้นงวดเมื่อวันที่ 30 กันยายน 2565 ของแผนกวิชาการตลาด</t>
  </si>
  <si>
    <t>เอกสารหมายเลข..................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</si>
</sst>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;[Red]0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60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6" applyFont="1" applyFill="1" applyBorder="1"/>
    <xf numFmtId="0" fontId="3" fillId="0" borderId="1" xfId="6" applyFont="1" applyBorder="1" applyAlignment="1">
      <alignment vertical="top" wrapText="1"/>
    </xf>
    <xf numFmtId="0" fontId="3" fillId="0" borderId="1" xfId="6" applyFont="1" applyBorder="1" applyAlignment="1">
      <alignment horizontal="left" vertical="top"/>
    </xf>
    <xf numFmtId="0" fontId="3" fillId="0" borderId="1" xfId="2" applyFont="1" applyBorder="1" applyAlignment="1">
      <alignment horizontal="center" vertical="top"/>
    </xf>
    <xf numFmtId="43" fontId="3" fillId="0" borderId="1" xfId="1" applyFont="1" applyBorder="1" applyAlignment="1">
      <alignment vertical="top"/>
    </xf>
    <xf numFmtId="0" fontId="3" fillId="0" borderId="1" xfId="6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Fill="1"/>
    <xf numFmtId="43" fontId="3" fillId="0" borderId="0" xfId="12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/>
    <xf numFmtId="0" fontId="3" fillId="0" borderId="1" xfId="6" applyFont="1" applyFill="1" applyBorder="1" applyAlignment="1">
      <alignment horizontal="left"/>
    </xf>
    <xf numFmtId="0" fontId="8" fillId="0" borderId="0" xfId="0" applyFont="1" applyBorder="1" applyAlignment="1">
      <alignment horizontal="center"/>
    </xf>
    <xf numFmtId="43" fontId="4" fillId="0" borderId="8" xfId="0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43" fontId="3" fillId="0" borderId="1" xfId="1" applyFont="1" applyFill="1" applyBorder="1" applyAlignment="1">
      <alignment horizontal="center" vertical="top"/>
    </xf>
    <xf numFmtId="0" fontId="4" fillId="0" borderId="8" xfId="0" applyFont="1" applyFill="1" applyBorder="1" applyAlignment="1">
      <alignment horizontal="center"/>
    </xf>
    <xf numFmtId="43" fontId="3" fillId="0" borderId="1" xfId="12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top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43" fontId="4" fillId="0" borderId="0" xfId="0" applyNumberFormat="1" applyFont="1" applyBorder="1" applyAlignment="1"/>
    <xf numFmtId="0" fontId="4" fillId="0" borderId="0" xfId="0" applyFont="1" applyFill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1562097</xdr:colOff>
      <xdr:row>22</xdr:row>
      <xdr:rowOff>85726</xdr:rowOff>
    </xdr:from>
    <xdr:to>
      <xdr:col>11</xdr:col>
      <xdr:colOff>1895472</xdr:colOff>
      <xdr:row>26</xdr:row>
      <xdr:rowOff>276226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730035" y="7939088"/>
          <a:ext cx="140970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N31"/>
  <sheetViews>
    <sheetView tabSelected="1" zoomScaleNormal="100" workbookViewId="0">
      <selection activeCell="L26" sqref="L26"/>
    </sheetView>
  </sheetViews>
  <sheetFormatPr defaultColWidth="9" defaultRowHeight="24"/>
  <cols>
    <col min="1" max="1" width="5.7109375" style="2" customWidth="1"/>
    <col min="2" max="2" width="13.42578125" style="2" customWidth="1"/>
    <col min="3" max="3" width="33" style="2" customWidth="1"/>
    <col min="4" max="4" width="38.28515625" style="2" customWidth="1"/>
    <col min="5" max="5" width="8" style="2" customWidth="1"/>
    <col min="6" max="6" width="8.85546875" style="2" customWidth="1"/>
    <col min="7" max="7" width="7.5703125" style="2" customWidth="1"/>
    <col min="8" max="9" width="7.7109375" style="2" customWidth="1"/>
    <col min="10" max="10" width="14.42578125" style="2" customWidth="1"/>
    <col min="11" max="11" width="15.85546875" style="2" customWidth="1"/>
    <col min="12" max="12" width="34.140625" style="7" customWidth="1"/>
    <col min="13" max="13" width="18.28515625" style="2" customWidth="1"/>
    <col min="14" max="14" width="12.7109375" style="2" customWidth="1"/>
    <col min="15" max="15" width="9" style="2"/>
    <col min="16" max="16" width="12.42578125" style="2" bestFit="1" customWidth="1"/>
    <col min="17" max="16384" width="9" style="2"/>
  </cols>
  <sheetData>
    <row r="1" spans="1:14">
      <c r="L1" s="32" t="s">
        <v>63</v>
      </c>
    </row>
    <row r="2" spans="1:14">
      <c r="A2" s="48" t="s">
        <v>10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32"/>
    </row>
    <row r="3" spans="1:14">
      <c r="A3" s="49" t="s">
        <v>47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33"/>
    </row>
    <row r="4" spans="1:14">
      <c r="A4" s="50" t="s">
        <v>62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30"/>
    </row>
    <row r="5" spans="1:14" ht="27" customHeight="1">
      <c r="A5" s="43" t="s">
        <v>34</v>
      </c>
      <c r="B5" s="43" t="s">
        <v>46</v>
      </c>
      <c r="C5" s="43" t="s">
        <v>42</v>
      </c>
      <c r="D5" s="51" t="s">
        <v>0</v>
      </c>
      <c r="E5" s="43" t="s">
        <v>37</v>
      </c>
      <c r="F5" s="43" t="s">
        <v>36</v>
      </c>
      <c r="G5" s="53" t="s">
        <v>38</v>
      </c>
      <c r="H5" s="55" t="s">
        <v>1</v>
      </c>
      <c r="I5" s="56"/>
      <c r="J5" s="43" t="s">
        <v>41</v>
      </c>
      <c r="K5" s="43" t="s">
        <v>35</v>
      </c>
      <c r="L5" s="43" t="s">
        <v>40</v>
      </c>
      <c r="M5" s="31"/>
    </row>
    <row r="6" spans="1:14" ht="46.5" customHeight="1">
      <c r="A6" s="44"/>
      <c r="B6" s="44"/>
      <c r="C6" s="44"/>
      <c r="D6" s="52"/>
      <c r="E6" s="44"/>
      <c r="F6" s="44"/>
      <c r="G6" s="54"/>
      <c r="H6" s="18" t="s">
        <v>39</v>
      </c>
      <c r="I6" s="11" t="s">
        <v>7</v>
      </c>
      <c r="J6" s="44"/>
      <c r="K6" s="44"/>
      <c r="L6" s="44"/>
      <c r="M6" s="24"/>
      <c r="N6" s="20"/>
    </row>
    <row r="7" spans="1:14">
      <c r="A7" s="8">
        <v>1</v>
      </c>
      <c r="B7" s="19">
        <v>2550</v>
      </c>
      <c r="C7" s="27" t="s">
        <v>11</v>
      </c>
      <c r="D7" s="12" t="s">
        <v>12</v>
      </c>
      <c r="E7" s="4" t="s">
        <v>4</v>
      </c>
      <c r="F7" s="4">
        <v>15</v>
      </c>
      <c r="G7" s="4" t="s">
        <v>45</v>
      </c>
      <c r="H7" s="10">
        <v>40</v>
      </c>
      <c r="I7" s="10">
        <v>40</v>
      </c>
      <c r="J7" s="9">
        <v>8500</v>
      </c>
      <c r="K7" s="9">
        <f>SUM(I7*J7)</f>
        <v>340000</v>
      </c>
      <c r="L7" s="38" t="s">
        <v>53</v>
      </c>
      <c r="M7" s="24"/>
      <c r="N7" s="20"/>
    </row>
    <row r="8" spans="1:14">
      <c r="A8" s="8">
        <v>2</v>
      </c>
      <c r="B8" s="19">
        <v>2550</v>
      </c>
      <c r="C8" s="27" t="s">
        <v>13</v>
      </c>
      <c r="D8" s="12" t="s">
        <v>8</v>
      </c>
      <c r="E8" s="4" t="s">
        <v>4</v>
      </c>
      <c r="F8" s="4">
        <v>15</v>
      </c>
      <c r="G8" s="4" t="s">
        <v>45</v>
      </c>
      <c r="H8" s="10">
        <v>1</v>
      </c>
      <c r="I8" s="10">
        <v>1</v>
      </c>
      <c r="J8" s="9">
        <v>24000</v>
      </c>
      <c r="K8" s="9">
        <f t="shared" ref="K8:K19" si="0">SUM(I8*J8)</f>
        <v>24000</v>
      </c>
      <c r="L8" s="38" t="s">
        <v>54</v>
      </c>
      <c r="M8" s="24"/>
      <c r="N8" s="20"/>
    </row>
    <row r="9" spans="1:14">
      <c r="A9" s="8">
        <v>3</v>
      </c>
      <c r="B9" s="19">
        <v>2551</v>
      </c>
      <c r="C9" s="27" t="s">
        <v>14</v>
      </c>
      <c r="D9" s="12" t="s">
        <v>3</v>
      </c>
      <c r="E9" s="4" t="s">
        <v>5</v>
      </c>
      <c r="F9" s="4">
        <v>14</v>
      </c>
      <c r="G9" s="4" t="s">
        <v>45</v>
      </c>
      <c r="H9" s="10">
        <v>80</v>
      </c>
      <c r="I9" s="10">
        <v>60</v>
      </c>
      <c r="J9" s="9">
        <v>800</v>
      </c>
      <c r="K9" s="9">
        <f t="shared" si="0"/>
        <v>48000</v>
      </c>
      <c r="L9" s="38" t="s">
        <v>55</v>
      </c>
      <c r="M9" s="24"/>
      <c r="N9" s="20"/>
    </row>
    <row r="10" spans="1:14">
      <c r="A10" s="8">
        <v>4</v>
      </c>
      <c r="B10" s="19">
        <v>2551</v>
      </c>
      <c r="C10" s="27" t="s">
        <v>15</v>
      </c>
      <c r="D10" s="12" t="s">
        <v>16</v>
      </c>
      <c r="E10" s="4" t="s">
        <v>5</v>
      </c>
      <c r="F10" s="4">
        <v>14</v>
      </c>
      <c r="G10" s="4" t="s">
        <v>45</v>
      </c>
      <c r="H10" s="10">
        <v>80</v>
      </c>
      <c r="I10" s="10">
        <v>70</v>
      </c>
      <c r="J10" s="9">
        <v>536</v>
      </c>
      <c r="K10" s="9">
        <f t="shared" si="0"/>
        <v>37520</v>
      </c>
      <c r="L10" s="38" t="s">
        <v>55</v>
      </c>
      <c r="M10" s="24"/>
      <c r="N10" s="20"/>
    </row>
    <row r="11" spans="1:14">
      <c r="A11" s="8">
        <v>5</v>
      </c>
      <c r="B11" s="19">
        <v>2553</v>
      </c>
      <c r="C11" s="3" t="s">
        <v>17</v>
      </c>
      <c r="D11" s="1" t="s">
        <v>6</v>
      </c>
      <c r="E11" s="4" t="s">
        <v>4</v>
      </c>
      <c r="F11" s="4">
        <v>12</v>
      </c>
      <c r="G11" s="4" t="s">
        <v>45</v>
      </c>
      <c r="H11" s="5">
        <v>1</v>
      </c>
      <c r="I11" s="5">
        <v>1</v>
      </c>
      <c r="J11" s="9">
        <v>17000</v>
      </c>
      <c r="K11" s="9">
        <f t="shared" si="0"/>
        <v>17000</v>
      </c>
      <c r="L11" s="39" t="s">
        <v>49</v>
      </c>
      <c r="M11" s="26"/>
      <c r="N11" s="20"/>
    </row>
    <row r="12" spans="1:14">
      <c r="A12" s="8">
        <v>6</v>
      </c>
      <c r="B12" s="19">
        <v>2553</v>
      </c>
      <c r="C12" s="27" t="s">
        <v>18</v>
      </c>
      <c r="D12" s="12" t="s">
        <v>12</v>
      </c>
      <c r="E12" s="4" t="s">
        <v>4</v>
      </c>
      <c r="F12" s="4">
        <v>12</v>
      </c>
      <c r="G12" s="4" t="s">
        <v>45</v>
      </c>
      <c r="H12" s="10">
        <v>10</v>
      </c>
      <c r="I12" s="10">
        <v>10</v>
      </c>
      <c r="J12" s="9">
        <v>12000</v>
      </c>
      <c r="K12" s="9">
        <f t="shared" si="0"/>
        <v>120000</v>
      </c>
      <c r="L12" s="39" t="s">
        <v>53</v>
      </c>
      <c r="M12" s="26"/>
      <c r="N12" s="20"/>
    </row>
    <row r="13" spans="1:14">
      <c r="A13" s="8">
        <v>7</v>
      </c>
      <c r="B13" s="19">
        <v>2553</v>
      </c>
      <c r="C13" s="27" t="s">
        <v>19</v>
      </c>
      <c r="D13" s="12" t="s">
        <v>20</v>
      </c>
      <c r="E13" s="4" t="s">
        <v>4</v>
      </c>
      <c r="F13" s="4">
        <v>12</v>
      </c>
      <c r="G13" s="4" t="s">
        <v>45</v>
      </c>
      <c r="H13" s="10">
        <v>2</v>
      </c>
      <c r="I13" s="10">
        <v>2</v>
      </c>
      <c r="J13" s="9">
        <v>2500</v>
      </c>
      <c r="K13" s="9">
        <f t="shared" si="0"/>
        <v>5000</v>
      </c>
      <c r="L13" s="39" t="s">
        <v>56</v>
      </c>
      <c r="M13" s="26"/>
      <c r="N13" s="20"/>
    </row>
    <row r="14" spans="1:14">
      <c r="A14" s="8">
        <v>8</v>
      </c>
      <c r="B14" s="19">
        <v>2553</v>
      </c>
      <c r="C14" s="27" t="s">
        <v>21</v>
      </c>
      <c r="D14" s="12" t="s">
        <v>22</v>
      </c>
      <c r="E14" s="4" t="s">
        <v>4</v>
      </c>
      <c r="F14" s="4">
        <v>12</v>
      </c>
      <c r="G14" s="4" t="s">
        <v>45</v>
      </c>
      <c r="H14" s="10">
        <v>1</v>
      </c>
      <c r="I14" s="10">
        <v>1</v>
      </c>
      <c r="J14" s="9">
        <v>20000</v>
      </c>
      <c r="K14" s="9">
        <f t="shared" si="0"/>
        <v>20000</v>
      </c>
      <c r="L14" s="39" t="s">
        <v>57</v>
      </c>
      <c r="M14" s="26"/>
      <c r="N14" s="20"/>
    </row>
    <row r="15" spans="1:14">
      <c r="A15" s="8">
        <v>9</v>
      </c>
      <c r="B15" s="19">
        <v>2553</v>
      </c>
      <c r="C15" s="27" t="s">
        <v>23</v>
      </c>
      <c r="D15" s="12" t="s">
        <v>24</v>
      </c>
      <c r="E15" s="4" t="s">
        <v>4</v>
      </c>
      <c r="F15" s="4">
        <v>12</v>
      </c>
      <c r="G15" s="4" t="s">
        <v>45</v>
      </c>
      <c r="H15" s="10">
        <v>1</v>
      </c>
      <c r="I15" s="10">
        <v>1</v>
      </c>
      <c r="J15" s="9">
        <v>2000</v>
      </c>
      <c r="K15" s="9">
        <f t="shared" si="0"/>
        <v>2000</v>
      </c>
      <c r="L15" s="39" t="s">
        <v>58</v>
      </c>
      <c r="M15" s="26"/>
      <c r="N15" s="20"/>
    </row>
    <row r="16" spans="1:14">
      <c r="A16" s="8">
        <v>10</v>
      </c>
      <c r="B16" s="19">
        <v>2553</v>
      </c>
      <c r="C16" s="27" t="s">
        <v>23</v>
      </c>
      <c r="D16" s="12" t="s">
        <v>25</v>
      </c>
      <c r="E16" s="19" t="s">
        <v>4</v>
      </c>
      <c r="F16" s="4">
        <v>12</v>
      </c>
      <c r="G16" s="4" t="s">
        <v>45</v>
      </c>
      <c r="H16" s="10">
        <v>1</v>
      </c>
      <c r="I16" s="10">
        <v>1</v>
      </c>
      <c r="J16" s="9">
        <v>500</v>
      </c>
      <c r="K16" s="9">
        <f t="shared" si="0"/>
        <v>500</v>
      </c>
      <c r="L16" s="39" t="s">
        <v>59</v>
      </c>
      <c r="M16" s="26"/>
      <c r="N16" s="20"/>
    </row>
    <row r="17" spans="1:14">
      <c r="A17" s="8">
        <v>11</v>
      </c>
      <c r="B17" s="19">
        <v>2553</v>
      </c>
      <c r="C17" s="27" t="s">
        <v>26</v>
      </c>
      <c r="D17" s="12" t="s">
        <v>27</v>
      </c>
      <c r="E17" s="19" t="s">
        <v>4</v>
      </c>
      <c r="F17" s="4">
        <v>12</v>
      </c>
      <c r="G17" s="4" t="s">
        <v>45</v>
      </c>
      <c r="H17" s="10">
        <v>1</v>
      </c>
      <c r="I17" s="10">
        <v>1</v>
      </c>
      <c r="J17" s="9">
        <v>11214.95</v>
      </c>
      <c r="K17" s="9">
        <f t="shared" si="0"/>
        <v>11214.95</v>
      </c>
      <c r="L17" s="39" t="s">
        <v>60</v>
      </c>
      <c r="M17" s="26"/>
      <c r="N17" s="20"/>
    </row>
    <row r="18" spans="1:14">
      <c r="A18" s="8">
        <v>12</v>
      </c>
      <c r="B18" s="19">
        <v>2553</v>
      </c>
      <c r="C18" s="27" t="s">
        <v>28</v>
      </c>
      <c r="D18" s="12" t="s">
        <v>29</v>
      </c>
      <c r="E18" s="19" t="s">
        <v>4</v>
      </c>
      <c r="F18" s="4">
        <v>12</v>
      </c>
      <c r="G18" s="4" t="s">
        <v>45</v>
      </c>
      <c r="H18" s="10">
        <v>1</v>
      </c>
      <c r="I18" s="10">
        <v>1</v>
      </c>
      <c r="J18" s="9">
        <v>7009.35</v>
      </c>
      <c r="K18" s="9">
        <f t="shared" si="0"/>
        <v>7009.35</v>
      </c>
      <c r="L18" s="39" t="s">
        <v>60</v>
      </c>
      <c r="M18" s="6"/>
      <c r="N18" s="20"/>
    </row>
    <row r="19" spans="1:14">
      <c r="A19" s="8">
        <v>13</v>
      </c>
      <c r="B19" s="19">
        <v>2553</v>
      </c>
      <c r="C19" s="27" t="s">
        <v>30</v>
      </c>
      <c r="D19" s="12" t="s">
        <v>31</v>
      </c>
      <c r="E19" s="19" t="s">
        <v>4</v>
      </c>
      <c r="F19" s="4">
        <v>12</v>
      </c>
      <c r="G19" s="4" t="s">
        <v>45</v>
      </c>
      <c r="H19" s="10">
        <v>1</v>
      </c>
      <c r="I19" s="10">
        <v>1</v>
      </c>
      <c r="J19" s="9">
        <v>34900</v>
      </c>
      <c r="K19" s="9">
        <f t="shared" si="0"/>
        <v>34900</v>
      </c>
      <c r="L19" s="39" t="s">
        <v>61</v>
      </c>
      <c r="M19" s="6"/>
      <c r="N19" s="20"/>
    </row>
    <row r="20" spans="1:14" ht="45" customHeight="1">
      <c r="A20" s="34">
        <v>14</v>
      </c>
      <c r="B20" s="35">
        <v>2553</v>
      </c>
      <c r="C20" s="14" t="s">
        <v>32</v>
      </c>
      <c r="D20" s="13" t="s">
        <v>33</v>
      </c>
      <c r="E20" s="11" t="s">
        <v>4</v>
      </c>
      <c r="F20" s="11">
        <v>12</v>
      </c>
      <c r="G20" s="15" t="s">
        <v>45</v>
      </c>
      <c r="H20" s="17">
        <v>20</v>
      </c>
      <c r="I20" s="17">
        <v>20</v>
      </c>
      <c r="J20" s="16">
        <v>26450</v>
      </c>
      <c r="K20" s="36">
        <f t="shared" ref="K20" si="1">SUM(I20*J20)</f>
        <v>529000</v>
      </c>
      <c r="L20" s="40" t="s">
        <v>54</v>
      </c>
      <c r="M20" s="6"/>
    </row>
    <row r="21" spans="1:14" ht="24.75" thickBot="1">
      <c r="A21" s="45" t="s">
        <v>9</v>
      </c>
      <c r="B21" s="46"/>
      <c r="C21" s="46"/>
      <c r="D21" s="46"/>
      <c r="E21" s="46"/>
      <c r="F21" s="46"/>
      <c r="G21" s="46"/>
      <c r="H21" s="46"/>
      <c r="I21" s="46"/>
      <c r="J21" s="47"/>
      <c r="K21" s="29">
        <f>SUM(K7:K20)</f>
        <v>1196144.2999999998</v>
      </c>
      <c r="L21" s="37"/>
      <c r="M21" s="30"/>
    </row>
    <row r="22" spans="1:14" ht="24.75" thickTop="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8"/>
      <c r="L22" s="59"/>
      <c r="M22" s="41"/>
    </row>
    <row r="23" spans="1:14">
      <c r="A23" s="6"/>
      <c r="B23" s="28" t="s">
        <v>2</v>
      </c>
      <c r="C23" s="21" t="s">
        <v>43</v>
      </c>
      <c r="D23" s="6"/>
      <c r="E23" s="6"/>
      <c r="F23" s="6"/>
      <c r="G23" s="6"/>
      <c r="H23" s="6"/>
      <c r="L23" s="25"/>
      <c r="M23" s="30"/>
    </row>
    <row r="24" spans="1:14">
      <c r="A24" s="6"/>
      <c r="B24" s="30"/>
      <c r="C24" s="21" t="s">
        <v>44</v>
      </c>
      <c r="D24" s="6"/>
      <c r="E24" s="6"/>
      <c r="F24" s="6"/>
      <c r="G24" s="6"/>
      <c r="H24" s="6"/>
      <c r="I24" s="25"/>
      <c r="J24" s="25"/>
      <c r="K24" s="25"/>
      <c r="L24" s="25"/>
    </row>
    <row r="25" spans="1:14">
      <c r="A25" s="6"/>
      <c r="D25" s="22"/>
      <c r="E25" s="23"/>
      <c r="F25" s="23"/>
      <c r="G25" s="6"/>
      <c r="H25" s="6"/>
      <c r="L25" s="25"/>
    </row>
    <row r="26" spans="1:14">
      <c r="J26" s="42" t="s">
        <v>50</v>
      </c>
      <c r="K26" s="42"/>
      <c r="L26" s="25"/>
    </row>
    <row r="27" spans="1:14" ht="24" customHeight="1">
      <c r="J27" s="42" t="s">
        <v>51</v>
      </c>
      <c r="K27" s="42"/>
      <c r="L27" s="25"/>
    </row>
    <row r="28" spans="1:14">
      <c r="J28" s="42" t="s">
        <v>52</v>
      </c>
      <c r="K28" s="42"/>
      <c r="L28" s="25"/>
    </row>
    <row r="29" spans="1:14" ht="24" customHeight="1">
      <c r="L29" s="25"/>
    </row>
    <row r="30" spans="1:14">
      <c r="J30" s="25"/>
      <c r="K30" s="25"/>
      <c r="L30" s="25"/>
    </row>
    <row r="31" spans="1:14">
      <c r="I31" s="25" t="s">
        <v>48</v>
      </c>
      <c r="J31" s="25"/>
      <c r="K31" s="25"/>
      <c r="L31" s="25"/>
    </row>
  </sheetData>
  <mergeCells count="18"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J27:K27"/>
    <mergeCell ref="J28:K28"/>
    <mergeCell ref="K5:K6"/>
    <mergeCell ref="L5:L6"/>
    <mergeCell ref="A21:J21"/>
    <mergeCell ref="J26:K26"/>
  </mergeCells>
  <printOptions horizontalCentered="1"/>
  <pageMargins left="0.19685039370078741" right="0" top="0.59055118110236227" bottom="0.19685039370078741" header="0" footer="0"/>
  <pageSetup paperSize="9" scale="7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แผนกการตลาด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2022-10-18T10:54:11Z</cp:lastPrinted>
  <dcterms:created xsi:type="dcterms:W3CDTF">2017-11-14T01:32:33Z</dcterms:created>
  <dcterms:modified xsi:type="dcterms:W3CDTF">2022-10-18T10:55:14Z</dcterms:modified>
</cp:coreProperties>
</file>