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6\2. เอกสารประกอบที่ 2\งาน\"/>
    </mc:Choice>
  </mc:AlternateContent>
  <xr:revisionPtr revIDLastSave="0" documentId="13_ncr:1_{8FEE61E4-88E7-4B5E-9523-E671566CF546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สื่อการเรียนการสอน" sheetId="19" r:id="rId1"/>
  </sheets>
  <definedNames>
    <definedName name="_xlnm.Print_Titles" localSheetId="0">งานสื่อการเรียนการสอน!$1:$4</definedName>
  </definedNames>
  <calcPr calcId="191029"/>
</workbook>
</file>

<file path=xl/calcChain.xml><?xml version="1.0" encoding="utf-8"?>
<calcChain xmlns="http://schemas.openxmlformats.org/spreadsheetml/2006/main">
  <c r="H76" i="19" l="1"/>
  <c r="H75" i="19"/>
  <c r="H74" i="19"/>
  <c r="H73" i="19"/>
  <c r="H72" i="19"/>
  <c r="H71" i="19"/>
  <c r="H65" i="19" l="1"/>
  <c r="H66" i="19"/>
  <c r="H67" i="19"/>
  <c r="H68" i="19"/>
  <c r="H69" i="19"/>
  <c r="H70" i="19"/>
  <c r="H64" i="19"/>
  <c r="H63" i="19"/>
  <c r="H62" i="19"/>
  <c r="H61" i="19"/>
  <c r="H60" i="19"/>
  <c r="H59" i="19"/>
  <c r="H58" i="19" l="1"/>
  <c r="H57" i="19"/>
  <c r="H56" i="19"/>
  <c r="H6" i="19" l="1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H43" i="19"/>
  <c r="H44" i="19"/>
  <c r="H45" i="19"/>
  <c r="H5" i="19"/>
  <c r="H46" i="19" l="1"/>
  <c r="H47" i="19" s="1"/>
  <c r="H48" i="19" s="1"/>
  <c r="H49" i="19"/>
  <c r="H50" i="19"/>
  <c r="H51" i="19"/>
  <c r="H52" i="19"/>
  <c r="H53" i="19"/>
  <c r="H54" i="19"/>
  <c r="H55" i="19"/>
</calcChain>
</file>

<file path=xl/sharedStrings.xml><?xml version="1.0" encoding="utf-8"?>
<sst xmlns="http://schemas.openxmlformats.org/spreadsheetml/2006/main" count="234" uniqueCount="158">
  <si>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</si>
  <si>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</si>
  <si>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</si>
  <si>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</si>
  <si>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</si>
  <si>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</si>
  <si>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</si>
  <si>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</si>
  <si>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เก้าอี้(ขาเหล็ก)  5  แฉก</t>
  </si>
  <si>
    <t>อุดหนุน</t>
  </si>
  <si>
    <t>หัวหน้าหน่วยจ่าย/หน่วยเบิก</t>
  </si>
  <si>
    <t>ตู้เหล็ก  2  บานเปิด</t>
  </si>
  <si>
    <t xml:space="preserve">เครื่องคอมพิวเตอร์ </t>
  </si>
  <si>
    <t>โต๊ะเหล็ก  4  ฟุต</t>
  </si>
  <si>
    <t>รวมเป็นเงิน</t>
  </si>
  <si>
    <t>6730-002-0001/391-002</t>
  </si>
  <si>
    <t>6730-001-0002/391-001</t>
  </si>
  <si>
    <t>5820-015-0003/391-001</t>
  </si>
  <si>
    <t>5825-020-0001/391-001</t>
  </si>
  <si>
    <t>6710-004-0001/412-001</t>
  </si>
  <si>
    <t>6730-001-0001/412-001-003</t>
  </si>
  <si>
    <t>6730-001-0001/442-004-007</t>
  </si>
  <si>
    <t>6730-002-0001/442-001-004</t>
  </si>
  <si>
    <t>5825-020-0001/444-001</t>
  </si>
  <si>
    <t>6720-008-0001/442-001</t>
  </si>
  <si>
    <t>7110-002-0006/442-001</t>
  </si>
  <si>
    <t>5820-015-0001/452-003</t>
  </si>
  <si>
    <t>5820-015-0002/452-002</t>
  </si>
  <si>
    <t>7730-006-0001/452-001-002</t>
  </si>
  <si>
    <t>6730-001-0003/461-001</t>
  </si>
  <si>
    <t>7440-001-0002/461-001</t>
  </si>
  <si>
    <t>7440-010-0001/481-001</t>
  </si>
  <si>
    <t>4210-001-0001/484-001</t>
  </si>
  <si>
    <t>7440-001-0001/484-001-006</t>
  </si>
  <si>
    <t>6720-005-0002/492-007</t>
  </si>
  <si>
    <t>6930-013-0001/521-001</t>
  </si>
  <si>
    <t>7110-006-0006/531-014</t>
  </si>
  <si>
    <t>7110-006-0006/531-028</t>
  </si>
  <si>
    <t>7110-007-0004/531-011</t>
  </si>
  <si>
    <t>7440-001-0001/531-072-100</t>
  </si>
  <si>
    <t>7440-001-0001/531-103-122</t>
  </si>
  <si>
    <t>6730-001-0003/531-005</t>
  </si>
  <si>
    <t>7440-001-0001/531-153</t>
  </si>
  <si>
    <t>7440-001-0001/541-157-166</t>
  </si>
  <si>
    <t>7440-001-0001/541-167</t>
  </si>
  <si>
    <t>จอรับภาพ 175 * 175</t>
  </si>
  <si>
    <t>เครื่องฉายภาพทึบแสง</t>
  </si>
  <si>
    <t>เครื่องวีดีโอแบบเล่นและบันทึกเทป</t>
  </si>
  <si>
    <t>โทรทัศน์สี 20 "</t>
  </si>
  <si>
    <t>กล้องบันทึกภาพ วีดีโอ</t>
  </si>
  <si>
    <t>เครื่องฉายภาพข้ามศรีษะ</t>
  </si>
  <si>
    <t>โทรทัศน์สี 29 "</t>
  </si>
  <si>
    <t>กล้องสีครบชุด</t>
  </si>
  <si>
    <t>ตู้บานเลื่อนกระจก ขนาด 4 ฟุต</t>
  </si>
  <si>
    <t>วีดีโอ 2 หัวเทป/จูนเนอร์</t>
  </si>
  <si>
    <t>วีดีโอ ซีวีดี ซีดี</t>
  </si>
  <si>
    <t>เทปใบ้แบบคู่</t>
  </si>
  <si>
    <t>เครื่องมัลติมีเดียโปรเจคเตอร์</t>
  </si>
  <si>
    <t>COMPUTER NOTEBOOK เจ จี</t>
  </si>
  <si>
    <t>ศูนย์การเรียนรู้ด้วยตัวเอง</t>
  </si>
  <si>
    <t>เครื่องปรับอากาศชนิดแขวน 38000 บีทียู</t>
  </si>
  <si>
    <t>กล้องดิจิตอล  CANON</t>
  </si>
  <si>
    <t>ชุดครุภัณฑ์ปฎิบัติการวิชาชีพพื้นฐานและวิชาชีพพื้นฐาน</t>
  </si>
  <si>
    <t>ชุดคอมพิวเตอร์ พร้อมโต๊ะเก้าอี้</t>
  </si>
  <si>
    <t>โปรเจคเตอร์</t>
  </si>
  <si>
    <t>เครื่องคอมพิวเตอร์แม่ข่าย</t>
  </si>
  <si>
    <t>ปกอ.</t>
  </si>
  <si>
    <t>7110-007-0015/551-001-034</t>
  </si>
  <si>
    <t>7110-006-0006/551-022-023</t>
  </si>
  <si>
    <t>7110-007-0016/551-001-005</t>
  </si>
  <si>
    <t>7110-006-0007/551-001-005</t>
  </si>
  <si>
    <t>711-006-0008/551-001-027</t>
  </si>
  <si>
    <t>6310-003-0001/551-001</t>
  </si>
  <si>
    <t>6730-001-0001/551-004</t>
  </si>
  <si>
    <t>6730-002-0001/551-002</t>
  </si>
  <si>
    <t>7730-005-0001/551-002-008</t>
  </si>
  <si>
    <t>7110-006-0008/551-001-007</t>
  </si>
  <si>
    <t>7440-001-0001/551-173-179</t>
  </si>
  <si>
    <t>7730-005-0001/566-009-012</t>
  </si>
  <si>
    <t>7730-005-0001/566-013</t>
  </si>
  <si>
    <t>7440-001-0001/566-003-006</t>
  </si>
  <si>
    <t>6720-005-0003/566-001-002</t>
  </si>
  <si>
    <t>6760-004-0001/566-001</t>
  </si>
  <si>
    <t>6760-004-0002/566-001</t>
  </si>
  <si>
    <t>6760-008-0001/566-001</t>
  </si>
  <si>
    <t>โต๊ะประชุม</t>
  </si>
  <si>
    <t>โต๊ะประชุมขนาด 400*250</t>
  </si>
  <si>
    <t>เก้าอี้ประชุมแบบโยกได้</t>
  </si>
  <si>
    <t>เก้าอี้บุนวม</t>
  </si>
  <si>
    <t>ตู้สาขาโทรศัพท์</t>
  </si>
  <si>
    <t>โปรแจคเตอร์</t>
  </si>
  <si>
    <t>จอโปรเจคเตอร์ 180 นิ้ว</t>
  </si>
  <si>
    <t>ทีวีสี 50 นิ้ว</t>
  </si>
  <si>
    <t>TV LG Phasma 50 นิ้ว PA4500</t>
  </si>
  <si>
    <t>คอมพิวเตอร์ชุด Lenovo Think M72E</t>
  </si>
  <si>
    <t>กล้องถ่ายภาพนิ่งความละเอียดสูง</t>
  </si>
  <si>
    <t>กล้องถ่ายภาพนิ่ง</t>
  </si>
  <si>
    <t>เลนส์กล้องถ่ายภาพนิ่งระยะไกล</t>
  </si>
  <si>
    <t>เลนส์กล้องถ่ายภาพนิ่ง</t>
  </si>
  <si>
    <t>แฟลชกล้องถ่ายภาพนิ่ง 566-001</t>
  </si>
  <si>
    <t>เก้าอี้ประชุม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</si>
  <si>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</si>
  <si>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</si>
  <si>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</si>
  <si>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</si>
  <si>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</si>
  <si>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</si>
  <si>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</si>
  <si>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</si>
  <si>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5965-001-0002/642-001</t>
  </si>
  <si>
    <t>ชุดไมโครโฟนประชุมคอนเฟอร์เร้นซ์</t>
  </si>
  <si>
    <t>5965-001-0002/642-002</t>
  </si>
  <si>
    <t>ชุดไมค์ประชุมสำหรับประธาน</t>
  </si>
  <si>
    <t>5965-001-0002/642-003(8)</t>
  </si>
  <si>
    <t>ชุดไมค์ประชุมสำหรับผู้ร่วมประชุม</t>
  </si>
  <si>
    <t>6730-001-0003/642-001</t>
  </si>
  <si>
    <t>เครื่อง Present (โปรเจคเตอร์อินเตอร์แอคทีพ)</t>
  </si>
  <si>
    <t>6730-001-0003/642-002</t>
  </si>
  <si>
    <t>เครื่อง Present (กระดานสำหรับอินเตอร์แอคทีพ)</t>
  </si>
  <si>
    <t>6730-007-0006/642-001(13)</t>
  </si>
  <si>
    <t>เครื่องมัลติมีเดียโปรเจคเตอร์ (โปรเจคเตอร์สำหรับห้องเรียน)</t>
  </si>
  <si>
    <t>7440-001-0003/642-001(13)</t>
  </si>
  <si>
    <t>เครื่องคอมพิวเตอร์พร้อมแป้นพิมพ์ขนาด 64 บิต (All In One)</t>
  </si>
  <si>
    <t>บัญชีรายการ งานสื่อการเรียนการสอน คงเหลือ</t>
  </si>
  <si>
    <t>................................................................</t>
  </si>
  <si>
    <t>6720-005-0002/566-001</t>
  </si>
  <si>
    <t xml:space="preserve"> 30 พ.ย.64</t>
  </si>
  <si>
    <t xml:space="preserve"> 14 ม.ค.64</t>
  </si>
  <si>
    <t xml:space="preserve"> 27 พ.ค.64</t>
  </si>
  <si>
    <t>6730-001-0003/656-001(2)</t>
  </si>
  <si>
    <t>โปรเจคเตอร์อินเตอร์แอคทีฟพร้อมกระดาน</t>
  </si>
  <si>
    <t xml:space="preserve"> 22 ธ.ค.64</t>
  </si>
  <si>
    <t>5965-002-0001/656-001(65)</t>
  </si>
  <si>
    <t>ลำโพงช่วยสอน</t>
  </si>
  <si>
    <t>5850-003-0001/652-001</t>
  </si>
  <si>
    <t>5935-006-0001/652-001</t>
  </si>
  <si>
    <t>5965-001-0001/652-001(2)</t>
  </si>
  <si>
    <t>5835-002-0003/652-001</t>
  </si>
  <si>
    <t>5835-001-0001/652-001</t>
  </si>
  <si>
    <t>5965-006-0001/652-001(2)</t>
  </si>
  <si>
    <t>ตู้แร็ค</t>
  </si>
  <si>
    <t>ปลั๊กไฟ</t>
  </si>
  <si>
    <t>ไมล์ลอยคู่</t>
  </si>
  <si>
    <t>มิกเซอร์</t>
  </si>
  <si>
    <t>เพาเวอร์แอมป์</t>
  </si>
  <si>
    <t>ขาตั้งตู้ลำโพง</t>
  </si>
  <si>
    <t>5830-001-0003/662-001</t>
  </si>
  <si>
    <t>เครื่องผสมเสียง 8 ช่อง พร้อมขยายเสียงในตัว</t>
  </si>
  <si>
    <t>7730-003-0002/662-001</t>
  </si>
  <si>
    <t>จอทีวีมัลติทัชสกรีน แบบ 4 k ไม่น้อยกว่า 75 นิ้ว</t>
  </si>
  <si>
    <t>3730-007-0006/662-001</t>
  </si>
  <si>
    <t xml:space="preserve">เครื่องฉายชนิด 3 LCD projecter </t>
  </si>
  <si>
    <t>6730-001-0001/662-001</t>
  </si>
  <si>
    <t>โปรเจคเตอร์ เครื่อฉายภาพนิ่ง (เฉพาะเครื่อง)</t>
  </si>
  <si>
    <t>7730-007-0003/662-001(3)</t>
  </si>
  <si>
    <t>จอภาพ Led Touch screen 65 นิ้ว</t>
  </si>
  <si>
    <t>(นายประสิทธิ์ จันพูล)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</si>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</sst>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8"/>
      <name val="Calibri"/>
      <family val="2"/>
      <charset val="222"/>
      <scheme val="minor"/>
    </font>
    <font>
      <sz val="16"/>
      <color rgb="FF2F75B5"/>
      <name val="TH SarabunPSK"/>
      <family val="2"/>
    </font>
    <font>
      <b/>
      <sz val="16"/>
      <name val="TH SarabunPSK"/>
      <family val="2"/>
    </font>
    <font>
      <b/>
      <sz val="16"/>
      <color rgb="FF2F75B5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6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43" fontId="8" fillId="0" borderId="1" xfId="1" applyFont="1" applyBorder="1"/>
    <xf numFmtId="0" fontId="9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43" fontId="9" fillId="0" borderId="1" xfId="1" applyFont="1" applyBorder="1"/>
    <xf numFmtId="0" fontId="8" fillId="0" borderId="1" xfId="6" applyFont="1" applyBorder="1"/>
    <xf numFmtId="49" fontId="9" fillId="0" borderId="1" xfId="6" applyNumberFormat="1" applyFont="1" applyBorder="1" applyAlignment="1">
      <alignment horizontal="left"/>
    </xf>
    <xf numFmtId="43" fontId="9" fillId="0" borderId="1" xfId="1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9" fillId="0" borderId="1" xfId="5" applyFont="1" applyBorder="1" applyAlignment="1">
      <alignment horizontal="center"/>
    </xf>
    <xf numFmtId="43" fontId="9" fillId="0" borderId="1" xfId="1" applyFont="1" applyBorder="1" applyAlignment="1"/>
    <xf numFmtId="0" fontId="8" fillId="0" borderId="5" xfId="2" applyFont="1" applyBorder="1" applyAlignment="1">
      <alignment horizontal="center"/>
    </xf>
    <xf numFmtId="0" fontId="9" fillId="0" borderId="5" xfId="2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43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0</xdr:row>
      <xdr:rowOff>161925</xdr:rowOff>
    </xdr:from>
    <xdr:to>
      <xdr:col>8</xdr:col>
      <xdr:colOff>447675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96325" y="161925"/>
          <a:ext cx="14478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J81"/>
  <sheetViews>
    <sheetView tabSelected="1" topLeftCell="A64" zoomScaleNormal="100" workbookViewId="0">
      <selection activeCell="G76" sqref="G76"/>
    </sheetView>
  </sheetViews>
  <sheetFormatPr defaultColWidth="9" defaultRowHeight="24"/>
  <cols>
    <col min="1" max="1" width="5.42578125" style="1" customWidth="1"/>
    <col min="2" max="2" width="10.7109375" style="3" customWidth="1"/>
    <col min="3" max="3" width="28" style="1" customWidth="1"/>
    <col min="4" max="4" width="46.28515625" style="1" customWidth="1"/>
    <col min="5" max="5" width="7.28515625" style="1" customWidth="1"/>
    <col min="6" max="6" width="4.7109375" style="1" customWidth="1"/>
    <col min="7" max="8" width="14.140625" style="1" customWidth="1"/>
    <col min="9" max="9" width="10.42578125" style="1" customWidth="1"/>
    <col min="10" max="10" width="14.28515625" style="1" customWidth="1"/>
    <col min="11" max="16384" width="9" style="1"/>
  </cols>
  <sheetData>
    <row r="1" spans="1:10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10">
      <c r="A2" s="30" t="s">
        <v>123</v>
      </c>
      <c r="B2" s="30"/>
      <c r="C2" s="30"/>
      <c r="D2" s="30"/>
      <c r="E2" s="30"/>
      <c r="F2" s="30"/>
      <c r="G2" s="30"/>
      <c r="H2" s="30"/>
      <c r="I2" s="30"/>
    </row>
    <row r="3" spans="1:10">
      <c r="A3" s="31" t="s">
        <v>157</v>
      </c>
      <c r="B3" s="31"/>
      <c r="C3" s="31"/>
      <c r="D3" s="31"/>
      <c r="E3" s="31"/>
      <c r="F3" s="31"/>
      <c r="G3" s="31"/>
      <c r="H3" s="31"/>
      <c r="I3" s="31"/>
    </row>
    <row r="4" spans="1:10" ht="45" customHeight="1">
      <c r="A4" s="6" t="s">
        <v>101</v>
      </c>
      <c r="B4" s="6" t="s">
        <v>104</v>
      </c>
      <c r="C4" s="6" t="s">
        <v>105</v>
      </c>
      <c r="D4" s="7" t="s">
        <v>0</v>
      </c>
      <c r="E4" s="6" t="s">
        <v>102</v>
      </c>
      <c r="F4" s="7" t="s">
        <v>1</v>
      </c>
      <c r="G4" s="6" t="s">
        <v>103</v>
      </c>
      <c r="H4" s="6" t="s">
        <v>106</v>
      </c>
      <c r="I4" s="6" t="s">
        <v>2</v>
      </c>
      <c r="J4" s="2"/>
    </row>
    <row r="5" spans="1:10">
      <c r="A5" s="4">
        <v>1</v>
      </c>
      <c r="B5" s="4">
        <v>2539</v>
      </c>
      <c r="C5" s="8" t="s">
        <v>15</v>
      </c>
      <c r="D5" s="8" t="s">
        <v>45</v>
      </c>
      <c r="E5" s="9" t="s">
        <v>4</v>
      </c>
      <c r="F5" s="9">
        <v>1</v>
      </c>
      <c r="G5" s="10">
        <v>3600</v>
      </c>
      <c r="H5" s="10">
        <f>SUM(F5*G5)</f>
        <v>3600</v>
      </c>
      <c r="I5" s="4"/>
    </row>
    <row r="6" spans="1:10">
      <c r="A6" s="4">
        <v>2</v>
      </c>
      <c r="B6" s="4">
        <v>2539</v>
      </c>
      <c r="C6" s="8" t="s">
        <v>16</v>
      </c>
      <c r="D6" s="8" t="s">
        <v>46</v>
      </c>
      <c r="E6" s="9" t="s">
        <v>4</v>
      </c>
      <c r="F6" s="9">
        <v>1</v>
      </c>
      <c r="G6" s="10">
        <v>45000</v>
      </c>
      <c r="H6" s="10">
        <f t="shared" ref="H6:H44" si="0">SUM(F6*G6)</f>
        <v>45000</v>
      </c>
      <c r="I6" s="4"/>
    </row>
    <row r="7" spans="1:10" s="5" customFormat="1">
      <c r="A7" s="11">
        <v>3</v>
      </c>
      <c r="B7" s="11">
        <v>2539</v>
      </c>
      <c r="C7" s="12" t="s">
        <v>17</v>
      </c>
      <c r="D7" s="13" t="s">
        <v>47</v>
      </c>
      <c r="E7" s="14" t="s">
        <v>4</v>
      </c>
      <c r="F7" s="14">
        <v>1</v>
      </c>
      <c r="G7" s="15">
        <v>8500</v>
      </c>
      <c r="H7" s="15">
        <f t="shared" si="0"/>
        <v>8500</v>
      </c>
      <c r="I7" s="11"/>
    </row>
    <row r="8" spans="1:10" s="5" customFormat="1">
      <c r="A8" s="11">
        <v>4</v>
      </c>
      <c r="B8" s="11">
        <v>2539</v>
      </c>
      <c r="C8" s="12" t="s">
        <v>18</v>
      </c>
      <c r="D8" s="13" t="s">
        <v>48</v>
      </c>
      <c r="E8" s="14" t="s">
        <v>4</v>
      </c>
      <c r="F8" s="14">
        <v>1</v>
      </c>
      <c r="G8" s="15">
        <v>9000</v>
      </c>
      <c r="H8" s="15">
        <f t="shared" si="0"/>
        <v>9000</v>
      </c>
      <c r="I8" s="11"/>
    </row>
    <row r="9" spans="1:10">
      <c r="A9" s="4">
        <v>5</v>
      </c>
      <c r="B9" s="4">
        <v>2541</v>
      </c>
      <c r="C9" s="8" t="s">
        <v>19</v>
      </c>
      <c r="D9" s="16" t="s">
        <v>49</v>
      </c>
      <c r="E9" s="9" t="s">
        <v>5</v>
      </c>
      <c r="F9" s="9">
        <v>1</v>
      </c>
      <c r="G9" s="10">
        <v>53900</v>
      </c>
      <c r="H9" s="10">
        <f t="shared" si="0"/>
        <v>53900</v>
      </c>
      <c r="I9" s="4"/>
    </row>
    <row r="10" spans="1:10" s="5" customFormat="1">
      <c r="A10" s="11">
        <v>6</v>
      </c>
      <c r="B10" s="11">
        <v>2541</v>
      </c>
      <c r="C10" s="12" t="s">
        <v>20</v>
      </c>
      <c r="D10" s="12" t="s">
        <v>50</v>
      </c>
      <c r="E10" s="14" t="s">
        <v>5</v>
      </c>
      <c r="F10" s="14">
        <v>3</v>
      </c>
      <c r="G10" s="15">
        <v>9400</v>
      </c>
      <c r="H10" s="15">
        <f t="shared" si="0"/>
        <v>28200</v>
      </c>
      <c r="I10" s="11"/>
    </row>
    <row r="11" spans="1:10" s="5" customFormat="1">
      <c r="A11" s="11">
        <v>7</v>
      </c>
      <c r="B11" s="11">
        <v>2544</v>
      </c>
      <c r="C11" s="12" t="s">
        <v>21</v>
      </c>
      <c r="D11" s="12" t="s">
        <v>50</v>
      </c>
      <c r="E11" s="14" t="s">
        <v>5</v>
      </c>
      <c r="F11" s="14">
        <v>4</v>
      </c>
      <c r="G11" s="15">
        <v>7650</v>
      </c>
      <c r="H11" s="15">
        <f t="shared" si="0"/>
        <v>30600</v>
      </c>
      <c r="I11" s="11"/>
    </row>
    <row r="12" spans="1:10">
      <c r="A12" s="4">
        <v>8</v>
      </c>
      <c r="B12" s="4">
        <v>2544</v>
      </c>
      <c r="C12" s="8" t="s">
        <v>22</v>
      </c>
      <c r="D12" s="8" t="s">
        <v>45</v>
      </c>
      <c r="E12" s="9" t="s">
        <v>5</v>
      </c>
      <c r="F12" s="9">
        <v>4</v>
      </c>
      <c r="G12" s="10">
        <v>3600</v>
      </c>
      <c r="H12" s="10">
        <f t="shared" si="0"/>
        <v>14400</v>
      </c>
      <c r="I12" s="4"/>
    </row>
    <row r="13" spans="1:10" s="5" customFormat="1">
      <c r="A13" s="11">
        <v>9</v>
      </c>
      <c r="B13" s="11">
        <v>2544</v>
      </c>
      <c r="C13" s="12" t="s">
        <v>23</v>
      </c>
      <c r="D13" s="13" t="s">
        <v>51</v>
      </c>
      <c r="E13" s="14" t="s">
        <v>66</v>
      </c>
      <c r="F13" s="14">
        <v>1</v>
      </c>
      <c r="G13" s="15">
        <v>15500</v>
      </c>
      <c r="H13" s="15">
        <f t="shared" si="0"/>
        <v>15500</v>
      </c>
      <c r="I13" s="11"/>
    </row>
    <row r="14" spans="1:10">
      <c r="A14" s="4">
        <v>10</v>
      </c>
      <c r="B14" s="4">
        <v>2544</v>
      </c>
      <c r="C14" s="8" t="s">
        <v>24</v>
      </c>
      <c r="D14" s="16" t="s">
        <v>52</v>
      </c>
      <c r="E14" s="9" t="s">
        <v>5</v>
      </c>
      <c r="F14" s="9">
        <v>1</v>
      </c>
      <c r="G14" s="10">
        <v>8700</v>
      </c>
      <c r="H14" s="10">
        <f t="shared" si="0"/>
        <v>8700</v>
      </c>
      <c r="I14" s="4"/>
    </row>
    <row r="15" spans="1:10" s="5" customFormat="1">
      <c r="A15" s="11">
        <v>11</v>
      </c>
      <c r="B15" s="11">
        <v>2544</v>
      </c>
      <c r="C15" s="12" t="s">
        <v>25</v>
      </c>
      <c r="D15" s="13" t="s">
        <v>53</v>
      </c>
      <c r="E15" s="14" t="s">
        <v>5</v>
      </c>
      <c r="F15" s="14">
        <v>1</v>
      </c>
      <c r="G15" s="15">
        <v>3000</v>
      </c>
      <c r="H15" s="15">
        <f t="shared" si="0"/>
        <v>3000</v>
      </c>
      <c r="I15" s="11"/>
    </row>
    <row r="16" spans="1:10" s="5" customFormat="1">
      <c r="A16" s="11">
        <v>12</v>
      </c>
      <c r="B16" s="11">
        <v>2545</v>
      </c>
      <c r="C16" s="12" t="s">
        <v>26</v>
      </c>
      <c r="D16" s="13" t="s">
        <v>54</v>
      </c>
      <c r="E16" s="14" t="s">
        <v>5</v>
      </c>
      <c r="F16" s="14">
        <v>1</v>
      </c>
      <c r="G16" s="15">
        <v>5990</v>
      </c>
      <c r="H16" s="15">
        <f t="shared" si="0"/>
        <v>5990</v>
      </c>
      <c r="I16" s="11"/>
    </row>
    <row r="17" spans="1:9" s="5" customFormat="1">
      <c r="A17" s="11">
        <v>13</v>
      </c>
      <c r="B17" s="11">
        <v>2545</v>
      </c>
      <c r="C17" s="12" t="s">
        <v>27</v>
      </c>
      <c r="D17" s="13" t="s">
        <v>55</v>
      </c>
      <c r="E17" s="14" t="s">
        <v>5</v>
      </c>
      <c r="F17" s="14">
        <v>1</v>
      </c>
      <c r="G17" s="15">
        <v>2650</v>
      </c>
      <c r="H17" s="15">
        <f t="shared" si="0"/>
        <v>2650</v>
      </c>
      <c r="I17" s="11"/>
    </row>
    <row r="18" spans="1:9" s="5" customFormat="1">
      <c r="A18" s="11">
        <v>14</v>
      </c>
      <c r="B18" s="11">
        <v>2545</v>
      </c>
      <c r="C18" s="12" t="s">
        <v>28</v>
      </c>
      <c r="D18" s="17" t="s">
        <v>56</v>
      </c>
      <c r="E18" s="14" t="s">
        <v>5</v>
      </c>
      <c r="F18" s="14">
        <v>2</v>
      </c>
      <c r="G18" s="18">
        <v>4050</v>
      </c>
      <c r="H18" s="15">
        <f t="shared" si="0"/>
        <v>8100</v>
      </c>
      <c r="I18" s="11"/>
    </row>
    <row r="19" spans="1:9">
      <c r="A19" s="4">
        <v>15</v>
      </c>
      <c r="B19" s="4">
        <v>2546</v>
      </c>
      <c r="C19" s="8" t="s">
        <v>29</v>
      </c>
      <c r="D19" s="16" t="s">
        <v>57</v>
      </c>
      <c r="E19" s="9" t="s">
        <v>4</v>
      </c>
      <c r="F19" s="9">
        <v>1</v>
      </c>
      <c r="G19" s="10">
        <v>130000</v>
      </c>
      <c r="H19" s="10">
        <f t="shared" si="0"/>
        <v>130000</v>
      </c>
      <c r="I19" s="4"/>
    </row>
    <row r="20" spans="1:9">
      <c r="A20" s="4">
        <v>16</v>
      </c>
      <c r="B20" s="4">
        <v>2546</v>
      </c>
      <c r="C20" s="8" t="s">
        <v>30</v>
      </c>
      <c r="D20" s="16" t="s">
        <v>58</v>
      </c>
      <c r="E20" s="9" t="s">
        <v>4</v>
      </c>
      <c r="F20" s="9">
        <v>1</v>
      </c>
      <c r="G20" s="10">
        <v>35000</v>
      </c>
      <c r="H20" s="10">
        <f t="shared" si="0"/>
        <v>35000</v>
      </c>
      <c r="I20" s="4"/>
    </row>
    <row r="21" spans="1:9">
      <c r="A21" s="4">
        <v>17</v>
      </c>
      <c r="B21" s="4">
        <v>2548</v>
      </c>
      <c r="C21" s="8" t="s">
        <v>31</v>
      </c>
      <c r="D21" s="16" t="s">
        <v>59</v>
      </c>
      <c r="E21" s="9" t="s">
        <v>4</v>
      </c>
      <c r="F21" s="9">
        <v>1</v>
      </c>
      <c r="G21" s="10">
        <v>462312</v>
      </c>
      <c r="H21" s="10">
        <f t="shared" si="0"/>
        <v>462312</v>
      </c>
      <c r="I21" s="4"/>
    </row>
    <row r="22" spans="1:9">
      <c r="A22" s="4">
        <v>18</v>
      </c>
      <c r="B22" s="4">
        <v>2548</v>
      </c>
      <c r="C22" s="8" t="s">
        <v>32</v>
      </c>
      <c r="D22" s="16" t="s">
        <v>60</v>
      </c>
      <c r="E22" s="9" t="s">
        <v>66</v>
      </c>
      <c r="F22" s="9">
        <v>1</v>
      </c>
      <c r="G22" s="10">
        <v>42000</v>
      </c>
      <c r="H22" s="10">
        <f t="shared" si="0"/>
        <v>42000</v>
      </c>
      <c r="I22" s="4"/>
    </row>
    <row r="23" spans="1:9" s="5" customFormat="1">
      <c r="A23" s="11">
        <v>19</v>
      </c>
      <c r="B23" s="11">
        <v>2548</v>
      </c>
      <c r="C23" s="12" t="s">
        <v>33</v>
      </c>
      <c r="D23" s="13" t="s">
        <v>7</v>
      </c>
      <c r="E23" s="14" t="s">
        <v>66</v>
      </c>
      <c r="F23" s="14">
        <v>6</v>
      </c>
      <c r="G23" s="15">
        <v>20000</v>
      </c>
      <c r="H23" s="15">
        <f t="shared" si="0"/>
        <v>120000</v>
      </c>
      <c r="I23" s="11"/>
    </row>
    <row r="24" spans="1:9">
      <c r="A24" s="4">
        <v>20</v>
      </c>
      <c r="B24" s="4">
        <v>2549</v>
      </c>
      <c r="C24" s="8" t="s">
        <v>34</v>
      </c>
      <c r="D24" s="16" t="s">
        <v>61</v>
      </c>
      <c r="E24" s="4" t="s">
        <v>5</v>
      </c>
      <c r="F24" s="19">
        <v>1</v>
      </c>
      <c r="G24" s="10">
        <v>12990</v>
      </c>
      <c r="H24" s="10">
        <f t="shared" si="0"/>
        <v>12990</v>
      </c>
      <c r="I24" s="4"/>
    </row>
    <row r="25" spans="1:9">
      <c r="A25" s="4">
        <v>21</v>
      </c>
      <c r="B25" s="4">
        <v>2552</v>
      </c>
      <c r="C25" s="8" t="s">
        <v>35</v>
      </c>
      <c r="D25" s="16" t="s">
        <v>62</v>
      </c>
      <c r="E25" s="4" t="s">
        <v>4</v>
      </c>
      <c r="F25" s="19">
        <v>1</v>
      </c>
      <c r="G25" s="10">
        <v>1694000</v>
      </c>
      <c r="H25" s="10">
        <f t="shared" si="0"/>
        <v>1694000</v>
      </c>
      <c r="I25" s="4"/>
    </row>
    <row r="26" spans="1:9" s="5" customFormat="1">
      <c r="A26" s="11">
        <v>22</v>
      </c>
      <c r="B26" s="11">
        <v>2553</v>
      </c>
      <c r="C26" s="12" t="s">
        <v>36</v>
      </c>
      <c r="D26" s="13" t="s">
        <v>8</v>
      </c>
      <c r="E26" s="11" t="s">
        <v>4</v>
      </c>
      <c r="F26" s="20">
        <v>1</v>
      </c>
      <c r="G26" s="15">
        <v>1100</v>
      </c>
      <c r="H26" s="15">
        <f t="shared" si="0"/>
        <v>1100</v>
      </c>
      <c r="I26" s="11"/>
    </row>
    <row r="27" spans="1:9" s="5" customFormat="1">
      <c r="A27" s="11">
        <v>23</v>
      </c>
      <c r="B27" s="11">
        <v>2553</v>
      </c>
      <c r="C27" s="12" t="s">
        <v>37</v>
      </c>
      <c r="D27" s="13" t="s">
        <v>11</v>
      </c>
      <c r="E27" s="11" t="s">
        <v>4</v>
      </c>
      <c r="F27" s="20">
        <v>1</v>
      </c>
      <c r="G27" s="15">
        <v>3500</v>
      </c>
      <c r="H27" s="15">
        <f t="shared" si="0"/>
        <v>3500</v>
      </c>
      <c r="I27" s="11"/>
    </row>
    <row r="28" spans="1:9" s="5" customFormat="1">
      <c r="A28" s="11">
        <v>24</v>
      </c>
      <c r="B28" s="11">
        <v>2553</v>
      </c>
      <c r="C28" s="12" t="s">
        <v>38</v>
      </c>
      <c r="D28" s="13" t="s">
        <v>13</v>
      </c>
      <c r="E28" s="11" t="s">
        <v>4</v>
      </c>
      <c r="F28" s="20">
        <v>1</v>
      </c>
      <c r="G28" s="15">
        <v>3750</v>
      </c>
      <c r="H28" s="15">
        <f t="shared" si="0"/>
        <v>3750</v>
      </c>
      <c r="I28" s="11"/>
    </row>
    <row r="29" spans="1:9" s="5" customFormat="1">
      <c r="A29" s="11">
        <v>25</v>
      </c>
      <c r="B29" s="11">
        <v>2553</v>
      </c>
      <c r="C29" s="12" t="s">
        <v>39</v>
      </c>
      <c r="D29" s="13" t="s">
        <v>63</v>
      </c>
      <c r="E29" s="11" t="s">
        <v>4</v>
      </c>
      <c r="F29" s="20">
        <v>28</v>
      </c>
      <c r="G29" s="15">
        <v>16700</v>
      </c>
      <c r="H29" s="15">
        <f t="shared" si="0"/>
        <v>467600</v>
      </c>
      <c r="I29" s="11"/>
    </row>
    <row r="30" spans="1:9" s="5" customFormat="1">
      <c r="A30" s="11">
        <v>26</v>
      </c>
      <c r="B30" s="11">
        <v>2553</v>
      </c>
      <c r="C30" s="12" t="s">
        <v>40</v>
      </c>
      <c r="D30" s="13" t="s">
        <v>6</v>
      </c>
      <c r="E30" s="11" t="s">
        <v>4</v>
      </c>
      <c r="F30" s="20">
        <v>20</v>
      </c>
      <c r="G30" s="21">
        <v>18495</v>
      </c>
      <c r="H30" s="15">
        <f t="shared" si="0"/>
        <v>369900</v>
      </c>
      <c r="I30" s="11"/>
    </row>
    <row r="31" spans="1:9">
      <c r="A31" s="4">
        <v>27</v>
      </c>
      <c r="B31" s="4">
        <v>2553</v>
      </c>
      <c r="C31" s="8" t="s">
        <v>41</v>
      </c>
      <c r="D31" s="16" t="s">
        <v>64</v>
      </c>
      <c r="E31" s="4" t="s">
        <v>4</v>
      </c>
      <c r="F31" s="19">
        <v>1</v>
      </c>
      <c r="G31" s="10">
        <v>30000</v>
      </c>
      <c r="H31" s="10">
        <f t="shared" si="0"/>
        <v>30000</v>
      </c>
      <c r="I31" s="4"/>
    </row>
    <row r="32" spans="1:9" s="5" customFormat="1">
      <c r="A32" s="11">
        <v>28</v>
      </c>
      <c r="B32" s="11">
        <v>2553</v>
      </c>
      <c r="C32" s="12" t="s">
        <v>42</v>
      </c>
      <c r="D32" s="13" t="s">
        <v>6</v>
      </c>
      <c r="E32" s="11" t="s">
        <v>4</v>
      </c>
      <c r="F32" s="20">
        <v>1</v>
      </c>
      <c r="G32" s="15">
        <v>17000</v>
      </c>
      <c r="H32" s="15">
        <f t="shared" si="0"/>
        <v>17000</v>
      </c>
      <c r="I32" s="11"/>
    </row>
    <row r="33" spans="1:9" s="5" customFormat="1">
      <c r="A33" s="11">
        <v>29</v>
      </c>
      <c r="B33" s="11">
        <v>2554</v>
      </c>
      <c r="C33" s="12" t="s">
        <v>43</v>
      </c>
      <c r="D33" s="13" t="s">
        <v>6</v>
      </c>
      <c r="E33" s="11" t="s">
        <v>4</v>
      </c>
      <c r="F33" s="20">
        <v>10</v>
      </c>
      <c r="G33" s="15">
        <v>19400</v>
      </c>
      <c r="H33" s="15">
        <f t="shared" si="0"/>
        <v>194000</v>
      </c>
      <c r="I33" s="11"/>
    </row>
    <row r="34" spans="1:9">
      <c r="A34" s="4">
        <v>30</v>
      </c>
      <c r="B34" s="4">
        <v>2554</v>
      </c>
      <c r="C34" s="8" t="s">
        <v>44</v>
      </c>
      <c r="D34" s="16" t="s">
        <v>65</v>
      </c>
      <c r="E34" s="4" t="s">
        <v>4</v>
      </c>
      <c r="F34" s="19">
        <v>1</v>
      </c>
      <c r="G34" s="10">
        <v>70000</v>
      </c>
      <c r="H34" s="10">
        <f t="shared" si="0"/>
        <v>70000</v>
      </c>
      <c r="I34" s="4"/>
    </row>
    <row r="35" spans="1:9">
      <c r="A35" s="4">
        <v>31</v>
      </c>
      <c r="B35" s="4">
        <v>2555</v>
      </c>
      <c r="C35" s="8" t="s">
        <v>67</v>
      </c>
      <c r="D35" s="16" t="s">
        <v>85</v>
      </c>
      <c r="E35" s="22" t="s">
        <v>4</v>
      </c>
      <c r="F35" s="9">
        <v>34</v>
      </c>
      <c r="G35" s="10">
        <v>2535</v>
      </c>
      <c r="H35" s="10">
        <f t="shared" si="0"/>
        <v>86190</v>
      </c>
      <c r="I35" s="4"/>
    </row>
    <row r="36" spans="1:9" s="5" customFormat="1">
      <c r="A36" s="11">
        <v>32</v>
      </c>
      <c r="B36" s="11">
        <v>2555</v>
      </c>
      <c r="C36" s="12" t="s">
        <v>68</v>
      </c>
      <c r="D36" s="13" t="s">
        <v>100</v>
      </c>
      <c r="E36" s="23" t="s">
        <v>4</v>
      </c>
      <c r="F36" s="14">
        <v>2</v>
      </c>
      <c r="G36" s="15">
        <v>858</v>
      </c>
      <c r="H36" s="15">
        <f t="shared" si="0"/>
        <v>1716</v>
      </c>
      <c r="I36" s="11"/>
    </row>
    <row r="37" spans="1:9">
      <c r="A37" s="4">
        <v>33</v>
      </c>
      <c r="B37" s="4">
        <v>2555</v>
      </c>
      <c r="C37" s="8" t="s">
        <v>69</v>
      </c>
      <c r="D37" s="16" t="s">
        <v>86</v>
      </c>
      <c r="E37" s="22" t="s">
        <v>4</v>
      </c>
      <c r="F37" s="9">
        <v>2</v>
      </c>
      <c r="G37" s="10">
        <v>4550</v>
      </c>
      <c r="H37" s="10">
        <f t="shared" si="0"/>
        <v>9100</v>
      </c>
      <c r="I37" s="4"/>
    </row>
    <row r="38" spans="1:9" s="5" customFormat="1">
      <c r="A38" s="11">
        <v>34</v>
      </c>
      <c r="B38" s="11">
        <v>2555</v>
      </c>
      <c r="C38" s="12" t="s">
        <v>70</v>
      </c>
      <c r="D38" s="13" t="s">
        <v>87</v>
      </c>
      <c r="E38" s="23" t="s">
        <v>4</v>
      </c>
      <c r="F38" s="14">
        <v>5</v>
      </c>
      <c r="G38" s="15">
        <v>3250</v>
      </c>
      <c r="H38" s="15">
        <f t="shared" si="0"/>
        <v>16250</v>
      </c>
      <c r="I38" s="11"/>
    </row>
    <row r="39" spans="1:9">
      <c r="A39" s="4">
        <v>35</v>
      </c>
      <c r="B39" s="4">
        <v>2555</v>
      </c>
      <c r="C39" s="8" t="s">
        <v>71</v>
      </c>
      <c r="D39" s="16" t="s">
        <v>88</v>
      </c>
      <c r="E39" s="22" t="s">
        <v>4</v>
      </c>
      <c r="F39" s="9">
        <v>27</v>
      </c>
      <c r="G39" s="10">
        <v>858</v>
      </c>
      <c r="H39" s="10">
        <f t="shared" si="0"/>
        <v>23166</v>
      </c>
      <c r="I39" s="4"/>
    </row>
    <row r="40" spans="1:9" s="5" customFormat="1">
      <c r="A40" s="11">
        <v>36</v>
      </c>
      <c r="B40" s="11">
        <v>2555</v>
      </c>
      <c r="C40" s="12" t="s">
        <v>72</v>
      </c>
      <c r="D40" s="13" t="s">
        <v>89</v>
      </c>
      <c r="E40" s="23" t="s">
        <v>4</v>
      </c>
      <c r="F40" s="14">
        <v>1</v>
      </c>
      <c r="G40" s="15">
        <v>71050</v>
      </c>
      <c r="H40" s="15">
        <f t="shared" si="0"/>
        <v>71050</v>
      </c>
      <c r="I40" s="11"/>
    </row>
    <row r="41" spans="1:9" s="5" customFormat="1">
      <c r="A41" s="11">
        <v>37</v>
      </c>
      <c r="B41" s="11">
        <v>2555</v>
      </c>
      <c r="C41" s="12" t="s">
        <v>73</v>
      </c>
      <c r="D41" s="13" t="s">
        <v>90</v>
      </c>
      <c r="E41" s="23" t="s">
        <v>4</v>
      </c>
      <c r="F41" s="14">
        <v>1</v>
      </c>
      <c r="G41" s="15">
        <v>52000</v>
      </c>
      <c r="H41" s="15">
        <f t="shared" si="0"/>
        <v>52000</v>
      </c>
      <c r="I41" s="11"/>
    </row>
    <row r="42" spans="1:9">
      <c r="A42" s="4">
        <v>38</v>
      </c>
      <c r="B42" s="4">
        <v>2555</v>
      </c>
      <c r="C42" s="8" t="s">
        <v>74</v>
      </c>
      <c r="D42" s="16" t="s">
        <v>91</v>
      </c>
      <c r="E42" s="22" t="s">
        <v>4</v>
      </c>
      <c r="F42" s="9">
        <v>1</v>
      </c>
      <c r="G42" s="10">
        <v>45500</v>
      </c>
      <c r="H42" s="10">
        <f t="shared" si="0"/>
        <v>45500</v>
      </c>
      <c r="I42" s="4"/>
    </row>
    <row r="43" spans="1:9">
      <c r="A43" s="4">
        <v>39</v>
      </c>
      <c r="B43" s="4">
        <v>2555</v>
      </c>
      <c r="C43" s="8" t="s">
        <v>75</v>
      </c>
      <c r="D43" s="16" t="s">
        <v>92</v>
      </c>
      <c r="E43" s="22" t="s">
        <v>4</v>
      </c>
      <c r="F43" s="9">
        <v>7</v>
      </c>
      <c r="G43" s="10">
        <v>28500</v>
      </c>
      <c r="H43" s="10">
        <f t="shared" si="0"/>
        <v>199500</v>
      </c>
      <c r="I43" s="4"/>
    </row>
    <row r="44" spans="1:9">
      <c r="A44" s="4">
        <v>40</v>
      </c>
      <c r="B44" s="4">
        <v>2555</v>
      </c>
      <c r="C44" s="8" t="s">
        <v>76</v>
      </c>
      <c r="D44" s="16" t="s">
        <v>88</v>
      </c>
      <c r="E44" s="22" t="s">
        <v>4</v>
      </c>
      <c r="F44" s="9">
        <v>7</v>
      </c>
      <c r="G44" s="10">
        <v>850</v>
      </c>
      <c r="H44" s="10">
        <f t="shared" si="0"/>
        <v>5950</v>
      </c>
      <c r="I44" s="4"/>
    </row>
    <row r="45" spans="1:9" s="5" customFormat="1">
      <c r="A45" s="11">
        <v>41</v>
      </c>
      <c r="B45" s="11">
        <v>2555</v>
      </c>
      <c r="C45" s="12" t="s">
        <v>77</v>
      </c>
      <c r="D45" s="13" t="s">
        <v>12</v>
      </c>
      <c r="E45" s="23" t="s">
        <v>4</v>
      </c>
      <c r="F45" s="14">
        <v>7</v>
      </c>
      <c r="G45" s="15">
        <v>18150</v>
      </c>
      <c r="H45" s="15">
        <f>SUM(F45*G45)</f>
        <v>127050</v>
      </c>
      <c r="I45" s="11"/>
    </row>
    <row r="46" spans="1:9" s="5" customFormat="1">
      <c r="A46" s="24">
        <v>42</v>
      </c>
      <c r="B46" s="11">
        <v>2556</v>
      </c>
      <c r="C46" s="12" t="s">
        <v>78</v>
      </c>
      <c r="D46" s="13" t="s">
        <v>93</v>
      </c>
      <c r="E46" s="14" t="s">
        <v>9</v>
      </c>
      <c r="F46" s="14">
        <v>1</v>
      </c>
      <c r="G46" s="15">
        <v>24880</v>
      </c>
      <c r="H46" s="15">
        <f>SUM(F46*G46)</f>
        <v>24880</v>
      </c>
      <c r="I46" s="11"/>
    </row>
    <row r="47" spans="1:9">
      <c r="A47" s="32" t="s">
        <v>107</v>
      </c>
      <c r="B47" s="33"/>
      <c r="C47" s="33"/>
      <c r="D47" s="34"/>
      <c r="E47" s="22"/>
      <c r="F47" s="9"/>
      <c r="G47" s="10"/>
      <c r="H47" s="10">
        <f>SUM(H5:H46)</f>
        <v>4552644</v>
      </c>
      <c r="I47" s="4"/>
    </row>
    <row r="48" spans="1:9">
      <c r="A48" s="32" t="s">
        <v>108</v>
      </c>
      <c r="B48" s="33"/>
      <c r="C48" s="33"/>
      <c r="D48" s="34"/>
      <c r="E48" s="22"/>
      <c r="F48" s="9"/>
      <c r="G48" s="10"/>
      <c r="H48" s="10">
        <f>SUM(H47)</f>
        <v>4552644</v>
      </c>
      <c r="I48" s="4"/>
    </row>
    <row r="49" spans="1:9">
      <c r="A49" s="25">
        <v>43</v>
      </c>
      <c r="B49" s="4">
        <v>2556</v>
      </c>
      <c r="C49" s="8" t="s">
        <v>79</v>
      </c>
      <c r="D49" s="16" t="s">
        <v>93</v>
      </c>
      <c r="E49" s="9" t="s">
        <v>9</v>
      </c>
      <c r="F49" s="9">
        <v>1</v>
      </c>
      <c r="G49" s="10">
        <v>24800</v>
      </c>
      <c r="H49" s="10">
        <f>SUM(F49*G49)</f>
        <v>24800</v>
      </c>
      <c r="I49" s="4"/>
    </row>
    <row r="50" spans="1:9">
      <c r="A50" s="25">
        <v>44</v>
      </c>
      <c r="B50" s="4">
        <v>2556</v>
      </c>
      <c r="C50" s="8" t="s">
        <v>80</v>
      </c>
      <c r="D50" s="16" t="s">
        <v>94</v>
      </c>
      <c r="E50" s="9" t="s">
        <v>9</v>
      </c>
      <c r="F50" s="9">
        <v>4</v>
      </c>
      <c r="G50" s="10">
        <v>18650</v>
      </c>
      <c r="H50" s="10">
        <f t="shared" ref="H50:H75" si="1">SUM(F50*G50)</f>
        <v>74600</v>
      </c>
      <c r="I50" s="4"/>
    </row>
    <row r="51" spans="1:9">
      <c r="A51" s="25">
        <v>45</v>
      </c>
      <c r="B51" s="4">
        <v>2556</v>
      </c>
      <c r="C51" s="8" t="s">
        <v>81</v>
      </c>
      <c r="D51" s="16" t="s">
        <v>95</v>
      </c>
      <c r="E51" s="9" t="s">
        <v>9</v>
      </c>
      <c r="F51" s="9">
        <v>2</v>
      </c>
      <c r="G51" s="10">
        <v>40000</v>
      </c>
      <c r="H51" s="10">
        <f t="shared" si="1"/>
        <v>80000</v>
      </c>
      <c r="I51" s="4"/>
    </row>
    <row r="52" spans="1:9">
      <c r="A52" s="25">
        <v>46</v>
      </c>
      <c r="B52" s="4">
        <v>2556</v>
      </c>
      <c r="C52" s="8" t="s">
        <v>125</v>
      </c>
      <c r="D52" s="16" t="s">
        <v>96</v>
      </c>
      <c r="E52" s="9" t="s">
        <v>9</v>
      </c>
      <c r="F52" s="19">
        <v>1</v>
      </c>
      <c r="G52" s="10">
        <v>12600</v>
      </c>
      <c r="H52" s="10">
        <f t="shared" si="1"/>
        <v>12600</v>
      </c>
      <c r="I52" s="4"/>
    </row>
    <row r="53" spans="1:9">
      <c r="A53" s="25">
        <v>47</v>
      </c>
      <c r="B53" s="4">
        <v>2556</v>
      </c>
      <c r="C53" s="8" t="s">
        <v>82</v>
      </c>
      <c r="D53" s="16" t="s">
        <v>97</v>
      </c>
      <c r="E53" s="9" t="s">
        <v>9</v>
      </c>
      <c r="F53" s="19">
        <v>1</v>
      </c>
      <c r="G53" s="10">
        <v>11900</v>
      </c>
      <c r="H53" s="10">
        <f t="shared" si="1"/>
        <v>11900</v>
      </c>
      <c r="I53" s="4"/>
    </row>
    <row r="54" spans="1:9">
      <c r="A54" s="25">
        <v>48</v>
      </c>
      <c r="B54" s="4">
        <v>2556</v>
      </c>
      <c r="C54" s="8" t="s">
        <v>83</v>
      </c>
      <c r="D54" s="16" t="s">
        <v>98</v>
      </c>
      <c r="E54" s="9" t="s">
        <v>9</v>
      </c>
      <c r="F54" s="19">
        <v>1</v>
      </c>
      <c r="G54" s="10">
        <v>3500</v>
      </c>
      <c r="H54" s="10">
        <f t="shared" si="1"/>
        <v>3500</v>
      </c>
      <c r="I54" s="4"/>
    </row>
    <row r="55" spans="1:9">
      <c r="A55" s="25">
        <v>49</v>
      </c>
      <c r="B55" s="4">
        <v>2556</v>
      </c>
      <c r="C55" s="8" t="s">
        <v>84</v>
      </c>
      <c r="D55" s="16" t="s">
        <v>99</v>
      </c>
      <c r="E55" s="9" t="s">
        <v>9</v>
      </c>
      <c r="F55" s="19">
        <v>1</v>
      </c>
      <c r="G55" s="10">
        <v>6000</v>
      </c>
      <c r="H55" s="10">
        <f t="shared" si="1"/>
        <v>6000</v>
      </c>
      <c r="I55" s="4"/>
    </row>
    <row r="56" spans="1:9">
      <c r="A56" s="25">
        <v>50</v>
      </c>
      <c r="B56" s="26" t="s">
        <v>127</v>
      </c>
      <c r="C56" s="8" t="s">
        <v>109</v>
      </c>
      <c r="D56" s="16" t="s">
        <v>110</v>
      </c>
      <c r="E56" s="9" t="s">
        <v>5</v>
      </c>
      <c r="F56" s="19">
        <v>1</v>
      </c>
      <c r="G56" s="10">
        <v>12000</v>
      </c>
      <c r="H56" s="10">
        <f t="shared" si="1"/>
        <v>12000</v>
      </c>
      <c r="I56" s="4"/>
    </row>
    <row r="57" spans="1:9">
      <c r="A57" s="25">
        <v>51</v>
      </c>
      <c r="B57" s="26" t="s">
        <v>127</v>
      </c>
      <c r="C57" s="8" t="s">
        <v>111</v>
      </c>
      <c r="D57" s="16" t="s">
        <v>112</v>
      </c>
      <c r="E57" s="9" t="s">
        <v>5</v>
      </c>
      <c r="F57" s="19">
        <v>1</v>
      </c>
      <c r="G57" s="10">
        <v>5600</v>
      </c>
      <c r="H57" s="10">
        <f t="shared" si="1"/>
        <v>5600</v>
      </c>
      <c r="I57" s="4"/>
    </row>
    <row r="58" spans="1:9">
      <c r="A58" s="25">
        <v>52</v>
      </c>
      <c r="B58" s="26" t="s">
        <v>127</v>
      </c>
      <c r="C58" s="8" t="s">
        <v>113</v>
      </c>
      <c r="D58" s="16" t="s">
        <v>114</v>
      </c>
      <c r="E58" s="9" t="s">
        <v>5</v>
      </c>
      <c r="F58" s="19">
        <v>8</v>
      </c>
      <c r="G58" s="10">
        <v>5500</v>
      </c>
      <c r="H58" s="10">
        <f t="shared" si="1"/>
        <v>44000</v>
      </c>
      <c r="I58" s="4"/>
    </row>
    <row r="59" spans="1:9">
      <c r="A59" s="25">
        <v>53</v>
      </c>
      <c r="B59" s="26" t="s">
        <v>128</v>
      </c>
      <c r="C59" s="8" t="s">
        <v>115</v>
      </c>
      <c r="D59" s="16" t="s">
        <v>116</v>
      </c>
      <c r="E59" s="9" t="s">
        <v>5</v>
      </c>
      <c r="F59" s="19">
        <v>1</v>
      </c>
      <c r="G59" s="10">
        <v>169000</v>
      </c>
      <c r="H59" s="10">
        <f t="shared" si="1"/>
        <v>169000</v>
      </c>
      <c r="I59" s="4"/>
    </row>
    <row r="60" spans="1:9">
      <c r="A60" s="25">
        <v>54</v>
      </c>
      <c r="B60" s="26" t="s">
        <v>128</v>
      </c>
      <c r="C60" s="8" t="s">
        <v>117</v>
      </c>
      <c r="D60" s="16" t="s">
        <v>118</v>
      </c>
      <c r="E60" s="9" t="s">
        <v>5</v>
      </c>
      <c r="F60" s="19">
        <v>1</v>
      </c>
      <c r="G60" s="10">
        <v>20000</v>
      </c>
      <c r="H60" s="10">
        <f t="shared" si="1"/>
        <v>20000</v>
      </c>
      <c r="I60" s="4"/>
    </row>
    <row r="61" spans="1:9">
      <c r="A61" s="25">
        <v>55</v>
      </c>
      <c r="B61" s="26" t="s">
        <v>128</v>
      </c>
      <c r="C61" s="8" t="s">
        <v>119</v>
      </c>
      <c r="D61" s="16" t="s">
        <v>120</v>
      </c>
      <c r="E61" s="9" t="s">
        <v>5</v>
      </c>
      <c r="F61" s="19">
        <v>13</v>
      </c>
      <c r="G61" s="10">
        <v>13000</v>
      </c>
      <c r="H61" s="10">
        <f t="shared" si="1"/>
        <v>169000</v>
      </c>
      <c r="I61" s="4"/>
    </row>
    <row r="62" spans="1:9">
      <c r="A62" s="25">
        <v>56</v>
      </c>
      <c r="B62" s="26" t="s">
        <v>128</v>
      </c>
      <c r="C62" s="8" t="s">
        <v>121</v>
      </c>
      <c r="D62" s="16" t="s">
        <v>122</v>
      </c>
      <c r="E62" s="9" t="s">
        <v>5</v>
      </c>
      <c r="F62" s="19">
        <v>13</v>
      </c>
      <c r="G62" s="10">
        <v>17000</v>
      </c>
      <c r="H62" s="10">
        <f t="shared" si="1"/>
        <v>221000</v>
      </c>
      <c r="I62" s="4"/>
    </row>
    <row r="63" spans="1:9">
      <c r="A63" s="25">
        <v>57</v>
      </c>
      <c r="B63" s="26" t="s">
        <v>126</v>
      </c>
      <c r="C63" s="8" t="s">
        <v>129</v>
      </c>
      <c r="D63" s="16" t="s">
        <v>130</v>
      </c>
      <c r="E63" s="9" t="s">
        <v>9</v>
      </c>
      <c r="F63" s="19">
        <v>2</v>
      </c>
      <c r="G63" s="10">
        <v>149000</v>
      </c>
      <c r="H63" s="10">
        <f t="shared" si="1"/>
        <v>298000</v>
      </c>
      <c r="I63" s="4"/>
    </row>
    <row r="64" spans="1:9">
      <c r="A64" s="25">
        <v>58</v>
      </c>
      <c r="B64" s="26" t="s">
        <v>131</v>
      </c>
      <c r="C64" s="8" t="s">
        <v>132</v>
      </c>
      <c r="D64" s="16" t="s">
        <v>133</v>
      </c>
      <c r="E64" s="9" t="s">
        <v>9</v>
      </c>
      <c r="F64" s="19">
        <v>65</v>
      </c>
      <c r="G64" s="10">
        <v>4000</v>
      </c>
      <c r="H64" s="10">
        <f t="shared" si="1"/>
        <v>260000</v>
      </c>
      <c r="I64" s="4"/>
    </row>
    <row r="65" spans="1:10">
      <c r="A65" s="25">
        <v>59</v>
      </c>
      <c r="B65" s="26">
        <v>23873</v>
      </c>
      <c r="C65" s="8" t="s">
        <v>134</v>
      </c>
      <c r="D65" s="16" t="s">
        <v>140</v>
      </c>
      <c r="E65" s="9" t="s">
        <v>5</v>
      </c>
      <c r="F65" s="19">
        <v>1</v>
      </c>
      <c r="G65" s="10">
        <v>3500</v>
      </c>
      <c r="H65" s="10">
        <f t="shared" si="1"/>
        <v>3500</v>
      </c>
      <c r="I65" s="4"/>
    </row>
    <row r="66" spans="1:10">
      <c r="A66" s="25">
        <v>60</v>
      </c>
      <c r="B66" s="26">
        <v>23873</v>
      </c>
      <c r="C66" s="8" t="s">
        <v>135</v>
      </c>
      <c r="D66" s="16" t="s">
        <v>141</v>
      </c>
      <c r="E66" s="9" t="s">
        <v>5</v>
      </c>
      <c r="F66" s="19">
        <v>1</v>
      </c>
      <c r="G66" s="10">
        <v>2660</v>
      </c>
      <c r="H66" s="10">
        <f t="shared" si="1"/>
        <v>2660</v>
      </c>
      <c r="I66" s="4"/>
    </row>
    <row r="67" spans="1:10">
      <c r="A67" s="25">
        <v>61</v>
      </c>
      <c r="B67" s="26">
        <v>23873</v>
      </c>
      <c r="C67" s="8" t="s">
        <v>136</v>
      </c>
      <c r="D67" s="16" t="s">
        <v>142</v>
      </c>
      <c r="E67" s="9" t="s">
        <v>5</v>
      </c>
      <c r="F67" s="19">
        <v>2</v>
      </c>
      <c r="G67" s="10">
        <v>29500</v>
      </c>
      <c r="H67" s="10">
        <f t="shared" si="1"/>
        <v>59000</v>
      </c>
      <c r="I67" s="4"/>
    </row>
    <row r="68" spans="1:10">
      <c r="A68" s="25">
        <v>62</v>
      </c>
      <c r="B68" s="26">
        <v>23873</v>
      </c>
      <c r="C68" s="8" t="s">
        <v>137</v>
      </c>
      <c r="D68" s="16" t="s">
        <v>143</v>
      </c>
      <c r="E68" s="9" t="s">
        <v>5</v>
      </c>
      <c r="F68" s="19">
        <v>1</v>
      </c>
      <c r="G68" s="10">
        <v>30800</v>
      </c>
      <c r="H68" s="10">
        <f t="shared" si="1"/>
        <v>30800</v>
      </c>
      <c r="I68" s="4"/>
    </row>
    <row r="69" spans="1:10">
      <c r="A69" s="25">
        <v>63</v>
      </c>
      <c r="B69" s="26">
        <v>23873</v>
      </c>
      <c r="C69" s="8" t="s">
        <v>138</v>
      </c>
      <c r="D69" s="16" t="s">
        <v>144</v>
      </c>
      <c r="E69" s="9" t="s">
        <v>5</v>
      </c>
      <c r="F69" s="19">
        <v>1</v>
      </c>
      <c r="G69" s="10">
        <v>11900</v>
      </c>
      <c r="H69" s="10">
        <f t="shared" si="1"/>
        <v>11900</v>
      </c>
      <c r="I69" s="4"/>
    </row>
    <row r="70" spans="1:10">
      <c r="A70" s="25">
        <v>64</v>
      </c>
      <c r="B70" s="26">
        <v>23873</v>
      </c>
      <c r="C70" s="8" t="s">
        <v>139</v>
      </c>
      <c r="D70" s="16" t="s">
        <v>145</v>
      </c>
      <c r="E70" s="9" t="s">
        <v>5</v>
      </c>
      <c r="F70" s="19">
        <v>2</v>
      </c>
      <c r="G70" s="10">
        <v>3500</v>
      </c>
      <c r="H70" s="10">
        <f t="shared" si="1"/>
        <v>7000</v>
      </c>
      <c r="I70" s="4"/>
    </row>
    <row r="71" spans="1:10">
      <c r="A71" s="25">
        <v>65</v>
      </c>
      <c r="B71" s="26">
        <v>24075</v>
      </c>
      <c r="C71" s="8" t="s">
        <v>146</v>
      </c>
      <c r="D71" s="16" t="s">
        <v>147</v>
      </c>
      <c r="E71" s="9" t="s">
        <v>5</v>
      </c>
      <c r="F71" s="19">
        <v>1</v>
      </c>
      <c r="G71" s="10">
        <v>10500</v>
      </c>
      <c r="H71" s="10">
        <f t="shared" si="1"/>
        <v>10500</v>
      </c>
      <c r="I71" s="4"/>
    </row>
    <row r="72" spans="1:10">
      <c r="A72" s="25">
        <v>66</v>
      </c>
      <c r="B72" s="26">
        <v>24085</v>
      </c>
      <c r="C72" s="8" t="s">
        <v>148</v>
      </c>
      <c r="D72" s="16" t="s">
        <v>149</v>
      </c>
      <c r="E72" s="9" t="s">
        <v>5</v>
      </c>
      <c r="F72" s="19">
        <v>1</v>
      </c>
      <c r="G72" s="10">
        <v>299000</v>
      </c>
      <c r="H72" s="10">
        <f t="shared" si="1"/>
        <v>299000</v>
      </c>
      <c r="I72" s="4"/>
    </row>
    <row r="73" spans="1:10">
      <c r="A73" s="25">
        <v>67</v>
      </c>
      <c r="B73" s="26">
        <v>24085</v>
      </c>
      <c r="C73" s="8" t="s">
        <v>150</v>
      </c>
      <c r="D73" s="16" t="s">
        <v>151</v>
      </c>
      <c r="E73" s="9" t="s">
        <v>5</v>
      </c>
      <c r="F73" s="19">
        <v>1</v>
      </c>
      <c r="G73" s="10">
        <v>499000</v>
      </c>
      <c r="H73" s="10">
        <f t="shared" si="1"/>
        <v>499000</v>
      </c>
      <c r="I73" s="4"/>
    </row>
    <row r="74" spans="1:10">
      <c r="A74" s="25">
        <v>68</v>
      </c>
      <c r="B74" s="26">
        <v>24279</v>
      </c>
      <c r="C74" s="8" t="s">
        <v>152</v>
      </c>
      <c r="D74" s="16" t="s">
        <v>153</v>
      </c>
      <c r="E74" s="9" t="s">
        <v>5</v>
      </c>
      <c r="F74" s="19">
        <v>1</v>
      </c>
      <c r="G74" s="10">
        <v>27900</v>
      </c>
      <c r="H74" s="10">
        <f t="shared" si="1"/>
        <v>27900</v>
      </c>
      <c r="I74" s="4"/>
    </row>
    <row r="75" spans="1:10">
      <c r="A75" s="25">
        <v>69</v>
      </c>
      <c r="B75" s="26">
        <v>24361</v>
      </c>
      <c r="C75" s="8" t="s">
        <v>154</v>
      </c>
      <c r="D75" s="16" t="s">
        <v>155</v>
      </c>
      <c r="E75" s="9" t="s">
        <v>5</v>
      </c>
      <c r="F75" s="19">
        <v>3</v>
      </c>
      <c r="G75" s="10">
        <v>68990</v>
      </c>
      <c r="H75" s="10">
        <f t="shared" si="1"/>
        <v>206970</v>
      </c>
      <c r="I75" s="4"/>
    </row>
    <row r="76" spans="1:10">
      <c r="A76" s="29" t="s">
        <v>14</v>
      </c>
      <c r="B76" s="29"/>
      <c r="C76" s="29"/>
      <c r="D76" s="29"/>
      <c r="E76" s="29"/>
      <c r="F76" s="27"/>
      <c r="G76" s="28"/>
      <c r="H76" s="28">
        <f>SUM(H48:H75)</f>
        <v>7122874</v>
      </c>
      <c r="I76" s="27"/>
      <c r="J76" s="3"/>
    </row>
    <row r="77" spans="1:10" ht="24" customHeight="1"/>
    <row r="78" spans="1:10" ht="24" customHeight="1"/>
    <row r="79" spans="1:10">
      <c r="F79" s="30" t="s">
        <v>124</v>
      </c>
      <c r="G79" s="30"/>
      <c r="H79" s="30"/>
      <c r="I79" s="30"/>
      <c r="J79" s="3"/>
    </row>
    <row r="80" spans="1:10">
      <c r="F80" s="35" t="s">
        <v>156</v>
      </c>
      <c r="G80" s="35"/>
      <c r="H80" s="35"/>
      <c r="I80" s="35"/>
      <c r="J80" s="3"/>
    </row>
    <row r="81" spans="6:10">
      <c r="F81" s="30" t="s">
        <v>10</v>
      </c>
      <c r="G81" s="30"/>
      <c r="H81" s="30"/>
      <c r="I81" s="30"/>
      <c r="J81" s="3"/>
    </row>
  </sheetData>
  <mergeCells count="9">
    <mergeCell ref="F79:I79"/>
    <mergeCell ref="F80:I80"/>
    <mergeCell ref="F81:I81"/>
    <mergeCell ref="A76:E76"/>
    <mergeCell ref="A1:I1"/>
    <mergeCell ref="A2:I2"/>
    <mergeCell ref="A3:I3"/>
    <mergeCell ref="A47:D47"/>
    <mergeCell ref="A48:D48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งานสื่อการเรียนการสอน</vt:lpstr>
      <vt:lpstr>งานสื่อการเรียนการสอน!Print_Titles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2023-10-19T04:47:52Z</cp:lastPrinted>
  <dcterms:created xsi:type="dcterms:W3CDTF">2017-11-14T01:32:33Z</dcterms:created>
  <dcterms:modified xsi:type="dcterms:W3CDTF">2023-10-19T04:49:39Z</dcterms:modified>
</cp:coreProperties>
</file>