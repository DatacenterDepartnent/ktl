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พัสดุ ธนพร\ตรวจครุภัณฑ์ประจำปี\ตรวจสอบพัสดุ-ครุภัณฑ์ประจำปี 2564\เอกสารประกอบที่ 3\แผนก\"/>
    </mc:Choice>
  </mc:AlternateContent>
  <xr:revisionPtr revIDLastSave="0" documentId="13_ncr:1_{71C43371-A358-4D1E-8F21-DF9821F8F5EE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ไฟฟ้ากำลัง" sheetId="33" r:id="rId1"/>
  </sheets>
  <definedNames>
    <definedName name="_xlnm.Print_Area" localSheetId="0">แผนกไฟฟ้ากำลัง!$A$1:$M$54</definedName>
    <definedName name="_xlnm.Print_Titles" localSheetId="0">แผนกไฟฟ้ากำลัง!$2:$4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47" i="33" l="1"/>
  <c r="K46" i="33"/>
  <c r="K45" i="33"/>
  <c r="K44" i="33"/>
  <c r="K43" i="33"/>
  <c r="K42" i="33"/>
  <c r="K41" i="33"/>
  <c r="K40" i="33"/>
  <c r="K39" i="33"/>
  <c r="K38" i="33"/>
  <c r="K37" i="33"/>
  <c r="K36" i="33"/>
  <c r="K35" i="33"/>
  <c r="K34" i="33"/>
  <c r="K33" i="33"/>
  <c r="K32" i="33"/>
  <c r="K31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K16" i="33"/>
  <c r="K15" i="33"/>
  <c r="K14" i="33"/>
  <c r="K13" i="33"/>
  <c r="K12" i="33"/>
  <c r="K11" i="33"/>
  <c r="K10" i="33"/>
  <c r="K9" i="33"/>
  <c r="K8" i="33"/>
  <c r="K7" i="33"/>
  <c r="K29" i="33" l="1"/>
  <c r="K30" i="33" s="1"/>
  <c r="K48" i="33" s="1"/>
</calcChain>
</file>

<file path=xl/sharedStrings.xml><?xml version="1.0" encoding="utf-8"?>
<sst xmlns="http://schemas.openxmlformats.org/spreadsheetml/2006/main" count="290" uniqueCount="137">
  <si>
    <t>รายการ ขนาด ลักษณะ</t>
  </si>
  <si>
    <t>จำนวน</t>
  </si>
  <si>
    <t>หมายเหตุ</t>
  </si>
  <si>
    <t>ชำรุด</t>
  </si>
  <si>
    <t>....................................................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</si>
  <si>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</si>
  <si>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</si>
  <si>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</si>
  <si>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</si>
  <si>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</si>
  <si>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</si>
  <si>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</si>
  <si>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</si>
  <si>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</si>
  <si>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</si>
  <si>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</si>
  <si>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</si>
  <si>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</si>
  <si>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</si>
  <si>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</si>
  <si>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>เอกสารหมายเลข ……….</t>
  </si>
  <si>
    <t>ประจำปี 2564 สิ้นงวดเมื่อวันที่ 30 กันยายน 2564 ของแผนกวิชาไฟฟ้ากำลัง</t>
  </si>
  <si>
    <t>(นายคัคเนศวร์  โกมลศรี)</t>
  </si>
  <si>
    <t>2539</t>
  </si>
  <si>
    <t>5950-004-0001/391-001-391-010</t>
  </si>
  <si>
    <t>6910-001-0007/391-001</t>
  </si>
  <si>
    <t>6910-001-0006/391-001-391-007</t>
  </si>
  <si>
    <t>5905-006-0005/391-001-391-020</t>
  </si>
  <si>
    <t>5905-006-0004/391-001-391-010</t>
  </si>
  <si>
    <t>5905-006-0003/391-001-391-010</t>
  </si>
  <si>
    <t>7110-007-0017/391-001-391-006</t>
  </si>
  <si>
    <t>6625-002-0004/391-001</t>
  </si>
  <si>
    <t>ทรานฟอร์เมอร์ 1 เฟส</t>
  </si>
  <si>
    <t>แรงเคลื่อนคงที่</t>
  </si>
  <si>
    <t>ชุดฝึกไฟฟ้าเบื้องต้น</t>
  </si>
  <si>
    <t>ดิจิตอลแคมป์ออนมิเตอร์ (001,002,003)</t>
  </si>
  <si>
    <t>เครื่องวัดกระแสสลับแบบพอร์ทเทเบิ้ล</t>
  </si>
  <si>
    <t>เครื่องวัดกระแสไฟฟ้าตรงแบบไมโครแอมป์</t>
  </si>
  <si>
    <t>โต๊ะงานช่างกล</t>
  </si>
  <si>
    <t>ชุดสาธิตทดลองระบบเครื่องมือวัด</t>
  </si>
  <si>
    <t>6625-003-0010/391-001,003,</t>
  </si>
  <si>
    <t>ดิจิตอลมัลติมิเตอร์แบบตั้งโต๊ะ</t>
  </si>
  <si>
    <t>6625-003-0009/391-012,013</t>
  </si>
  <si>
    <t>มัลติมิเตอร์แอมป์มิเตอร์</t>
  </si>
  <si>
    <t>5975-006-0002/391-001-391-002</t>
  </si>
  <si>
    <t>ชุดฝึกการควบคุมเครื่องกลไฟฟ้า</t>
  </si>
  <si>
    <t>5210-016-0001/391-001-391-002</t>
  </si>
  <si>
    <t>เครื่องวัดค่าคาปาซิเตอร์อ่านค่าเป็นตัวเลข</t>
  </si>
  <si>
    <t>6625-003-0005/391-001</t>
  </si>
  <si>
    <t>R-L-C  แบบดิจิตอล</t>
  </si>
  <si>
    <t>มัลติมิเตอร์</t>
  </si>
  <si>
    <t>2540</t>
  </si>
  <si>
    <t>6110-010-0002/401-001</t>
  </si>
  <si>
    <t>ชุดฝึกเครื่องกลไฟฟ้า</t>
  </si>
  <si>
    <t>6110-001-0001/401-001</t>
  </si>
  <si>
    <t>ชุดสาธิตเครื่องกลไฟฟ้าเบื้องต้น</t>
  </si>
  <si>
    <t>6110-011-0001/401-001</t>
  </si>
  <si>
    <t>ชุดเครื่องทดสอบในงานติดตั้งไฟฟ้า</t>
  </si>
  <si>
    <t>5977-009-0002/401-001-401-005</t>
  </si>
  <si>
    <t>เครื่องฝึกทดลองอิเล็กทรอนิกส์อุสาหกรรม</t>
  </si>
  <si>
    <t>5915-003-0001/401-001-401-005</t>
  </si>
  <si>
    <t>เครื่องทดสอบอิเล็กทรอนิกส์และวงจร 1</t>
  </si>
  <si>
    <t>5840-012-0001/401-001-401-005</t>
  </si>
  <si>
    <t>เครื่องมือวัดเครื่องกลไฟฟ้างานปฏิบัติ</t>
  </si>
  <si>
    <t>5977-009-0001/401-001</t>
  </si>
  <si>
    <t>เครื่องฝึกทดสอบไฟฟ้าและอิเล็กทรอนิกส์</t>
  </si>
  <si>
    <t>6105-004-0001/401-001</t>
  </si>
  <si>
    <t>ชุกฝึกประจำวิชาติดตั้งไฟฟ้า</t>
  </si>
  <si>
    <t>5915-005-0002/401-001-401-005</t>
  </si>
  <si>
    <t>ชุดประลองวงจรไฟฟ้า  2 กระแสสลับ</t>
  </si>
  <si>
    <t>5915-005-0001/401-001-401-005</t>
  </si>
  <si>
    <t>ชุดประลองวงจรไฟฟ้า  1 กระแสตรง</t>
  </si>
  <si>
    <t>4810-001-0001/411-001</t>
  </si>
  <si>
    <t>ชุดฝึกนิวเนติกส์ไฟฟ้า</t>
  </si>
  <si>
    <t>6110-002-0001/411-001</t>
  </si>
  <si>
    <t>เครื่องควบคุมมอเตอร์</t>
  </si>
  <si>
    <t>6110-006-0001/411-001</t>
  </si>
  <si>
    <t>อินเวอร์เตอร์ 3 เฟส</t>
  </si>
  <si>
    <t>6110-007-0001/411-001</t>
  </si>
  <si>
    <t>ชุดฝึกควบคุมความเร็วมอเตอร์กระแสสลับ</t>
  </si>
  <si>
    <t>6110-010-0001/411-001</t>
  </si>
  <si>
    <t>ชุดฝึกโปรแกรมเมเบิลคอนโทรล</t>
  </si>
  <si>
    <t>4110-008-0002/411-001</t>
  </si>
  <si>
    <t>ชุดฝึกเครื่องทำความเย็น</t>
  </si>
  <si>
    <t>2542</t>
  </si>
  <si>
    <t>5120-024-0002/421-001</t>
  </si>
  <si>
    <t>ชุดฝึกการพันมอเตอร์และทรานฟอเมอร์</t>
  </si>
  <si>
    <t>6110-002-0001/421-001</t>
  </si>
  <si>
    <t>ชุดควบคุมความเร็วมอเตอร์ขนาดไม่ต่ำกว่า 3 แรงม้า</t>
  </si>
  <si>
    <t>6910-001-0001./421-001</t>
  </si>
  <si>
    <t>ชุดอุปกรณ์ฝึกซ่อมเครื่องใช้ไฟฟ้า</t>
  </si>
  <si>
    <t>5120-024-0003/421-001</t>
  </si>
  <si>
    <t>เครื่องพันขดลวด</t>
  </si>
  <si>
    <t>5110-022-0001/421-001</t>
  </si>
  <si>
    <t>เครื่องมืองานท่อไฟฟ้าบาง</t>
  </si>
  <si>
    <t>5110-022-0002/421-001</t>
  </si>
  <si>
    <t>เครื่องมืองานท่อหนา</t>
  </si>
  <si>
    <t>6910-001-0001/451-001</t>
  </si>
  <si>
    <t>ชุดเครื่องมือฝึกซ่อมเครื่องใช้ไฟฟ้า</t>
  </si>
  <si>
    <t>6930-002-0001/451-001</t>
  </si>
  <si>
    <t>ชุดทดลองเป็นลำดับขั้น PLC</t>
  </si>
  <si>
    <t>7110-007-0011/451-019-451-028</t>
  </si>
  <si>
    <t>โต๊ะพับเอนกประสงค์ 6 ฟุต</t>
  </si>
  <si>
    <t>ยอดยกไป</t>
  </si>
  <si>
    <t>งปม.</t>
  </si>
  <si>
    <t>ยอดยกมา</t>
  </si>
  <si>
    <t>25 ปี</t>
  </si>
  <si>
    <t>24 ปี</t>
  </si>
  <si>
    <t>23 ปี</t>
  </si>
  <si>
    <t>22 ปี</t>
  </si>
  <si>
    <t>19 ปี</t>
  </si>
  <si>
    <t xml:space="preserve"> -</t>
  </si>
  <si>
    <t xml:space="preserve"> - </t>
  </si>
  <si>
    <t>หน้าจอแตก</t>
  </si>
  <si>
    <t>โต๊ะและอุปกรณ์ประกอบชำรุด</t>
  </si>
  <si>
    <t>ตัวปรับความเร็วชำรุด</t>
  </si>
  <si>
    <t>หน้าจอแตกและปุ่มกดชำรุด</t>
  </si>
  <si>
    <t>คอมเพรสเซอร์ชำรุด</t>
  </si>
  <si>
    <t>หน้าจอชำรุด</t>
  </si>
  <si>
    <t>หน้าจอแสดงผลชำรุด</t>
  </si>
  <si>
    <t>ด้ามจับหัก</t>
  </si>
  <si>
    <t>มัลติมิเตอร์แตกหัก</t>
  </si>
  <si>
    <t>คอมพิวเตอร์ชำรุด</t>
  </si>
  <si>
    <t>ลำดับ
ที่</t>
  </si>
  <si>
    <t>6625-003-0004/391-001-391-002/
391-015, 022-024</t>
  </si>
  <si>
    <t>แตกหัก</t>
  </si>
  <si>
    <t>อุปกรณ์แตกหัก</t>
  </si>
  <si>
    <t>แผงวงจรไหม้</t>
  </si>
  <si>
    <t>แตก</t>
  </si>
  <si>
    <t>พื้นโต๊ะทะลุ</t>
  </si>
  <si>
    <t>เครื่องวัดชำรุด</t>
  </si>
  <si>
    <t>หน้อจอแตก</t>
  </si>
  <si>
    <t>แผงวงจรชำรุด</t>
  </si>
  <si>
    <t>วงจรไหม้</t>
  </si>
  <si>
    <t>มอเตอร์ไหม้</t>
  </si>
  <si>
    <t>ผุ แตกหัก</t>
  </si>
  <si>
    <t>ขาหัก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</si>
</sst>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5"/>
      <name val="TH SarabunPSK"/>
      <family val="2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70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2" applyFont="1" applyBorder="1" applyAlignment="1">
      <alignment horizontal="center" vertical="top"/>
    </xf>
    <xf numFmtId="43" fontId="3" fillId="0" borderId="1" xfId="1" applyFont="1" applyBorder="1" applyAlignment="1">
      <alignment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Fill="1"/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49" fontId="3" fillId="0" borderId="1" xfId="0" applyNumberFormat="1" applyFont="1" applyBorder="1" applyAlignment="1">
      <alignment horizontal="center"/>
    </xf>
    <xf numFmtId="0" fontId="3" fillId="0" borderId="5" xfId="6" applyFont="1" applyBorder="1" applyAlignment="1">
      <alignment horizontal="left"/>
    </xf>
    <xf numFmtId="0" fontId="3" fillId="0" borderId="9" xfId="6" applyFont="1" applyBorder="1" applyAlignment="1">
      <alignment horizontal="left"/>
    </xf>
    <xf numFmtId="0" fontId="3" fillId="0" borderId="4" xfId="6" applyFont="1" applyBorder="1" applyAlignment="1">
      <alignment horizontal="left"/>
    </xf>
    <xf numFmtId="2" fontId="3" fillId="0" borderId="5" xfId="6" applyNumberFormat="1" applyFont="1" applyBorder="1" applyAlignment="1">
      <alignment horizontal="left" vertical="top" wrapText="1"/>
    </xf>
    <xf numFmtId="2" fontId="3" fillId="0" borderId="1" xfId="6" applyNumberFormat="1" applyFont="1" applyBorder="1" applyAlignment="1">
      <alignment horizontal="left" vertical="top"/>
    </xf>
    <xf numFmtId="0" fontId="3" fillId="0" borderId="5" xfId="6" applyFont="1" applyBorder="1"/>
    <xf numFmtId="0" fontId="9" fillId="0" borderId="1" xfId="6" applyFont="1" applyBorder="1"/>
    <xf numFmtId="0" fontId="3" fillId="0" borderId="4" xfId="6" applyFont="1" applyBorder="1" applyAlignment="1">
      <alignment horizontal="center"/>
    </xf>
    <xf numFmtId="1" fontId="3" fillId="0" borderId="1" xfId="6" applyNumberFormat="1" applyFont="1" applyBorder="1" applyAlignment="1">
      <alignment horizontal="center" vertical="top"/>
    </xf>
    <xf numFmtId="43" fontId="3" fillId="0" borderId="5" xfId="1" applyFont="1" applyBorder="1"/>
    <xf numFmtId="43" fontId="3" fillId="0" borderId="1" xfId="1" applyFont="1" applyBorder="1"/>
    <xf numFmtId="43" fontId="3" fillId="0" borderId="4" xfId="1" applyFont="1" applyBorder="1"/>
    <xf numFmtId="43" fontId="3" fillId="0" borderId="5" xfId="1" applyFont="1" applyBorder="1" applyAlignment="1">
      <alignment vertical="top"/>
    </xf>
    <xf numFmtId="43" fontId="3" fillId="0" borderId="1" xfId="1" applyFont="1" applyBorder="1" applyAlignment="1"/>
    <xf numFmtId="49" fontId="3" fillId="0" borderId="1" xfId="0" applyNumberFormat="1" applyFont="1" applyBorder="1" applyAlignment="1">
      <alignment horizontal="center" vertical="top"/>
    </xf>
    <xf numFmtId="43" fontId="4" fillId="0" borderId="0" xfId="0" applyNumberFormat="1" applyFont="1" applyBorder="1" applyAlignment="1">
      <alignment vertical="top"/>
    </xf>
    <xf numFmtId="43" fontId="4" fillId="0" borderId="0" xfId="0" applyNumberFormat="1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right" indent="2"/>
    </xf>
    <xf numFmtId="43" fontId="6" fillId="0" borderId="8" xfId="0" applyNumberFormat="1" applyFont="1" applyBorder="1" applyAlignment="1"/>
    <xf numFmtId="43" fontId="3" fillId="0" borderId="1" xfId="12" applyNumberFormat="1" applyFont="1" applyFill="1" applyBorder="1" applyAlignment="1">
      <alignment horizontal="left"/>
    </xf>
    <xf numFmtId="43" fontId="3" fillId="0" borderId="1" xfId="12" applyNumberFormat="1" applyFont="1" applyFill="1" applyBorder="1" applyAlignment="1">
      <alignment horizontal="left" vertical="top"/>
    </xf>
    <xf numFmtId="0" fontId="4" fillId="0" borderId="1" xfId="0" applyFont="1" applyFill="1" applyBorder="1" applyAlignment="1">
      <alignment horizontal="left"/>
    </xf>
    <xf numFmtId="0" fontId="4" fillId="0" borderId="8" xfId="0" applyFont="1" applyFill="1" applyBorder="1" applyAlignment="1">
      <alignment horizontal="left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1619251</xdr:colOff>
      <xdr:row>48</xdr:row>
      <xdr:rowOff>200027</xdr:rowOff>
    </xdr:from>
    <xdr:to>
      <xdr:col>11</xdr:col>
      <xdr:colOff>1952625</xdr:colOff>
      <xdr:row>53</xdr:row>
      <xdr:rowOff>161930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720511" y="15397167"/>
          <a:ext cx="1485903" cy="33337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P53"/>
  <sheetViews>
    <sheetView tabSelected="1" topLeftCell="A37" zoomScaleNormal="100" zoomScaleSheetLayoutView="85" workbookViewId="0">
      <selection activeCell="J43" sqref="J43"/>
    </sheetView>
  </sheetViews>
  <sheetFormatPr defaultColWidth="9" defaultRowHeight="24" customHeight="1"/>
  <cols>
    <col min="1" max="1" width="5.42578125" style="2" customWidth="1"/>
    <col min="2" max="2" width="11.85546875" style="2" customWidth="1"/>
    <col min="3" max="3" width="34.42578125" style="2" customWidth="1"/>
    <col min="4" max="4" width="41.140625" style="2" customWidth="1"/>
    <col min="5" max="5" width="8" style="2" customWidth="1"/>
    <col min="6" max="6" width="8.5703125" style="2" customWidth="1"/>
    <col min="7" max="7" width="7.5703125" style="2" customWidth="1"/>
    <col min="8" max="9" width="7.42578125" style="2" customWidth="1"/>
    <col min="10" max="11" width="15" style="2" customWidth="1"/>
    <col min="12" max="12" width="30.85546875" style="7" customWidth="1"/>
    <col min="13" max="13" width="18.28515625" style="2" customWidth="1"/>
    <col min="14" max="14" width="12.7109375" style="2" customWidth="1"/>
    <col min="15" max="15" width="9" style="2"/>
    <col min="16" max="16" width="12.42578125" style="2" bestFit="1" customWidth="1"/>
    <col min="17" max="16384" width="9" style="2"/>
  </cols>
  <sheetData>
    <row r="1" spans="1:14" ht="24" customHeight="1">
      <c r="L1" s="49" t="s">
        <v>20</v>
      </c>
    </row>
    <row r="2" spans="1:14" ht="24" customHeight="1">
      <c r="A2" s="55" t="s">
        <v>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27"/>
    </row>
    <row r="3" spans="1:14" ht="24" customHeight="1">
      <c r="A3" s="56" t="s">
        <v>19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28"/>
    </row>
    <row r="4" spans="1:14" ht="24" customHeight="1">
      <c r="A4" s="57" t="s">
        <v>21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25"/>
    </row>
    <row r="5" spans="1:14" ht="24" customHeight="1">
      <c r="A5" s="58" t="s">
        <v>123</v>
      </c>
      <c r="B5" s="58" t="s">
        <v>18</v>
      </c>
      <c r="C5" s="58" t="s">
        <v>15</v>
      </c>
      <c r="D5" s="60" t="s">
        <v>0</v>
      </c>
      <c r="E5" s="58" t="s">
        <v>10</v>
      </c>
      <c r="F5" s="58" t="s">
        <v>9</v>
      </c>
      <c r="G5" s="62" t="s">
        <v>11</v>
      </c>
      <c r="H5" s="64" t="s">
        <v>1</v>
      </c>
      <c r="I5" s="65"/>
      <c r="J5" s="58" t="s">
        <v>14</v>
      </c>
      <c r="K5" s="58" t="s">
        <v>8</v>
      </c>
      <c r="L5" s="58" t="s">
        <v>13</v>
      </c>
      <c r="M5" s="26"/>
    </row>
    <row r="6" spans="1:14" ht="48" customHeight="1">
      <c r="A6" s="59"/>
      <c r="B6" s="59"/>
      <c r="C6" s="59"/>
      <c r="D6" s="61"/>
      <c r="E6" s="59"/>
      <c r="F6" s="59"/>
      <c r="G6" s="63"/>
      <c r="H6" s="14" t="s">
        <v>12</v>
      </c>
      <c r="I6" s="11" t="s">
        <v>3</v>
      </c>
      <c r="J6" s="59"/>
      <c r="K6" s="59"/>
      <c r="L6" s="59"/>
      <c r="M6" s="20"/>
      <c r="N6" s="16"/>
    </row>
    <row r="7" spans="1:14" ht="24" customHeight="1">
      <c r="A7" s="9">
        <v>1</v>
      </c>
      <c r="B7" s="30" t="s">
        <v>23</v>
      </c>
      <c r="C7" s="31" t="s">
        <v>24</v>
      </c>
      <c r="D7" s="1" t="s">
        <v>32</v>
      </c>
      <c r="E7" s="4" t="s">
        <v>104</v>
      </c>
      <c r="F7" s="4" t="s">
        <v>106</v>
      </c>
      <c r="G7" s="4" t="s">
        <v>112</v>
      </c>
      <c r="H7" s="5">
        <v>10</v>
      </c>
      <c r="I7" s="5">
        <v>10</v>
      </c>
      <c r="J7" s="40">
        <v>3271.03</v>
      </c>
      <c r="K7" s="40">
        <f>SUM(I7*J7)</f>
        <v>32710.300000000003</v>
      </c>
      <c r="L7" s="51" t="s">
        <v>125</v>
      </c>
      <c r="M7" s="20"/>
      <c r="N7" s="16"/>
    </row>
    <row r="8" spans="1:14" ht="24" customHeight="1">
      <c r="A8" s="9">
        <v>2</v>
      </c>
      <c r="B8" s="30" t="s">
        <v>23</v>
      </c>
      <c r="C8" s="3" t="s">
        <v>25</v>
      </c>
      <c r="D8" s="1" t="s">
        <v>33</v>
      </c>
      <c r="E8" s="4" t="s">
        <v>104</v>
      </c>
      <c r="F8" s="4" t="s">
        <v>106</v>
      </c>
      <c r="G8" s="4" t="s">
        <v>112</v>
      </c>
      <c r="H8" s="5">
        <v>1</v>
      </c>
      <c r="I8" s="5">
        <v>1</v>
      </c>
      <c r="J8" s="41">
        <v>499900</v>
      </c>
      <c r="K8" s="40">
        <f t="shared" ref="K8:K32" si="0">SUM(I8*J8)</f>
        <v>499900</v>
      </c>
      <c r="L8" s="51" t="s">
        <v>125</v>
      </c>
      <c r="M8" s="20"/>
      <c r="N8" s="16"/>
    </row>
    <row r="9" spans="1:14" ht="24" customHeight="1">
      <c r="A9" s="9">
        <v>3</v>
      </c>
      <c r="B9" s="30" t="s">
        <v>23</v>
      </c>
      <c r="C9" s="3" t="s">
        <v>26</v>
      </c>
      <c r="D9" s="1" t="s">
        <v>34</v>
      </c>
      <c r="E9" s="4" t="s">
        <v>104</v>
      </c>
      <c r="F9" s="4" t="s">
        <v>106</v>
      </c>
      <c r="G9" s="4" t="s">
        <v>112</v>
      </c>
      <c r="H9" s="5">
        <v>7</v>
      </c>
      <c r="I9" s="5">
        <v>7</v>
      </c>
      <c r="J9" s="41">
        <v>49972</v>
      </c>
      <c r="K9" s="40">
        <f t="shared" si="0"/>
        <v>349804</v>
      </c>
      <c r="L9" s="51" t="s">
        <v>126</v>
      </c>
      <c r="M9" s="20"/>
      <c r="N9" s="16"/>
    </row>
    <row r="10" spans="1:14" ht="24" customHeight="1">
      <c r="A10" s="9">
        <v>4</v>
      </c>
      <c r="B10" s="30" t="s">
        <v>23</v>
      </c>
      <c r="C10" s="3" t="s">
        <v>27</v>
      </c>
      <c r="D10" s="1" t="s">
        <v>35</v>
      </c>
      <c r="E10" s="4" t="s">
        <v>104</v>
      </c>
      <c r="F10" s="4" t="s">
        <v>106</v>
      </c>
      <c r="G10" s="4" t="s">
        <v>112</v>
      </c>
      <c r="H10" s="5">
        <v>20</v>
      </c>
      <c r="I10" s="5">
        <v>20</v>
      </c>
      <c r="J10" s="41">
        <v>1985</v>
      </c>
      <c r="K10" s="40">
        <f t="shared" si="0"/>
        <v>39700</v>
      </c>
      <c r="L10" s="51" t="s">
        <v>118</v>
      </c>
      <c r="M10" s="20"/>
      <c r="N10" s="16"/>
    </row>
    <row r="11" spans="1:14" ht="24" customHeight="1">
      <c r="A11" s="9">
        <v>5</v>
      </c>
      <c r="B11" s="30" t="s">
        <v>23</v>
      </c>
      <c r="C11" s="3" t="s">
        <v>28</v>
      </c>
      <c r="D11" s="1" t="s">
        <v>36</v>
      </c>
      <c r="E11" s="4" t="s">
        <v>104</v>
      </c>
      <c r="F11" s="4" t="s">
        <v>106</v>
      </c>
      <c r="G11" s="4" t="s">
        <v>112</v>
      </c>
      <c r="H11" s="5">
        <v>10</v>
      </c>
      <c r="I11" s="5">
        <v>10</v>
      </c>
      <c r="J11" s="41">
        <v>14970</v>
      </c>
      <c r="K11" s="40">
        <f t="shared" si="0"/>
        <v>149700</v>
      </c>
      <c r="L11" s="51" t="s">
        <v>127</v>
      </c>
      <c r="M11" s="22"/>
      <c r="N11" s="16"/>
    </row>
    <row r="12" spans="1:14" ht="24" customHeight="1">
      <c r="A12" s="9">
        <v>6</v>
      </c>
      <c r="B12" s="30" t="s">
        <v>23</v>
      </c>
      <c r="C12" s="31" t="s">
        <v>29</v>
      </c>
      <c r="D12" s="1" t="s">
        <v>37</v>
      </c>
      <c r="E12" s="4" t="s">
        <v>104</v>
      </c>
      <c r="F12" s="4" t="s">
        <v>106</v>
      </c>
      <c r="G12" s="4" t="s">
        <v>112</v>
      </c>
      <c r="H12" s="5">
        <v>10</v>
      </c>
      <c r="I12" s="5">
        <v>10</v>
      </c>
      <c r="J12" s="41">
        <v>4970</v>
      </c>
      <c r="K12" s="40">
        <f t="shared" si="0"/>
        <v>49700</v>
      </c>
      <c r="L12" s="51" t="s">
        <v>128</v>
      </c>
      <c r="M12" s="22"/>
      <c r="N12" s="16"/>
    </row>
    <row r="13" spans="1:14" ht="24" customHeight="1">
      <c r="A13" s="9">
        <v>7</v>
      </c>
      <c r="B13" s="30" t="s">
        <v>23</v>
      </c>
      <c r="C13" s="31" t="s">
        <v>30</v>
      </c>
      <c r="D13" s="1" t="s">
        <v>38</v>
      </c>
      <c r="E13" s="4" t="s">
        <v>104</v>
      </c>
      <c r="F13" s="4" t="s">
        <v>106</v>
      </c>
      <c r="G13" s="4" t="s">
        <v>112</v>
      </c>
      <c r="H13" s="5">
        <v>6</v>
      </c>
      <c r="I13" s="5">
        <v>6</v>
      </c>
      <c r="J13" s="41">
        <v>9950</v>
      </c>
      <c r="K13" s="40">
        <f t="shared" si="0"/>
        <v>59700</v>
      </c>
      <c r="L13" s="51" t="s">
        <v>129</v>
      </c>
      <c r="M13" s="22"/>
      <c r="N13" s="16"/>
    </row>
    <row r="14" spans="1:14" ht="24" customHeight="1">
      <c r="A14" s="9">
        <v>8</v>
      </c>
      <c r="B14" s="30" t="s">
        <v>23</v>
      </c>
      <c r="C14" s="32" t="s">
        <v>31</v>
      </c>
      <c r="D14" s="33" t="s">
        <v>39</v>
      </c>
      <c r="E14" s="4" t="s">
        <v>104</v>
      </c>
      <c r="F14" s="4" t="s">
        <v>106</v>
      </c>
      <c r="G14" s="4" t="s">
        <v>112</v>
      </c>
      <c r="H14" s="38">
        <v>1</v>
      </c>
      <c r="I14" s="38">
        <v>1</v>
      </c>
      <c r="J14" s="42">
        <v>484700</v>
      </c>
      <c r="K14" s="40">
        <f t="shared" si="0"/>
        <v>484700</v>
      </c>
      <c r="L14" s="51" t="s">
        <v>130</v>
      </c>
      <c r="M14" s="22"/>
      <c r="N14" s="16"/>
    </row>
    <row r="15" spans="1:14" ht="24" customHeight="1">
      <c r="A15" s="9">
        <v>9</v>
      </c>
      <c r="B15" s="30" t="s">
        <v>23</v>
      </c>
      <c r="C15" s="3" t="s">
        <v>40</v>
      </c>
      <c r="D15" s="3" t="s">
        <v>41</v>
      </c>
      <c r="E15" s="4" t="s">
        <v>104</v>
      </c>
      <c r="F15" s="4" t="s">
        <v>106</v>
      </c>
      <c r="G15" s="4" t="s">
        <v>112</v>
      </c>
      <c r="H15" s="5">
        <v>2</v>
      </c>
      <c r="I15" s="5">
        <v>2</v>
      </c>
      <c r="J15" s="41">
        <v>9975</v>
      </c>
      <c r="K15" s="40">
        <f t="shared" si="0"/>
        <v>19950</v>
      </c>
      <c r="L15" s="51" t="s">
        <v>131</v>
      </c>
      <c r="M15" s="22"/>
      <c r="N15" s="16"/>
    </row>
    <row r="16" spans="1:14" ht="24" customHeight="1">
      <c r="A16" s="9">
        <v>10</v>
      </c>
      <c r="B16" s="30" t="s">
        <v>23</v>
      </c>
      <c r="C16" s="3" t="s">
        <v>42</v>
      </c>
      <c r="D16" s="3" t="s">
        <v>43</v>
      </c>
      <c r="E16" s="4" t="s">
        <v>104</v>
      </c>
      <c r="F16" s="4" t="s">
        <v>106</v>
      </c>
      <c r="G16" s="4" t="s">
        <v>112</v>
      </c>
      <c r="H16" s="5">
        <v>5</v>
      </c>
      <c r="I16" s="5">
        <v>5</v>
      </c>
      <c r="J16" s="41">
        <v>2985</v>
      </c>
      <c r="K16" s="40">
        <f t="shared" si="0"/>
        <v>14925</v>
      </c>
      <c r="L16" s="51" t="s">
        <v>113</v>
      </c>
      <c r="M16" s="22"/>
      <c r="N16" s="16"/>
    </row>
    <row r="17" spans="1:16" ht="24" customHeight="1">
      <c r="A17" s="9">
        <v>11</v>
      </c>
      <c r="B17" s="30" t="s">
        <v>23</v>
      </c>
      <c r="C17" s="3" t="s">
        <v>44</v>
      </c>
      <c r="D17" s="3" t="s">
        <v>45</v>
      </c>
      <c r="E17" s="4" t="s">
        <v>104</v>
      </c>
      <c r="F17" s="4" t="s">
        <v>106</v>
      </c>
      <c r="G17" s="4" t="s">
        <v>112</v>
      </c>
      <c r="H17" s="5">
        <v>2</v>
      </c>
      <c r="I17" s="5">
        <v>2</v>
      </c>
      <c r="J17" s="41">
        <v>17200</v>
      </c>
      <c r="K17" s="40">
        <f t="shared" si="0"/>
        <v>34400</v>
      </c>
      <c r="L17" s="51" t="s">
        <v>126</v>
      </c>
      <c r="M17" s="22"/>
      <c r="N17" s="16"/>
    </row>
    <row r="18" spans="1:16" ht="24" customHeight="1">
      <c r="A18" s="9">
        <v>12</v>
      </c>
      <c r="B18" s="30" t="s">
        <v>23</v>
      </c>
      <c r="C18" s="31" t="s">
        <v>46</v>
      </c>
      <c r="D18" s="3" t="s">
        <v>47</v>
      </c>
      <c r="E18" s="4" t="s">
        <v>104</v>
      </c>
      <c r="F18" s="4" t="s">
        <v>106</v>
      </c>
      <c r="G18" s="4" t="s">
        <v>112</v>
      </c>
      <c r="H18" s="5">
        <v>2</v>
      </c>
      <c r="I18" s="5">
        <v>2</v>
      </c>
      <c r="J18" s="41">
        <v>7950</v>
      </c>
      <c r="K18" s="40">
        <f t="shared" si="0"/>
        <v>15900</v>
      </c>
      <c r="L18" s="51" t="s">
        <v>113</v>
      </c>
      <c r="M18" s="22"/>
      <c r="N18" s="16"/>
    </row>
    <row r="19" spans="1:16" ht="24" customHeight="1">
      <c r="A19" s="9">
        <v>13</v>
      </c>
      <c r="B19" s="30" t="s">
        <v>23</v>
      </c>
      <c r="C19" s="31" t="s">
        <v>48</v>
      </c>
      <c r="D19" s="3" t="s">
        <v>49</v>
      </c>
      <c r="E19" s="4" t="s">
        <v>104</v>
      </c>
      <c r="F19" s="4" t="s">
        <v>106</v>
      </c>
      <c r="G19" s="4" t="s">
        <v>112</v>
      </c>
      <c r="H19" s="5">
        <v>1</v>
      </c>
      <c r="I19" s="5">
        <v>1</v>
      </c>
      <c r="J19" s="41">
        <v>79500</v>
      </c>
      <c r="K19" s="40">
        <f t="shared" si="0"/>
        <v>79500</v>
      </c>
      <c r="L19" s="51" t="s">
        <v>132</v>
      </c>
      <c r="M19" s="22"/>
      <c r="N19" s="16"/>
    </row>
    <row r="20" spans="1:16" s="48" customFormat="1" ht="47.25" customHeight="1">
      <c r="A20" s="29">
        <v>14</v>
      </c>
      <c r="B20" s="45" t="s">
        <v>23</v>
      </c>
      <c r="C20" s="34" t="s">
        <v>124</v>
      </c>
      <c r="D20" s="35" t="s">
        <v>50</v>
      </c>
      <c r="E20" s="12" t="s">
        <v>104</v>
      </c>
      <c r="F20" s="12" t="s">
        <v>106</v>
      </c>
      <c r="G20" s="12" t="s">
        <v>112</v>
      </c>
      <c r="H20" s="39">
        <v>2</v>
      </c>
      <c r="I20" s="39">
        <v>2</v>
      </c>
      <c r="J20" s="13">
        <v>7925</v>
      </c>
      <c r="K20" s="43">
        <f t="shared" si="0"/>
        <v>15850</v>
      </c>
      <c r="L20" s="52" t="s">
        <v>113</v>
      </c>
      <c r="M20" s="46"/>
      <c r="N20" s="47"/>
    </row>
    <row r="21" spans="1:16" ht="24" customHeight="1">
      <c r="A21" s="9">
        <v>15</v>
      </c>
      <c r="B21" s="30" t="s">
        <v>51</v>
      </c>
      <c r="C21" s="3" t="s">
        <v>52</v>
      </c>
      <c r="D21" s="1" t="s">
        <v>53</v>
      </c>
      <c r="E21" s="4" t="s">
        <v>104</v>
      </c>
      <c r="F21" s="15" t="s">
        <v>107</v>
      </c>
      <c r="G21" s="4" t="s">
        <v>112</v>
      </c>
      <c r="H21" s="5">
        <v>1</v>
      </c>
      <c r="I21" s="5">
        <v>1</v>
      </c>
      <c r="J21" s="41">
        <v>925000</v>
      </c>
      <c r="K21" s="40">
        <f t="shared" si="0"/>
        <v>925000</v>
      </c>
      <c r="L21" s="53" t="s">
        <v>126</v>
      </c>
      <c r="M21" s="22"/>
      <c r="N21" s="16"/>
    </row>
    <row r="22" spans="1:16" ht="24" customHeight="1">
      <c r="A22" s="9">
        <v>16</v>
      </c>
      <c r="B22" s="30" t="s">
        <v>51</v>
      </c>
      <c r="C22" s="3" t="s">
        <v>54</v>
      </c>
      <c r="D22" s="1" t="s">
        <v>55</v>
      </c>
      <c r="E22" s="4" t="s">
        <v>104</v>
      </c>
      <c r="F22" s="15" t="s">
        <v>107</v>
      </c>
      <c r="G22" s="4" t="s">
        <v>112</v>
      </c>
      <c r="H22" s="5">
        <v>1</v>
      </c>
      <c r="I22" s="5">
        <v>1</v>
      </c>
      <c r="J22" s="41">
        <v>541900</v>
      </c>
      <c r="K22" s="40">
        <f t="shared" si="0"/>
        <v>541900</v>
      </c>
      <c r="L22" s="53" t="s">
        <v>126</v>
      </c>
      <c r="M22" s="6"/>
      <c r="N22" s="16"/>
    </row>
    <row r="23" spans="1:16" ht="24" customHeight="1">
      <c r="A23" s="9">
        <v>17</v>
      </c>
      <c r="B23" s="30" t="s">
        <v>51</v>
      </c>
      <c r="C23" s="3" t="s">
        <v>56</v>
      </c>
      <c r="D23" s="1" t="s">
        <v>57</v>
      </c>
      <c r="E23" s="4" t="s">
        <v>104</v>
      </c>
      <c r="F23" s="15" t="s">
        <v>107</v>
      </c>
      <c r="G23" s="4" t="s">
        <v>112</v>
      </c>
      <c r="H23" s="5">
        <v>1</v>
      </c>
      <c r="I23" s="5">
        <v>1</v>
      </c>
      <c r="J23" s="41">
        <v>121300</v>
      </c>
      <c r="K23" s="40">
        <f t="shared" si="0"/>
        <v>121300</v>
      </c>
      <c r="L23" s="53" t="s">
        <v>126</v>
      </c>
      <c r="M23" s="6"/>
      <c r="N23" s="16"/>
    </row>
    <row r="24" spans="1:16" ht="24" customHeight="1">
      <c r="A24" s="9">
        <v>18</v>
      </c>
      <c r="B24" s="30" t="s">
        <v>51</v>
      </c>
      <c r="C24" s="3" t="s">
        <v>58</v>
      </c>
      <c r="D24" s="1" t="s">
        <v>59</v>
      </c>
      <c r="E24" s="4" t="s">
        <v>104</v>
      </c>
      <c r="F24" s="15" t="s">
        <v>107</v>
      </c>
      <c r="G24" s="4" t="s">
        <v>112</v>
      </c>
      <c r="H24" s="5">
        <v>5</v>
      </c>
      <c r="I24" s="5">
        <v>5</v>
      </c>
      <c r="J24" s="41">
        <v>89880</v>
      </c>
      <c r="K24" s="40">
        <f t="shared" si="0"/>
        <v>449400</v>
      </c>
      <c r="L24" s="53" t="s">
        <v>126</v>
      </c>
      <c r="M24" s="6"/>
    </row>
    <row r="25" spans="1:16" ht="24" customHeight="1">
      <c r="A25" s="9">
        <v>19</v>
      </c>
      <c r="B25" s="30" t="s">
        <v>51</v>
      </c>
      <c r="C25" s="3" t="s">
        <v>60</v>
      </c>
      <c r="D25" s="1" t="s">
        <v>61</v>
      </c>
      <c r="E25" s="4" t="s">
        <v>104</v>
      </c>
      <c r="F25" s="15" t="s">
        <v>107</v>
      </c>
      <c r="G25" s="4" t="s">
        <v>112</v>
      </c>
      <c r="H25" s="5">
        <v>5</v>
      </c>
      <c r="I25" s="5">
        <v>5</v>
      </c>
      <c r="J25" s="41">
        <v>34882</v>
      </c>
      <c r="K25" s="40">
        <f t="shared" si="0"/>
        <v>174410</v>
      </c>
      <c r="L25" s="53" t="s">
        <v>126</v>
      </c>
      <c r="M25" s="25"/>
    </row>
    <row r="26" spans="1:16" ht="24" customHeight="1">
      <c r="A26" s="9">
        <v>20</v>
      </c>
      <c r="B26" s="30" t="s">
        <v>51</v>
      </c>
      <c r="C26" s="3" t="s">
        <v>62</v>
      </c>
      <c r="D26" s="1" t="s">
        <v>63</v>
      </c>
      <c r="E26" s="4" t="s">
        <v>104</v>
      </c>
      <c r="F26" s="15" t="s">
        <v>107</v>
      </c>
      <c r="G26" s="4" t="s">
        <v>112</v>
      </c>
      <c r="H26" s="5">
        <v>5</v>
      </c>
      <c r="I26" s="5">
        <v>5</v>
      </c>
      <c r="J26" s="41">
        <v>34882</v>
      </c>
      <c r="K26" s="40">
        <f t="shared" si="0"/>
        <v>174410</v>
      </c>
      <c r="L26" s="53" t="s">
        <v>126</v>
      </c>
      <c r="M26" s="25"/>
      <c r="P26" s="16"/>
    </row>
    <row r="27" spans="1:16" ht="24" customHeight="1">
      <c r="A27" s="9">
        <v>21</v>
      </c>
      <c r="B27" s="30" t="s">
        <v>51</v>
      </c>
      <c r="C27" s="3" t="s">
        <v>64</v>
      </c>
      <c r="D27" s="1" t="s">
        <v>65</v>
      </c>
      <c r="E27" s="4" t="s">
        <v>104</v>
      </c>
      <c r="F27" s="15" t="s">
        <v>107</v>
      </c>
      <c r="G27" s="4" t="s">
        <v>112</v>
      </c>
      <c r="H27" s="5">
        <v>1</v>
      </c>
      <c r="I27" s="5">
        <v>1</v>
      </c>
      <c r="J27" s="41">
        <v>499690</v>
      </c>
      <c r="K27" s="40">
        <f t="shared" si="0"/>
        <v>499690</v>
      </c>
      <c r="L27" s="53" t="s">
        <v>126</v>
      </c>
      <c r="M27" s="25"/>
    </row>
    <row r="28" spans="1:16" ht="24" customHeight="1">
      <c r="A28" s="9">
        <v>22</v>
      </c>
      <c r="B28" s="30" t="s">
        <v>51</v>
      </c>
      <c r="C28" s="3" t="s">
        <v>66</v>
      </c>
      <c r="D28" s="1" t="s">
        <v>67</v>
      </c>
      <c r="E28" s="4" t="s">
        <v>104</v>
      </c>
      <c r="F28" s="15" t="s">
        <v>107</v>
      </c>
      <c r="G28" s="4" t="s">
        <v>112</v>
      </c>
      <c r="H28" s="5">
        <v>1</v>
      </c>
      <c r="I28" s="5">
        <v>1</v>
      </c>
      <c r="J28" s="41">
        <v>179760</v>
      </c>
      <c r="K28" s="41">
        <f t="shared" si="0"/>
        <v>179760</v>
      </c>
      <c r="L28" s="53" t="s">
        <v>126</v>
      </c>
    </row>
    <row r="29" spans="1:16" ht="24" customHeight="1">
      <c r="A29" s="9"/>
      <c r="B29" s="30"/>
      <c r="C29" s="5" t="s">
        <v>103</v>
      </c>
      <c r="D29" s="1"/>
      <c r="E29" s="4"/>
      <c r="F29" s="15"/>
      <c r="G29" s="4"/>
      <c r="H29" s="5"/>
      <c r="I29" s="5"/>
      <c r="J29" s="41"/>
      <c r="K29" s="41">
        <f>SUM(K7:K28)</f>
        <v>4912309.3</v>
      </c>
      <c r="L29" s="53"/>
    </row>
    <row r="30" spans="1:16" ht="24" customHeight="1">
      <c r="A30" s="9"/>
      <c r="B30" s="30"/>
      <c r="C30" s="5" t="s">
        <v>105</v>
      </c>
      <c r="D30" s="1"/>
      <c r="E30" s="4"/>
      <c r="F30" s="15"/>
      <c r="G30" s="4"/>
      <c r="H30" s="5"/>
      <c r="I30" s="5"/>
      <c r="J30" s="41"/>
      <c r="K30" s="41">
        <f>SUM(K29)</f>
        <v>4912309.3</v>
      </c>
      <c r="L30" s="53"/>
    </row>
    <row r="31" spans="1:16" ht="24" customHeight="1">
      <c r="A31" s="9">
        <v>23</v>
      </c>
      <c r="B31" s="30" t="s">
        <v>51</v>
      </c>
      <c r="C31" s="31" t="s">
        <v>68</v>
      </c>
      <c r="D31" s="1" t="s">
        <v>69</v>
      </c>
      <c r="E31" s="4" t="s">
        <v>104</v>
      </c>
      <c r="F31" s="15" t="s">
        <v>107</v>
      </c>
      <c r="G31" s="4" t="s">
        <v>112</v>
      </c>
      <c r="H31" s="5">
        <v>5</v>
      </c>
      <c r="I31" s="5">
        <v>5</v>
      </c>
      <c r="J31" s="41">
        <v>92234</v>
      </c>
      <c r="K31" s="40">
        <f t="shared" si="0"/>
        <v>461170</v>
      </c>
      <c r="L31" s="53" t="s">
        <v>126</v>
      </c>
    </row>
    <row r="32" spans="1:16" ht="24" customHeight="1">
      <c r="A32" s="9">
        <v>24</v>
      </c>
      <c r="B32" s="30" t="s">
        <v>51</v>
      </c>
      <c r="C32" s="31" t="s">
        <v>70</v>
      </c>
      <c r="D32" s="1" t="s">
        <v>71</v>
      </c>
      <c r="E32" s="4" t="s">
        <v>104</v>
      </c>
      <c r="F32" s="15" t="s">
        <v>107</v>
      </c>
      <c r="G32" s="4" t="s">
        <v>112</v>
      </c>
      <c r="H32" s="5">
        <v>5</v>
      </c>
      <c r="I32" s="5">
        <v>5</v>
      </c>
      <c r="J32" s="41">
        <v>59706</v>
      </c>
      <c r="K32" s="40">
        <f t="shared" si="0"/>
        <v>298530</v>
      </c>
      <c r="L32" s="53" t="s">
        <v>126</v>
      </c>
    </row>
    <row r="33" spans="1:12" ht="24" customHeight="1">
      <c r="A33" s="9">
        <v>25</v>
      </c>
      <c r="B33" s="15">
        <v>2541</v>
      </c>
      <c r="C33" s="31" t="s">
        <v>72</v>
      </c>
      <c r="D33" s="1" t="s">
        <v>73</v>
      </c>
      <c r="E33" s="4" t="s">
        <v>104</v>
      </c>
      <c r="F33" s="15" t="s">
        <v>108</v>
      </c>
      <c r="G33" s="4" t="s">
        <v>111</v>
      </c>
      <c r="H33" s="5">
        <v>1</v>
      </c>
      <c r="I33" s="5">
        <v>1</v>
      </c>
      <c r="J33" s="41">
        <v>200000</v>
      </c>
      <c r="K33" s="40">
        <f t="shared" ref="K33:K47" si="1">SUM(I33*J33)</f>
        <v>200000</v>
      </c>
      <c r="L33" s="53" t="s">
        <v>114</v>
      </c>
    </row>
    <row r="34" spans="1:12" ht="24" customHeight="1">
      <c r="A34" s="9">
        <v>26</v>
      </c>
      <c r="B34" s="15">
        <v>2541</v>
      </c>
      <c r="C34" s="31" t="s">
        <v>74</v>
      </c>
      <c r="D34" s="1" t="s">
        <v>75</v>
      </c>
      <c r="E34" s="4" t="s">
        <v>104</v>
      </c>
      <c r="F34" s="15" t="s">
        <v>108</v>
      </c>
      <c r="G34" s="4" t="s">
        <v>111</v>
      </c>
      <c r="H34" s="5">
        <v>1</v>
      </c>
      <c r="I34" s="5">
        <v>1</v>
      </c>
      <c r="J34" s="41">
        <v>48950</v>
      </c>
      <c r="K34" s="40">
        <f t="shared" si="1"/>
        <v>48950</v>
      </c>
      <c r="L34" s="53" t="s">
        <v>133</v>
      </c>
    </row>
    <row r="35" spans="1:12" ht="24" customHeight="1">
      <c r="A35" s="9">
        <v>27</v>
      </c>
      <c r="B35" s="15">
        <v>2541</v>
      </c>
      <c r="C35" s="31" t="s">
        <v>76</v>
      </c>
      <c r="D35" s="1" t="s">
        <v>77</v>
      </c>
      <c r="E35" s="4" t="s">
        <v>104</v>
      </c>
      <c r="F35" s="15" t="s">
        <v>108</v>
      </c>
      <c r="G35" s="4" t="s">
        <v>111</v>
      </c>
      <c r="H35" s="5">
        <v>1</v>
      </c>
      <c r="I35" s="5">
        <v>1</v>
      </c>
      <c r="J35" s="41">
        <v>29700</v>
      </c>
      <c r="K35" s="40">
        <f t="shared" si="1"/>
        <v>29700</v>
      </c>
      <c r="L35" s="53" t="s">
        <v>119</v>
      </c>
    </row>
    <row r="36" spans="1:12" ht="24" customHeight="1">
      <c r="A36" s="9">
        <v>28</v>
      </c>
      <c r="B36" s="15">
        <v>2541</v>
      </c>
      <c r="C36" s="31" t="s">
        <v>78</v>
      </c>
      <c r="D36" s="1" t="s">
        <v>79</v>
      </c>
      <c r="E36" s="4" t="s">
        <v>104</v>
      </c>
      <c r="F36" s="15" t="s">
        <v>108</v>
      </c>
      <c r="G36" s="4" t="s">
        <v>111</v>
      </c>
      <c r="H36" s="5">
        <v>1</v>
      </c>
      <c r="I36" s="5">
        <v>1</v>
      </c>
      <c r="J36" s="41">
        <v>115060</v>
      </c>
      <c r="K36" s="40">
        <f t="shared" si="1"/>
        <v>115060</v>
      </c>
      <c r="L36" s="53" t="s">
        <v>115</v>
      </c>
    </row>
    <row r="37" spans="1:12" ht="24" customHeight="1">
      <c r="A37" s="9">
        <v>29</v>
      </c>
      <c r="B37" s="15">
        <v>2541</v>
      </c>
      <c r="C37" s="3" t="s">
        <v>80</v>
      </c>
      <c r="D37" s="1" t="s">
        <v>81</v>
      </c>
      <c r="E37" s="4" t="s">
        <v>104</v>
      </c>
      <c r="F37" s="15" t="s">
        <v>108</v>
      </c>
      <c r="G37" s="4" t="s">
        <v>111</v>
      </c>
      <c r="H37" s="10">
        <v>1</v>
      </c>
      <c r="I37" s="10">
        <v>1</v>
      </c>
      <c r="J37" s="41">
        <v>46750</v>
      </c>
      <c r="K37" s="40">
        <f t="shared" si="1"/>
        <v>46750</v>
      </c>
      <c r="L37" s="53" t="s">
        <v>118</v>
      </c>
    </row>
    <row r="38" spans="1:12" ht="24" customHeight="1">
      <c r="A38" s="9">
        <v>30</v>
      </c>
      <c r="B38" s="15">
        <v>2541</v>
      </c>
      <c r="C38" s="31" t="s">
        <v>82</v>
      </c>
      <c r="D38" s="36" t="s">
        <v>83</v>
      </c>
      <c r="E38" s="4" t="s">
        <v>104</v>
      </c>
      <c r="F38" s="15" t="s">
        <v>108</v>
      </c>
      <c r="G38" s="4" t="s">
        <v>111</v>
      </c>
      <c r="H38" s="10">
        <v>1</v>
      </c>
      <c r="I38" s="10">
        <v>1</v>
      </c>
      <c r="J38" s="40">
        <v>44990</v>
      </c>
      <c r="K38" s="40">
        <f t="shared" si="1"/>
        <v>44990</v>
      </c>
      <c r="L38" s="53" t="s">
        <v>117</v>
      </c>
    </row>
    <row r="39" spans="1:12" ht="24" customHeight="1">
      <c r="A39" s="9">
        <v>31</v>
      </c>
      <c r="B39" s="30" t="s">
        <v>84</v>
      </c>
      <c r="C39" s="3" t="s">
        <v>85</v>
      </c>
      <c r="D39" s="1" t="s">
        <v>86</v>
      </c>
      <c r="E39" s="4" t="s">
        <v>104</v>
      </c>
      <c r="F39" s="15" t="s">
        <v>109</v>
      </c>
      <c r="G39" s="4" t="s">
        <v>111</v>
      </c>
      <c r="H39" s="5">
        <v>1</v>
      </c>
      <c r="I39" s="5">
        <v>1</v>
      </c>
      <c r="J39" s="41">
        <v>271500</v>
      </c>
      <c r="K39" s="40">
        <f t="shared" si="1"/>
        <v>271500</v>
      </c>
      <c r="L39" s="53" t="s">
        <v>134</v>
      </c>
    </row>
    <row r="40" spans="1:12" ht="24" customHeight="1">
      <c r="A40" s="9">
        <v>32</v>
      </c>
      <c r="B40" s="30" t="s">
        <v>84</v>
      </c>
      <c r="C40" s="3" t="s">
        <v>87</v>
      </c>
      <c r="D40" s="37" t="s">
        <v>88</v>
      </c>
      <c r="E40" s="4" t="s">
        <v>104</v>
      </c>
      <c r="F40" s="15" t="s">
        <v>109</v>
      </c>
      <c r="G40" s="4" t="s">
        <v>111</v>
      </c>
      <c r="H40" s="5">
        <v>1</v>
      </c>
      <c r="I40" s="5">
        <v>1</v>
      </c>
      <c r="J40" s="41">
        <v>58300</v>
      </c>
      <c r="K40" s="40">
        <f t="shared" si="1"/>
        <v>58300</v>
      </c>
      <c r="L40" s="53" t="s">
        <v>116</v>
      </c>
    </row>
    <row r="41" spans="1:12" ht="24" customHeight="1">
      <c r="A41" s="9">
        <v>33</v>
      </c>
      <c r="B41" s="30" t="s">
        <v>84</v>
      </c>
      <c r="C41" s="3" t="s">
        <v>89</v>
      </c>
      <c r="D41" s="1" t="s">
        <v>90</v>
      </c>
      <c r="E41" s="4" t="s">
        <v>104</v>
      </c>
      <c r="F41" s="15" t="s">
        <v>109</v>
      </c>
      <c r="G41" s="4" t="s">
        <v>111</v>
      </c>
      <c r="H41" s="5">
        <v>1</v>
      </c>
      <c r="I41" s="5">
        <v>1</v>
      </c>
      <c r="J41" s="41">
        <v>46200</v>
      </c>
      <c r="K41" s="40">
        <f t="shared" si="1"/>
        <v>46200</v>
      </c>
      <c r="L41" s="53" t="s">
        <v>114</v>
      </c>
    </row>
    <row r="42" spans="1:12" ht="24" customHeight="1">
      <c r="A42" s="9">
        <v>34</v>
      </c>
      <c r="B42" s="30" t="s">
        <v>84</v>
      </c>
      <c r="C42" s="3" t="s">
        <v>91</v>
      </c>
      <c r="D42" s="1" t="s">
        <v>92</v>
      </c>
      <c r="E42" s="4" t="s">
        <v>104</v>
      </c>
      <c r="F42" s="15" t="s">
        <v>109</v>
      </c>
      <c r="G42" s="4" t="s">
        <v>111</v>
      </c>
      <c r="H42" s="5">
        <v>1</v>
      </c>
      <c r="I42" s="5">
        <v>1</v>
      </c>
      <c r="J42" s="41">
        <v>42900</v>
      </c>
      <c r="K42" s="40">
        <f t="shared" si="1"/>
        <v>42900</v>
      </c>
      <c r="L42" s="53" t="s">
        <v>120</v>
      </c>
    </row>
    <row r="43" spans="1:12" ht="24" customHeight="1">
      <c r="A43" s="9">
        <v>35</v>
      </c>
      <c r="B43" s="30" t="s">
        <v>84</v>
      </c>
      <c r="C43" s="3" t="s">
        <v>93</v>
      </c>
      <c r="D43" s="1" t="s">
        <v>94</v>
      </c>
      <c r="E43" s="4" t="s">
        <v>104</v>
      </c>
      <c r="F43" s="15" t="s">
        <v>109</v>
      </c>
      <c r="G43" s="4" t="s">
        <v>111</v>
      </c>
      <c r="H43" s="5">
        <v>1</v>
      </c>
      <c r="I43" s="5">
        <v>1</v>
      </c>
      <c r="J43" s="41">
        <v>11000</v>
      </c>
      <c r="K43" s="40">
        <f t="shared" si="1"/>
        <v>11000</v>
      </c>
      <c r="L43" s="53" t="s">
        <v>135</v>
      </c>
    </row>
    <row r="44" spans="1:12" ht="24" customHeight="1">
      <c r="A44" s="9">
        <v>36</v>
      </c>
      <c r="B44" s="30" t="s">
        <v>84</v>
      </c>
      <c r="C44" s="3" t="s">
        <v>95</v>
      </c>
      <c r="D44" s="1" t="s">
        <v>96</v>
      </c>
      <c r="E44" s="4" t="s">
        <v>104</v>
      </c>
      <c r="F44" s="15" t="s">
        <v>109</v>
      </c>
      <c r="G44" s="4" t="s">
        <v>111</v>
      </c>
      <c r="H44" s="5">
        <v>1</v>
      </c>
      <c r="I44" s="5">
        <v>1</v>
      </c>
      <c r="J44" s="41">
        <v>12100</v>
      </c>
      <c r="K44" s="40">
        <f t="shared" si="1"/>
        <v>12100</v>
      </c>
      <c r="L44" s="53" t="s">
        <v>135</v>
      </c>
    </row>
    <row r="45" spans="1:12" ht="24" customHeight="1">
      <c r="A45" s="9">
        <v>37</v>
      </c>
      <c r="B45" s="9">
        <v>2545</v>
      </c>
      <c r="C45" s="3" t="s">
        <v>97</v>
      </c>
      <c r="D45" s="1" t="s">
        <v>98</v>
      </c>
      <c r="E45" s="4" t="s">
        <v>104</v>
      </c>
      <c r="F45" s="15" t="s">
        <v>110</v>
      </c>
      <c r="G45" s="4" t="s">
        <v>111</v>
      </c>
      <c r="H45" s="5">
        <v>1</v>
      </c>
      <c r="I45" s="5">
        <v>1</v>
      </c>
      <c r="J45" s="41">
        <v>176550</v>
      </c>
      <c r="K45" s="40">
        <f t="shared" si="1"/>
        <v>176550</v>
      </c>
      <c r="L45" s="53" t="s">
        <v>121</v>
      </c>
    </row>
    <row r="46" spans="1:12" ht="24" customHeight="1">
      <c r="A46" s="9">
        <v>38</v>
      </c>
      <c r="B46" s="9">
        <v>2545</v>
      </c>
      <c r="C46" s="3" t="s">
        <v>99</v>
      </c>
      <c r="D46" s="1" t="s">
        <v>100</v>
      </c>
      <c r="E46" s="4" t="s">
        <v>104</v>
      </c>
      <c r="F46" s="15" t="s">
        <v>110</v>
      </c>
      <c r="G46" s="4" t="s">
        <v>111</v>
      </c>
      <c r="H46" s="5">
        <v>1</v>
      </c>
      <c r="I46" s="5">
        <v>1</v>
      </c>
      <c r="J46" s="44">
        <v>131182</v>
      </c>
      <c r="K46" s="40">
        <f t="shared" si="1"/>
        <v>131182</v>
      </c>
      <c r="L46" s="53" t="s">
        <v>122</v>
      </c>
    </row>
    <row r="47" spans="1:12" ht="24" customHeight="1">
      <c r="A47" s="9">
        <v>39</v>
      </c>
      <c r="B47" s="9">
        <v>2545</v>
      </c>
      <c r="C47" s="3" t="s">
        <v>101</v>
      </c>
      <c r="D47" s="1" t="s">
        <v>102</v>
      </c>
      <c r="E47" s="4" t="s">
        <v>104</v>
      </c>
      <c r="F47" s="15" t="s">
        <v>110</v>
      </c>
      <c r="G47" s="4" t="s">
        <v>111</v>
      </c>
      <c r="H47" s="5">
        <v>10</v>
      </c>
      <c r="I47" s="5">
        <v>10</v>
      </c>
      <c r="J47" s="44">
        <v>1605</v>
      </c>
      <c r="K47" s="40">
        <f t="shared" si="1"/>
        <v>16050</v>
      </c>
      <c r="L47" s="53" t="s">
        <v>136</v>
      </c>
    </row>
    <row r="48" spans="1:12" ht="24" customHeight="1" thickBot="1">
      <c r="A48" s="67" t="s">
        <v>6</v>
      </c>
      <c r="B48" s="68"/>
      <c r="C48" s="68"/>
      <c r="D48" s="68"/>
      <c r="E48" s="68"/>
      <c r="F48" s="68"/>
      <c r="G48" s="68"/>
      <c r="H48" s="68"/>
      <c r="I48" s="68"/>
      <c r="J48" s="69"/>
      <c r="K48" s="50">
        <f>SUM(K30:K47)</f>
        <v>6923241.2999999998</v>
      </c>
      <c r="L48" s="54"/>
    </row>
    <row r="49" spans="1:12" ht="24" customHeight="1" thickTop="1">
      <c r="A49" s="6"/>
      <c r="B49" s="6"/>
      <c r="C49" s="6"/>
      <c r="D49" s="6"/>
      <c r="E49" s="6"/>
      <c r="F49" s="6"/>
      <c r="G49" s="6"/>
      <c r="H49" s="6"/>
      <c r="I49" s="23"/>
      <c r="J49" s="6"/>
      <c r="K49" s="6"/>
      <c r="L49" s="8"/>
    </row>
    <row r="50" spans="1:12" ht="24" customHeight="1">
      <c r="A50" s="6"/>
      <c r="B50" s="24" t="s">
        <v>2</v>
      </c>
      <c r="C50" s="17" t="s">
        <v>16</v>
      </c>
      <c r="D50" s="6"/>
      <c r="E50" s="6"/>
      <c r="F50" s="6"/>
      <c r="G50" s="6"/>
      <c r="H50" s="6"/>
      <c r="L50" s="21"/>
    </row>
    <row r="51" spans="1:12" ht="24" customHeight="1">
      <c r="A51" s="6"/>
      <c r="B51" s="25"/>
      <c r="C51" s="17" t="s">
        <v>17</v>
      </c>
      <c r="D51" s="6"/>
      <c r="E51" s="6"/>
      <c r="F51" s="6"/>
      <c r="G51" s="6"/>
      <c r="H51" s="6"/>
      <c r="I51" s="66" t="s">
        <v>4</v>
      </c>
      <c r="J51" s="66"/>
      <c r="K51" s="66"/>
      <c r="L51" s="21"/>
    </row>
    <row r="52" spans="1:12" ht="24" customHeight="1">
      <c r="A52" s="6"/>
      <c r="D52" s="18"/>
      <c r="E52" s="19"/>
      <c r="F52" s="19"/>
      <c r="G52" s="6"/>
      <c r="H52" s="6"/>
      <c r="I52" s="66" t="s">
        <v>22</v>
      </c>
      <c r="J52" s="66"/>
      <c r="K52" s="66"/>
      <c r="L52" s="21"/>
    </row>
    <row r="53" spans="1:12" ht="24" customHeight="1">
      <c r="I53" s="66" t="s">
        <v>5</v>
      </c>
      <c r="J53" s="66"/>
      <c r="K53" s="66"/>
    </row>
  </sheetData>
  <mergeCells count="18">
    <mergeCell ref="I53:K53"/>
    <mergeCell ref="K5:K6"/>
    <mergeCell ref="L5:L6"/>
    <mergeCell ref="A48:J48"/>
    <mergeCell ref="I51:K51"/>
    <mergeCell ref="I52:K52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</mergeCells>
  <phoneticPr fontId="10" type="noConversion"/>
  <printOptions horizontalCentered="1"/>
  <pageMargins left="0.19685039370078741" right="0.19685039370078741" top="0.59055118110236227" bottom="0.19685039370078741" header="0" footer="0"/>
  <pageSetup paperSize="9" scale="7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2</vt:i4>
      </vt:variant>
    </vt:vector>
  </HeadingPairs>
  <TitlesOfParts>
    <vt:vector size="3" baseType="lpstr">
      <vt:lpstr>แผนกไฟฟ้ากำลัง</vt:lpstr>
      <vt:lpstr>แผนกไฟฟ้ากำลัง!Print_Area</vt:lpstr>
      <vt:lpstr>แผนกไฟฟ้ากำลัง!Print_Titles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2021-10-26T04:28:28Z</cp:lastPrinted>
  <dcterms:created xsi:type="dcterms:W3CDTF">2017-11-14T01:32:33Z</dcterms:created>
  <dcterms:modified xsi:type="dcterms:W3CDTF">2022-05-30T07:37:03Z</dcterms:modified>
</cp:coreProperties>
</file>