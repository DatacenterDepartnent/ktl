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ธนพร\ตรวจครุภัณฑ์ประจำปี\ตรวจสอบพัสดุ-ครุภัณฑ์ประจำปี 2564\เอกสารประกอบที่ 2\งาน\"/>
    </mc:Choice>
  </mc:AlternateContent>
  <xr:revisionPtr revIDLastSave="0" documentId="13_ncr:1_{238918E5-60D7-442B-A191-6623EEA03964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บุคลากร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7" i="4" l="1"/>
  <c r="H26" i="4"/>
  <c r="H25" i="4"/>
  <c r="H24" i="4"/>
  <c r="H6" i="4" l="1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5" i="4"/>
  <c r="H28" i="4" l="1"/>
</calcChain>
</file>

<file path=xl/sharedStrings.xml><?xml version="1.0" encoding="utf-8"?>
<sst xmlns="http://schemas.openxmlformats.org/spreadsheetml/2006/main" count="91" uniqueCount="69">
  <si>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</si>
  <si>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</si>
  <si>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</si>
  <si>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</si>
  <si>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ตู้เหล็ก  4  ลิ้นชัก</t>
  </si>
  <si>
    <t>เครื่องคอมพิวเตอร์ GVIEW</t>
  </si>
  <si>
    <t>ตู้เหล็ก 2 บานเปิด</t>
  </si>
  <si>
    <t>งปม.</t>
  </si>
  <si>
    <t>บกศ.</t>
  </si>
  <si>
    <t>เครื่องสำรองไฟฟ้า</t>
  </si>
  <si>
    <t>โต๊ะทำงานเหล็ก  4  ฟุต</t>
  </si>
  <si>
    <t>7110-002-0002/403-006</t>
  </si>
  <si>
    <t>7110-002-0002/482-002-482-003</t>
  </si>
  <si>
    <t>7430-008-0002/492-008</t>
  </si>
  <si>
    <t>7440-001-0001/492-049</t>
  </si>
  <si>
    <t>7110-002-0006/502-090</t>
  </si>
  <si>
    <t>7110-002-0005/502-016</t>
  </si>
  <si>
    <t>7110-007-0001/502-012</t>
  </si>
  <si>
    <t>7440-009-0001/502-004</t>
  </si>
  <si>
    <t>7110-002-0006/521-021</t>
  </si>
  <si>
    <t>6310-004-0001/531-001</t>
  </si>
  <si>
    <t>7110-006-0006/531-001</t>
  </si>
  <si>
    <t>6130-001-0001/531-006</t>
  </si>
  <si>
    <t>7440-001-0001/566-001-002</t>
  </si>
  <si>
    <t>7430-008-0002/566-001-002</t>
  </si>
  <si>
    <t>7110-007-0015/566-001-002</t>
  </si>
  <si>
    <t>7440-001-0003/586-001(2)</t>
  </si>
  <si>
    <t>ตู้เหล็ก 15  ลิ้นชัก</t>
  </si>
  <si>
    <t>เครื่องปริ้นเตอร์ HP 1020</t>
  </si>
  <si>
    <t>ตู้เหล็ก 2 บานเลื่อน</t>
  </si>
  <si>
    <t>โต๊ะวางเครื่องคอมพิวเตอร์</t>
  </si>
  <si>
    <t>FLASH DRIVE 1 GB</t>
  </si>
  <si>
    <t>ตู้บานเลื่อนกระจก</t>
  </si>
  <si>
    <t>เครื่องสแกนลายนิ้วมือ รุ่น  x938</t>
  </si>
  <si>
    <t>เก้าอี้สำนักงาน  (ขาเหล็ก)</t>
  </si>
  <si>
    <t>เครื่องคอมพิวเตอร์พร้อมจอ 20" HP</t>
  </si>
  <si>
    <t>เครื่องปริ๊นเตอร์ Inkjet all in one Epson2106</t>
  </si>
  <si>
    <t>โต๊ะคอมพิวเตอร์ 120*60*75 cm</t>
  </si>
  <si>
    <t>คอมพิวเตอร์โน๊ตบุ๊ค</t>
  </si>
  <si>
    <t>อุดหนุน</t>
  </si>
  <si>
    <t>....................................................</t>
  </si>
  <si>
    <t>หัวหน้าหน่วยจ่าย/หน่วยเบิก</t>
  </si>
  <si>
    <t>รวมเป็นเงิน</t>
  </si>
  <si>
    <t>ตู้เหล็ก 2 บานเลื่อนกระจก</t>
  </si>
  <si>
    <t>30 เม.ย. 58</t>
  </si>
  <si>
    <t>14 พ.ค. 62</t>
  </si>
  <si>
    <t>7110-002-0006/622-001(4)</t>
  </si>
  <si>
    <t>7110-002-0004/622-001</t>
  </si>
  <si>
    <t xml:space="preserve">ตู้เหล็ก 4 ลิ้นชัก </t>
  </si>
  <si>
    <t>(นางสาวเพ็ญธิดา  แก้วคำ)</t>
  </si>
  <si>
    <t>7110-007-0004/531-003</t>
  </si>
  <si>
    <t>7110-002-0002/531-023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</si>
  <si>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</si>
  <si>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</si>
  <si>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</si>
  <si>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</si>
  <si>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</si>
  <si>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</si>
  <si>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งานบุคลากร  คงเหลือ</t>
  </si>
  <si>
    <t>ประจำปี 2564  ณ วันที่ 30 กันยายน 2564</t>
  </si>
  <si>
    <t xml:space="preserve"> 1 ธ.ค.63</t>
  </si>
  <si>
    <t xml:space="preserve"> 1ธ.ค.63</t>
  </si>
  <si>
    <t xml:space="preserve"> 8 มิ.ย.64</t>
  </si>
  <si>
    <t>7440-001-0002/642-002</t>
  </si>
  <si>
    <t>7490-007-0001/642-001</t>
  </si>
  <si>
    <t>7440-0100002/642-013(13)</t>
  </si>
  <si>
    <t>คอมพิวเตอร์ All In One Lenovo</t>
  </si>
  <si>
    <t>เครื่องสแกนลายนิ้วมือ/ใบหน้า Face HIP CMT685</t>
  </si>
  <si>
    <t>เครื่องพิมพ์เลเซอร์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</si>
</sst>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1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 vertical="center"/>
    </xf>
    <xf numFmtId="0" fontId="4" fillId="0" borderId="1" xfId="0" applyFont="1" applyBorder="1"/>
    <xf numFmtId="0" fontId="3" fillId="0" borderId="1" xfId="2" applyFont="1" applyBorder="1" applyAlignment="1">
      <alignment horizontal="center"/>
    </xf>
    <xf numFmtId="0" fontId="3" fillId="0" borderId="1" xfId="5" applyFont="1" applyBorder="1" applyAlignment="1">
      <alignment horizontal="center"/>
    </xf>
    <xf numFmtId="0" fontId="7" fillId="0" borderId="0" xfId="0" applyFont="1"/>
    <xf numFmtId="43" fontId="3" fillId="0" borderId="1" xfId="1" applyFont="1" applyBorder="1" applyAlignment="1">
      <alignment horizontal="center"/>
    </xf>
    <xf numFmtId="49" fontId="3" fillId="0" borderId="1" xfId="0" applyNumberFormat="1" applyFont="1" applyBorder="1" applyAlignment="1">
      <alignment horizontal="left"/>
    </xf>
    <xf numFmtId="43" fontId="3" fillId="0" borderId="1" xfId="5" applyNumberFormat="1" applyFont="1" applyBorder="1" applyAlignment="1"/>
    <xf numFmtId="43" fontId="3" fillId="0" borderId="4" xfId="5" applyNumberFormat="1" applyFont="1" applyBorder="1" applyAlignment="1"/>
    <xf numFmtId="0" fontId="6" fillId="0" borderId="0" xfId="0" applyFont="1" applyBorder="1" applyAlignment="1">
      <alignment horizontal="center" vertical="center"/>
    </xf>
    <xf numFmtId="0" fontId="4" fillId="0" borderId="0" xfId="0" applyFont="1" applyBorder="1"/>
    <xf numFmtId="0" fontId="4" fillId="0" borderId="1" xfId="0" applyFont="1" applyBorder="1" applyAlignment="1">
      <alignment horizontal="center" vertical="center"/>
    </xf>
    <xf numFmtId="0" fontId="3" fillId="0" borderId="1" xfId="6" applyFont="1" applyBorder="1" applyAlignment="1">
      <alignment horizontal="left" vertical="center"/>
    </xf>
    <xf numFmtId="49" fontId="3" fillId="0" borderId="1" xfId="7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5" xfId="0" applyNumberFormat="1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43" fontId="3" fillId="0" borderId="5" xfId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3" fontId="3" fillId="0" borderId="0" xfId="5" applyNumberFormat="1" applyFont="1" applyBorder="1" applyAlignment="1"/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723900</xdr:colOff>
      <xdr:row>0</xdr:row>
      <xdr:rowOff>142875</xdr:rowOff>
    </xdr:from>
    <xdr:to>
      <xdr:col>8</xdr:col>
      <xdr:colOff>561975</xdr:colOff>
      <xdr:row>1</xdr:row>
      <xdr:rowOff>161925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 txBox="1"/>
      </xdr:nvSpPr>
      <xdr:spPr>
        <a:xfrm>
          <a:off x="8562975" y="142875"/>
          <a:ext cx="16668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7030A0"/>
  </sheetPr>
  <dimension ref="A1:J33"/>
  <sheetViews>
    <sheetView tabSelected="1" topLeftCell="A19" zoomScaleNormal="100" workbookViewId="0">
      <selection activeCell="M34" sqref="M34"/>
    </sheetView>
  </sheetViews>
  <sheetFormatPr defaultColWidth="9" defaultRowHeight="24" customHeight="1"/>
  <cols>
    <col min="1" max="1" width="5.5703125" style="1" customWidth="1"/>
    <col min="2" max="2" width="11.7109375" style="22" customWidth="1"/>
    <col min="3" max="3" width="32.28515625" style="1" customWidth="1"/>
    <col min="4" max="4" width="39.140625" style="1" customWidth="1"/>
    <col min="5" max="5" width="7.28515625" style="1" customWidth="1"/>
    <col min="6" max="6" width="6.85546875" style="1" customWidth="1"/>
    <col min="7" max="7" width="11.140625" style="1" customWidth="1"/>
    <col min="8" max="8" width="12.85546875" style="1" customWidth="1"/>
    <col min="9" max="9" width="9.28515625" style="1" customWidth="1"/>
    <col min="10" max="10" width="10" style="1" customWidth="1"/>
    <col min="11" max="16384" width="9" style="1"/>
  </cols>
  <sheetData>
    <row r="1" spans="1:10" ht="24" customHeight="1">
      <c r="A1" s="25" t="s">
        <v>3</v>
      </c>
      <c r="B1" s="25"/>
      <c r="C1" s="25"/>
      <c r="D1" s="25"/>
      <c r="E1" s="25"/>
      <c r="F1" s="25"/>
      <c r="G1" s="25"/>
      <c r="H1" s="25"/>
      <c r="I1" s="25"/>
    </row>
    <row r="2" spans="1:10" ht="24" customHeight="1">
      <c r="A2" s="25" t="s">
        <v>58</v>
      </c>
      <c r="B2" s="25"/>
      <c r="C2" s="25"/>
      <c r="D2" s="25"/>
      <c r="E2" s="25"/>
      <c r="F2" s="25"/>
      <c r="G2" s="25"/>
      <c r="H2" s="25"/>
      <c r="I2" s="25"/>
    </row>
    <row r="3" spans="1:10" ht="24" customHeight="1">
      <c r="A3" s="26" t="s">
        <v>59</v>
      </c>
      <c r="B3" s="26"/>
      <c r="C3" s="26"/>
      <c r="D3" s="26"/>
      <c r="E3" s="26"/>
      <c r="F3" s="26"/>
      <c r="G3" s="26"/>
      <c r="H3" s="26"/>
      <c r="I3" s="26"/>
    </row>
    <row r="4" spans="1:10" s="2" customFormat="1" ht="44.25" customHeight="1">
      <c r="A4" s="16" t="s">
        <v>52</v>
      </c>
      <c r="B4" s="16" t="s">
        <v>55</v>
      </c>
      <c r="C4" s="16" t="s">
        <v>56</v>
      </c>
      <c r="D4" s="13" t="s">
        <v>0</v>
      </c>
      <c r="E4" s="16" t="s">
        <v>53</v>
      </c>
      <c r="F4" s="13" t="s">
        <v>1</v>
      </c>
      <c r="G4" s="16" t="s">
        <v>54</v>
      </c>
      <c r="H4" s="16" t="s">
        <v>57</v>
      </c>
      <c r="I4" s="13" t="s">
        <v>2</v>
      </c>
      <c r="J4" s="11"/>
    </row>
    <row r="5" spans="1:10" s="6" customFormat="1" ht="24" customHeight="1">
      <c r="A5" s="17">
        <v>1</v>
      </c>
      <c r="B5" s="20">
        <v>2540</v>
      </c>
      <c r="C5" s="14" t="s">
        <v>11</v>
      </c>
      <c r="D5" s="14" t="s">
        <v>27</v>
      </c>
      <c r="E5" s="4" t="s">
        <v>8</v>
      </c>
      <c r="F5" s="5">
        <v>1</v>
      </c>
      <c r="G5" s="7">
        <v>2300</v>
      </c>
      <c r="H5" s="7">
        <f>SUM(F5*G5)</f>
        <v>2300</v>
      </c>
      <c r="I5" s="17"/>
      <c r="J5" s="12"/>
    </row>
    <row r="6" spans="1:10" s="6" customFormat="1" ht="24" customHeight="1">
      <c r="A6" s="17">
        <v>2</v>
      </c>
      <c r="B6" s="20">
        <v>2548</v>
      </c>
      <c r="C6" s="14" t="s">
        <v>12</v>
      </c>
      <c r="D6" s="14" t="s">
        <v>27</v>
      </c>
      <c r="E6" s="4" t="s">
        <v>8</v>
      </c>
      <c r="F6" s="5">
        <v>2</v>
      </c>
      <c r="G6" s="7">
        <v>2900</v>
      </c>
      <c r="H6" s="7">
        <f t="shared" ref="H6:H23" si="0">SUM(F6*G6)</f>
        <v>5800</v>
      </c>
      <c r="I6" s="17"/>
      <c r="J6" s="12"/>
    </row>
    <row r="7" spans="1:10" s="6" customFormat="1" ht="24" customHeight="1">
      <c r="A7" s="20">
        <v>3</v>
      </c>
      <c r="B7" s="20">
        <v>2549</v>
      </c>
      <c r="C7" s="14" t="s">
        <v>13</v>
      </c>
      <c r="D7" s="14" t="s">
        <v>28</v>
      </c>
      <c r="E7" s="4" t="s">
        <v>8</v>
      </c>
      <c r="F7" s="5">
        <v>1</v>
      </c>
      <c r="G7" s="7">
        <v>5296.5</v>
      </c>
      <c r="H7" s="7">
        <f t="shared" si="0"/>
        <v>5296.5</v>
      </c>
      <c r="I7" s="17"/>
      <c r="J7" s="12"/>
    </row>
    <row r="8" spans="1:10" s="6" customFormat="1" ht="24" customHeight="1">
      <c r="A8" s="20">
        <v>4</v>
      </c>
      <c r="B8" s="20">
        <v>2549</v>
      </c>
      <c r="C8" s="14" t="s">
        <v>14</v>
      </c>
      <c r="D8" s="14" t="s">
        <v>5</v>
      </c>
      <c r="E8" s="4" t="s">
        <v>8</v>
      </c>
      <c r="F8" s="5">
        <v>1</v>
      </c>
      <c r="G8" s="7">
        <v>19088.8</v>
      </c>
      <c r="H8" s="7">
        <f t="shared" si="0"/>
        <v>19088.8</v>
      </c>
      <c r="I8" s="17"/>
      <c r="J8" s="12"/>
    </row>
    <row r="9" spans="1:10" s="6" customFormat="1" ht="24" customHeight="1">
      <c r="A9" s="20">
        <v>5</v>
      </c>
      <c r="B9" s="20">
        <v>2550</v>
      </c>
      <c r="C9" s="14" t="s">
        <v>15</v>
      </c>
      <c r="D9" s="14" t="s">
        <v>29</v>
      </c>
      <c r="E9" s="4" t="s">
        <v>8</v>
      </c>
      <c r="F9" s="5">
        <v>1</v>
      </c>
      <c r="G9" s="7">
        <v>2800</v>
      </c>
      <c r="H9" s="7">
        <f t="shared" si="0"/>
        <v>2800</v>
      </c>
      <c r="I9" s="17"/>
      <c r="J9" s="12"/>
    </row>
    <row r="10" spans="1:10" s="6" customFormat="1" ht="24" customHeight="1">
      <c r="A10" s="20">
        <v>6</v>
      </c>
      <c r="B10" s="20">
        <v>2550</v>
      </c>
      <c r="C10" s="14" t="s">
        <v>16</v>
      </c>
      <c r="D10" s="14" t="s">
        <v>6</v>
      </c>
      <c r="E10" s="4" t="s">
        <v>8</v>
      </c>
      <c r="F10" s="5">
        <v>1</v>
      </c>
      <c r="G10" s="7">
        <v>3000</v>
      </c>
      <c r="H10" s="7">
        <f t="shared" si="0"/>
        <v>3000</v>
      </c>
      <c r="I10" s="17"/>
      <c r="J10" s="12"/>
    </row>
    <row r="11" spans="1:10" s="6" customFormat="1" ht="24" customHeight="1">
      <c r="A11" s="20">
        <v>7</v>
      </c>
      <c r="B11" s="20">
        <v>2550</v>
      </c>
      <c r="C11" s="14" t="s">
        <v>17</v>
      </c>
      <c r="D11" s="14" t="s">
        <v>30</v>
      </c>
      <c r="E11" s="4" t="s">
        <v>8</v>
      </c>
      <c r="F11" s="5">
        <v>1</v>
      </c>
      <c r="G11" s="7">
        <v>1800</v>
      </c>
      <c r="H11" s="7">
        <f t="shared" si="0"/>
        <v>1800</v>
      </c>
      <c r="I11" s="17"/>
      <c r="J11" s="12"/>
    </row>
    <row r="12" spans="1:10" s="6" customFormat="1" ht="24" customHeight="1">
      <c r="A12" s="20">
        <v>8</v>
      </c>
      <c r="B12" s="20">
        <v>2550</v>
      </c>
      <c r="C12" s="14" t="s">
        <v>18</v>
      </c>
      <c r="D12" s="14" t="s">
        <v>31</v>
      </c>
      <c r="E12" s="4" t="s">
        <v>8</v>
      </c>
      <c r="F12" s="5">
        <v>1</v>
      </c>
      <c r="G12" s="7">
        <v>600</v>
      </c>
      <c r="H12" s="7">
        <f t="shared" si="0"/>
        <v>600</v>
      </c>
      <c r="I12" s="17"/>
      <c r="J12" s="12"/>
    </row>
    <row r="13" spans="1:10" s="6" customFormat="1" ht="24" customHeight="1">
      <c r="A13" s="20">
        <v>9</v>
      </c>
      <c r="B13" s="20">
        <v>2552</v>
      </c>
      <c r="C13" s="14" t="s">
        <v>19</v>
      </c>
      <c r="D13" s="14" t="s">
        <v>32</v>
      </c>
      <c r="E13" s="4" t="s">
        <v>7</v>
      </c>
      <c r="F13" s="5">
        <v>1</v>
      </c>
      <c r="G13" s="7">
        <v>3000</v>
      </c>
      <c r="H13" s="7">
        <f t="shared" si="0"/>
        <v>3000</v>
      </c>
      <c r="I13" s="17"/>
      <c r="J13" s="12"/>
    </row>
    <row r="14" spans="1:10" s="6" customFormat="1" ht="24" customHeight="1">
      <c r="A14" s="20">
        <v>10</v>
      </c>
      <c r="B14" s="20">
        <v>2553</v>
      </c>
      <c r="C14" s="14" t="s">
        <v>20</v>
      </c>
      <c r="D14" s="14" t="s">
        <v>33</v>
      </c>
      <c r="E14" s="4" t="s">
        <v>7</v>
      </c>
      <c r="F14" s="5">
        <v>1</v>
      </c>
      <c r="G14" s="7">
        <v>18000</v>
      </c>
      <c r="H14" s="7">
        <f t="shared" si="0"/>
        <v>18000</v>
      </c>
      <c r="I14" s="17"/>
      <c r="J14" s="12"/>
    </row>
    <row r="15" spans="1:10" s="6" customFormat="1" ht="24" customHeight="1">
      <c r="A15" s="20">
        <v>11</v>
      </c>
      <c r="B15" s="20">
        <v>2553</v>
      </c>
      <c r="C15" s="14" t="s">
        <v>51</v>
      </c>
      <c r="D15" s="14" t="s">
        <v>4</v>
      </c>
      <c r="E15" s="4" t="s">
        <v>7</v>
      </c>
      <c r="F15" s="5">
        <v>1</v>
      </c>
      <c r="G15" s="7">
        <v>3450</v>
      </c>
      <c r="H15" s="7">
        <f t="shared" si="0"/>
        <v>3450</v>
      </c>
      <c r="I15" s="17"/>
      <c r="J15" s="12"/>
    </row>
    <row r="16" spans="1:10" s="6" customFormat="1" ht="24" customHeight="1">
      <c r="A16" s="20">
        <v>12</v>
      </c>
      <c r="B16" s="20">
        <v>2553</v>
      </c>
      <c r="C16" s="14" t="s">
        <v>50</v>
      </c>
      <c r="D16" s="14" t="s">
        <v>10</v>
      </c>
      <c r="E16" s="4" t="s">
        <v>7</v>
      </c>
      <c r="F16" s="5">
        <v>1</v>
      </c>
      <c r="G16" s="7">
        <v>3750</v>
      </c>
      <c r="H16" s="7">
        <f t="shared" si="0"/>
        <v>3750</v>
      </c>
      <c r="I16" s="17"/>
      <c r="J16" s="12"/>
    </row>
    <row r="17" spans="1:10" s="6" customFormat="1" ht="24" customHeight="1">
      <c r="A17" s="20">
        <v>13</v>
      </c>
      <c r="B17" s="20">
        <v>2553</v>
      </c>
      <c r="C17" s="14" t="s">
        <v>21</v>
      </c>
      <c r="D17" s="14" t="s">
        <v>34</v>
      </c>
      <c r="E17" s="4" t="s">
        <v>7</v>
      </c>
      <c r="F17" s="5">
        <v>1</v>
      </c>
      <c r="G17" s="7">
        <v>1150</v>
      </c>
      <c r="H17" s="7">
        <f t="shared" si="0"/>
        <v>1150</v>
      </c>
      <c r="I17" s="17"/>
      <c r="J17" s="12"/>
    </row>
    <row r="18" spans="1:10" s="6" customFormat="1" ht="24" customHeight="1">
      <c r="A18" s="20">
        <v>14</v>
      </c>
      <c r="B18" s="20">
        <v>2553</v>
      </c>
      <c r="C18" s="8" t="s">
        <v>22</v>
      </c>
      <c r="D18" s="8" t="s">
        <v>9</v>
      </c>
      <c r="E18" s="4" t="s">
        <v>7</v>
      </c>
      <c r="F18" s="5">
        <v>1</v>
      </c>
      <c r="G18" s="7">
        <v>2590</v>
      </c>
      <c r="H18" s="7">
        <f t="shared" si="0"/>
        <v>2590</v>
      </c>
      <c r="I18" s="17"/>
      <c r="J18" s="12"/>
    </row>
    <row r="19" spans="1:10" s="6" customFormat="1" ht="24" customHeight="1">
      <c r="A19" s="20">
        <v>15</v>
      </c>
      <c r="B19" s="20">
        <v>2556</v>
      </c>
      <c r="C19" s="19" t="s">
        <v>23</v>
      </c>
      <c r="D19" s="19" t="s">
        <v>35</v>
      </c>
      <c r="E19" s="4" t="s">
        <v>39</v>
      </c>
      <c r="F19" s="5">
        <v>2</v>
      </c>
      <c r="G19" s="21">
        <v>22649</v>
      </c>
      <c r="H19" s="7">
        <f t="shared" si="0"/>
        <v>45298</v>
      </c>
      <c r="I19" s="17"/>
      <c r="J19" s="12"/>
    </row>
    <row r="20" spans="1:10" s="6" customFormat="1" ht="24" customHeight="1">
      <c r="A20" s="20">
        <v>16</v>
      </c>
      <c r="B20" s="20">
        <v>2556</v>
      </c>
      <c r="C20" s="8" t="s">
        <v>24</v>
      </c>
      <c r="D20" s="8" t="s">
        <v>36</v>
      </c>
      <c r="E20" s="4" t="s">
        <v>39</v>
      </c>
      <c r="F20" s="5">
        <v>2</v>
      </c>
      <c r="G20" s="7">
        <v>7337</v>
      </c>
      <c r="H20" s="7">
        <f t="shared" si="0"/>
        <v>14674</v>
      </c>
      <c r="I20" s="17"/>
      <c r="J20" s="12"/>
    </row>
    <row r="21" spans="1:10" s="6" customFormat="1" ht="24" customHeight="1">
      <c r="A21" s="20">
        <v>17</v>
      </c>
      <c r="B21" s="20">
        <v>2556</v>
      </c>
      <c r="C21" s="14" t="s">
        <v>25</v>
      </c>
      <c r="D21" s="14" t="s">
        <v>37</v>
      </c>
      <c r="E21" s="4" t="s">
        <v>39</v>
      </c>
      <c r="F21" s="5">
        <v>2</v>
      </c>
      <c r="G21" s="7">
        <v>3300</v>
      </c>
      <c r="H21" s="7">
        <f t="shared" si="0"/>
        <v>6600</v>
      </c>
      <c r="I21" s="17"/>
      <c r="J21" s="12"/>
    </row>
    <row r="22" spans="1:10" s="6" customFormat="1" ht="24" customHeight="1">
      <c r="A22" s="20">
        <v>18</v>
      </c>
      <c r="B22" s="15" t="s">
        <v>44</v>
      </c>
      <c r="C22" s="14" t="s">
        <v>26</v>
      </c>
      <c r="D22" s="14" t="s">
        <v>38</v>
      </c>
      <c r="E22" s="4" t="s">
        <v>39</v>
      </c>
      <c r="F22" s="5">
        <v>2</v>
      </c>
      <c r="G22" s="7">
        <v>25000</v>
      </c>
      <c r="H22" s="7">
        <f t="shared" si="0"/>
        <v>50000</v>
      </c>
      <c r="I22" s="17"/>
      <c r="J22" s="12"/>
    </row>
    <row r="23" spans="1:10" s="6" customFormat="1" ht="24" customHeight="1">
      <c r="A23" s="20">
        <v>19</v>
      </c>
      <c r="B23" s="15" t="s">
        <v>45</v>
      </c>
      <c r="C23" s="14" t="s">
        <v>46</v>
      </c>
      <c r="D23" s="14" t="s">
        <v>43</v>
      </c>
      <c r="E23" s="4" t="s">
        <v>8</v>
      </c>
      <c r="F23" s="5">
        <v>4</v>
      </c>
      <c r="G23" s="7">
        <v>4500</v>
      </c>
      <c r="H23" s="7">
        <f t="shared" si="0"/>
        <v>18000</v>
      </c>
      <c r="I23" s="17"/>
      <c r="J23" s="12"/>
    </row>
    <row r="24" spans="1:10" s="6" customFormat="1" ht="24" customHeight="1">
      <c r="A24" s="20">
        <v>20</v>
      </c>
      <c r="B24" s="15" t="s">
        <v>45</v>
      </c>
      <c r="C24" s="14" t="s">
        <v>47</v>
      </c>
      <c r="D24" s="14" t="s">
        <v>48</v>
      </c>
      <c r="E24" s="4" t="s">
        <v>8</v>
      </c>
      <c r="F24" s="5">
        <v>1</v>
      </c>
      <c r="G24" s="7">
        <v>4900</v>
      </c>
      <c r="H24" s="7">
        <f t="shared" ref="H24:H27" si="1">SUM(F24*G24)</f>
        <v>4900</v>
      </c>
      <c r="I24" s="20"/>
      <c r="J24" s="12"/>
    </row>
    <row r="25" spans="1:10" s="6" customFormat="1" ht="24" customHeight="1">
      <c r="A25" s="20">
        <v>21</v>
      </c>
      <c r="B25" s="15" t="s">
        <v>60</v>
      </c>
      <c r="C25" s="14" t="s">
        <v>63</v>
      </c>
      <c r="D25" s="14" t="s">
        <v>66</v>
      </c>
      <c r="E25" s="4" t="s">
        <v>8</v>
      </c>
      <c r="F25" s="5">
        <v>1</v>
      </c>
      <c r="G25" s="7">
        <v>17000</v>
      </c>
      <c r="H25" s="7">
        <f t="shared" si="1"/>
        <v>17000</v>
      </c>
      <c r="I25" s="20"/>
      <c r="J25" s="12"/>
    </row>
    <row r="26" spans="1:10" s="6" customFormat="1" ht="24" customHeight="1">
      <c r="A26" s="20">
        <v>22</v>
      </c>
      <c r="B26" s="15" t="s">
        <v>61</v>
      </c>
      <c r="C26" s="14" t="s">
        <v>64</v>
      </c>
      <c r="D26" s="14" t="s">
        <v>67</v>
      </c>
      <c r="E26" s="4" t="s">
        <v>8</v>
      </c>
      <c r="F26" s="5">
        <v>1</v>
      </c>
      <c r="G26" s="7">
        <v>9095</v>
      </c>
      <c r="H26" s="7">
        <f t="shared" si="1"/>
        <v>9095</v>
      </c>
      <c r="I26" s="20"/>
      <c r="J26" s="12"/>
    </row>
    <row r="27" spans="1:10" s="6" customFormat="1" ht="24" customHeight="1">
      <c r="A27" s="20">
        <v>23</v>
      </c>
      <c r="B27" s="15" t="s">
        <v>62</v>
      </c>
      <c r="C27" s="14" t="s">
        <v>65</v>
      </c>
      <c r="D27" s="14" t="s">
        <v>68</v>
      </c>
      <c r="E27" s="4" t="s">
        <v>8</v>
      </c>
      <c r="F27" s="5">
        <v>1</v>
      </c>
      <c r="G27" s="7">
        <v>2690</v>
      </c>
      <c r="H27" s="7">
        <f t="shared" si="1"/>
        <v>2690</v>
      </c>
      <c r="I27" s="17"/>
      <c r="J27" s="12"/>
    </row>
    <row r="28" spans="1:10" ht="24" customHeight="1">
      <c r="A28" s="27" t="s">
        <v>42</v>
      </c>
      <c r="B28" s="28"/>
      <c r="C28" s="28"/>
      <c r="D28" s="28"/>
      <c r="E28" s="29"/>
      <c r="F28" s="9"/>
      <c r="G28" s="10"/>
      <c r="H28" s="10">
        <f>SUM(H5:H27)</f>
        <v>240882.3</v>
      </c>
      <c r="I28" s="3"/>
      <c r="J28" s="12"/>
    </row>
    <row r="29" spans="1:10" ht="24" customHeight="1">
      <c r="A29" s="23"/>
      <c r="B29" s="23"/>
      <c r="C29" s="23"/>
      <c r="D29" s="23"/>
      <c r="E29" s="23"/>
      <c r="F29" s="30"/>
      <c r="G29" s="30"/>
      <c r="H29" s="30"/>
      <c r="I29" s="12"/>
      <c r="J29" s="12"/>
    </row>
    <row r="31" spans="1:10" ht="24" customHeight="1">
      <c r="F31" s="24" t="s">
        <v>40</v>
      </c>
      <c r="G31" s="24"/>
      <c r="H31" s="24"/>
      <c r="I31" s="24"/>
      <c r="J31" s="18"/>
    </row>
    <row r="32" spans="1:10" ht="24" customHeight="1">
      <c r="F32" s="24" t="s">
        <v>49</v>
      </c>
      <c r="G32" s="24"/>
      <c r="H32" s="24"/>
      <c r="I32" s="24"/>
      <c r="J32" s="18"/>
    </row>
    <row r="33" spans="6:10" ht="24" customHeight="1">
      <c r="F33" s="24" t="s">
        <v>41</v>
      </c>
      <c r="G33" s="24"/>
      <c r="H33" s="24"/>
      <c r="I33" s="24"/>
      <c r="J33" s="18"/>
    </row>
  </sheetData>
  <mergeCells count="7">
    <mergeCell ref="F32:I32"/>
    <mergeCell ref="F33:I33"/>
    <mergeCell ref="A1:I1"/>
    <mergeCell ref="A2:I2"/>
    <mergeCell ref="A3:I3"/>
    <mergeCell ref="A28:E28"/>
    <mergeCell ref="F31:I31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งานบุคลากร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2022-04-28T08:44:13Z</cp:lastPrinted>
  <dcterms:created xsi:type="dcterms:W3CDTF">2017-11-14T01:32:33Z</dcterms:created>
  <dcterms:modified xsi:type="dcterms:W3CDTF">2022-04-28T08:44:21Z</dcterms:modified>
</cp:coreProperties>
</file>