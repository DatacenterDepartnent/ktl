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0E3FB345-2A00-4BD0-A7A0-7D727E7AFEF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ยนต์" sheetId="4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3" i="45" l="1"/>
  <c r="K134" i="45"/>
  <c r="K135" i="45"/>
  <c r="K136" i="45"/>
  <c r="K132" i="45"/>
  <c r="K131" i="45"/>
  <c r="K106" i="45"/>
  <c r="K102" i="45"/>
  <c r="K103" i="45"/>
  <c r="K104" i="45"/>
  <c r="K105" i="45"/>
  <c r="K101" i="45"/>
  <c r="K100" i="45"/>
  <c r="K85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70" i="45"/>
  <c r="K69" i="45"/>
  <c r="K54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39" i="45"/>
  <c r="K38" i="45"/>
  <c r="K22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7" i="45"/>
  <c r="K137" i="45" l="1"/>
</calcChain>
</file>

<file path=xl/sharedStrings.xml><?xml version="1.0" encoding="utf-8"?>
<sst xmlns="http://schemas.openxmlformats.org/spreadsheetml/2006/main" count="434" uniqueCount="195">
  <si>
    <t>รายการ ขนาด ลักษณะ</t>
  </si>
  <si>
    <t>จำนวน</t>
  </si>
  <si>
    <t>งปม.</t>
  </si>
  <si>
    <t>บกศ.</t>
  </si>
  <si>
    <t>ปกอ.</t>
  </si>
  <si>
    <t>ชุดเครื่องคอมพิวเตอร์</t>
  </si>
  <si>
    <t xml:space="preserve"> สถานศึกษา วิทยาลัยเทคนิคกันทรลักษ์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</si>
  <si>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</si>
  <si>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</si>
  <si>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</si>
  <si>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</si>
  <si>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</si>
  <si>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</si>
  <si>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</si>
  <si>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</si>
  <si>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</si>
  <si>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</si>
  <si>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</si>
  <si>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</si>
  <si>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</si>
  <si>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</si>
  <si>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</si>
  <si>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</si>
  <si>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</si>
  <si>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</si>
  <si>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</si>
  <si>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</si>
  <si>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</si>
  <si>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</si>
  <si>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</si>
  <si>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</si>
  <si>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</si>
  <si>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</si>
  <si>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</si>
  <si>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</si>
  <si>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</si>
  <si>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</si>
  <si>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</si>
  <si>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</si>
  <si>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</si>
  <si>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</si>
  <si>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</si>
  <si>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</si>
  <si>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</si>
  <si>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</si>
  <si>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</si>
  <si>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</si>
  <si>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</si>
  <si>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</si>
  <si>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</si>
  <si>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</si>
  <si>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</si>
  <si>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</si>
  <si>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</si>
  <si>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</si>
  <si>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</si>
  <si>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</si>
  <si>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</si>
  <si>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</si>
  <si>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</si>
  <si>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</si>
  <si>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</si>
  <si>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</si>
  <si>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</si>
  <si>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</si>
  <si>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</si>
  <si>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</si>
  <si>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</si>
  <si>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</si>
  <si>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</si>
  <si>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</si>
  <si>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</si>
  <si>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</si>
  <si>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</si>
  <si>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</si>
  <si>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</si>
  <si>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</si>
  <si>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</si>
  <si>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7440-001-0001/462-002</t>
  </si>
  <si>
    <t>4910-033-0001/461-001</t>
  </si>
  <si>
    <t>เครื่องสมดุลล้อรถยนต์แบบนอกรถ</t>
  </si>
  <si>
    <t>6910-001-0008/461-001</t>
  </si>
  <si>
    <t>ชุดฝึกจักรยานยนต์ 4 จังหวะ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</si>
  <si>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</si>
  <si>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</si>
  <si>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</si>
  <si>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</si>
  <si>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</si>
  <si>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</si>
  <si>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4140-001-0003/482-013-018</t>
  </si>
  <si>
    <t>พัดลมโคจร 16  นิ้ว</t>
  </si>
  <si>
    <t>2815-001-0004/493-001</t>
  </si>
  <si>
    <t>เครื่องยนต์ TOYOTA 2 L</t>
  </si>
  <si>
    <t>3940-005-0001/521-001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</si>
  <si>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</si>
  <si>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</si>
  <si>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</si>
  <si>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</si>
  <si>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</si>
  <si>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</si>
  <si>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</si>
  <si>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</si>
  <si>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</si>
  <si>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</si>
  <si>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เครื่องมือถอดประกอบชุดระบบส่งกำลัง และเครื่องล่างรถยนต์</t>
  </si>
  <si>
    <t>ลำดับ
ที่</t>
  </si>
  <si>
    <t>เป็นเงิน</t>
  </si>
  <si>
    <t>2539</t>
  </si>
  <si>
    <t>2540</t>
  </si>
  <si>
    <t>2546</t>
  </si>
  <si>
    <t>2552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</si>
  <si>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</si>
  <si>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</si>
  <si>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</si>
  <si>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</si>
  <si>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</si>
  <si>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</si>
  <si>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บัญชีรายการ ครุภัณฑ์ ชำรุด เสื่อมคุณภาพ ไม่ใช้ราชการ ของสถานศึกษา</t>
  </si>
  <si>
    <t>กระบอกปั้มไม่มีกำลัง</t>
  </si>
  <si>
    <t>อุปกรณ์ไม่สมบูรณ์</t>
  </si>
  <si>
    <t>อัดจาระบีไม่ได้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</si>
  <si>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</si>
  <si>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</si>
  <si>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</si>
  <si>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</si>
  <si>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</si>
  <si>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</si>
  <si>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</si>
  <si>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มอเตอร์ชำรุด</t>
  </si>
  <si>
    <t xml:space="preserve"> -</t>
  </si>
  <si>
    <t>..............................................................</t>
  </si>
  <si>
    <t>(นายวัฒนา  ทองเทพ)</t>
  </si>
  <si>
    <t>หัวหน้าหน่วยเบิกจ่าย/หน่วยเบิก</t>
  </si>
  <si>
    <t>ยอดยกไป</t>
  </si>
  <si>
    <t>ยอกยกมา</t>
  </si>
  <si>
    <t>ยอดยกมา</t>
  </si>
  <si>
    <t>4910-016-0001/391-003</t>
  </si>
  <si>
    <t>ระบบไฮดรอลิกค์ชำรุด</t>
  </si>
  <si>
    <t>3470-002-0002/461-001</t>
  </si>
  <si>
    <t>ชุดเชื่อมแก๊สพร้อมอุปกรณ์เคลื่อนที่</t>
  </si>
  <si>
    <t>หัวเชื่อมและสายแก๊สชำรุด</t>
  </si>
  <si>
    <t>2553</t>
  </si>
  <si>
    <t>7440-001-0001/531-101-102</t>
  </si>
  <si>
    <t>เครื่องคอมพิวเตอร์พร้อมโต๊ะ</t>
  </si>
  <si>
    <t>เมนบร์อดชำรุด</t>
  </si>
  <si>
    <t>6730-001-0003/531-005</t>
  </si>
  <si>
    <t>เครื่องฉายมัลติมีเดียโปรเจกเตอร์</t>
  </si>
  <si>
    <t>หลอดภาพชำรุด</t>
  </si>
  <si>
    <t>7430-008-0002/531-029</t>
  </si>
  <si>
    <t>เครื่องปริ้นเตอร์</t>
  </si>
  <si>
    <t>หัวพิมพ์ชำรุด</t>
  </si>
  <si>
    <t>ยอยกไป</t>
  </si>
  <si>
    <t>เครื่องทดสอบหัวฉีดชำรุด</t>
  </si>
  <si>
    <t>แกนวัดลดเลื่อนปรับระดับไม่ได้</t>
  </si>
  <si>
    <t>ชุดประแจแตกหัก</t>
  </si>
  <si>
    <t>เพลาลูกเบี้ยวหัก สายพานขาด</t>
  </si>
  <si>
    <t>เครื่องมือถอดลูกปืนแตก</t>
  </si>
  <si>
    <t>บอร์ดยึดแตกหัก อุปกรณ์ไฟฟ้าเสื่อมสภาพ</t>
  </si>
  <si>
    <t>ชุดปีกนกและระบบเบรชำรุด</t>
  </si>
  <si>
    <t>ตู้เครื่องชำรุด ชุดประแจแตกหัก</t>
  </si>
  <si>
    <t>ฐานยึดเสียรูปร่าง</t>
  </si>
  <si>
    <t>แท่นขาตั้งแตก</t>
  </si>
  <si>
    <t>หลอดทดสอบแตก ปั๊มแรงดันไม่ทำงาน</t>
  </si>
  <si>
    <t>แผ่นกดชำรุด หัก</t>
  </si>
  <si>
    <t>แตกหัก</t>
  </si>
  <si>
    <t>ชุดเฟืองเกียร์แตกหัก</t>
  </si>
  <si>
    <t>แผงยึกแตกหัก</t>
  </si>
  <si>
    <t>มอเตอร์แตก</t>
  </si>
  <si>
    <t>ชุดเพลา เฟืองวงแหวนแตก</t>
  </si>
  <si>
    <t>ชุดมอเตอร์ขดลวดไหม้</t>
  </si>
  <si>
    <t>ชุดแวคกัมเบรกแตก</t>
  </si>
  <si>
    <t>กระบอกเบรคแตก</t>
  </si>
  <si>
    <t>กระปุกพวงมาลัยแตกหัก</t>
  </si>
  <si>
    <t>กระบอกปั๊มไม่มีกำลัง</t>
  </si>
  <si>
    <t>ชุดเครื่องมือวัดเสื่อมสภาพ</t>
  </si>
  <si>
    <t>ขดลวดสนามแม่เหล็กไหม้</t>
  </si>
  <si>
    <t>ขดลวดทดสอบไหม้</t>
  </si>
  <si>
    <t>เพลาเบี้ยว ฝาสูบร้าว</t>
  </si>
  <si>
    <t>ชุดไฟและระบบเกียร์ใช้งานไม่ได้</t>
  </si>
  <si>
    <t>เสื้อสูบแตก</t>
  </si>
  <si>
    <t>แก๊สหมด ระบบค้นหาไม่ทำงาน</t>
  </si>
  <si>
    <t>แผงคอล์ยร้อนรั่ว คอมเพรสเซอร์ไม่มีกำลังอัด</t>
  </si>
  <si>
    <t>ถังพ่นสีพ่นไม่ได้</t>
  </si>
  <si>
    <t>ไฟไม่เข้า</t>
  </si>
  <si>
    <t>ชุดอุปกรณ์คอมพิวเตอร์ไฟฟ้าลัดวงจร</t>
  </si>
  <si>
    <t>ชุดเสื้อสูบร้าวเกิดรอยในกระบอกสูบ</t>
  </si>
  <si>
    <t>ขดลวดไหม้</t>
  </si>
  <si>
    <t>มอเตอร์ใหม้</t>
  </si>
  <si>
    <t>เพลาคด</t>
  </si>
  <si>
    <t>ชุดปั๊มแรงดันลูกปั๊มไม่ทำงาน</t>
  </si>
  <si>
    <t>ชุดกรองเสื่อมสภาพและชุดระบบคอนโทรนชำรุด</t>
  </si>
  <si>
    <t>คอมเพรสเซอร์ไม่ทำงานไฟไม่เข้า</t>
  </si>
  <si>
    <t>เอกสารหมายเลข.........................</t>
  </si>
  <si>
    <t>ประจำปี 2565 สิ้นงวดเมื่อวันที่ 30 กันยายน 2565 ของแผนกวิชาช่างยนต์</t>
  </si>
  <si>
    <t>ประจำปี 2565 สิ้นงวดเมื่อวันที่ 30 กันยายน 2565 ของแผนกช่างยนต์ สาขางานเครื่องกลอุตสาหกรรม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</si>
</sst>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1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43" fontId="3" fillId="2" borderId="1" xfId="1" applyFont="1" applyFill="1" applyBorder="1"/>
    <xf numFmtId="43" fontId="3" fillId="0" borderId="1" xfId="1" applyFont="1" applyBorder="1" applyAlignment="1">
      <alignment horizontal="right"/>
    </xf>
    <xf numFmtId="15" fontId="4" fillId="2" borderId="1" xfId="0" applyNumberFormat="1" applyFont="1" applyFill="1" applyBorder="1" applyAlignment="1">
      <alignment horizontal="center"/>
    </xf>
    <xf numFmtId="0" fontId="3" fillId="2" borderId="1" xfId="6" applyFont="1" applyFill="1" applyBorder="1"/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3" fillId="0" borderId="1" xfId="6" applyFont="1" applyFill="1" applyBorder="1"/>
    <xf numFmtId="0" fontId="3" fillId="2" borderId="1" xfId="6" applyFont="1" applyFill="1" applyBorder="1" applyAlignment="1">
      <alignment horizontal="center"/>
    </xf>
    <xf numFmtId="0" fontId="3" fillId="2" borderId="1" xfId="6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2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3" fillId="0" borderId="6" xfId="2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2" xfId="7" applyNumberFormat="1" applyFont="1" applyBorder="1" applyAlignment="1">
      <alignment horizontal="center"/>
    </xf>
    <xf numFmtId="0" fontId="3" fillId="0" borderId="2" xfId="6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2" xfId="6" applyFont="1" applyBorder="1" applyAlignment="1">
      <alignment horizontal="center"/>
    </xf>
    <xf numFmtId="43" fontId="3" fillId="0" borderId="2" xfId="1" applyFont="1" applyBorder="1"/>
    <xf numFmtId="0" fontId="3" fillId="0" borderId="0" xfId="0" applyFont="1" applyBorder="1" applyAlignment="1">
      <alignment horizontal="center"/>
    </xf>
    <xf numFmtId="49" fontId="3" fillId="0" borderId="0" xfId="7" applyNumberFormat="1" applyFont="1" applyBorder="1" applyAlignment="1">
      <alignment horizontal="center"/>
    </xf>
    <xf numFmtId="43" fontId="3" fillId="0" borderId="0" xfId="1" applyFont="1" applyBorder="1"/>
    <xf numFmtId="0" fontId="3" fillId="0" borderId="6" xfId="0" applyFont="1" applyBorder="1" applyAlignment="1">
      <alignment horizontal="center"/>
    </xf>
    <xf numFmtId="49" fontId="3" fillId="0" borderId="6" xfId="7" applyNumberFormat="1" applyFont="1" applyBorder="1" applyAlignment="1">
      <alignment horizontal="center"/>
    </xf>
    <xf numFmtId="0" fontId="3" fillId="0" borderId="6" xfId="6" applyFont="1" applyBorder="1" applyAlignment="1">
      <alignment horizontal="left"/>
    </xf>
    <xf numFmtId="0" fontId="3" fillId="0" borderId="6" xfId="6" applyFont="1" applyBorder="1" applyAlignment="1">
      <alignment horizontal="center"/>
    </xf>
    <xf numFmtId="0" fontId="3" fillId="0" borderId="0" xfId="6" applyFont="1" applyBorder="1" applyAlignment="1">
      <alignment horizontal="left"/>
    </xf>
    <xf numFmtId="0" fontId="3" fillId="0" borderId="0" xfId="6" applyFont="1" applyBorder="1" applyAlignment="1"/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3" fillId="0" borderId="0" xfId="6" applyFont="1" applyBorder="1"/>
    <xf numFmtId="0" fontId="3" fillId="0" borderId="6" xfId="6" applyFont="1" applyBorder="1"/>
    <xf numFmtId="0" fontId="3" fillId="0" borderId="0" xfId="6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4" fillId="0" borderId="6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3" fontId="3" fillId="0" borderId="0" xfId="1" applyFont="1" applyBorder="1" applyAlignment="1">
      <alignment horizontal="right"/>
    </xf>
    <xf numFmtId="43" fontId="3" fillId="0" borderId="0" xfId="12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3" fontId="3" fillId="0" borderId="6" xfId="12" applyNumberFormat="1" applyFont="1" applyBorder="1" applyAlignment="1">
      <alignment horizontal="center"/>
    </xf>
    <xf numFmtId="0" fontId="6" fillId="0" borderId="6" xfId="0" applyFont="1" applyBorder="1" applyAlignment="1"/>
    <xf numFmtId="49" fontId="3" fillId="0" borderId="5" xfId="6" applyNumberFormat="1" applyFont="1" applyBorder="1" applyAlignment="1">
      <alignment horizontal="left" vertical="center"/>
    </xf>
    <xf numFmtId="49" fontId="3" fillId="0" borderId="10" xfId="6" applyNumberFormat="1" applyFont="1" applyBorder="1" applyAlignment="1">
      <alignment horizontal="left" vertical="center"/>
    </xf>
    <xf numFmtId="0" fontId="3" fillId="0" borderId="10" xfId="6" applyNumberFormat="1" applyFont="1" applyBorder="1" applyAlignment="1">
      <alignment horizontal="center" vertical="center"/>
    </xf>
    <xf numFmtId="43" fontId="3" fillId="0" borderId="5" xfId="1" applyFont="1" applyBorder="1" applyAlignment="1">
      <alignment horizontal="center"/>
    </xf>
    <xf numFmtId="43" fontId="3" fillId="0" borderId="1" xfId="1" applyFont="1" applyFill="1" applyBorder="1"/>
    <xf numFmtId="0" fontId="3" fillId="0" borderId="1" xfId="8" applyFont="1" applyBorder="1" applyAlignment="1">
      <alignment horizontal="left"/>
    </xf>
    <xf numFmtId="49" fontId="3" fillId="0" borderId="1" xfId="6" applyNumberFormat="1" applyFont="1" applyBorder="1" applyAlignment="1">
      <alignment horizontal="left" vertical="center"/>
    </xf>
    <xf numFmtId="0" fontId="3" fillId="0" borderId="1" xfId="8" applyFont="1" applyBorder="1" applyAlignment="1">
      <alignment horizontal="center"/>
    </xf>
    <xf numFmtId="0" fontId="3" fillId="0" borderId="2" xfId="8" applyFont="1" applyBorder="1" applyAlignment="1">
      <alignment horizontal="left"/>
    </xf>
    <xf numFmtId="49" fontId="3" fillId="0" borderId="2" xfId="6" applyNumberFormat="1" applyFont="1" applyBorder="1" applyAlignment="1">
      <alignment horizontal="left" vertical="center"/>
    </xf>
    <xf numFmtId="0" fontId="3" fillId="0" borderId="0" xfId="6" applyNumberFormat="1" applyFont="1" applyBorder="1" applyAlignment="1">
      <alignment horizontal="center" vertical="center"/>
    </xf>
    <xf numFmtId="0" fontId="3" fillId="0" borderId="2" xfId="8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43" fontId="3" fillId="0" borderId="1" xfId="12" applyNumberFormat="1" applyFont="1" applyBorder="1" applyAlignment="1"/>
    <xf numFmtId="43" fontId="3" fillId="0" borderId="2" xfId="12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3" fillId="0" borderId="0" xfId="6" applyFont="1" applyBorder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1733549</xdr:colOff>
      <xdr:row>107</xdr:row>
      <xdr:rowOff>123826</xdr:rowOff>
    </xdr:from>
    <xdr:to>
      <xdr:col>11</xdr:col>
      <xdr:colOff>2071688</xdr:colOff>
      <xdr:row>112</xdr:row>
      <xdr:rowOff>133354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575380" y="35706845"/>
          <a:ext cx="1533528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12</xdr:col>
      <xdr:colOff>723899</xdr:colOff>
      <xdr:row>22</xdr:row>
      <xdr:rowOff>190500</xdr:rowOff>
    </xdr:from>
    <xdr:to>
      <xdr:col>12</xdr:col>
      <xdr:colOff>1062038</xdr:colOff>
      <xdr:row>27</xdr:row>
      <xdr:rowOff>228600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779919" y="6669880"/>
          <a:ext cx="1733550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1638299</xdr:colOff>
      <xdr:row>23</xdr:row>
      <xdr:rowOff>152400</xdr:rowOff>
    </xdr:from>
    <xdr:to>
      <xdr:col>11</xdr:col>
      <xdr:colOff>1976437</xdr:colOff>
      <xdr:row>28</xdr:row>
      <xdr:rowOff>66676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2527755" y="8293894"/>
          <a:ext cx="1438276" cy="3381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1666875</xdr:colOff>
      <xdr:row>55</xdr:row>
      <xdr:rowOff>95250</xdr:rowOff>
    </xdr:from>
    <xdr:to>
      <xdr:col>11</xdr:col>
      <xdr:colOff>2005014</xdr:colOff>
      <xdr:row>60</xdr:row>
      <xdr:rowOff>71385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5400000">
          <a:off x="12087252" y="18621348"/>
          <a:ext cx="1500135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1814020</xdr:colOff>
      <xdr:row>86</xdr:row>
      <xdr:rowOff>107185</xdr:rowOff>
    </xdr:from>
    <xdr:to>
      <xdr:col>11</xdr:col>
      <xdr:colOff>2152159</xdr:colOff>
      <xdr:row>91</xdr:row>
      <xdr:rowOff>127112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5400000">
          <a:off x="12650651" y="28704054"/>
          <a:ext cx="1543927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1587500</xdr:colOff>
      <xdr:row>138</xdr:row>
      <xdr:rowOff>124883</xdr:rowOff>
    </xdr:from>
    <xdr:to>
      <xdr:col>11</xdr:col>
      <xdr:colOff>1925639</xdr:colOff>
      <xdr:row>143</xdr:row>
      <xdr:rowOff>134412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5400000">
          <a:off x="12429330" y="45156703"/>
          <a:ext cx="1533529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M145"/>
  <sheetViews>
    <sheetView tabSelected="1" zoomScaleNormal="100" workbookViewId="0">
      <selection activeCell="M8" sqref="M8"/>
    </sheetView>
  </sheetViews>
  <sheetFormatPr defaultColWidth="9" defaultRowHeight="24" customHeight="1"/>
  <cols>
    <col min="1" max="1" width="5.42578125" style="2" customWidth="1"/>
    <col min="2" max="2" width="11.42578125" style="27" customWidth="1"/>
    <col min="3" max="3" width="36.42578125" style="26" customWidth="1"/>
    <col min="4" max="4" width="51.140625" style="2" customWidth="1"/>
    <col min="5" max="5" width="8.140625" style="2" customWidth="1"/>
    <col min="6" max="6" width="8.85546875" style="2" customWidth="1"/>
    <col min="7" max="7" width="6.140625" style="2" customWidth="1"/>
    <col min="8" max="8" width="7.7109375" style="2" customWidth="1"/>
    <col min="9" max="9" width="8.28515625" style="2" customWidth="1"/>
    <col min="10" max="10" width="13.28515625" style="2" customWidth="1"/>
    <col min="11" max="11" width="14.7109375" style="2" customWidth="1"/>
    <col min="12" max="12" width="35.7109375" style="27" customWidth="1"/>
    <col min="13" max="16384" width="9" style="2"/>
  </cols>
  <sheetData>
    <row r="1" spans="1:12" ht="24" customHeight="1">
      <c r="L1" s="27" t="s">
        <v>192</v>
      </c>
    </row>
    <row r="2" spans="1:12" ht="24" customHeight="1">
      <c r="A2" s="107" t="s">
        <v>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24" customHeight="1">
      <c r="A3" s="96" t="s">
        <v>117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ht="24" customHeight="1">
      <c r="A4" s="97" t="s">
        <v>193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24" customHeight="1">
      <c r="A5" s="98" t="s">
        <v>105</v>
      </c>
      <c r="B5" s="98" t="s">
        <v>124</v>
      </c>
      <c r="C5" s="98" t="s">
        <v>126</v>
      </c>
      <c r="D5" s="101" t="s">
        <v>0</v>
      </c>
      <c r="E5" s="98" t="s">
        <v>111</v>
      </c>
      <c r="F5" s="98" t="s">
        <v>112</v>
      </c>
      <c r="G5" s="103" t="s">
        <v>113</v>
      </c>
      <c r="H5" s="105" t="s">
        <v>1</v>
      </c>
      <c r="I5" s="106"/>
      <c r="J5" s="98" t="s">
        <v>127</v>
      </c>
      <c r="K5" s="98" t="s">
        <v>106</v>
      </c>
      <c r="L5" s="98" t="s">
        <v>114</v>
      </c>
    </row>
    <row r="6" spans="1:12" ht="69.75" customHeight="1">
      <c r="A6" s="99"/>
      <c r="B6" s="99"/>
      <c r="C6" s="99"/>
      <c r="D6" s="102"/>
      <c r="E6" s="99"/>
      <c r="F6" s="99"/>
      <c r="G6" s="104"/>
      <c r="H6" s="29" t="s">
        <v>115</v>
      </c>
      <c r="I6" s="30" t="s">
        <v>116</v>
      </c>
      <c r="J6" s="99"/>
      <c r="K6" s="99"/>
      <c r="L6" s="99"/>
    </row>
    <row r="7" spans="1:12" ht="24" customHeight="1">
      <c r="A7" s="24">
        <v>1</v>
      </c>
      <c r="B7" s="17" t="s">
        <v>107</v>
      </c>
      <c r="C7" s="3" t="s">
        <v>7</v>
      </c>
      <c r="D7" s="1" t="s">
        <v>8</v>
      </c>
      <c r="E7" s="4" t="s">
        <v>2</v>
      </c>
      <c r="F7" s="4">
        <v>26</v>
      </c>
      <c r="G7" s="4">
        <v>4</v>
      </c>
      <c r="H7" s="5">
        <v>1</v>
      </c>
      <c r="I7" s="5">
        <v>1</v>
      </c>
      <c r="J7" s="7">
        <v>478800</v>
      </c>
      <c r="K7" s="7">
        <f>SUM(I7*J7)</f>
        <v>478800</v>
      </c>
      <c r="L7" s="89" t="s">
        <v>152</v>
      </c>
    </row>
    <row r="8" spans="1:12" ht="24" customHeight="1">
      <c r="A8" s="16">
        <v>2</v>
      </c>
      <c r="B8" s="17" t="s">
        <v>107</v>
      </c>
      <c r="C8" s="3" t="s">
        <v>9</v>
      </c>
      <c r="D8" s="1" t="s">
        <v>101</v>
      </c>
      <c r="E8" s="4" t="s">
        <v>2</v>
      </c>
      <c r="F8" s="4">
        <v>26</v>
      </c>
      <c r="G8" s="4">
        <v>2</v>
      </c>
      <c r="H8" s="5">
        <v>1</v>
      </c>
      <c r="I8" s="5">
        <v>1</v>
      </c>
      <c r="J8" s="7">
        <v>30000</v>
      </c>
      <c r="K8" s="7">
        <f t="shared" ref="K8:K21" si="0">SUM(I8*J8)</f>
        <v>30000</v>
      </c>
      <c r="L8" s="89" t="s">
        <v>128</v>
      </c>
    </row>
    <row r="9" spans="1:12" ht="24" customHeight="1">
      <c r="A9" s="24">
        <v>3</v>
      </c>
      <c r="B9" s="17" t="s">
        <v>107</v>
      </c>
      <c r="C9" s="3" t="s">
        <v>10</v>
      </c>
      <c r="D9" s="1" t="s">
        <v>11</v>
      </c>
      <c r="E9" s="4" t="s">
        <v>2</v>
      </c>
      <c r="F9" s="4">
        <v>26</v>
      </c>
      <c r="G9" s="4" t="s">
        <v>129</v>
      </c>
      <c r="H9" s="5">
        <v>1</v>
      </c>
      <c r="I9" s="5">
        <v>1</v>
      </c>
      <c r="J9" s="7">
        <v>158800</v>
      </c>
      <c r="K9" s="7">
        <f t="shared" si="0"/>
        <v>158800</v>
      </c>
      <c r="L9" s="89" t="s">
        <v>153</v>
      </c>
    </row>
    <row r="10" spans="1:12" ht="24" customHeight="1">
      <c r="A10" s="16">
        <v>4</v>
      </c>
      <c r="B10" s="17" t="s">
        <v>107</v>
      </c>
      <c r="C10" s="3" t="s">
        <v>12</v>
      </c>
      <c r="D10" s="1" t="s">
        <v>13</v>
      </c>
      <c r="E10" s="4" t="s">
        <v>2</v>
      </c>
      <c r="F10" s="4">
        <v>26</v>
      </c>
      <c r="G10" s="4" t="s">
        <v>129</v>
      </c>
      <c r="H10" s="5">
        <v>1</v>
      </c>
      <c r="I10" s="5">
        <v>1</v>
      </c>
      <c r="J10" s="7">
        <v>498800</v>
      </c>
      <c r="K10" s="7">
        <f t="shared" si="0"/>
        <v>498800</v>
      </c>
      <c r="L10" s="89" t="s">
        <v>154</v>
      </c>
    </row>
    <row r="11" spans="1:12" ht="24" customHeight="1">
      <c r="A11" s="24">
        <v>5</v>
      </c>
      <c r="B11" s="17" t="s">
        <v>107</v>
      </c>
      <c r="C11" s="3" t="s">
        <v>14</v>
      </c>
      <c r="D11" s="1" t="s">
        <v>15</v>
      </c>
      <c r="E11" s="4" t="s">
        <v>2</v>
      </c>
      <c r="F11" s="4">
        <v>26</v>
      </c>
      <c r="G11" s="4">
        <v>3</v>
      </c>
      <c r="H11" s="5">
        <v>2</v>
      </c>
      <c r="I11" s="5">
        <v>2</v>
      </c>
      <c r="J11" s="7">
        <v>18500</v>
      </c>
      <c r="K11" s="7">
        <f t="shared" si="0"/>
        <v>37000</v>
      </c>
      <c r="L11" s="92" t="s">
        <v>118</v>
      </c>
    </row>
    <row r="12" spans="1:12" ht="24" customHeight="1">
      <c r="A12" s="16">
        <v>6</v>
      </c>
      <c r="B12" s="17" t="s">
        <v>107</v>
      </c>
      <c r="C12" s="3" t="s">
        <v>16</v>
      </c>
      <c r="D12" s="3" t="s">
        <v>17</v>
      </c>
      <c r="E12" s="4" t="s">
        <v>2</v>
      </c>
      <c r="F12" s="4">
        <v>26</v>
      </c>
      <c r="G12" s="4" t="s">
        <v>129</v>
      </c>
      <c r="H12" s="5">
        <v>1</v>
      </c>
      <c r="I12" s="5">
        <v>1</v>
      </c>
      <c r="J12" s="7">
        <v>78000</v>
      </c>
      <c r="K12" s="7">
        <f t="shared" si="0"/>
        <v>78000</v>
      </c>
      <c r="L12" s="90" t="s">
        <v>155</v>
      </c>
    </row>
    <row r="13" spans="1:12" ht="24" customHeight="1">
      <c r="A13" s="24">
        <v>7</v>
      </c>
      <c r="B13" s="17" t="s">
        <v>107</v>
      </c>
      <c r="C13" s="3" t="s">
        <v>18</v>
      </c>
      <c r="D13" s="3" t="s">
        <v>19</v>
      </c>
      <c r="E13" s="4" t="s">
        <v>2</v>
      </c>
      <c r="F13" s="4">
        <v>26</v>
      </c>
      <c r="G13" s="4" t="s">
        <v>129</v>
      </c>
      <c r="H13" s="5">
        <v>1</v>
      </c>
      <c r="I13" s="5">
        <v>1</v>
      </c>
      <c r="J13" s="7">
        <v>24000</v>
      </c>
      <c r="K13" s="7">
        <f t="shared" si="0"/>
        <v>24000</v>
      </c>
      <c r="L13" s="90" t="s">
        <v>120</v>
      </c>
    </row>
    <row r="14" spans="1:12" ht="24" customHeight="1">
      <c r="A14" s="16">
        <v>8</v>
      </c>
      <c r="B14" s="15" t="s">
        <v>108</v>
      </c>
      <c r="C14" s="3" t="s">
        <v>20</v>
      </c>
      <c r="D14" s="3" t="s">
        <v>104</v>
      </c>
      <c r="E14" s="4" t="s">
        <v>2</v>
      </c>
      <c r="F14" s="4">
        <v>25</v>
      </c>
      <c r="G14" s="4" t="s">
        <v>129</v>
      </c>
      <c r="H14" s="5">
        <v>1</v>
      </c>
      <c r="I14" s="5">
        <v>1</v>
      </c>
      <c r="J14" s="7">
        <v>178000</v>
      </c>
      <c r="K14" s="7">
        <f t="shared" si="0"/>
        <v>178000</v>
      </c>
      <c r="L14" s="90" t="s">
        <v>156</v>
      </c>
    </row>
    <row r="15" spans="1:12" ht="24" customHeight="1">
      <c r="A15" s="24">
        <v>9</v>
      </c>
      <c r="B15" s="34" t="s">
        <v>108</v>
      </c>
      <c r="C15" s="35" t="s">
        <v>21</v>
      </c>
      <c r="D15" s="35" t="s">
        <v>22</v>
      </c>
      <c r="E15" s="36" t="s">
        <v>2</v>
      </c>
      <c r="F15" s="4">
        <v>25</v>
      </c>
      <c r="G15" s="36">
        <v>5</v>
      </c>
      <c r="H15" s="37">
        <v>2</v>
      </c>
      <c r="I15" s="37">
        <v>2</v>
      </c>
      <c r="J15" s="38">
        <v>46500</v>
      </c>
      <c r="K15" s="7">
        <f t="shared" si="0"/>
        <v>93000</v>
      </c>
      <c r="L15" s="91" t="s">
        <v>157</v>
      </c>
    </row>
    <row r="16" spans="1:12" ht="24" customHeight="1">
      <c r="A16" s="16">
        <v>10</v>
      </c>
      <c r="B16" s="15" t="s">
        <v>108</v>
      </c>
      <c r="C16" s="3" t="s">
        <v>23</v>
      </c>
      <c r="D16" s="3" t="s">
        <v>24</v>
      </c>
      <c r="E16" s="23" t="s">
        <v>2</v>
      </c>
      <c r="F16" s="4">
        <v>25</v>
      </c>
      <c r="G16" s="4" t="s">
        <v>129</v>
      </c>
      <c r="H16" s="5">
        <v>1</v>
      </c>
      <c r="I16" s="5">
        <v>1</v>
      </c>
      <c r="J16" s="7">
        <v>72000</v>
      </c>
      <c r="K16" s="7">
        <f t="shared" si="0"/>
        <v>72000</v>
      </c>
      <c r="L16" s="90" t="s">
        <v>158</v>
      </c>
    </row>
    <row r="17" spans="1:13" ht="24" customHeight="1">
      <c r="A17" s="24">
        <v>11</v>
      </c>
      <c r="B17" s="15" t="s">
        <v>108</v>
      </c>
      <c r="C17" s="3" t="s">
        <v>25</v>
      </c>
      <c r="D17" s="3" t="s">
        <v>26</v>
      </c>
      <c r="E17" s="23" t="s">
        <v>2</v>
      </c>
      <c r="F17" s="4">
        <v>25</v>
      </c>
      <c r="G17" s="4" t="s">
        <v>129</v>
      </c>
      <c r="H17" s="5">
        <v>1</v>
      </c>
      <c r="I17" s="5">
        <v>1</v>
      </c>
      <c r="J17" s="7">
        <v>480000</v>
      </c>
      <c r="K17" s="7">
        <f t="shared" si="0"/>
        <v>480000</v>
      </c>
      <c r="L17" s="90" t="s">
        <v>159</v>
      </c>
    </row>
    <row r="18" spans="1:13" ht="24" customHeight="1">
      <c r="A18" s="16">
        <v>12</v>
      </c>
      <c r="B18" s="15" t="s">
        <v>108</v>
      </c>
      <c r="C18" s="3" t="s">
        <v>27</v>
      </c>
      <c r="D18" s="3" t="s">
        <v>28</v>
      </c>
      <c r="E18" s="23" t="s">
        <v>2</v>
      </c>
      <c r="F18" s="4">
        <v>25</v>
      </c>
      <c r="G18" s="4" t="s">
        <v>129</v>
      </c>
      <c r="H18" s="5">
        <v>1</v>
      </c>
      <c r="I18" s="5">
        <v>1</v>
      </c>
      <c r="J18" s="7">
        <v>96000</v>
      </c>
      <c r="K18" s="7">
        <f t="shared" si="0"/>
        <v>96000</v>
      </c>
      <c r="L18" s="90" t="s">
        <v>160</v>
      </c>
    </row>
    <row r="19" spans="1:13" ht="24" customHeight="1">
      <c r="A19" s="24">
        <v>13</v>
      </c>
      <c r="B19" s="15" t="s">
        <v>108</v>
      </c>
      <c r="C19" s="3" t="s">
        <v>29</v>
      </c>
      <c r="D19" s="3" t="s">
        <v>30</v>
      </c>
      <c r="E19" s="23" t="s">
        <v>2</v>
      </c>
      <c r="F19" s="4">
        <v>25</v>
      </c>
      <c r="G19" s="4" t="s">
        <v>129</v>
      </c>
      <c r="H19" s="5">
        <v>1</v>
      </c>
      <c r="I19" s="5">
        <v>1</v>
      </c>
      <c r="J19" s="7">
        <v>39000</v>
      </c>
      <c r="K19" s="7">
        <f t="shared" si="0"/>
        <v>39000</v>
      </c>
      <c r="L19" s="90" t="s">
        <v>161</v>
      </c>
    </row>
    <row r="20" spans="1:13" ht="24" customHeight="1">
      <c r="A20" s="16">
        <v>14</v>
      </c>
      <c r="B20" s="15" t="s">
        <v>108</v>
      </c>
      <c r="C20" s="3" t="s">
        <v>31</v>
      </c>
      <c r="D20" s="3" t="s">
        <v>97</v>
      </c>
      <c r="E20" s="23" t="s">
        <v>2</v>
      </c>
      <c r="F20" s="4">
        <v>25</v>
      </c>
      <c r="G20" s="4" t="s">
        <v>129</v>
      </c>
      <c r="H20" s="5">
        <v>1</v>
      </c>
      <c r="I20" s="5">
        <v>1</v>
      </c>
      <c r="J20" s="7">
        <v>142000</v>
      </c>
      <c r="K20" s="7">
        <f t="shared" si="0"/>
        <v>142000</v>
      </c>
      <c r="L20" s="90" t="s">
        <v>162</v>
      </c>
    </row>
    <row r="21" spans="1:13" ht="24" customHeight="1">
      <c r="A21" s="24">
        <v>15</v>
      </c>
      <c r="B21" s="15" t="s">
        <v>108</v>
      </c>
      <c r="C21" s="3" t="s">
        <v>32</v>
      </c>
      <c r="D21" s="1" t="s">
        <v>33</v>
      </c>
      <c r="E21" s="23" t="s">
        <v>2</v>
      </c>
      <c r="F21" s="4">
        <v>25</v>
      </c>
      <c r="G21" s="4" t="s">
        <v>129</v>
      </c>
      <c r="H21" s="5">
        <v>1</v>
      </c>
      <c r="I21" s="5">
        <v>1</v>
      </c>
      <c r="J21" s="7">
        <v>41800</v>
      </c>
      <c r="K21" s="7">
        <f t="shared" si="0"/>
        <v>41800</v>
      </c>
      <c r="L21" s="90" t="s">
        <v>163</v>
      </c>
    </row>
    <row r="22" spans="1:13" ht="24" customHeight="1" thickBot="1">
      <c r="A22" s="42"/>
      <c r="B22" s="43"/>
      <c r="C22" s="44"/>
      <c r="D22" s="44"/>
      <c r="E22" s="32"/>
      <c r="F22" s="32"/>
      <c r="G22" s="31"/>
      <c r="H22" s="45"/>
      <c r="I22" s="45"/>
      <c r="J22" s="48" t="s">
        <v>133</v>
      </c>
      <c r="K22" s="49">
        <f>SUM(K7:K21)</f>
        <v>2447200</v>
      </c>
      <c r="L22" s="32"/>
    </row>
    <row r="23" spans="1:13" s="9" customFormat="1" ht="24" customHeight="1" thickTop="1">
      <c r="A23" s="39"/>
      <c r="B23" s="33" t="s">
        <v>121</v>
      </c>
      <c r="C23" s="25" t="s">
        <v>122</v>
      </c>
      <c r="E23" s="33"/>
      <c r="F23" s="33"/>
      <c r="G23" s="28"/>
      <c r="H23" s="54"/>
      <c r="I23" s="54"/>
      <c r="J23" s="41"/>
      <c r="K23" s="41"/>
      <c r="L23" s="33"/>
    </row>
    <row r="24" spans="1:13" s="9" customFormat="1" ht="24" customHeight="1">
      <c r="A24" s="39"/>
      <c r="B24" s="33"/>
      <c r="C24" s="25" t="s">
        <v>123</v>
      </c>
      <c r="E24" s="33"/>
      <c r="F24" s="33"/>
      <c r="G24" s="28"/>
      <c r="H24" s="54"/>
      <c r="I24" s="54"/>
      <c r="J24" s="41"/>
      <c r="K24" s="41"/>
      <c r="L24" s="33"/>
    </row>
    <row r="25" spans="1:13" s="9" customFormat="1" ht="24" customHeight="1">
      <c r="A25" s="39"/>
      <c r="B25" s="40"/>
      <c r="C25" s="46"/>
      <c r="D25" s="46"/>
      <c r="E25" s="33"/>
      <c r="G25" s="47"/>
      <c r="H25" s="47"/>
      <c r="I25" s="47"/>
      <c r="J25" s="47"/>
      <c r="K25" s="47"/>
      <c r="L25" s="47"/>
      <c r="M25" s="47"/>
    </row>
    <row r="26" spans="1:13" s="9" customFormat="1" ht="24" customHeight="1">
      <c r="A26" s="39"/>
      <c r="B26" s="40"/>
      <c r="C26" s="46"/>
      <c r="D26" s="46"/>
      <c r="E26" s="33"/>
      <c r="F26" s="33"/>
      <c r="G26" s="47"/>
      <c r="H26" s="47"/>
      <c r="I26" s="47"/>
      <c r="J26" s="47"/>
      <c r="K26" s="47"/>
      <c r="L26" s="47"/>
    </row>
    <row r="27" spans="1:13" s="9" customFormat="1" ht="24" customHeight="1">
      <c r="A27" s="39"/>
      <c r="B27" s="40"/>
      <c r="C27" s="46"/>
      <c r="D27" s="46"/>
      <c r="E27" s="33"/>
      <c r="F27" s="33"/>
      <c r="G27" s="47"/>
      <c r="H27" s="100" t="s">
        <v>130</v>
      </c>
      <c r="I27" s="100"/>
      <c r="J27" s="100"/>
      <c r="K27" s="47"/>
      <c r="L27" s="47"/>
    </row>
    <row r="28" spans="1:13" s="9" customFormat="1" ht="24" customHeight="1">
      <c r="A28" s="39"/>
      <c r="B28" s="40"/>
      <c r="C28" s="46"/>
      <c r="D28" s="46"/>
      <c r="E28" s="33"/>
      <c r="F28" s="33"/>
      <c r="G28" s="47"/>
      <c r="H28" s="100" t="s">
        <v>131</v>
      </c>
      <c r="I28" s="100"/>
      <c r="J28" s="100"/>
      <c r="K28" s="47"/>
      <c r="L28" s="47"/>
    </row>
    <row r="29" spans="1:13" s="9" customFormat="1" ht="24" customHeight="1">
      <c r="A29" s="39"/>
      <c r="B29" s="40"/>
      <c r="C29" s="46"/>
      <c r="D29" s="46"/>
      <c r="E29" s="33"/>
      <c r="F29" s="33"/>
      <c r="G29" s="47"/>
      <c r="H29" s="100" t="s">
        <v>132</v>
      </c>
      <c r="I29" s="100"/>
      <c r="J29" s="100"/>
      <c r="K29" s="47"/>
      <c r="L29" s="47"/>
    </row>
    <row r="30" spans="1:13" s="9" customFormat="1" ht="24" customHeight="1">
      <c r="A30" s="39"/>
      <c r="B30" s="40"/>
      <c r="C30" s="46"/>
      <c r="D30" s="46"/>
      <c r="E30" s="33"/>
      <c r="F30" s="33"/>
      <c r="G30" s="46"/>
      <c r="H30" s="46"/>
      <c r="I30" s="46"/>
      <c r="J30" s="46"/>
      <c r="K30" s="46"/>
      <c r="L30" s="46"/>
    </row>
    <row r="31" spans="1:13" s="9" customFormat="1" ht="24" customHeight="1">
      <c r="A31" s="39"/>
      <c r="B31" s="40"/>
      <c r="C31" s="46"/>
      <c r="D31" s="46"/>
      <c r="E31" s="33"/>
      <c r="F31" s="33"/>
      <c r="G31" s="46"/>
      <c r="H31" s="46"/>
      <c r="I31" s="46"/>
      <c r="J31" s="46"/>
      <c r="K31" s="46"/>
      <c r="L31" s="46"/>
    </row>
    <row r="32" spans="1:13" s="9" customFormat="1" ht="24" customHeight="1">
      <c r="A32" s="2"/>
      <c r="B32" s="27"/>
      <c r="C32" s="26"/>
      <c r="D32" s="2"/>
      <c r="E32" s="2"/>
      <c r="F32" s="2"/>
      <c r="G32" s="2"/>
      <c r="H32" s="2"/>
      <c r="I32" s="2"/>
      <c r="J32" s="2"/>
      <c r="K32" s="2"/>
      <c r="L32" s="27" t="s">
        <v>192</v>
      </c>
    </row>
    <row r="33" spans="1:12" s="9" customFormat="1" ht="24" customHeight="1">
      <c r="A33" s="107" t="s">
        <v>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</row>
    <row r="34" spans="1:12" s="9" customFormat="1" ht="24" customHeight="1">
      <c r="A34" s="96" t="s">
        <v>117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</row>
    <row r="35" spans="1:12" s="9" customFormat="1" ht="24" customHeight="1">
      <c r="A35" s="97" t="s">
        <v>193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</row>
    <row r="36" spans="1:12" ht="24" customHeight="1">
      <c r="A36" s="98" t="s">
        <v>105</v>
      </c>
      <c r="B36" s="98" t="s">
        <v>124</v>
      </c>
      <c r="C36" s="98" t="s">
        <v>126</v>
      </c>
      <c r="D36" s="101" t="s">
        <v>0</v>
      </c>
      <c r="E36" s="98" t="s">
        <v>111</v>
      </c>
      <c r="F36" s="98" t="s">
        <v>112</v>
      </c>
      <c r="G36" s="103" t="s">
        <v>113</v>
      </c>
      <c r="H36" s="105" t="s">
        <v>1</v>
      </c>
      <c r="I36" s="106"/>
      <c r="J36" s="98" t="s">
        <v>127</v>
      </c>
      <c r="K36" s="98" t="s">
        <v>106</v>
      </c>
      <c r="L36" s="98" t="s">
        <v>114</v>
      </c>
    </row>
    <row r="37" spans="1:12" ht="71.25" customHeight="1">
      <c r="A37" s="99"/>
      <c r="B37" s="99"/>
      <c r="C37" s="99"/>
      <c r="D37" s="102"/>
      <c r="E37" s="99"/>
      <c r="F37" s="99"/>
      <c r="G37" s="104"/>
      <c r="H37" s="29" t="s">
        <v>115</v>
      </c>
      <c r="I37" s="30" t="s">
        <v>116</v>
      </c>
      <c r="J37" s="99"/>
      <c r="K37" s="99"/>
      <c r="L37" s="99"/>
    </row>
    <row r="38" spans="1:12" ht="24" customHeight="1">
      <c r="A38" s="16"/>
      <c r="B38" s="15"/>
      <c r="C38" s="3"/>
      <c r="D38" s="3"/>
      <c r="E38" s="23"/>
      <c r="F38" s="23"/>
      <c r="G38" s="4"/>
      <c r="H38" s="5"/>
      <c r="I38" s="5"/>
      <c r="J38" s="50" t="s">
        <v>134</v>
      </c>
      <c r="K38" s="51">
        <f>SUM(K22)</f>
        <v>2447200</v>
      </c>
      <c r="L38" s="23"/>
    </row>
    <row r="39" spans="1:12" ht="24" customHeight="1">
      <c r="A39" s="16">
        <v>16</v>
      </c>
      <c r="B39" s="15" t="s">
        <v>108</v>
      </c>
      <c r="C39" s="3" t="s">
        <v>34</v>
      </c>
      <c r="D39" s="1" t="s">
        <v>35</v>
      </c>
      <c r="E39" s="23" t="s">
        <v>2</v>
      </c>
      <c r="F39" s="23">
        <v>25</v>
      </c>
      <c r="G39" s="4" t="s">
        <v>129</v>
      </c>
      <c r="H39" s="4">
        <v>1</v>
      </c>
      <c r="I39" s="4">
        <v>1</v>
      </c>
      <c r="J39" s="7">
        <v>95000</v>
      </c>
      <c r="K39" s="7">
        <f>SUM(I39*J39)</f>
        <v>95000</v>
      </c>
      <c r="L39" s="90" t="s">
        <v>164</v>
      </c>
    </row>
    <row r="40" spans="1:12" ht="24" customHeight="1">
      <c r="A40" s="24">
        <v>17</v>
      </c>
      <c r="B40" s="15" t="s">
        <v>108</v>
      </c>
      <c r="C40" s="3" t="s">
        <v>36</v>
      </c>
      <c r="D40" s="1" t="s">
        <v>37</v>
      </c>
      <c r="E40" s="23" t="s">
        <v>2</v>
      </c>
      <c r="F40" s="23">
        <v>25</v>
      </c>
      <c r="G40" s="4" t="s">
        <v>129</v>
      </c>
      <c r="H40" s="4">
        <v>1</v>
      </c>
      <c r="I40" s="4">
        <v>1</v>
      </c>
      <c r="J40" s="7">
        <v>43800</v>
      </c>
      <c r="K40" s="7">
        <f t="shared" ref="K40:K53" si="1">SUM(I40*J40)</f>
        <v>43800</v>
      </c>
      <c r="L40" s="90" t="s">
        <v>165</v>
      </c>
    </row>
    <row r="41" spans="1:12" ht="24" customHeight="1">
      <c r="A41" s="16">
        <v>18</v>
      </c>
      <c r="B41" s="15" t="s">
        <v>108</v>
      </c>
      <c r="C41" s="3" t="s">
        <v>38</v>
      </c>
      <c r="D41" s="1" t="s">
        <v>39</v>
      </c>
      <c r="E41" s="23" t="s">
        <v>2</v>
      </c>
      <c r="F41" s="23">
        <v>25</v>
      </c>
      <c r="G41" s="4" t="s">
        <v>129</v>
      </c>
      <c r="H41" s="4">
        <v>1</v>
      </c>
      <c r="I41" s="4">
        <v>1</v>
      </c>
      <c r="J41" s="7">
        <v>14500</v>
      </c>
      <c r="K41" s="7">
        <f t="shared" si="1"/>
        <v>14500</v>
      </c>
      <c r="L41" s="90" t="s">
        <v>166</v>
      </c>
    </row>
    <row r="42" spans="1:12" ht="24" customHeight="1">
      <c r="A42" s="24">
        <v>19</v>
      </c>
      <c r="B42" s="15" t="s">
        <v>108</v>
      </c>
      <c r="C42" s="3" t="s">
        <v>40</v>
      </c>
      <c r="D42" s="1" t="s">
        <v>41</v>
      </c>
      <c r="E42" s="23" t="s">
        <v>2</v>
      </c>
      <c r="F42" s="23">
        <v>25</v>
      </c>
      <c r="G42" s="4" t="s">
        <v>129</v>
      </c>
      <c r="H42" s="5">
        <v>1</v>
      </c>
      <c r="I42" s="5">
        <v>1</v>
      </c>
      <c r="J42" s="7">
        <v>95000</v>
      </c>
      <c r="K42" s="7">
        <f t="shared" si="1"/>
        <v>95000</v>
      </c>
      <c r="L42" s="90" t="s">
        <v>167</v>
      </c>
    </row>
    <row r="43" spans="1:12" ht="24" customHeight="1">
      <c r="A43" s="16">
        <v>20</v>
      </c>
      <c r="B43" s="15" t="s">
        <v>108</v>
      </c>
      <c r="C43" s="3" t="s">
        <v>42</v>
      </c>
      <c r="D43" s="1" t="s">
        <v>102</v>
      </c>
      <c r="E43" s="4" t="s">
        <v>2</v>
      </c>
      <c r="F43" s="23">
        <v>25</v>
      </c>
      <c r="G43" s="4" t="s">
        <v>129</v>
      </c>
      <c r="H43" s="5">
        <v>1</v>
      </c>
      <c r="I43" s="5">
        <v>1</v>
      </c>
      <c r="J43" s="7">
        <v>43800</v>
      </c>
      <c r="K43" s="7">
        <f t="shared" si="1"/>
        <v>43800</v>
      </c>
      <c r="L43" s="90" t="s">
        <v>168</v>
      </c>
    </row>
    <row r="44" spans="1:12" ht="24" customHeight="1">
      <c r="A44" s="24">
        <v>21</v>
      </c>
      <c r="B44" s="15" t="s">
        <v>108</v>
      </c>
      <c r="C44" s="3" t="s">
        <v>43</v>
      </c>
      <c r="D44" s="1" t="s">
        <v>44</v>
      </c>
      <c r="E44" s="4" t="s">
        <v>2</v>
      </c>
      <c r="F44" s="23">
        <v>25</v>
      </c>
      <c r="G44" s="4" t="s">
        <v>129</v>
      </c>
      <c r="H44" s="5">
        <v>1</v>
      </c>
      <c r="I44" s="5">
        <v>1</v>
      </c>
      <c r="J44" s="7">
        <v>62000</v>
      </c>
      <c r="K44" s="7">
        <f t="shared" si="1"/>
        <v>62000</v>
      </c>
      <c r="L44" s="90" t="s">
        <v>169</v>
      </c>
    </row>
    <row r="45" spans="1:12" ht="24" customHeight="1">
      <c r="A45" s="16">
        <v>22</v>
      </c>
      <c r="B45" s="15" t="s">
        <v>108</v>
      </c>
      <c r="C45" s="3" t="s">
        <v>45</v>
      </c>
      <c r="D45" s="1" t="s">
        <v>46</v>
      </c>
      <c r="E45" s="4" t="s">
        <v>2</v>
      </c>
      <c r="F45" s="23">
        <v>25</v>
      </c>
      <c r="G45" s="4" t="s">
        <v>129</v>
      </c>
      <c r="H45" s="5">
        <v>1</v>
      </c>
      <c r="I45" s="5">
        <v>1</v>
      </c>
      <c r="J45" s="7">
        <v>84000</v>
      </c>
      <c r="K45" s="7">
        <f t="shared" si="1"/>
        <v>84000</v>
      </c>
      <c r="L45" s="90" t="s">
        <v>170</v>
      </c>
    </row>
    <row r="46" spans="1:12" ht="24" customHeight="1">
      <c r="A46" s="24">
        <v>23</v>
      </c>
      <c r="B46" s="15" t="s">
        <v>108</v>
      </c>
      <c r="C46" s="3" t="s">
        <v>47</v>
      </c>
      <c r="D46" s="1" t="s">
        <v>48</v>
      </c>
      <c r="E46" s="4" t="s">
        <v>2</v>
      </c>
      <c r="F46" s="23">
        <v>25</v>
      </c>
      <c r="G46" s="4" t="s">
        <v>129</v>
      </c>
      <c r="H46" s="5">
        <v>1</v>
      </c>
      <c r="I46" s="5">
        <v>1</v>
      </c>
      <c r="J46" s="7">
        <v>84000</v>
      </c>
      <c r="K46" s="7">
        <f t="shared" si="1"/>
        <v>84000</v>
      </c>
      <c r="L46" s="90" t="s">
        <v>171</v>
      </c>
    </row>
    <row r="47" spans="1:12" ht="24" customHeight="1">
      <c r="A47" s="16">
        <v>24</v>
      </c>
      <c r="B47" s="15" t="s">
        <v>108</v>
      </c>
      <c r="C47" s="3" t="s">
        <v>49</v>
      </c>
      <c r="D47" s="1" t="s">
        <v>50</v>
      </c>
      <c r="E47" s="4" t="s">
        <v>2</v>
      </c>
      <c r="F47" s="23">
        <v>25</v>
      </c>
      <c r="G47" s="4" t="s">
        <v>129</v>
      </c>
      <c r="H47" s="5">
        <v>1</v>
      </c>
      <c r="I47" s="5">
        <v>1</v>
      </c>
      <c r="J47" s="7">
        <v>28500</v>
      </c>
      <c r="K47" s="7">
        <f t="shared" si="1"/>
        <v>28500</v>
      </c>
      <c r="L47" s="90" t="s">
        <v>172</v>
      </c>
    </row>
    <row r="48" spans="1:12" ht="24" customHeight="1">
      <c r="A48" s="24">
        <v>25</v>
      </c>
      <c r="B48" s="15" t="s">
        <v>108</v>
      </c>
      <c r="C48" s="3" t="s">
        <v>51</v>
      </c>
      <c r="D48" s="1" t="s">
        <v>52</v>
      </c>
      <c r="E48" s="4" t="s">
        <v>2</v>
      </c>
      <c r="F48" s="23">
        <v>25</v>
      </c>
      <c r="G48" s="4">
        <v>2</v>
      </c>
      <c r="H48" s="5">
        <v>1</v>
      </c>
      <c r="I48" s="5">
        <v>1</v>
      </c>
      <c r="J48" s="7">
        <v>56000</v>
      </c>
      <c r="K48" s="7">
        <f t="shared" si="1"/>
        <v>56000</v>
      </c>
      <c r="L48" s="89" t="s">
        <v>173</v>
      </c>
    </row>
    <row r="49" spans="1:12" ht="24" customHeight="1">
      <c r="A49" s="16">
        <v>26</v>
      </c>
      <c r="B49" s="15" t="s">
        <v>108</v>
      </c>
      <c r="C49" s="3" t="s">
        <v>53</v>
      </c>
      <c r="D49" s="1" t="s">
        <v>54</v>
      </c>
      <c r="E49" s="4" t="s">
        <v>2</v>
      </c>
      <c r="F49" s="23">
        <v>25</v>
      </c>
      <c r="G49" s="4" t="s">
        <v>129</v>
      </c>
      <c r="H49" s="5">
        <v>1</v>
      </c>
      <c r="I49" s="5">
        <v>1</v>
      </c>
      <c r="J49" s="7">
        <v>94000</v>
      </c>
      <c r="K49" s="7">
        <f t="shared" si="1"/>
        <v>94000</v>
      </c>
      <c r="L49" s="90" t="s">
        <v>174</v>
      </c>
    </row>
    <row r="50" spans="1:12" ht="24" customHeight="1">
      <c r="A50" s="24">
        <v>27</v>
      </c>
      <c r="B50" s="15" t="s">
        <v>108</v>
      </c>
      <c r="C50" s="3" t="s">
        <v>55</v>
      </c>
      <c r="D50" s="1" t="s">
        <v>56</v>
      </c>
      <c r="E50" s="4" t="s">
        <v>2</v>
      </c>
      <c r="F50" s="23">
        <v>25</v>
      </c>
      <c r="G50" s="4" t="s">
        <v>129</v>
      </c>
      <c r="H50" s="5">
        <v>1</v>
      </c>
      <c r="I50" s="5">
        <v>1</v>
      </c>
      <c r="J50" s="7">
        <v>22500</v>
      </c>
      <c r="K50" s="7">
        <f t="shared" si="1"/>
        <v>22500</v>
      </c>
      <c r="L50" s="90" t="s">
        <v>154</v>
      </c>
    </row>
    <row r="51" spans="1:12" ht="24" customHeight="1">
      <c r="A51" s="16">
        <v>28</v>
      </c>
      <c r="B51" s="15" t="s">
        <v>108</v>
      </c>
      <c r="C51" s="3" t="s">
        <v>57</v>
      </c>
      <c r="D51" s="1" t="s">
        <v>103</v>
      </c>
      <c r="E51" s="4" t="s">
        <v>2</v>
      </c>
      <c r="F51" s="23">
        <v>25</v>
      </c>
      <c r="G51" s="4" t="s">
        <v>129</v>
      </c>
      <c r="H51" s="5">
        <v>1</v>
      </c>
      <c r="I51" s="5">
        <v>1</v>
      </c>
      <c r="J51" s="7">
        <v>65000</v>
      </c>
      <c r="K51" s="7">
        <f t="shared" si="1"/>
        <v>65000</v>
      </c>
      <c r="L51" s="90" t="s">
        <v>175</v>
      </c>
    </row>
    <row r="52" spans="1:12" ht="24" customHeight="1">
      <c r="A52" s="24">
        <v>29</v>
      </c>
      <c r="B52" s="15" t="s">
        <v>108</v>
      </c>
      <c r="C52" s="3" t="s">
        <v>58</v>
      </c>
      <c r="D52" s="1" t="s">
        <v>59</v>
      </c>
      <c r="E52" s="4" t="s">
        <v>2</v>
      </c>
      <c r="F52" s="23">
        <v>25</v>
      </c>
      <c r="G52" s="4" t="s">
        <v>129</v>
      </c>
      <c r="H52" s="5">
        <v>1</v>
      </c>
      <c r="I52" s="5">
        <v>1</v>
      </c>
      <c r="J52" s="7">
        <v>12000</v>
      </c>
      <c r="K52" s="7">
        <f t="shared" si="1"/>
        <v>12000</v>
      </c>
      <c r="L52" s="90" t="s">
        <v>176</v>
      </c>
    </row>
    <row r="53" spans="1:12" ht="24" customHeight="1">
      <c r="A53" s="16">
        <v>30</v>
      </c>
      <c r="B53" s="15" t="s">
        <v>108</v>
      </c>
      <c r="C53" s="3" t="s">
        <v>60</v>
      </c>
      <c r="D53" s="1" t="s">
        <v>61</v>
      </c>
      <c r="E53" s="4" t="s">
        <v>2</v>
      </c>
      <c r="F53" s="23">
        <v>25</v>
      </c>
      <c r="G53" s="4" t="s">
        <v>129</v>
      </c>
      <c r="H53" s="5">
        <v>3</v>
      </c>
      <c r="I53" s="5">
        <v>3</v>
      </c>
      <c r="J53" s="7">
        <v>17800</v>
      </c>
      <c r="K53" s="7">
        <f t="shared" si="1"/>
        <v>53400</v>
      </c>
      <c r="L53" s="90" t="s">
        <v>177</v>
      </c>
    </row>
    <row r="54" spans="1:12" ht="24" customHeight="1" thickBot="1">
      <c r="A54" s="42"/>
      <c r="B54" s="43"/>
      <c r="C54" s="44"/>
      <c r="D54" s="53"/>
      <c r="E54" s="31"/>
      <c r="F54" s="31"/>
      <c r="G54" s="31"/>
      <c r="H54" s="45"/>
      <c r="I54" s="45"/>
      <c r="J54" s="48" t="s">
        <v>133</v>
      </c>
      <c r="K54" s="49">
        <f>SUM(K38:K53)</f>
        <v>3300700</v>
      </c>
      <c r="L54" s="32"/>
    </row>
    <row r="55" spans="1:12" s="9" customFormat="1" ht="24" customHeight="1" thickTop="1">
      <c r="A55" s="39"/>
      <c r="B55" s="33" t="s">
        <v>121</v>
      </c>
      <c r="C55" s="25" t="s">
        <v>122</v>
      </c>
      <c r="E55" s="28"/>
      <c r="F55" s="28"/>
      <c r="G55" s="28"/>
      <c r="H55" s="54"/>
      <c r="I55" s="54"/>
      <c r="J55" s="41"/>
      <c r="K55" s="41"/>
      <c r="L55" s="33"/>
    </row>
    <row r="56" spans="1:12" s="9" customFormat="1" ht="24" customHeight="1">
      <c r="A56" s="39"/>
      <c r="B56" s="33"/>
      <c r="C56" s="25" t="s">
        <v>123</v>
      </c>
      <c r="E56" s="28"/>
      <c r="F56" s="28"/>
      <c r="G56" s="28"/>
      <c r="H56" s="54"/>
      <c r="I56" s="54"/>
      <c r="J56" s="41"/>
      <c r="K56" s="41"/>
      <c r="L56" s="33"/>
    </row>
    <row r="57" spans="1:12" s="9" customFormat="1" ht="24" customHeight="1">
      <c r="A57" s="39"/>
      <c r="B57" s="40"/>
      <c r="C57" s="46"/>
      <c r="D57" s="52"/>
      <c r="E57" s="28"/>
      <c r="F57" s="28"/>
      <c r="G57" s="28"/>
      <c r="H57" s="54"/>
      <c r="I57" s="54"/>
      <c r="J57" s="41"/>
      <c r="K57" s="41"/>
      <c r="L57" s="33"/>
    </row>
    <row r="58" spans="1:12" s="9" customFormat="1" ht="24" customHeight="1">
      <c r="A58" s="39"/>
      <c r="B58" s="40"/>
      <c r="C58" s="46"/>
      <c r="D58" s="52"/>
      <c r="E58" s="28"/>
      <c r="F58" s="28"/>
      <c r="G58" s="28"/>
      <c r="H58" s="100" t="s">
        <v>130</v>
      </c>
      <c r="I58" s="100"/>
      <c r="J58" s="100"/>
      <c r="K58" s="41"/>
      <c r="L58" s="33"/>
    </row>
    <row r="59" spans="1:12" s="9" customFormat="1" ht="24" customHeight="1">
      <c r="A59" s="39"/>
      <c r="B59" s="40"/>
      <c r="C59" s="46"/>
      <c r="D59" s="52"/>
      <c r="E59" s="28"/>
      <c r="F59" s="28"/>
      <c r="G59" s="28"/>
      <c r="H59" s="100" t="s">
        <v>131</v>
      </c>
      <c r="I59" s="100"/>
      <c r="J59" s="100"/>
      <c r="K59" s="41"/>
      <c r="L59" s="33"/>
    </row>
    <row r="60" spans="1:12" s="9" customFormat="1" ht="24" customHeight="1">
      <c r="A60" s="39"/>
      <c r="B60" s="40"/>
      <c r="C60" s="46"/>
      <c r="D60" s="52"/>
      <c r="E60" s="28"/>
      <c r="F60" s="28"/>
      <c r="G60" s="28"/>
      <c r="H60" s="100" t="s">
        <v>132</v>
      </c>
      <c r="I60" s="100"/>
      <c r="J60" s="100"/>
      <c r="K60" s="41"/>
      <c r="L60" s="33"/>
    </row>
    <row r="61" spans="1:12" s="9" customFormat="1" ht="24" customHeight="1">
      <c r="A61" s="39"/>
      <c r="B61" s="40"/>
      <c r="C61" s="46"/>
      <c r="D61" s="52"/>
      <c r="E61" s="28"/>
      <c r="F61" s="28"/>
      <c r="G61" s="28"/>
      <c r="H61" s="54"/>
      <c r="I61" s="54"/>
      <c r="J61" s="41"/>
      <c r="K61" s="41"/>
      <c r="L61" s="33"/>
    </row>
    <row r="62" spans="1:12" s="9" customFormat="1" ht="24" customHeight="1">
      <c r="A62" s="39"/>
      <c r="B62" s="40"/>
      <c r="C62" s="46"/>
      <c r="D62" s="52"/>
      <c r="E62" s="28"/>
      <c r="F62" s="28"/>
      <c r="G62" s="28"/>
      <c r="H62" s="88"/>
      <c r="I62" s="88"/>
      <c r="J62" s="41"/>
      <c r="K62" s="41"/>
      <c r="L62" s="33"/>
    </row>
    <row r="63" spans="1:12" ht="24" customHeight="1">
      <c r="L63" s="27" t="s">
        <v>192</v>
      </c>
    </row>
    <row r="64" spans="1:12" ht="24" customHeight="1">
      <c r="A64" s="107" t="s">
        <v>6</v>
      </c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</row>
    <row r="65" spans="1:12" ht="24" customHeight="1">
      <c r="A65" s="96" t="s">
        <v>117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</row>
    <row r="66" spans="1:12" ht="24" customHeight="1">
      <c r="A66" s="97" t="s">
        <v>193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</row>
    <row r="67" spans="1:12" ht="24" customHeight="1">
      <c r="A67" s="98" t="s">
        <v>105</v>
      </c>
      <c r="B67" s="98" t="s">
        <v>124</v>
      </c>
      <c r="C67" s="98" t="s">
        <v>126</v>
      </c>
      <c r="D67" s="101" t="s">
        <v>0</v>
      </c>
      <c r="E67" s="98" t="s">
        <v>111</v>
      </c>
      <c r="F67" s="98" t="s">
        <v>112</v>
      </c>
      <c r="G67" s="103" t="s">
        <v>113</v>
      </c>
      <c r="H67" s="105" t="s">
        <v>1</v>
      </c>
      <c r="I67" s="106"/>
      <c r="J67" s="98" t="s">
        <v>127</v>
      </c>
      <c r="K67" s="98" t="s">
        <v>106</v>
      </c>
      <c r="L67" s="98" t="s">
        <v>114</v>
      </c>
    </row>
    <row r="68" spans="1:12" ht="71.25" customHeight="1">
      <c r="A68" s="99"/>
      <c r="B68" s="99"/>
      <c r="C68" s="99"/>
      <c r="D68" s="102"/>
      <c r="E68" s="99"/>
      <c r="F68" s="99"/>
      <c r="G68" s="104"/>
      <c r="H68" s="29" t="s">
        <v>115</v>
      </c>
      <c r="I68" s="30" t="s">
        <v>116</v>
      </c>
      <c r="J68" s="99"/>
      <c r="K68" s="99"/>
      <c r="L68" s="99"/>
    </row>
    <row r="69" spans="1:12" ht="24" customHeight="1">
      <c r="A69" s="16"/>
      <c r="B69" s="15"/>
      <c r="C69" s="3"/>
      <c r="D69" s="3"/>
      <c r="E69" s="23"/>
      <c r="F69" s="23"/>
      <c r="G69" s="4"/>
      <c r="H69" s="5"/>
      <c r="I69" s="5"/>
      <c r="J69" s="50" t="s">
        <v>135</v>
      </c>
      <c r="K69" s="51">
        <f>SUM(K54)</f>
        <v>3300700</v>
      </c>
      <c r="L69" s="23"/>
    </row>
    <row r="70" spans="1:12" ht="24" customHeight="1">
      <c r="A70" s="24">
        <v>31</v>
      </c>
      <c r="B70" s="15" t="s">
        <v>108</v>
      </c>
      <c r="C70" s="3" t="s">
        <v>62</v>
      </c>
      <c r="D70" s="1" t="s">
        <v>63</v>
      </c>
      <c r="E70" s="4" t="s">
        <v>2</v>
      </c>
      <c r="F70" s="4">
        <v>25</v>
      </c>
      <c r="G70" s="4" t="s">
        <v>129</v>
      </c>
      <c r="H70" s="5">
        <v>3</v>
      </c>
      <c r="I70" s="5">
        <v>3</v>
      </c>
      <c r="J70" s="7">
        <v>12800</v>
      </c>
      <c r="K70" s="7">
        <f>SUM(I70*J70)</f>
        <v>38400</v>
      </c>
      <c r="L70" s="90" t="s">
        <v>178</v>
      </c>
    </row>
    <row r="71" spans="1:12" ht="24" customHeight="1">
      <c r="A71" s="16">
        <v>32</v>
      </c>
      <c r="B71" s="15" t="s">
        <v>108</v>
      </c>
      <c r="C71" s="3" t="s">
        <v>64</v>
      </c>
      <c r="D71" s="1" t="s">
        <v>98</v>
      </c>
      <c r="E71" s="4" t="s">
        <v>2</v>
      </c>
      <c r="F71" s="4">
        <v>25</v>
      </c>
      <c r="G71" s="4" t="s">
        <v>129</v>
      </c>
      <c r="H71" s="5">
        <v>5</v>
      </c>
      <c r="I71" s="5">
        <v>5</v>
      </c>
      <c r="J71" s="7">
        <v>8400</v>
      </c>
      <c r="K71" s="7">
        <f t="shared" ref="K71:K84" si="2">SUM(I71*J71)</f>
        <v>42000</v>
      </c>
      <c r="L71" s="90" t="s">
        <v>179</v>
      </c>
    </row>
    <row r="72" spans="1:12" ht="24" customHeight="1">
      <c r="A72" s="24">
        <v>33</v>
      </c>
      <c r="B72" s="15" t="s">
        <v>108</v>
      </c>
      <c r="C72" s="3" t="s">
        <v>65</v>
      </c>
      <c r="D72" s="1" t="s">
        <v>99</v>
      </c>
      <c r="E72" s="4" t="s">
        <v>2</v>
      </c>
      <c r="F72" s="4">
        <v>25</v>
      </c>
      <c r="G72" s="4" t="s">
        <v>129</v>
      </c>
      <c r="H72" s="5">
        <v>5</v>
      </c>
      <c r="I72" s="5">
        <v>5</v>
      </c>
      <c r="J72" s="7">
        <v>8400</v>
      </c>
      <c r="K72" s="7">
        <f t="shared" si="2"/>
        <v>42000</v>
      </c>
      <c r="L72" s="90" t="s">
        <v>179</v>
      </c>
    </row>
    <row r="73" spans="1:12" ht="24" customHeight="1">
      <c r="A73" s="16">
        <v>34</v>
      </c>
      <c r="B73" s="15" t="s">
        <v>108</v>
      </c>
      <c r="C73" s="3" t="s">
        <v>66</v>
      </c>
      <c r="D73" s="1" t="s">
        <v>67</v>
      </c>
      <c r="E73" s="23" t="s">
        <v>2</v>
      </c>
      <c r="F73" s="4">
        <v>25</v>
      </c>
      <c r="G73" s="23">
        <v>3</v>
      </c>
      <c r="H73" s="5">
        <v>3</v>
      </c>
      <c r="I73" s="5">
        <v>3</v>
      </c>
      <c r="J73" s="7">
        <v>36500</v>
      </c>
      <c r="K73" s="7">
        <f t="shared" si="2"/>
        <v>109500</v>
      </c>
      <c r="L73" s="89" t="s">
        <v>173</v>
      </c>
    </row>
    <row r="74" spans="1:12" ht="24" customHeight="1">
      <c r="A74" s="24">
        <v>35</v>
      </c>
      <c r="B74" s="23">
        <v>2541</v>
      </c>
      <c r="C74" s="3" t="s">
        <v>68</v>
      </c>
      <c r="D74" s="1" t="s">
        <v>69</v>
      </c>
      <c r="E74" s="23" t="s">
        <v>2</v>
      </c>
      <c r="F74" s="23">
        <v>24</v>
      </c>
      <c r="G74" s="4" t="s">
        <v>129</v>
      </c>
      <c r="H74" s="5">
        <v>1</v>
      </c>
      <c r="I74" s="5">
        <v>1</v>
      </c>
      <c r="J74" s="7">
        <v>29700</v>
      </c>
      <c r="K74" s="7">
        <f t="shared" si="2"/>
        <v>29700</v>
      </c>
      <c r="L74" s="90" t="s">
        <v>180</v>
      </c>
    </row>
    <row r="75" spans="1:12" ht="24" customHeight="1">
      <c r="A75" s="16">
        <v>36</v>
      </c>
      <c r="B75" s="23">
        <v>2541</v>
      </c>
      <c r="C75" s="3" t="s">
        <v>70</v>
      </c>
      <c r="D75" s="1" t="s">
        <v>71</v>
      </c>
      <c r="E75" s="23" t="s">
        <v>2</v>
      </c>
      <c r="F75" s="23">
        <v>24</v>
      </c>
      <c r="G75" s="4" t="s">
        <v>129</v>
      </c>
      <c r="H75" s="5">
        <v>1</v>
      </c>
      <c r="I75" s="5">
        <v>1</v>
      </c>
      <c r="J75" s="7">
        <v>49800</v>
      </c>
      <c r="K75" s="7">
        <f t="shared" si="2"/>
        <v>49800</v>
      </c>
      <c r="L75" s="90" t="s">
        <v>181</v>
      </c>
    </row>
    <row r="76" spans="1:12" ht="24" customHeight="1">
      <c r="A76" s="24">
        <v>37</v>
      </c>
      <c r="B76" s="23">
        <v>2544</v>
      </c>
      <c r="C76" s="3" t="s">
        <v>72</v>
      </c>
      <c r="D76" s="19" t="s">
        <v>73</v>
      </c>
      <c r="E76" s="23" t="s">
        <v>2</v>
      </c>
      <c r="F76" s="23">
        <v>21</v>
      </c>
      <c r="G76" s="4" t="s">
        <v>129</v>
      </c>
      <c r="H76" s="5">
        <v>1</v>
      </c>
      <c r="I76" s="5">
        <v>1</v>
      </c>
      <c r="J76" s="12">
        <v>50900</v>
      </c>
      <c r="K76" s="7">
        <f t="shared" si="2"/>
        <v>50900</v>
      </c>
      <c r="L76" s="89" t="s">
        <v>173</v>
      </c>
    </row>
    <row r="77" spans="1:12" ht="24" customHeight="1">
      <c r="A77" s="16">
        <v>38</v>
      </c>
      <c r="B77" s="23">
        <v>2544</v>
      </c>
      <c r="C77" s="3" t="s">
        <v>74</v>
      </c>
      <c r="D77" s="3" t="s">
        <v>75</v>
      </c>
      <c r="E77" s="23" t="s">
        <v>2</v>
      </c>
      <c r="F77" s="23">
        <v>21</v>
      </c>
      <c r="G77" s="4" t="s">
        <v>129</v>
      </c>
      <c r="H77" s="5">
        <v>1</v>
      </c>
      <c r="I77" s="5">
        <v>1</v>
      </c>
      <c r="J77" s="12">
        <v>68900</v>
      </c>
      <c r="K77" s="7">
        <f t="shared" si="2"/>
        <v>68900</v>
      </c>
      <c r="L77" s="90" t="s">
        <v>182</v>
      </c>
    </row>
    <row r="78" spans="1:12" ht="24" customHeight="1">
      <c r="A78" s="24">
        <v>39</v>
      </c>
      <c r="B78" s="23">
        <v>2544</v>
      </c>
      <c r="C78" s="3" t="s">
        <v>76</v>
      </c>
      <c r="D78" s="3" t="s">
        <v>77</v>
      </c>
      <c r="E78" s="23" t="s">
        <v>2</v>
      </c>
      <c r="F78" s="23">
        <v>21</v>
      </c>
      <c r="G78" s="4" t="s">
        <v>129</v>
      </c>
      <c r="H78" s="5">
        <v>1</v>
      </c>
      <c r="I78" s="5">
        <v>1</v>
      </c>
      <c r="J78" s="12">
        <v>880000</v>
      </c>
      <c r="K78" s="7">
        <f t="shared" si="2"/>
        <v>880000</v>
      </c>
      <c r="L78" s="94" t="s">
        <v>190</v>
      </c>
    </row>
    <row r="79" spans="1:12" ht="24" customHeight="1">
      <c r="A79" s="16">
        <v>40</v>
      </c>
      <c r="B79" s="8" t="s">
        <v>109</v>
      </c>
      <c r="C79" s="3" t="s">
        <v>78</v>
      </c>
      <c r="D79" s="3" t="s">
        <v>5</v>
      </c>
      <c r="E79" s="4" t="s">
        <v>2</v>
      </c>
      <c r="F79" s="4">
        <v>19</v>
      </c>
      <c r="G79" s="4" t="s">
        <v>129</v>
      </c>
      <c r="H79" s="5">
        <v>1</v>
      </c>
      <c r="I79" s="5">
        <v>1</v>
      </c>
      <c r="J79" s="12">
        <v>33000</v>
      </c>
      <c r="K79" s="7">
        <f t="shared" si="2"/>
        <v>33000</v>
      </c>
      <c r="L79" s="89" t="s">
        <v>183</v>
      </c>
    </row>
    <row r="80" spans="1:12" ht="24" customHeight="1">
      <c r="A80" s="24">
        <v>41</v>
      </c>
      <c r="B80" s="8" t="s">
        <v>109</v>
      </c>
      <c r="C80" s="3" t="s">
        <v>79</v>
      </c>
      <c r="D80" s="19" t="s">
        <v>80</v>
      </c>
      <c r="E80" s="4" t="s">
        <v>2</v>
      </c>
      <c r="F80" s="4">
        <v>19</v>
      </c>
      <c r="G80" s="4" t="s">
        <v>129</v>
      </c>
      <c r="H80" s="5">
        <v>1</v>
      </c>
      <c r="I80" s="5">
        <v>1</v>
      </c>
      <c r="J80" s="6">
        <v>234490</v>
      </c>
      <c r="K80" s="7">
        <f t="shared" si="2"/>
        <v>234490</v>
      </c>
      <c r="L80" s="89" t="s">
        <v>184</v>
      </c>
    </row>
    <row r="81" spans="1:12" ht="24" customHeight="1">
      <c r="A81" s="16">
        <v>42</v>
      </c>
      <c r="B81" s="8" t="s">
        <v>109</v>
      </c>
      <c r="C81" s="3" t="s">
        <v>81</v>
      </c>
      <c r="D81" s="1" t="s">
        <v>82</v>
      </c>
      <c r="E81" s="4" t="s">
        <v>2</v>
      </c>
      <c r="F81" s="4">
        <v>19</v>
      </c>
      <c r="G81" s="4" t="s">
        <v>129</v>
      </c>
      <c r="H81" s="5">
        <v>1</v>
      </c>
      <c r="I81" s="5">
        <v>1</v>
      </c>
      <c r="J81" s="7">
        <v>45903</v>
      </c>
      <c r="K81" s="7">
        <f t="shared" si="2"/>
        <v>45903</v>
      </c>
      <c r="L81" s="90" t="s">
        <v>185</v>
      </c>
    </row>
    <row r="82" spans="1:12" ht="24" customHeight="1">
      <c r="A82" s="24">
        <v>43</v>
      </c>
      <c r="B82" s="8" t="s">
        <v>109</v>
      </c>
      <c r="C82" s="3" t="s">
        <v>83</v>
      </c>
      <c r="D82" s="1" t="s">
        <v>84</v>
      </c>
      <c r="E82" s="4" t="s">
        <v>2</v>
      </c>
      <c r="F82" s="4">
        <v>19</v>
      </c>
      <c r="G82" s="4" t="s">
        <v>129</v>
      </c>
      <c r="H82" s="5">
        <v>1</v>
      </c>
      <c r="I82" s="5">
        <v>1</v>
      </c>
      <c r="J82" s="7">
        <v>40000</v>
      </c>
      <c r="K82" s="7">
        <f t="shared" si="2"/>
        <v>40000</v>
      </c>
      <c r="L82" s="90" t="s">
        <v>186</v>
      </c>
    </row>
    <row r="83" spans="1:12" ht="24" customHeight="1">
      <c r="A83" s="16">
        <v>44</v>
      </c>
      <c r="B83" s="23">
        <v>2547</v>
      </c>
      <c r="C83" s="3" t="s">
        <v>85</v>
      </c>
      <c r="D83" s="1" t="s">
        <v>86</v>
      </c>
      <c r="E83" s="23" t="s">
        <v>2</v>
      </c>
      <c r="F83" s="23">
        <v>18</v>
      </c>
      <c r="G83" s="4" t="s">
        <v>129</v>
      </c>
      <c r="H83" s="5">
        <v>1</v>
      </c>
      <c r="I83" s="5">
        <v>1</v>
      </c>
      <c r="J83" s="7">
        <v>27300</v>
      </c>
      <c r="K83" s="7">
        <f t="shared" si="2"/>
        <v>27300</v>
      </c>
      <c r="L83" s="90" t="s">
        <v>183</v>
      </c>
    </row>
    <row r="84" spans="1:12" ht="24" customHeight="1">
      <c r="A84" s="24">
        <v>45</v>
      </c>
      <c r="B84" s="23">
        <v>2548</v>
      </c>
      <c r="C84" s="3" t="s">
        <v>87</v>
      </c>
      <c r="D84" s="1" t="s">
        <v>88</v>
      </c>
      <c r="E84" s="23" t="s">
        <v>3</v>
      </c>
      <c r="F84" s="23">
        <v>17</v>
      </c>
      <c r="G84" s="4" t="s">
        <v>129</v>
      </c>
      <c r="H84" s="5">
        <v>3</v>
      </c>
      <c r="I84" s="5">
        <v>3</v>
      </c>
      <c r="J84" s="7">
        <v>3478</v>
      </c>
      <c r="K84" s="7">
        <f t="shared" si="2"/>
        <v>10434</v>
      </c>
      <c r="L84" s="90" t="s">
        <v>119</v>
      </c>
    </row>
    <row r="85" spans="1:12" ht="24" customHeight="1" thickBot="1">
      <c r="A85" s="42"/>
      <c r="B85" s="64"/>
      <c r="C85" s="44"/>
      <c r="D85" s="44"/>
      <c r="E85" s="31"/>
      <c r="F85" s="31"/>
      <c r="G85" s="31"/>
      <c r="H85" s="45"/>
      <c r="I85" s="45"/>
      <c r="J85" s="48" t="s">
        <v>133</v>
      </c>
      <c r="K85" s="48">
        <f>SUM(K69:K84)</f>
        <v>5003027</v>
      </c>
      <c r="L85" s="65"/>
    </row>
    <row r="86" spans="1:12" ht="24" customHeight="1" thickTop="1">
      <c r="A86" s="39"/>
      <c r="B86" s="33" t="s">
        <v>121</v>
      </c>
      <c r="C86" s="25" t="s">
        <v>122</v>
      </c>
      <c r="D86" s="9"/>
      <c r="E86" s="28"/>
      <c r="F86" s="28"/>
      <c r="G86" s="28"/>
      <c r="H86" s="54"/>
      <c r="I86" s="54"/>
      <c r="J86" s="41"/>
      <c r="K86" s="41"/>
      <c r="L86" s="33"/>
    </row>
    <row r="87" spans="1:12" ht="24" customHeight="1">
      <c r="A87" s="39"/>
      <c r="B87" s="33"/>
      <c r="C87" s="25" t="s">
        <v>123</v>
      </c>
      <c r="D87" s="9"/>
      <c r="E87" s="28"/>
      <c r="F87" s="28"/>
      <c r="G87" s="28"/>
      <c r="H87" s="54"/>
      <c r="I87" s="54"/>
      <c r="J87" s="41"/>
      <c r="K87" s="41"/>
      <c r="L87" s="33"/>
    </row>
    <row r="88" spans="1:12" ht="24" customHeight="1">
      <c r="A88" s="39"/>
      <c r="B88" s="40"/>
      <c r="C88" s="46"/>
      <c r="D88" s="52"/>
      <c r="E88" s="28"/>
      <c r="F88" s="28"/>
      <c r="G88" s="28"/>
      <c r="H88" s="54"/>
      <c r="I88" s="54"/>
      <c r="J88" s="41"/>
      <c r="K88" s="41"/>
      <c r="L88" s="33"/>
    </row>
    <row r="89" spans="1:12" ht="24" customHeight="1">
      <c r="A89" s="39"/>
      <c r="B89" s="40"/>
      <c r="C89" s="46"/>
      <c r="D89" s="52"/>
      <c r="E89" s="28"/>
      <c r="F89" s="28"/>
      <c r="G89" s="28"/>
      <c r="H89" s="100" t="s">
        <v>130</v>
      </c>
      <c r="I89" s="100"/>
      <c r="J89" s="100"/>
      <c r="K89" s="41"/>
      <c r="L89" s="33"/>
    </row>
    <row r="90" spans="1:12" ht="24" customHeight="1">
      <c r="A90" s="39"/>
      <c r="B90" s="40"/>
      <c r="C90" s="46"/>
      <c r="D90" s="52"/>
      <c r="E90" s="28"/>
      <c r="F90" s="28"/>
      <c r="G90" s="28"/>
      <c r="H90" s="100" t="s">
        <v>131</v>
      </c>
      <c r="I90" s="100"/>
      <c r="J90" s="100"/>
      <c r="K90" s="41"/>
      <c r="L90" s="33"/>
    </row>
    <row r="91" spans="1:12" ht="24" customHeight="1">
      <c r="A91" s="39"/>
      <c r="B91" s="40"/>
      <c r="C91" s="46"/>
      <c r="D91" s="52"/>
      <c r="E91" s="28"/>
      <c r="F91" s="28"/>
      <c r="G91" s="28"/>
      <c r="H91" s="100" t="s">
        <v>132</v>
      </c>
      <c r="I91" s="100"/>
      <c r="J91" s="100"/>
      <c r="K91" s="41"/>
      <c r="L91" s="33"/>
    </row>
    <row r="92" spans="1:12" ht="24" customHeight="1">
      <c r="A92" s="39"/>
      <c r="B92" s="40"/>
      <c r="C92" s="46"/>
      <c r="D92" s="52"/>
      <c r="E92" s="28"/>
      <c r="F92" s="28"/>
      <c r="G92" s="28"/>
      <c r="H92" s="54"/>
      <c r="I92" s="54"/>
      <c r="J92" s="41"/>
      <c r="K92" s="41"/>
      <c r="L92" s="33"/>
    </row>
    <row r="93" spans="1:12" ht="24" customHeight="1">
      <c r="A93" s="39"/>
      <c r="B93" s="61"/>
      <c r="C93" s="46"/>
      <c r="D93" s="46"/>
      <c r="E93" s="28"/>
      <c r="F93" s="28"/>
      <c r="G93" s="28"/>
      <c r="H93" s="54"/>
      <c r="I93" s="54"/>
      <c r="J93" s="62"/>
      <c r="K93" s="41"/>
      <c r="L93" s="63"/>
    </row>
    <row r="94" spans="1:12">
      <c r="L94" s="27" t="s">
        <v>192</v>
      </c>
    </row>
    <row r="95" spans="1:12" ht="24" customHeight="1">
      <c r="A95" s="107" t="s">
        <v>6</v>
      </c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4" customHeight="1">
      <c r="A96" s="96" t="s">
        <v>117</v>
      </c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</row>
    <row r="97" spans="1:12" ht="24" customHeight="1">
      <c r="A97" s="97" t="s">
        <v>193</v>
      </c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</row>
    <row r="98" spans="1:12" ht="24" customHeight="1">
      <c r="A98" s="98" t="s">
        <v>105</v>
      </c>
      <c r="B98" s="98" t="s">
        <v>124</v>
      </c>
      <c r="C98" s="98" t="s">
        <v>126</v>
      </c>
      <c r="D98" s="101" t="s">
        <v>0</v>
      </c>
      <c r="E98" s="98" t="s">
        <v>111</v>
      </c>
      <c r="F98" s="98" t="s">
        <v>112</v>
      </c>
      <c r="G98" s="103" t="s">
        <v>113</v>
      </c>
      <c r="H98" s="105" t="s">
        <v>1</v>
      </c>
      <c r="I98" s="106"/>
      <c r="J98" s="98" t="s">
        <v>127</v>
      </c>
      <c r="K98" s="98" t="s">
        <v>106</v>
      </c>
      <c r="L98" s="98" t="s">
        <v>114</v>
      </c>
    </row>
    <row r="99" spans="1:12" ht="70.5" customHeight="1">
      <c r="A99" s="99"/>
      <c r="B99" s="99"/>
      <c r="C99" s="99"/>
      <c r="D99" s="102"/>
      <c r="E99" s="99"/>
      <c r="F99" s="99"/>
      <c r="G99" s="104"/>
      <c r="H99" s="29" t="s">
        <v>115</v>
      </c>
      <c r="I99" s="30" t="s">
        <v>116</v>
      </c>
      <c r="J99" s="99"/>
      <c r="K99" s="99"/>
      <c r="L99" s="99"/>
    </row>
    <row r="100" spans="1:12" ht="24" customHeight="1">
      <c r="A100" s="16"/>
      <c r="B100" s="15"/>
      <c r="C100" s="3"/>
      <c r="D100" s="3"/>
      <c r="E100" s="23"/>
      <c r="F100" s="23"/>
      <c r="G100" s="4"/>
      <c r="H100" s="5"/>
      <c r="I100" s="5"/>
      <c r="J100" s="50" t="s">
        <v>135</v>
      </c>
      <c r="K100" s="51">
        <f>SUM(K85)</f>
        <v>5003027</v>
      </c>
      <c r="L100" s="23"/>
    </row>
    <row r="101" spans="1:12" ht="24" customHeight="1">
      <c r="A101" s="16">
        <v>46</v>
      </c>
      <c r="B101" s="23">
        <v>2548</v>
      </c>
      <c r="C101" s="3" t="s">
        <v>89</v>
      </c>
      <c r="D101" s="1" t="s">
        <v>90</v>
      </c>
      <c r="E101" s="23" t="s">
        <v>3</v>
      </c>
      <c r="F101" s="23">
        <v>17</v>
      </c>
      <c r="G101" s="4" t="s">
        <v>129</v>
      </c>
      <c r="H101" s="5">
        <v>6</v>
      </c>
      <c r="I101" s="5">
        <v>6</v>
      </c>
      <c r="J101" s="7">
        <v>1175</v>
      </c>
      <c r="K101" s="7">
        <f>SUM(I101*J101)</f>
        <v>7050</v>
      </c>
      <c r="L101" s="90" t="s">
        <v>187</v>
      </c>
    </row>
    <row r="102" spans="1:12" ht="24" customHeight="1">
      <c r="A102" s="24">
        <v>47</v>
      </c>
      <c r="B102" s="23">
        <v>2549</v>
      </c>
      <c r="C102" s="3" t="s">
        <v>91</v>
      </c>
      <c r="D102" s="20" t="s">
        <v>92</v>
      </c>
      <c r="E102" s="4" t="s">
        <v>100</v>
      </c>
      <c r="F102" s="4">
        <v>16</v>
      </c>
      <c r="G102" s="4" t="s">
        <v>129</v>
      </c>
      <c r="H102" s="5">
        <v>1</v>
      </c>
      <c r="I102" s="5">
        <v>1</v>
      </c>
      <c r="J102" s="7">
        <v>45000</v>
      </c>
      <c r="K102" s="7">
        <f t="shared" ref="K102:K105" si="3">SUM(I102*J102)</f>
        <v>45000</v>
      </c>
      <c r="L102" s="90" t="s">
        <v>188</v>
      </c>
    </row>
    <row r="103" spans="1:12" ht="24" customHeight="1">
      <c r="A103" s="16">
        <v>48</v>
      </c>
      <c r="B103" s="18" t="s">
        <v>110</v>
      </c>
      <c r="C103" s="3" t="s">
        <v>93</v>
      </c>
      <c r="D103" s="1" t="s">
        <v>94</v>
      </c>
      <c r="E103" s="4" t="s">
        <v>2</v>
      </c>
      <c r="F103" s="4">
        <v>14</v>
      </c>
      <c r="G103" s="4">
        <v>2</v>
      </c>
      <c r="H103" s="5">
        <v>1</v>
      </c>
      <c r="I103" s="5">
        <v>1</v>
      </c>
      <c r="J103" s="7">
        <v>59100</v>
      </c>
      <c r="K103" s="7">
        <f t="shared" si="3"/>
        <v>59100</v>
      </c>
      <c r="L103" s="90" t="s">
        <v>173</v>
      </c>
    </row>
    <row r="104" spans="1:12" ht="24" customHeight="1">
      <c r="A104" s="24">
        <v>49</v>
      </c>
      <c r="B104" s="13"/>
      <c r="C104" s="22"/>
      <c r="D104" s="14" t="s">
        <v>95</v>
      </c>
      <c r="E104" s="4" t="s">
        <v>2</v>
      </c>
      <c r="F104" s="4"/>
      <c r="G104" s="4" t="s">
        <v>129</v>
      </c>
      <c r="H104" s="21">
        <v>1</v>
      </c>
      <c r="I104" s="21">
        <v>1</v>
      </c>
      <c r="J104" s="11">
        <v>6200</v>
      </c>
      <c r="K104" s="7">
        <f t="shared" si="3"/>
        <v>6200</v>
      </c>
      <c r="L104" s="90" t="s">
        <v>191</v>
      </c>
    </row>
    <row r="105" spans="1:12" ht="24" customHeight="1">
      <c r="A105" s="16">
        <v>50</v>
      </c>
      <c r="B105" s="10"/>
      <c r="C105" s="22"/>
      <c r="D105" s="1" t="s">
        <v>96</v>
      </c>
      <c r="E105" s="23" t="s">
        <v>4</v>
      </c>
      <c r="F105" s="23"/>
      <c r="G105" s="4" t="s">
        <v>129</v>
      </c>
      <c r="H105" s="5">
        <v>2</v>
      </c>
      <c r="I105" s="5">
        <v>2</v>
      </c>
      <c r="J105" s="7">
        <v>16217.5</v>
      </c>
      <c r="K105" s="7">
        <f t="shared" si="3"/>
        <v>32435</v>
      </c>
      <c r="L105" s="90" t="s">
        <v>189</v>
      </c>
    </row>
    <row r="106" spans="1:12" ht="24" customHeight="1" thickBot="1">
      <c r="A106" s="66"/>
      <c r="B106" s="66"/>
      <c r="C106" s="66"/>
      <c r="D106" s="66"/>
      <c r="E106" s="66"/>
      <c r="F106" s="66"/>
      <c r="G106" s="66"/>
      <c r="H106" s="66"/>
      <c r="I106" s="66"/>
      <c r="J106" s="57" t="s">
        <v>151</v>
      </c>
      <c r="K106" s="7">
        <f>SUM(K100:K105)</f>
        <v>5152812</v>
      </c>
      <c r="L106" s="32"/>
    </row>
    <row r="107" spans="1:12" ht="24" customHeight="1" thickTop="1">
      <c r="A107" s="9"/>
      <c r="B107" s="33" t="s">
        <v>121</v>
      </c>
      <c r="C107" s="25" t="s">
        <v>122</v>
      </c>
      <c r="D107" s="9"/>
      <c r="E107" s="9"/>
      <c r="F107" s="9"/>
      <c r="G107" s="9"/>
      <c r="H107" s="28"/>
      <c r="I107" s="28"/>
      <c r="J107" s="9"/>
      <c r="K107" s="9"/>
      <c r="L107" s="33"/>
    </row>
    <row r="108" spans="1:12" ht="24" customHeight="1">
      <c r="A108" s="9"/>
      <c r="B108" s="33"/>
      <c r="C108" s="25" t="s">
        <v>123</v>
      </c>
      <c r="D108" s="9"/>
      <c r="E108" s="9"/>
      <c r="F108" s="9"/>
      <c r="G108" s="9"/>
      <c r="H108" s="28"/>
      <c r="I108" s="28"/>
      <c r="J108" s="9"/>
      <c r="K108" s="9"/>
      <c r="L108" s="33"/>
    </row>
    <row r="109" spans="1:12" ht="24" customHeight="1">
      <c r="A109" s="9"/>
      <c r="B109" s="33"/>
      <c r="C109" s="25"/>
      <c r="D109" s="9"/>
      <c r="E109" s="9"/>
      <c r="F109" s="9"/>
      <c r="G109" s="9"/>
      <c r="H109" s="28"/>
      <c r="I109" s="28"/>
      <c r="J109" s="9"/>
      <c r="K109" s="9"/>
      <c r="L109" s="33"/>
    </row>
    <row r="110" spans="1:12" ht="24" customHeight="1">
      <c r="A110" s="9"/>
      <c r="B110" s="33"/>
      <c r="C110" s="25"/>
      <c r="D110" s="9"/>
      <c r="E110" s="9"/>
      <c r="F110" s="9"/>
      <c r="G110" s="9"/>
      <c r="H110" s="100" t="s">
        <v>130</v>
      </c>
      <c r="I110" s="100"/>
      <c r="J110" s="100"/>
      <c r="K110" s="9"/>
      <c r="L110" s="33"/>
    </row>
    <row r="111" spans="1:12" ht="24" customHeight="1">
      <c r="H111" s="100" t="s">
        <v>131</v>
      </c>
      <c r="I111" s="100"/>
      <c r="J111" s="100"/>
    </row>
    <row r="112" spans="1:12" ht="24" customHeight="1">
      <c r="H112" s="100" t="s">
        <v>132</v>
      </c>
      <c r="I112" s="100"/>
      <c r="J112" s="100"/>
    </row>
    <row r="113" spans="1:12" ht="24" customHeight="1">
      <c r="H113" s="95"/>
      <c r="I113" s="95"/>
      <c r="J113" s="95"/>
    </row>
    <row r="114" spans="1:12" ht="24" customHeight="1">
      <c r="H114" s="95"/>
      <c r="I114" s="95"/>
      <c r="J114" s="95"/>
    </row>
    <row r="115" spans="1:12" ht="24" customHeight="1">
      <c r="H115" s="95"/>
      <c r="I115" s="95"/>
      <c r="J115" s="95"/>
    </row>
    <row r="116" spans="1:12" ht="24" customHeight="1">
      <c r="H116" s="95"/>
      <c r="I116" s="95"/>
      <c r="J116" s="95"/>
    </row>
    <row r="117" spans="1:12" ht="24" customHeight="1">
      <c r="H117" s="95"/>
      <c r="I117" s="95"/>
      <c r="J117" s="95"/>
    </row>
    <row r="118" spans="1:12" ht="24" customHeight="1">
      <c r="H118" s="95"/>
      <c r="I118" s="95"/>
      <c r="J118" s="95"/>
    </row>
    <row r="119" spans="1:12" ht="24" customHeight="1">
      <c r="H119" s="95"/>
      <c r="I119" s="95"/>
      <c r="J119" s="95"/>
    </row>
    <row r="120" spans="1:12" ht="24" customHeight="1">
      <c r="H120" s="95"/>
      <c r="I120" s="95"/>
      <c r="J120" s="95"/>
    </row>
    <row r="121" spans="1:12" ht="24" customHeight="1">
      <c r="H121" s="95"/>
      <c r="I121" s="95"/>
      <c r="J121" s="95"/>
    </row>
    <row r="125" spans="1:12" ht="24" customHeight="1">
      <c r="L125" s="27" t="s">
        <v>192</v>
      </c>
    </row>
    <row r="126" spans="1:12" ht="24" customHeight="1">
      <c r="A126" s="107" t="s">
        <v>6</v>
      </c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</row>
    <row r="127" spans="1:12" ht="24" customHeight="1">
      <c r="A127" s="96" t="s">
        <v>117</v>
      </c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</row>
    <row r="128" spans="1:12" ht="24" customHeight="1">
      <c r="A128" s="111" t="s">
        <v>194</v>
      </c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</row>
    <row r="129" spans="1:12" ht="24" customHeight="1">
      <c r="A129" s="98" t="s">
        <v>105</v>
      </c>
      <c r="B129" s="98" t="s">
        <v>124</v>
      </c>
      <c r="C129" s="98" t="s">
        <v>126</v>
      </c>
      <c r="D129" s="101" t="s">
        <v>0</v>
      </c>
      <c r="E129" s="98" t="s">
        <v>111</v>
      </c>
      <c r="F129" s="98" t="s">
        <v>112</v>
      </c>
      <c r="G129" s="103" t="s">
        <v>113</v>
      </c>
      <c r="H129" s="105" t="s">
        <v>1</v>
      </c>
      <c r="I129" s="106"/>
      <c r="J129" s="98" t="s">
        <v>127</v>
      </c>
      <c r="K129" s="98" t="s">
        <v>106</v>
      </c>
      <c r="L129" s="98" t="s">
        <v>114</v>
      </c>
    </row>
    <row r="130" spans="1:12" ht="24" customHeight="1">
      <c r="A130" s="99"/>
      <c r="B130" s="99"/>
      <c r="C130" s="99"/>
      <c r="D130" s="102"/>
      <c r="E130" s="99"/>
      <c r="F130" s="99"/>
      <c r="G130" s="104"/>
      <c r="H130" s="29" t="s">
        <v>115</v>
      </c>
      <c r="I130" s="30" t="s">
        <v>116</v>
      </c>
      <c r="J130" s="99"/>
      <c r="K130" s="99"/>
      <c r="L130" s="99"/>
    </row>
    <row r="131" spans="1:12" ht="24" customHeight="1">
      <c r="A131" s="55"/>
      <c r="B131" s="55"/>
      <c r="C131" s="55"/>
      <c r="D131" s="83"/>
      <c r="E131" s="55"/>
      <c r="F131" s="84"/>
      <c r="G131" s="56"/>
      <c r="H131" s="85"/>
      <c r="I131" s="30"/>
      <c r="J131" s="86" t="s">
        <v>135</v>
      </c>
      <c r="K131" s="87">
        <f>SUM(K106)</f>
        <v>5152812</v>
      </c>
      <c r="L131" s="55"/>
    </row>
    <row r="132" spans="1:12" ht="24" customHeight="1">
      <c r="A132" s="16">
        <v>51</v>
      </c>
      <c r="B132" s="8" t="s">
        <v>107</v>
      </c>
      <c r="C132" s="67" t="s">
        <v>136</v>
      </c>
      <c r="D132" s="68" t="s">
        <v>15</v>
      </c>
      <c r="E132" s="4" t="s">
        <v>2</v>
      </c>
      <c r="F132" s="69">
        <v>26</v>
      </c>
      <c r="G132" s="4" t="s">
        <v>129</v>
      </c>
      <c r="H132" s="69">
        <v>1</v>
      </c>
      <c r="I132" s="5">
        <v>1</v>
      </c>
      <c r="J132" s="70">
        <v>18500</v>
      </c>
      <c r="K132" s="71">
        <f>SUM(I132*J132)</f>
        <v>18500</v>
      </c>
      <c r="L132" s="89" t="s">
        <v>137</v>
      </c>
    </row>
    <row r="133" spans="1:12" ht="24" customHeight="1">
      <c r="A133" s="16">
        <v>52</v>
      </c>
      <c r="B133" s="8" t="s">
        <v>109</v>
      </c>
      <c r="C133" s="67" t="s">
        <v>138</v>
      </c>
      <c r="D133" s="68" t="s">
        <v>139</v>
      </c>
      <c r="E133" s="4" t="s">
        <v>2</v>
      </c>
      <c r="F133" s="69">
        <v>19</v>
      </c>
      <c r="G133" s="4" t="s">
        <v>129</v>
      </c>
      <c r="H133" s="69">
        <v>1</v>
      </c>
      <c r="I133" s="5">
        <v>1</v>
      </c>
      <c r="J133" s="70">
        <v>19795</v>
      </c>
      <c r="K133" s="71">
        <f t="shared" ref="K133:K136" si="4">SUM(I133*J133)</f>
        <v>19795</v>
      </c>
      <c r="L133" s="89" t="s">
        <v>140</v>
      </c>
    </row>
    <row r="134" spans="1:12" ht="24" customHeight="1">
      <c r="A134" s="16">
        <v>53</v>
      </c>
      <c r="B134" s="8" t="s">
        <v>141</v>
      </c>
      <c r="C134" s="72" t="s">
        <v>142</v>
      </c>
      <c r="D134" s="73" t="s">
        <v>143</v>
      </c>
      <c r="E134" s="4" t="s">
        <v>2</v>
      </c>
      <c r="F134" s="69">
        <v>12</v>
      </c>
      <c r="G134" s="4" t="s">
        <v>129</v>
      </c>
      <c r="H134" s="74">
        <v>2</v>
      </c>
      <c r="I134" s="5">
        <v>2</v>
      </c>
      <c r="J134" s="7">
        <v>15000</v>
      </c>
      <c r="K134" s="71">
        <f t="shared" si="4"/>
        <v>30000</v>
      </c>
      <c r="L134" s="89" t="s">
        <v>144</v>
      </c>
    </row>
    <row r="135" spans="1:12" ht="24" customHeight="1">
      <c r="A135" s="16">
        <v>54</v>
      </c>
      <c r="B135" s="8" t="s">
        <v>141</v>
      </c>
      <c r="C135" s="72" t="s">
        <v>145</v>
      </c>
      <c r="D135" s="73" t="s">
        <v>146</v>
      </c>
      <c r="E135" s="4" t="s">
        <v>2</v>
      </c>
      <c r="F135" s="69">
        <v>12</v>
      </c>
      <c r="G135" s="4" t="s">
        <v>129</v>
      </c>
      <c r="H135" s="74">
        <v>1</v>
      </c>
      <c r="I135" s="74">
        <v>1</v>
      </c>
      <c r="J135" s="7">
        <v>25000</v>
      </c>
      <c r="K135" s="71">
        <f t="shared" si="4"/>
        <v>25000</v>
      </c>
      <c r="L135" s="89" t="s">
        <v>147</v>
      </c>
    </row>
    <row r="136" spans="1:12" ht="24" customHeight="1">
      <c r="A136" s="16">
        <v>55</v>
      </c>
      <c r="B136" s="59" t="s">
        <v>141</v>
      </c>
      <c r="C136" s="75" t="s">
        <v>148</v>
      </c>
      <c r="D136" s="76" t="s">
        <v>149</v>
      </c>
      <c r="E136" s="60" t="s">
        <v>2</v>
      </c>
      <c r="F136" s="77">
        <v>12</v>
      </c>
      <c r="G136" s="4" t="s">
        <v>129</v>
      </c>
      <c r="H136" s="78">
        <v>1</v>
      </c>
      <c r="I136" s="37">
        <v>1</v>
      </c>
      <c r="J136" s="38">
        <v>4000</v>
      </c>
      <c r="K136" s="71">
        <f t="shared" si="4"/>
        <v>4000</v>
      </c>
      <c r="L136" s="93" t="s">
        <v>150</v>
      </c>
    </row>
    <row r="137" spans="1:12" ht="24" customHeight="1" thickBot="1">
      <c r="A137" s="108" t="s">
        <v>125</v>
      </c>
      <c r="B137" s="109"/>
      <c r="C137" s="109"/>
      <c r="D137" s="109"/>
      <c r="E137" s="109"/>
      <c r="F137" s="109"/>
      <c r="G137" s="109"/>
      <c r="H137" s="109"/>
      <c r="I137" s="109"/>
      <c r="J137" s="110"/>
      <c r="K137" s="79">
        <f>SUM(K131:K136)</f>
        <v>5250107</v>
      </c>
      <c r="L137" s="58"/>
    </row>
    <row r="138" spans="1:12" ht="24" customHeight="1" thickTop="1">
      <c r="A138" s="80"/>
      <c r="B138" s="33" t="s">
        <v>121</v>
      </c>
      <c r="C138" s="25" t="s">
        <v>122</v>
      </c>
      <c r="D138" s="9"/>
      <c r="E138" s="9"/>
      <c r="F138" s="9"/>
      <c r="G138" s="9"/>
      <c r="H138" s="28"/>
      <c r="I138" s="28"/>
      <c r="J138" s="9"/>
      <c r="K138" s="9"/>
      <c r="L138" s="2"/>
    </row>
    <row r="139" spans="1:12" ht="24" customHeight="1">
      <c r="A139" s="80"/>
      <c r="B139" s="33"/>
      <c r="C139" s="25" t="s">
        <v>123</v>
      </c>
      <c r="D139" s="9"/>
      <c r="E139" s="9"/>
      <c r="F139" s="9"/>
      <c r="G139" s="9"/>
      <c r="H139" s="28"/>
      <c r="I139" s="28"/>
      <c r="J139" s="9"/>
      <c r="K139" s="9"/>
      <c r="L139" s="2"/>
    </row>
    <row r="140" spans="1:12" ht="24" customHeight="1">
      <c r="A140" s="81"/>
      <c r="B140" s="33"/>
      <c r="C140" s="25"/>
      <c r="D140" s="9"/>
      <c r="E140" s="9"/>
      <c r="F140" s="9"/>
      <c r="G140" s="9"/>
      <c r="H140" s="28"/>
      <c r="I140" s="28"/>
      <c r="J140" s="9"/>
      <c r="K140" s="9"/>
      <c r="L140" s="82"/>
    </row>
    <row r="141" spans="1:12" ht="24" customHeight="1">
      <c r="A141" s="81"/>
      <c r="B141" s="33"/>
      <c r="C141" s="25"/>
      <c r="D141" s="9"/>
      <c r="E141" s="9"/>
      <c r="F141" s="9"/>
      <c r="G141" s="9"/>
      <c r="H141" s="100" t="s">
        <v>130</v>
      </c>
      <c r="I141" s="100"/>
      <c r="J141" s="100"/>
      <c r="K141" s="9"/>
      <c r="L141" s="82"/>
    </row>
    <row r="142" spans="1:12" ht="24" customHeight="1">
      <c r="A142" s="9"/>
      <c r="H142" s="100" t="s">
        <v>131</v>
      </c>
      <c r="I142" s="100"/>
      <c r="J142" s="100"/>
      <c r="L142" s="82"/>
    </row>
    <row r="143" spans="1:12" ht="24" customHeight="1">
      <c r="A143" s="9"/>
      <c r="H143" s="100" t="s">
        <v>132</v>
      </c>
      <c r="I143" s="100"/>
      <c r="J143" s="100"/>
    </row>
    <row r="144" spans="1:12" ht="24" customHeight="1">
      <c r="A144" s="9"/>
    </row>
    <row r="145" spans="1:1" ht="24" customHeight="1">
      <c r="A145" s="9"/>
    </row>
  </sheetData>
  <mergeCells count="86">
    <mergeCell ref="A137:J137"/>
    <mergeCell ref="H142:J142"/>
    <mergeCell ref="H143:J143"/>
    <mergeCell ref="H141:J141"/>
    <mergeCell ref="A127:L127"/>
    <mergeCell ref="A128:L128"/>
    <mergeCell ref="A129:A130"/>
    <mergeCell ref="B129:B130"/>
    <mergeCell ref="C129:C130"/>
    <mergeCell ref="D129:D130"/>
    <mergeCell ref="E129:E130"/>
    <mergeCell ref="F129:F130"/>
    <mergeCell ref="G129:G130"/>
    <mergeCell ref="H129:I129"/>
    <mergeCell ref="J129:J130"/>
    <mergeCell ref="K129:K130"/>
    <mergeCell ref="L129:L130"/>
    <mergeCell ref="H110:J110"/>
    <mergeCell ref="H111:J111"/>
    <mergeCell ref="H112:J112"/>
    <mergeCell ref="A126:L126"/>
    <mergeCell ref="A96:L96"/>
    <mergeCell ref="A97:L97"/>
    <mergeCell ref="A98:A99"/>
    <mergeCell ref="B98:B99"/>
    <mergeCell ref="C98:C99"/>
    <mergeCell ref="D98:D99"/>
    <mergeCell ref="E98:E99"/>
    <mergeCell ref="F98:F99"/>
    <mergeCell ref="G98:G99"/>
    <mergeCell ref="H98:I98"/>
    <mergeCell ref="J98:J99"/>
    <mergeCell ref="K98:K99"/>
    <mergeCell ref="L98:L99"/>
    <mergeCell ref="H89:J89"/>
    <mergeCell ref="H90:J90"/>
    <mergeCell ref="H91:J91"/>
    <mergeCell ref="A95:L95"/>
    <mergeCell ref="A65:L65"/>
    <mergeCell ref="A66:L66"/>
    <mergeCell ref="A67:A68"/>
    <mergeCell ref="B67:B68"/>
    <mergeCell ref="C67:C68"/>
    <mergeCell ref="D67:D68"/>
    <mergeCell ref="E67:E68"/>
    <mergeCell ref="F67:F68"/>
    <mergeCell ref="G67:G68"/>
    <mergeCell ref="H67:I67"/>
    <mergeCell ref="J67:J68"/>
    <mergeCell ref="K67:K68"/>
    <mergeCell ref="L67:L68"/>
    <mergeCell ref="A64:L64"/>
    <mergeCell ref="H59:J59"/>
    <mergeCell ref="H60:J60"/>
    <mergeCell ref="H36:I36"/>
    <mergeCell ref="J36:J37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:L2"/>
    <mergeCell ref="A3:L3"/>
    <mergeCell ref="A4:L4"/>
    <mergeCell ref="H27:J27"/>
    <mergeCell ref="H28:J28"/>
    <mergeCell ref="H29:J29"/>
    <mergeCell ref="A33:L33"/>
    <mergeCell ref="A34:L34"/>
    <mergeCell ref="A35:L35"/>
    <mergeCell ref="A36:A37"/>
    <mergeCell ref="B36:B37"/>
    <mergeCell ref="L36:L37"/>
    <mergeCell ref="H58:J58"/>
    <mergeCell ref="C36:C37"/>
    <mergeCell ref="D36:D37"/>
    <mergeCell ref="E36:E37"/>
    <mergeCell ref="F36:F37"/>
    <mergeCell ref="K36:K37"/>
    <mergeCell ref="G36:G37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แผนกช่างยนต์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2022-10-18T06:48:21Z</cp:lastPrinted>
  <dcterms:created xsi:type="dcterms:W3CDTF">2017-11-14T01:32:33Z</dcterms:created>
  <dcterms:modified xsi:type="dcterms:W3CDTF">2022-10-18T07:06:38Z</dcterms:modified>
</cp:coreProperties>
</file>