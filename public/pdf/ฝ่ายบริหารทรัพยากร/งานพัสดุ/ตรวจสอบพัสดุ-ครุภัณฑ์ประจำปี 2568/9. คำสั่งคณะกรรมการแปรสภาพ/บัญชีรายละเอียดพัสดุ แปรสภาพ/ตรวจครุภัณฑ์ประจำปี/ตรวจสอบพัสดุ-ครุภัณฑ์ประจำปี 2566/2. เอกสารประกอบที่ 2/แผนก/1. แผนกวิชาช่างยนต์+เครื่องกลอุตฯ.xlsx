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ใหม่\ตรวจครุภัณฑ์ประจำปี\ตรวจสอบพัสดุ-ครุภัณฑ์ประจำปี 2566\2. เอกสารประกอบที่ 2\แผนก\"/>
    </mc:Choice>
  </mc:AlternateContent>
  <xr:revisionPtr revIDLastSave="0" documentId="13_ncr:1_{1BCBA135-799F-4353-BC02-17CC3AB22306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ช่างยนต์" sheetId="45" r:id="rId1"/>
    <sheet name="สาขาเครื่องกลอุตสาหกรรม" sheetId="46" r:id="rId2"/>
  </sheets>
  <definedNames>
    <definedName name="_xlnm.Print_Titles" localSheetId="0">แผนกช่างยนต์!$1:$4</definedName>
    <definedName name="_xlnm.Print_Titles" localSheetId="1">สาขาเครื่องกลอุตสาหกรรม!#REF!</definedName>
  </definedNames>
  <calcPr calcId="191029"/>
</workbook>
</file>

<file path=xl/calcChain.xml><?xml version="1.0" encoding="utf-8"?>
<calcChain xmlns="http://schemas.openxmlformats.org/spreadsheetml/2006/main">
  <c r="H104" i="45" l="1"/>
  <c r="H103" i="45"/>
  <c r="H102" i="45"/>
  <c r="H6" i="46"/>
  <c r="H7" i="46"/>
  <c r="H8" i="46"/>
  <c r="H9" i="46"/>
  <c r="H10" i="46"/>
  <c r="H11" i="46"/>
  <c r="H12" i="46"/>
  <c r="H13" i="46"/>
  <c r="H14" i="46"/>
  <c r="H15" i="46"/>
  <c r="H16" i="46"/>
  <c r="H17" i="46"/>
  <c r="H18" i="46"/>
  <c r="H19" i="46"/>
  <c r="H20" i="46"/>
  <c r="H21" i="46"/>
  <c r="H22" i="46"/>
  <c r="H23" i="46"/>
  <c r="H5" i="46"/>
  <c r="H24" i="46" s="1"/>
  <c r="H101" i="45"/>
  <c r="H100" i="45"/>
  <c r="H93" i="45" l="1"/>
  <c r="H92" i="45"/>
  <c r="H89" i="45"/>
  <c r="H88" i="45"/>
  <c r="H87" i="45"/>
  <c r="H86" i="45"/>
  <c r="H85" i="45"/>
  <c r="H84" i="45"/>
  <c r="H83" i="45"/>
  <c r="H82" i="45"/>
  <c r="H81" i="45"/>
  <c r="H80" i="45"/>
  <c r="H79" i="45"/>
  <c r="H78" i="45"/>
  <c r="H77" i="45"/>
  <c r="H76" i="45"/>
  <c r="H75" i="45"/>
  <c r="H74" i="45"/>
  <c r="H73" i="45"/>
  <c r="H72" i="45"/>
  <c r="H71" i="45"/>
  <c r="H70" i="45"/>
  <c r="H69" i="45"/>
  <c r="H68" i="45"/>
  <c r="H67" i="45"/>
  <c r="H66" i="45"/>
  <c r="H65" i="45"/>
  <c r="H64" i="45"/>
  <c r="H63" i="45"/>
  <c r="H62" i="45"/>
  <c r="H61" i="45"/>
  <c r="H60" i="45"/>
  <c r="H59" i="45"/>
  <c r="H58" i="45"/>
  <c r="H57" i="45"/>
  <c r="H56" i="45"/>
  <c r="H55" i="45"/>
  <c r="H54" i="45"/>
  <c r="H53" i="45"/>
  <c r="H52" i="45"/>
  <c r="H51" i="45"/>
  <c r="H50" i="45"/>
  <c r="H49" i="45"/>
  <c r="H46" i="45"/>
  <c r="H45" i="45"/>
  <c r="H44" i="45"/>
  <c r="H43" i="45"/>
  <c r="H42" i="45"/>
  <c r="H41" i="45"/>
  <c r="H40" i="45"/>
  <c r="H39" i="45"/>
  <c r="H38" i="45"/>
  <c r="H37" i="45"/>
  <c r="H36" i="45"/>
  <c r="H35" i="45"/>
  <c r="H34" i="45"/>
  <c r="H33" i="45"/>
  <c r="H32" i="45"/>
  <c r="H31" i="45"/>
  <c r="H30" i="45"/>
  <c r="H29" i="45"/>
  <c r="H28" i="45"/>
  <c r="H27" i="45"/>
  <c r="H26" i="45"/>
  <c r="H25" i="45"/>
  <c r="H24" i="45"/>
  <c r="H23" i="45"/>
  <c r="H22" i="45"/>
  <c r="H21" i="45"/>
  <c r="H20" i="45"/>
  <c r="H19" i="45"/>
  <c r="H18" i="45"/>
  <c r="H17" i="45"/>
  <c r="H16" i="45"/>
  <c r="H15" i="45"/>
  <c r="H14" i="45"/>
  <c r="H13" i="45"/>
  <c r="H12" i="45"/>
  <c r="H11" i="45"/>
  <c r="H10" i="45"/>
  <c r="H9" i="45"/>
  <c r="H8" i="45"/>
  <c r="H7" i="45"/>
  <c r="H6" i="45"/>
  <c r="H5" i="45"/>
  <c r="H47" i="45" l="1"/>
  <c r="H48" i="45" s="1"/>
  <c r="H90" i="45" s="1"/>
  <c r="H91" i="45" s="1"/>
</calcChain>
</file>

<file path=xl/sharedStrings.xml><?xml version="1.0" encoding="utf-8"?>
<sst xmlns="http://schemas.openxmlformats.org/spreadsheetml/2006/main" count="445" uniqueCount="251">
  <si>
    <t>รายการ ขนาด ลักษณะ</t>
  </si>
  <si>
    <t>จำนวน</t>
  </si>
  <si>
    <t>หมายเหตุ</t>
  </si>
  <si>
    <t>ตู้เหล็ก 2 บานเปิด</t>
  </si>
  <si>
    <t>งปม.</t>
  </si>
  <si>
    <t>บกศ.</t>
  </si>
  <si>
    <t>หัวหน้าหน่วยจ่าย/หน่วยเบิก</t>
  </si>
  <si>
    <t>รวมเป็นเงิน</t>
  </si>
  <si>
    <t>ปกอ.</t>
  </si>
  <si>
    <t>ชุดเครื่องคอมพิวเตอร์</t>
  </si>
  <si>
    <t xml:space="preserve"> สถานศึกษา วิทยาลัยเทคนิคกันทรลักษ์</t>
  </si>
  <si>
    <t>5120-024-0004/391-001</t>
  </si>
  <si>
    <t>เครื่องมือบริการหัวฉีดดีเซล</t>
  </si>
  <si>
    <t>4910-008-0001/391-001</t>
  </si>
  <si>
    <t>5120-024-0006/391-001</t>
  </si>
  <si>
    <t>เครื่องมือละเอียดช่างยนต์</t>
  </si>
  <si>
    <t>5120-024-0007/391-001</t>
  </si>
  <si>
    <t>เครื่องมือช่างยนต์ทั่วไป</t>
  </si>
  <si>
    <t>4910-016-0001/391-001-391-002</t>
  </si>
  <si>
    <t>แม่แรงตะเฆ่  2  ตัน</t>
  </si>
  <si>
    <t>7110-007-0009.3/391-016-023</t>
  </si>
  <si>
    <t>โต๊ะปฏิบัติงาน</t>
  </si>
  <si>
    <t>7125-004-0007/391-001-005</t>
  </si>
  <si>
    <t>ชั้นวางเครื่องมือและชิ้นส่วนแบบเคลื่อนที่</t>
  </si>
  <si>
    <t>6910-001-0001.1/391-001</t>
  </si>
  <si>
    <t>ชุดอุปกรณ์ฝึกเครื่องยนต์ดีเซล</t>
  </si>
  <si>
    <t>3442-002-0002/391-001</t>
  </si>
  <si>
    <t>เครื่องอัดจาระบีแบบเคลื่อนที่ได้ใช้ลม</t>
  </si>
  <si>
    <t>3810-003-0001/391-001</t>
  </si>
  <si>
    <t>ปั่นจันรอกโซ่ ขนาด 3 ตัน</t>
  </si>
  <si>
    <t>3442-004-0001/391-001</t>
  </si>
  <si>
    <t>แท่นอัดไฮดรอลิกส์ 50 ตัน</t>
  </si>
  <si>
    <t>3442-002-0001/391-001</t>
  </si>
  <si>
    <t>เครื่องมืออัดอากาศ ขนาด 300  ลิตร</t>
  </si>
  <si>
    <t>5180-003-0001/401-001</t>
  </si>
  <si>
    <t>2920-002-0001/401-001-401-002</t>
  </si>
  <si>
    <t>ชุดอุปกรณ์ฝึกไฟฟ้ารถยนต์</t>
  </si>
  <si>
    <t>2530-009-0001/401-001</t>
  </si>
  <si>
    <t>ชุดอุปกรณ์ฝึกระบบเครื่องล่าง</t>
  </si>
  <si>
    <t>4910-035-0002/401-001</t>
  </si>
  <si>
    <t>ชุดปฏิบัติการช่างซ่อมรถจักรยานยนต์</t>
  </si>
  <si>
    <t>2805-001-0001/401-001</t>
  </si>
  <si>
    <t>ชุดปฏิบัติการช่างยนต์แก๊สโซลีนเล็ก</t>
  </si>
  <si>
    <t>2520-014-0001/401-001</t>
  </si>
  <si>
    <t>ชุดอุปกรณ์ฝึกระบบส่งกำลัง</t>
  </si>
  <si>
    <t>2815-001-0002/401-001</t>
  </si>
  <si>
    <t>2520-002-0001/401-001</t>
  </si>
  <si>
    <t>เครื่องสาธิตการทำงานของคลัทซ์</t>
  </si>
  <si>
    <t>3010-006-0001/401-001</t>
  </si>
  <si>
    <t>เครื่องสาธิตการทำงานของเกียร์อัตโนมัติ</t>
  </si>
  <si>
    <t>3010-004-0001/401-001</t>
  </si>
  <si>
    <t>เครื่องสาธิตการทำงานของเกียร์ธรรมดา</t>
  </si>
  <si>
    <t>2925-011-0001/401-001</t>
  </si>
  <si>
    <t>เครื่องสาธิตการทำงานของอัลเตอเนเตอร์</t>
  </si>
  <si>
    <t>2925-017-0001/401-001</t>
  </si>
  <si>
    <t>เครื่องสาธิตการทำงานของมอเตอร์สตาร์ท</t>
  </si>
  <si>
    <t>3020-003-0001/401-001</t>
  </si>
  <si>
    <t>5950-002-0001/401-001</t>
  </si>
  <si>
    <t>เครื่องสาธิตการทำงานของคอยล์</t>
  </si>
  <si>
    <t>2530-006-0001/401-001</t>
  </si>
  <si>
    <t>เครื่องสาธิตระบบแวคกัมเบรกบอสเตอร์</t>
  </si>
  <si>
    <t>2530-005-0001/401-001</t>
  </si>
  <si>
    <t>เครื่องสาธิตระบบดับเบิ้ลเซอร์คิทเบรค</t>
  </si>
  <si>
    <t>1680-009-0001/401-001</t>
  </si>
  <si>
    <t>เครื่องสาธิตการทำงานของพวงมาลัย</t>
  </si>
  <si>
    <t>3460-007-0001/401-001</t>
  </si>
  <si>
    <t>แม่แรงยกกระปุกเกียร์</t>
  </si>
  <si>
    <t>4910-012-0001/401-001</t>
  </si>
  <si>
    <t>เครื่องมือถอดประกอบและบริการไฟฟ้ารถยนต์</t>
  </si>
  <si>
    <t>4910-007-0001/401-001</t>
  </si>
  <si>
    <t>เครื่องมือบริการระบบเบรค</t>
  </si>
  <si>
    <t>4910-012-0003/401-001</t>
  </si>
  <si>
    <t>4910-012-0002/401-001</t>
  </si>
  <si>
    <t>เครื่องตรวจอาเมเจอร์</t>
  </si>
  <si>
    <t>2340-005-0004/401-001-401-003</t>
  </si>
  <si>
    <t>เครื่องจักรยานยนต์  4  สูบ  4  จังหวะ</t>
  </si>
  <si>
    <t>2340-005-0003/401-001-401-003</t>
  </si>
  <si>
    <t>เครื่องจักรยานยนต์  2  สูบ  4  จังหวะ</t>
  </si>
  <si>
    <t>2340-005-0002/401-001-401-005</t>
  </si>
  <si>
    <t>2340-005-0001/401-001-401-005</t>
  </si>
  <si>
    <t>4910-002-0001/401-001</t>
  </si>
  <si>
    <t>เครื่องยกรถจักรยานยนต์</t>
  </si>
  <si>
    <t>4130-008-0001/411-001</t>
  </si>
  <si>
    <t>เครื่องค้นหารอยรั่วน้ำยาแอร์แบบเปลวไฟ</t>
  </si>
  <si>
    <t>4110-002-0001/411-001</t>
  </si>
  <si>
    <t>ชุดเครื่องปรับอากาศรถยนต์</t>
  </si>
  <si>
    <t>4330-004-0001/441-001</t>
  </si>
  <si>
    <t>เครื่องมืออัดและบริการบูช</t>
  </si>
  <si>
    <t>4940-004-0001/441-001</t>
  </si>
  <si>
    <t>เครื่องพ่นสีรถยนต์</t>
  </si>
  <si>
    <t>4230-006-0001/441-001</t>
  </si>
  <si>
    <t>ห้องพ่นสีและอบสีรถยนต์</t>
  </si>
  <si>
    <t>4910-003-0001/451-001</t>
  </si>
  <si>
    <t>เครื่องยกรถชนิด 2 เสา</t>
  </si>
  <si>
    <t>2815-001-0003/452-001</t>
  </si>
  <si>
    <t>เครื่องยนต์ อีซูซุ C 223 262962</t>
  </si>
  <si>
    <t>7440-001-0001/462-002</t>
  </si>
  <si>
    <t>4910-035-0004/461-001</t>
  </si>
  <si>
    <t>เครื่องถอดยางรถยนต์</t>
  </si>
  <si>
    <t>3445-001-0001/461-005</t>
  </si>
  <si>
    <t>เครื่องเจาะตั้งโต๊ะ 13 มม.พร้อมอุปกรณ์</t>
  </si>
  <si>
    <t>4910-033-0001/461-001</t>
  </si>
  <si>
    <t>เครื่องสมดุลล้อรถยนต์แบบนอกรถ</t>
  </si>
  <si>
    <t>3431-003-0001/461-011</t>
  </si>
  <si>
    <t>เครื่องเชื่อมไฟฟ้าแบบ  AC/DC</t>
  </si>
  <si>
    <t>3445-002-0001/461-001</t>
  </si>
  <si>
    <t>เครื่องตัดไฟเบอร์  14 มาลีต้า</t>
  </si>
  <si>
    <t>6910-001-0008/461-001</t>
  </si>
  <si>
    <t>ชุดฝึกจักรยานยนต์ 4 จังหวะ</t>
  </si>
  <si>
    <t>6910-001-0009/461-001-461-002</t>
  </si>
  <si>
    <t>ชุดฝึกเครื่องยนต์โซลีน</t>
  </si>
  <si>
    <t>6910-001-0011/461-004</t>
  </si>
  <si>
    <t>ชุดฝึกเครื่องยนต์ดีเซล</t>
  </si>
  <si>
    <t>6910-001-0011/461-005</t>
  </si>
  <si>
    <t>6910-001-0012/461-001</t>
  </si>
  <si>
    <t>6910-001-0013/461-001</t>
  </si>
  <si>
    <t>ชุดฝึกเครื่องดีเซลควบคุมด้วยอิเล็กทรอนิกส์</t>
  </si>
  <si>
    <t>ชุดฝึกวงจรอิเล็กทรอนิกส์เบื้องต้น</t>
  </si>
  <si>
    <t>6130-001-0001/461-001</t>
  </si>
  <si>
    <t>ชุดฝึกเครื่องช่วยสตาร์ท</t>
  </si>
  <si>
    <t>6130-001-0001/471-002</t>
  </si>
  <si>
    <t>เครื่องประจุแบตเตอรี่แบบเร็ว</t>
  </si>
  <si>
    <t>2805-001-0001/482-001-005</t>
  </si>
  <si>
    <t>เครื่องยนต์ SAMTO 5.5 HP</t>
  </si>
  <si>
    <t>2805-001-0002/482-002-004</t>
  </si>
  <si>
    <t>เครื่องยนต์สูบเฉียง HONDA 5.5 HP</t>
  </si>
  <si>
    <t>4140-001-0002/482-001-003</t>
  </si>
  <si>
    <t>พัดลมโรงงาน 30 นิ้ว</t>
  </si>
  <si>
    <t>4140-001-0003/482-013-018</t>
  </si>
  <si>
    <t>พัดลมโคจร 16  นิ้ว</t>
  </si>
  <si>
    <t>2815-001-0004/493-001</t>
  </si>
  <si>
    <t>เครื่องยนต์ TOYOTA 2 L</t>
  </si>
  <si>
    <t>5810-004-0001/491-001</t>
  </si>
  <si>
    <t>เครื่องมือพร้อมตู้</t>
  </si>
  <si>
    <t>6910-012-0001/491-001</t>
  </si>
  <si>
    <t>เครื่องปั้มลม</t>
  </si>
  <si>
    <t>6910-001-0018/491-001</t>
  </si>
  <si>
    <t>ชุดการควบคุมของระบบคอมมอลเรลพร้อม</t>
  </si>
  <si>
    <t>6910-001-0019/491-001</t>
  </si>
  <si>
    <t>6910-001-0020/491-001</t>
  </si>
  <si>
    <t>2815-001-0001/492-001</t>
  </si>
  <si>
    <t>7110-002-0005/502-014-015</t>
  </si>
  <si>
    <t>3432-005-0002/502-001</t>
  </si>
  <si>
    <t>เครื่องเชื่อมจุด ขนาด 4KVA 3460N</t>
  </si>
  <si>
    <t>7110-002-0005/502-017-018</t>
  </si>
  <si>
    <t>ตู้เอกสาร 2 บานเปิด</t>
  </si>
  <si>
    <t>2815-001-0005/523-001</t>
  </si>
  <si>
    <t>4960-002-0001/523-001</t>
  </si>
  <si>
    <t>แท่นประกอบเครื่อง</t>
  </si>
  <si>
    <t>3940-005-0001/521-001</t>
  </si>
  <si>
    <t>เครนยกเครื่องยนต์ ขนาด 1 ตัน</t>
  </si>
  <si>
    <t>6910-001-0026/531-001-011</t>
  </si>
  <si>
    <t>โต๊ะฝึกปฏิบัติงาน ขนาด 1200*1200*700</t>
  </si>
  <si>
    <t>6910-001-0025/531-001</t>
  </si>
  <si>
    <t>เครื่องวัดละเอียดงานซ่อมเครื่องยนต์</t>
  </si>
  <si>
    <t>6910-001-0035/531-001</t>
  </si>
  <si>
    <t>6910-001-0036/531-001</t>
  </si>
  <si>
    <t>ชุดฝึกไฟฟ้ารถยนต์พร้อมซอฟแวร์</t>
  </si>
  <si>
    <t>คอมเพรสเซอร์ 24000 BTU</t>
  </si>
  <si>
    <t>ชุดทดลองปั้มดีเซล</t>
  </si>
  <si>
    <t>เครื่องสาธิตการทำงานของเครื่องหัวฉีดอิเล็กทรอนิกส์</t>
  </si>
  <si>
    <t>เครื่องจักรยานยนต์ 1 สูบ 4 จังหวะขนาด 90-125 CC</t>
  </si>
  <si>
    <t>เครื่องจักรยานยนต์ 1 สูบ 2 จังหวะขนาด 80-120 CC</t>
  </si>
  <si>
    <t>เครื่องยนต์ดีเซล อีซูซุ ซุเปอร์คอมมอลเรล รุ่น 4JK1-TC 2500 Ddi</t>
  </si>
  <si>
    <t>ชุดฝึกไฟฟ้าอิเล็กทรอนิกส์ยานยนต์ พร้อมซอฟแวร์</t>
  </si>
  <si>
    <t>4910-002-0001/611-001</t>
  </si>
  <si>
    <t>แบบสามมิติ จำนวน 1 เครื่อง</t>
  </si>
  <si>
    <t>1. เครื่องตั้งศูนย์ล้อระบบคอมพิวเตอร์</t>
  </si>
  <si>
    <t>2. สะพานสำหรับตั้งศูนย์ จำนวน 1 เครื่อง</t>
  </si>
  <si>
    <t>3. เครื่องถ่วงล้อรถยนต์ จำนวน 1 เครื่อง</t>
  </si>
  <si>
    <t>4. เครื่องถอดยางรถยนต์ จำนวน 1 เครื่อง</t>
  </si>
  <si>
    <t>5. มัลติมิเตอร์วัดค่าทางไฟฟ้า จำนวน 1 เครื่อง</t>
  </si>
  <si>
    <t>(นายวัฒนา  ทองเทพ)</t>
  </si>
  <si>
    <t>บริจาค</t>
  </si>
  <si>
    <t>เครื่องล้างและทดสอบหัวเทียนของน้ำมันเชื้อเพลิง</t>
  </si>
  <si>
    <t>เครื่องสาธิตการทำงานของเฟืองท้าย แบบ HYPOID</t>
  </si>
  <si>
    <t>เครื่องทดสอบอัลเทอเนเตอร์เรกกูเรเตอร์ และมอเตอร์สตาร์ท</t>
  </si>
  <si>
    <t>ชุดฝึกเครื่องยนต์แก๊สโซลีนใช้หัวฉีดแบบ อิเล็กทรอนิกส์</t>
  </si>
  <si>
    <t>ชุดอุปกรณ์เซนเซอร์สำหรับระบบ คอมมอลเรล</t>
  </si>
  <si>
    <t>ชุดโปรแกรมการวัดและการทดลองแบบ  CBT พร้อมแหล่งจ่ายไฟ</t>
  </si>
  <si>
    <t xml:space="preserve">เครื่องยนต์ดีเซลเล็กไม่ต่ำกว่า 9.5 แรง พร้อมชุดเกียร์ </t>
  </si>
  <si>
    <t>เครื่องมือถอดประกอบชุดระบบส่งกำลัง และเครื่องล่างรถยนต์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</si>
  <si>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</si>
  <si>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</si>
  <si>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</si>
  <si>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</si>
  <si>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</si>
  <si>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</si>
  <si>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ยอดยกไป</t>
  </si>
  <si>
    <t>ยอดยกมา</t>
  </si>
  <si>
    <t xml:space="preserve"> ....................................................</t>
  </si>
  <si>
    <t>ชุดปฏิบัติการช่วงล่างรถยนต์แบบกล้อง 3D ประกอบด้วย</t>
  </si>
  <si>
    <t>เครื่องพิมพ์เลเซอร์</t>
  </si>
  <si>
    <t>7440-010-0002/642-011(13)</t>
  </si>
  <si>
    <t>2539</t>
  </si>
  <si>
    <t>2540</t>
  </si>
  <si>
    <t>2545</t>
  </si>
  <si>
    <t>2546</t>
  </si>
  <si>
    <t>2552</t>
  </si>
  <si>
    <t>2553</t>
  </si>
  <si>
    <t>บัญชีรายการ แผนกวิชาช่างยนต์  คงเหลือ</t>
  </si>
  <si>
    <t>6910-001-0014/461-001-461-002</t>
  </si>
  <si>
    <t>บัญชีรายการ แผนกวิชาช่างยนต์ สาขาเครื่องกลอุตสาหกรรม คงเหลือ</t>
  </si>
  <si>
    <t>7110-007-0009.3/391-024-027</t>
  </si>
  <si>
    <t>7125-004-0007/391-006-010</t>
  </si>
  <si>
    <t>4910-016-0001/391-003</t>
  </si>
  <si>
    <t>2340-005-002/401-006</t>
  </si>
  <si>
    <t>เครื่องจักรยานยนต์ 1 สูบ 4 จังหวะ ขนาด 90-125 cc</t>
  </si>
  <si>
    <t>2340-005-001/401-006</t>
  </si>
  <si>
    <t>เครื่องจักรยานยนต์ 1 สูบ 4 จังหวะ ขนาด 80-125 cc</t>
  </si>
  <si>
    <t>6910-001-0009/461-003-004</t>
  </si>
  <si>
    <t>ชุดฝึกเครื่องยนต์แก๊สโซลีน</t>
  </si>
  <si>
    <t>3470-002-0002/461-001</t>
  </si>
  <si>
    <t>ชุดเชื่อมแก๊สพร้อมอุปกรณ์เคลื่อนที่</t>
  </si>
  <si>
    <t>6910-001-0011/461-001-003</t>
  </si>
  <si>
    <t>2805-001-0001/482-005</t>
  </si>
  <si>
    <t>เครื่องยนต์ Samto 5.5</t>
  </si>
  <si>
    <t>7110-002-0005/502-018-019</t>
  </si>
  <si>
    <t>ตู้เหล็ก  2  บานทึบ</t>
  </si>
  <si>
    <t>7440-001-0001/531-101-102</t>
  </si>
  <si>
    <t>เครื่องคอมพิวเตอร์พร้อมโต๊ะ</t>
  </si>
  <si>
    <t>6730-001-0003/531-005</t>
  </si>
  <si>
    <t>เครื่องฉายมัลติมีเดียโปรเจกเตอร์</t>
  </si>
  <si>
    <t>7430-008-0002/531-029</t>
  </si>
  <si>
    <t>เครื่องปริ้นเตอร์</t>
  </si>
  <si>
    <t>7440-001-0014/551-001</t>
  </si>
  <si>
    <t>ชุดครุภัณฑ์ปฏิบัติการสาขางานออกแบบ</t>
  </si>
  <si>
    <t>5130-007-0003/641-001</t>
  </si>
  <si>
    <t>สว่านโรตารี่</t>
  </si>
  <si>
    <t>5120-024-0001/641-001</t>
  </si>
  <si>
    <t>หินเจียร์ 4  นิ้ว</t>
  </si>
  <si>
    <t>5120-024-0002/641-001</t>
  </si>
  <si>
    <t>หินเจียร์ 7 นิ้ว</t>
  </si>
  <si>
    <t>5120-024-0003/641-001</t>
  </si>
  <si>
    <t>บล็อกแบตเตอรี่ไร้สาย</t>
  </si>
  <si>
    <t>5130-007-0002/641-001</t>
  </si>
  <si>
    <t>สว่านแบตเตอรี่ไร้สาย</t>
  </si>
  <si>
    <t>....................................................</t>
  </si>
  <si>
    <t>2548</t>
  </si>
  <si>
    <t>2550</t>
  </si>
  <si>
    <t>2555</t>
  </si>
  <si>
    <t>30 ก.ย.64</t>
  </si>
  <si>
    <t>ประจำปี 2565  ณ วันที่ 30 กันยายน 2565</t>
  </si>
  <si>
    <t>6910-001-0015/656-001</t>
  </si>
  <si>
    <t>อุดหนุน</t>
  </si>
  <si>
    <t>ชุดฝึกระบบกู้คืนพลังงานในรถยนต์ไฟฟ้าพร้อมอุปกรณ์
สื่อการเรียนรู้แบบอินเตอร์แอคทีฟ</t>
  </si>
  <si>
    <t>เก้าอี้สแตนเลสหัวกลม</t>
  </si>
  <si>
    <t>7110-006-0005/652-041-100 (100)</t>
  </si>
  <si>
    <t>7440-001-0001/662-001Z(5)</t>
  </si>
  <si>
    <t>เครื่องคอมพิวเตอร์ pc</t>
  </si>
  <si>
    <t>(นายอุทัย จรรยากรณ์)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</si>
</sst>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16"/>
      <color rgb="FFFF0000"/>
      <name val="TH SarabunPSK"/>
      <family val="2"/>
    </font>
    <font>
      <b/>
      <sz val="16"/>
      <color rgb="FFFF0000"/>
      <name val="TH SarabunPSK"/>
      <family val="2"/>
    </font>
    <font>
      <b/>
      <sz val="14"/>
      <name val="TH SarabunPSK"/>
      <family val="2"/>
    </font>
    <font>
      <b/>
      <sz val="14"/>
      <color theme="1"/>
      <name val="TH SarabunPSK"/>
      <family val="2"/>
    </font>
    <font>
      <b/>
      <sz val="14"/>
      <color rgb="FFFF0000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15">
    <xf numFmtId="0" fontId="0" fillId="0" borderId="0" xfId="0"/>
    <xf numFmtId="0" fontId="5" fillId="0" borderId="0" xfId="0" applyFont="1"/>
    <xf numFmtId="0" fontId="4" fillId="0" borderId="1" xfId="2" applyFont="1" applyBorder="1" applyAlignment="1">
      <alignment horizontal="center"/>
    </xf>
    <xf numFmtId="0" fontId="4" fillId="0" borderId="1" xfId="6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49" fontId="4" fillId="3" borderId="1" xfId="0" applyNumberFormat="1" applyFont="1" applyFill="1" applyBorder="1" applyAlignment="1">
      <alignment horizontal="center"/>
    </xf>
    <xf numFmtId="49" fontId="4" fillId="0" borderId="1" xfId="6" applyNumberFormat="1" applyFont="1" applyBorder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43" fontId="5" fillId="0" borderId="1" xfId="0" applyNumberFormat="1" applyFont="1" applyBorder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3" fontId="4" fillId="0" borderId="1" xfId="15" applyFont="1" applyFill="1" applyBorder="1" applyAlignment="1">
      <alignment horizontal="center"/>
    </xf>
    <xf numFmtId="43" fontId="4" fillId="0" borderId="1" xfId="14" applyFont="1" applyFill="1" applyBorder="1"/>
    <xf numFmtId="0" fontId="5" fillId="0" borderId="4" xfId="0" applyFont="1" applyBorder="1"/>
    <xf numFmtId="0" fontId="4" fillId="0" borderId="6" xfId="2" applyFont="1" applyBorder="1" applyAlignment="1">
      <alignment horizontal="center"/>
    </xf>
    <xf numFmtId="49" fontId="4" fillId="0" borderId="5" xfId="6" applyNumberFormat="1" applyFont="1" applyBorder="1" applyAlignment="1">
      <alignment horizontal="left" vertical="center"/>
    </xf>
    <xf numFmtId="49" fontId="4" fillId="0" borderId="7" xfId="6" applyNumberFormat="1" applyFont="1" applyBorder="1" applyAlignment="1">
      <alignment horizontal="left" vertical="center"/>
    </xf>
    <xf numFmtId="0" fontId="4" fillId="0" borderId="7" xfId="6" applyFont="1" applyBorder="1" applyAlignment="1">
      <alignment horizontal="center" vertical="center"/>
    </xf>
    <xf numFmtId="43" fontId="4" fillId="0" borderId="5" xfId="14" applyFont="1" applyBorder="1" applyAlignment="1">
      <alignment horizontal="center"/>
    </xf>
    <xf numFmtId="49" fontId="2" fillId="0" borderId="7" xfId="6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/>
    </xf>
    <xf numFmtId="43" fontId="4" fillId="0" borderId="1" xfId="14" applyFont="1" applyBorder="1" applyAlignment="1">
      <alignment horizontal="center"/>
    </xf>
    <xf numFmtId="0" fontId="5" fillId="0" borderId="1" xfId="0" applyFont="1" applyBorder="1"/>
    <xf numFmtId="43" fontId="5" fillId="0" borderId="1" xfId="14" applyFont="1" applyBorder="1"/>
    <xf numFmtId="0" fontId="9" fillId="0" borderId="1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49" fontId="9" fillId="0" borderId="5" xfId="6" applyNumberFormat="1" applyFont="1" applyBorder="1" applyAlignment="1">
      <alignment horizontal="left" vertical="center"/>
    </xf>
    <xf numFmtId="49" fontId="9" fillId="0" borderId="7" xfId="6" applyNumberFormat="1" applyFont="1" applyBorder="1" applyAlignment="1">
      <alignment horizontal="left" vertical="center"/>
    </xf>
    <xf numFmtId="0" fontId="9" fillId="0" borderId="1" xfId="2" applyFont="1" applyBorder="1" applyAlignment="1">
      <alignment horizontal="center"/>
    </xf>
    <xf numFmtId="0" fontId="9" fillId="0" borderId="7" xfId="6" applyFont="1" applyBorder="1" applyAlignment="1">
      <alignment horizontal="center" vertical="center"/>
    </xf>
    <xf numFmtId="43" fontId="9" fillId="0" borderId="5" xfId="14" applyFont="1" applyBorder="1" applyAlignment="1">
      <alignment horizontal="center"/>
    </xf>
    <xf numFmtId="43" fontId="9" fillId="0" borderId="1" xfId="14" applyFont="1" applyFill="1" applyBorder="1"/>
    <xf numFmtId="43" fontId="9" fillId="0" borderId="1" xfId="15" applyFont="1" applyFill="1" applyBorder="1" applyAlignment="1">
      <alignment horizontal="center"/>
    </xf>
    <xf numFmtId="0" fontId="9" fillId="0" borderId="0" xfId="0" applyFont="1"/>
    <xf numFmtId="0" fontId="9" fillId="0" borderId="1" xfId="8" applyFont="1" applyBorder="1" applyAlignment="1">
      <alignment horizontal="left"/>
    </xf>
    <xf numFmtId="49" fontId="9" fillId="0" borderId="1" xfId="6" applyNumberFormat="1" applyFont="1" applyBorder="1" applyAlignment="1">
      <alignment horizontal="left" vertical="center"/>
    </xf>
    <xf numFmtId="0" fontId="9" fillId="0" borderId="1" xfId="8" applyFont="1" applyBorder="1" applyAlignment="1">
      <alignment horizontal="center"/>
    </xf>
    <xf numFmtId="43" fontId="9" fillId="0" borderId="1" xfId="14" applyFont="1" applyBorder="1"/>
    <xf numFmtId="0" fontId="9" fillId="3" borderId="1" xfId="0" applyFont="1" applyFill="1" applyBorder="1" applyAlignment="1">
      <alignment horizontal="center" vertical="center"/>
    </xf>
    <xf numFmtId="0" fontId="4" fillId="0" borderId="0" xfId="0" applyFont="1"/>
    <xf numFmtId="0" fontId="7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0" xfId="0" applyFont="1" applyAlignment="1" applyProtection="1">
      <alignment horizontal="center"/>
      <protection locked="0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43" fontId="8" fillId="0" borderId="1" xfId="12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43" fontId="10" fillId="0" borderId="1" xfId="12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6" applyFont="1" applyBorder="1" applyAlignment="1">
      <alignment horizontal="left"/>
    </xf>
    <xf numFmtId="0" fontId="11" fillId="0" borderId="1" xfId="6" applyFont="1" applyBorder="1"/>
    <xf numFmtId="0" fontId="7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1" fillId="2" borderId="1" xfId="6" applyFont="1" applyFill="1" applyBorder="1"/>
    <xf numFmtId="0" fontId="8" fillId="0" borderId="0" xfId="2" applyFont="1" applyAlignment="1">
      <alignment horizontal="center"/>
    </xf>
    <xf numFmtId="43" fontId="7" fillId="0" borderId="0" xfId="0" applyNumberFormat="1" applyFont="1"/>
    <xf numFmtId="0" fontId="7" fillId="0" borderId="0" xfId="0" applyFont="1"/>
    <xf numFmtId="0" fontId="7" fillId="0" borderId="0" xfId="0" applyFont="1" applyAlignment="1">
      <alignment horizontal="left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/>
    </xf>
    <xf numFmtId="0" fontId="11" fillId="0" borderId="1" xfId="2" applyFont="1" applyBorder="1" applyAlignment="1">
      <alignment horizontal="center"/>
    </xf>
    <xf numFmtId="0" fontId="11" fillId="0" borderId="1" xfId="6" applyFont="1" applyBorder="1" applyAlignment="1">
      <alignment horizontal="center"/>
    </xf>
    <xf numFmtId="43" fontId="11" fillId="0" borderId="1" xfId="1" applyFont="1" applyBorder="1"/>
    <xf numFmtId="0" fontId="11" fillId="0" borderId="1" xfId="0" applyFont="1" applyBorder="1" applyAlignment="1">
      <alignment horizontal="center"/>
    </xf>
    <xf numFmtId="0" fontId="13" fillId="3" borderId="1" xfId="0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/>
    </xf>
    <xf numFmtId="0" fontId="13" fillId="0" borderId="1" xfId="6" applyFont="1" applyBorder="1" applyAlignment="1">
      <alignment horizontal="left"/>
    </xf>
    <xf numFmtId="0" fontId="13" fillId="0" borderId="1" xfId="6" applyFont="1" applyBorder="1"/>
    <xf numFmtId="0" fontId="13" fillId="0" borderId="1" xfId="2" applyFont="1" applyBorder="1" applyAlignment="1">
      <alignment horizontal="center"/>
    </xf>
    <xf numFmtId="0" fontId="13" fillId="0" borderId="1" xfId="6" applyFont="1" applyBorder="1" applyAlignment="1">
      <alignment horizontal="center"/>
    </xf>
    <xf numFmtId="43" fontId="13" fillId="0" borderId="1" xfId="1" applyFont="1" applyBorder="1"/>
    <xf numFmtId="49" fontId="11" fillId="0" borderId="1" xfId="7" applyNumberFormat="1" applyFont="1" applyBorder="1" applyAlignment="1">
      <alignment horizontal="center"/>
    </xf>
    <xf numFmtId="49" fontId="13" fillId="0" borderId="1" xfId="7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11" fillId="0" borderId="1" xfId="6" applyNumberFormat="1" applyFont="1" applyBorder="1" applyAlignment="1">
      <alignment horizontal="left"/>
    </xf>
    <xf numFmtId="43" fontId="11" fillId="0" borderId="1" xfId="1" applyFont="1" applyBorder="1" applyAlignment="1">
      <alignment horizontal="right"/>
    </xf>
    <xf numFmtId="0" fontId="11" fillId="3" borderId="1" xfId="0" applyFont="1" applyFill="1" applyBorder="1" applyAlignment="1">
      <alignment horizontal="right" vertical="center"/>
    </xf>
    <xf numFmtId="49" fontId="11" fillId="0" borderId="1" xfId="0" applyNumberFormat="1" applyFont="1" applyBorder="1" applyAlignment="1">
      <alignment horizontal="center"/>
    </xf>
    <xf numFmtId="43" fontId="11" fillId="0" borderId="1" xfId="1" applyFont="1" applyBorder="1" applyAlignment="1">
      <alignment horizontal="center"/>
    </xf>
    <xf numFmtId="49" fontId="11" fillId="0" borderId="1" xfId="13" applyNumberFormat="1" applyFont="1" applyBorder="1" applyAlignment="1">
      <alignment horizontal="center"/>
    </xf>
    <xf numFmtId="49" fontId="13" fillId="0" borderId="1" xfId="13" applyNumberFormat="1" applyFont="1" applyBorder="1" applyAlignment="1">
      <alignment horizontal="center"/>
    </xf>
    <xf numFmtId="0" fontId="11" fillId="0" borderId="1" xfId="8" applyFont="1" applyBorder="1" applyAlignment="1">
      <alignment horizontal="left"/>
    </xf>
    <xf numFmtId="0" fontId="11" fillId="0" borderId="1" xfId="8" applyFont="1" applyBorder="1"/>
    <xf numFmtId="0" fontId="11" fillId="0" borderId="1" xfId="8" applyFont="1" applyBorder="1" applyAlignment="1">
      <alignment horizontal="center"/>
    </xf>
    <xf numFmtId="15" fontId="12" fillId="2" borderId="1" xfId="0" applyNumberFormat="1" applyFont="1" applyFill="1" applyBorder="1" applyAlignment="1">
      <alignment horizontal="center"/>
    </xf>
    <xf numFmtId="0" fontId="11" fillId="2" borderId="1" xfId="6" applyFont="1" applyFill="1" applyBorder="1" applyAlignment="1">
      <alignment horizontal="left"/>
    </xf>
    <xf numFmtId="0" fontId="11" fillId="2" borderId="1" xfId="6" applyFont="1" applyFill="1" applyBorder="1" applyAlignment="1">
      <alignment horizontal="center"/>
    </xf>
    <xf numFmtId="43" fontId="11" fillId="2" borderId="1" xfId="1" applyFont="1" applyFill="1" applyBorder="1"/>
    <xf numFmtId="15" fontId="13" fillId="0" borderId="1" xfId="0" applyNumberFormat="1" applyFont="1" applyBorder="1" applyAlignment="1">
      <alignment horizontal="center"/>
    </xf>
    <xf numFmtId="0" fontId="13" fillId="2" borderId="1" xfId="6" applyFont="1" applyFill="1" applyBorder="1" applyAlignment="1">
      <alignment horizontal="left"/>
    </xf>
    <xf numFmtId="0" fontId="12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6" applyFont="1" applyFill="1" applyBorder="1" applyAlignment="1">
      <alignment horizontal="left" indent="1"/>
    </xf>
    <xf numFmtId="0" fontId="11" fillId="2" borderId="1" xfId="6" applyFont="1" applyFill="1" applyBorder="1" applyAlignment="1">
      <alignment horizontal="left" indent="3"/>
    </xf>
    <xf numFmtId="0" fontId="12" fillId="0" borderId="1" xfId="0" applyFont="1" applyBorder="1"/>
    <xf numFmtId="0" fontId="11" fillId="2" borderId="1" xfId="0" applyFont="1" applyFill="1" applyBorder="1" applyAlignment="1">
      <alignment horizontal="center" vertical="top"/>
    </xf>
    <xf numFmtId="15" fontId="12" fillId="2" borderId="1" xfId="0" applyNumberFormat="1" applyFont="1" applyFill="1" applyBorder="1" applyAlignment="1">
      <alignment horizontal="center" vertical="top"/>
    </xf>
    <xf numFmtId="0" fontId="11" fillId="2" borderId="1" xfId="6" applyFont="1" applyFill="1" applyBorder="1" applyAlignment="1">
      <alignment horizontal="left" vertical="top"/>
    </xf>
    <xf numFmtId="0" fontId="12" fillId="0" borderId="1" xfId="0" applyFont="1" applyBorder="1" applyAlignment="1">
      <alignment vertical="top" wrapText="1"/>
    </xf>
    <xf numFmtId="0" fontId="12" fillId="2" borderId="1" xfId="0" applyFont="1" applyFill="1" applyBorder="1" applyAlignment="1">
      <alignment horizontal="center" vertical="top"/>
    </xf>
    <xf numFmtId="0" fontId="11" fillId="2" borderId="1" xfId="6" applyFont="1" applyFill="1" applyBorder="1" applyAlignment="1">
      <alignment horizontal="center" vertical="top"/>
    </xf>
    <xf numFmtId="43" fontId="11" fillId="2" borderId="1" xfId="1" applyFont="1" applyFill="1" applyBorder="1" applyAlignment="1">
      <alignment vertical="top"/>
    </xf>
    <xf numFmtId="0" fontId="12" fillId="0" borderId="1" xfId="0" applyFont="1" applyBorder="1" applyAlignment="1">
      <alignment horizontal="center"/>
    </xf>
    <xf numFmtId="43" fontId="12" fillId="0" borderId="1" xfId="0" applyNumberFormat="1" applyFont="1" applyBorder="1"/>
  </cellXfs>
  <cellStyles count="16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เครื่องหมายจุลภาค 9 2" xfId="15" xr:uid="{82F02599-9511-4392-91AC-555A1A635690}"/>
    <cellStyle name="จุลภาค" xfId="1" builtinId="3"/>
    <cellStyle name="จุลภาค 2" xfId="14" xr:uid="{87E4A67C-9A24-4592-BF24-D0CAA3C7E894}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0070C0"/>
      <color rgb="FF99330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923925</xdr:colOff>
      <xdr:row>0</xdr:row>
      <xdr:rowOff>133350</xdr:rowOff>
    </xdr:from>
    <xdr:to>
      <xdr:col>8</xdr:col>
      <xdr:colOff>409575</xdr:colOff>
      <xdr:row>1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105775" y="133350"/>
          <a:ext cx="14573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790575</xdr:colOff>
      <xdr:row>0</xdr:row>
      <xdr:rowOff>133350</xdr:rowOff>
    </xdr:from>
    <xdr:to>
      <xdr:col>8</xdr:col>
      <xdr:colOff>400050</xdr:colOff>
      <xdr:row>1</xdr:row>
      <xdr:rowOff>152400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4E8DE28A-1D80-444C-952B-48EA4CC5814B}"/>
            </a:ext>
          </a:extLst>
        </xdr:cNvPr>
        <xdr:cNvSpPr txBox="1"/>
      </xdr:nvSpPr>
      <xdr:spPr>
        <a:xfrm>
          <a:off x="7410450" y="133350"/>
          <a:ext cx="14097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I109"/>
  <sheetViews>
    <sheetView tabSelected="1" topLeftCell="A85" zoomScale="110" zoomScaleNormal="110" workbookViewId="0">
      <selection activeCell="D103" sqref="D103"/>
    </sheetView>
  </sheetViews>
  <sheetFormatPr defaultColWidth="9" defaultRowHeight="24"/>
  <cols>
    <col min="1" max="1" width="5.28515625" style="1" customWidth="1"/>
    <col min="2" max="2" width="11.5703125" style="14" customWidth="1"/>
    <col min="3" max="3" width="32" style="12" customWidth="1"/>
    <col min="4" max="4" width="45.140625" style="1" customWidth="1"/>
    <col min="5" max="5" width="7" style="1" customWidth="1"/>
    <col min="6" max="6" width="6.42578125" style="1" customWidth="1"/>
    <col min="7" max="7" width="14.7109375" style="1" customWidth="1"/>
    <col min="8" max="8" width="15.28515625" style="1" customWidth="1"/>
    <col min="9" max="9" width="8.42578125" style="14" customWidth="1"/>
    <col min="10" max="16384" width="9" style="1"/>
  </cols>
  <sheetData>
    <row r="1" spans="1:9">
      <c r="A1" s="47" t="s">
        <v>10</v>
      </c>
      <c r="B1" s="47"/>
      <c r="C1" s="47"/>
      <c r="D1" s="47"/>
      <c r="E1" s="47"/>
      <c r="F1" s="47"/>
      <c r="G1" s="47"/>
      <c r="H1" s="47"/>
      <c r="I1" s="47"/>
    </row>
    <row r="2" spans="1:9">
      <c r="A2" s="48" t="s">
        <v>200</v>
      </c>
      <c r="B2" s="48"/>
      <c r="C2" s="48"/>
      <c r="D2" s="48"/>
      <c r="E2" s="48"/>
      <c r="F2" s="48"/>
      <c r="G2" s="48"/>
      <c r="H2" s="48"/>
      <c r="I2" s="48"/>
    </row>
    <row r="3" spans="1:9">
      <c r="A3" s="49" t="s">
        <v>242</v>
      </c>
      <c r="B3" s="49"/>
      <c r="C3" s="49"/>
      <c r="D3" s="49"/>
      <c r="E3" s="49"/>
      <c r="F3" s="49"/>
      <c r="G3" s="49"/>
      <c r="H3" s="49"/>
      <c r="I3" s="49"/>
    </row>
    <row r="4" spans="1:9" ht="42.75" customHeight="1">
      <c r="A4" s="66" t="s">
        <v>182</v>
      </c>
      <c r="B4" s="66" t="s">
        <v>185</v>
      </c>
      <c r="C4" s="66" t="s">
        <v>186</v>
      </c>
      <c r="D4" s="67" t="s">
        <v>0</v>
      </c>
      <c r="E4" s="66" t="s">
        <v>183</v>
      </c>
      <c r="F4" s="67" t="s">
        <v>1</v>
      </c>
      <c r="G4" s="66" t="s">
        <v>184</v>
      </c>
      <c r="H4" s="66" t="s">
        <v>187</v>
      </c>
      <c r="I4" s="52" t="s">
        <v>2</v>
      </c>
    </row>
    <row r="5" spans="1:9" s="44" customFormat="1">
      <c r="A5" s="68">
        <v>1</v>
      </c>
      <c r="B5" s="69" t="s">
        <v>194</v>
      </c>
      <c r="C5" s="57" t="s">
        <v>11</v>
      </c>
      <c r="D5" s="58" t="s">
        <v>12</v>
      </c>
      <c r="E5" s="70" t="s">
        <v>4</v>
      </c>
      <c r="F5" s="71">
        <v>1</v>
      </c>
      <c r="G5" s="72">
        <v>478800</v>
      </c>
      <c r="H5" s="72">
        <f>SUM(F5*G5)</f>
        <v>478800</v>
      </c>
      <c r="I5" s="53"/>
    </row>
    <row r="6" spans="1:9" s="44" customFormat="1">
      <c r="A6" s="73">
        <v>2</v>
      </c>
      <c r="B6" s="69" t="s">
        <v>194</v>
      </c>
      <c r="C6" s="57" t="s">
        <v>13</v>
      </c>
      <c r="D6" s="58" t="s">
        <v>174</v>
      </c>
      <c r="E6" s="70" t="s">
        <v>4</v>
      </c>
      <c r="F6" s="71">
        <v>1</v>
      </c>
      <c r="G6" s="72">
        <v>30000</v>
      </c>
      <c r="H6" s="72">
        <f>SUM(F6*G6)</f>
        <v>30000</v>
      </c>
      <c r="I6" s="53"/>
    </row>
    <row r="7" spans="1:9" s="44" customFormat="1">
      <c r="A7" s="68">
        <v>3</v>
      </c>
      <c r="B7" s="69" t="s">
        <v>194</v>
      </c>
      <c r="C7" s="57" t="s">
        <v>14</v>
      </c>
      <c r="D7" s="58" t="s">
        <v>15</v>
      </c>
      <c r="E7" s="70" t="s">
        <v>4</v>
      </c>
      <c r="F7" s="71">
        <v>1</v>
      </c>
      <c r="G7" s="72">
        <v>158800</v>
      </c>
      <c r="H7" s="72">
        <f t="shared" ref="H7:H72" si="0">SUM(F7*G7)</f>
        <v>158800</v>
      </c>
      <c r="I7" s="53"/>
    </row>
    <row r="8" spans="1:9" s="44" customFormat="1">
      <c r="A8" s="73">
        <v>4</v>
      </c>
      <c r="B8" s="69" t="s">
        <v>194</v>
      </c>
      <c r="C8" s="57" t="s">
        <v>16</v>
      </c>
      <c r="D8" s="58" t="s">
        <v>17</v>
      </c>
      <c r="E8" s="70" t="s">
        <v>4</v>
      </c>
      <c r="F8" s="71">
        <v>1</v>
      </c>
      <c r="G8" s="72">
        <v>498800</v>
      </c>
      <c r="H8" s="72">
        <f t="shared" si="0"/>
        <v>498800</v>
      </c>
      <c r="I8" s="53"/>
    </row>
    <row r="9" spans="1:9" s="38" customFormat="1">
      <c r="A9" s="74">
        <v>5</v>
      </c>
      <c r="B9" s="75" t="s">
        <v>194</v>
      </c>
      <c r="C9" s="76" t="s">
        <v>18</v>
      </c>
      <c r="D9" s="77" t="s">
        <v>19</v>
      </c>
      <c r="E9" s="78" t="s">
        <v>4</v>
      </c>
      <c r="F9" s="79">
        <v>2</v>
      </c>
      <c r="G9" s="80">
        <v>18500</v>
      </c>
      <c r="H9" s="80">
        <f t="shared" si="0"/>
        <v>37000</v>
      </c>
      <c r="I9" s="55"/>
    </row>
    <row r="10" spans="1:9">
      <c r="A10" s="73">
        <v>6</v>
      </c>
      <c r="B10" s="69" t="s">
        <v>194</v>
      </c>
      <c r="C10" s="57" t="s">
        <v>20</v>
      </c>
      <c r="D10" s="58" t="s">
        <v>21</v>
      </c>
      <c r="E10" s="70" t="s">
        <v>4</v>
      </c>
      <c r="F10" s="71">
        <v>8</v>
      </c>
      <c r="G10" s="72">
        <v>4850</v>
      </c>
      <c r="H10" s="72">
        <f t="shared" si="0"/>
        <v>38800</v>
      </c>
      <c r="I10" s="53"/>
    </row>
    <row r="11" spans="1:9">
      <c r="A11" s="68">
        <v>7</v>
      </c>
      <c r="B11" s="69" t="s">
        <v>194</v>
      </c>
      <c r="C11" s="57" t="s">
        <v>22</v>
      </c>
      <c r="D11" s="57" t="s">
        <v>23</v>
      </c>
      <c r="E11" s="70" t="s">
        <v>4</v>
      </c>
      <c r="F11" s="71">
        <v>5</v>
      </c>
      <c r="G11" s="72">
        <v>5000</v>
      </c>
      <c r="H11" s="72">
        <f t="shared" si="0"/>
        <v>25000</v>
      </c>
      <c r="I11" s="53"/>
    </row>
    <row r="12" spans="1:9" s="44" customFormat="1">
      <c r="A12" s="73">
        <v>8</v>
      </c>
      <c r="B12" s="69" t="s">
        <v>194</v>
      </c>
      <c r="C12" s="57" t="s">
        <v>24</v>
      </c>
      <c r="D12" s="57" t="s">
        <v>25</v>
      </c>
      <c r="E12" s="70" t="s">
        <v>4</v>
      </c>
      <c r="F12" s="71">
        <v>1</v>
      </c>
      <c r="G12" s="72">
        <v>78000</v>
      </c>
      <c r="H12" s="72">
        <f t="shared" si="0"/>
        <v>78000</v>
      </c>
      <c r="I12" s="54"/>
    </row>
    <row r="13" spans="1:9" s="38" customFormat="1">
      <c r="A13" s="74">
        <v>9</v>
      </c>
      <c r="B13" s="75" t="s">
        <v>194</v>
      </c>
      <c r="C13" s="76" t="s">
        <v>26</v>
      </c>
      <c r="D13" s="76" t="s">
        <v>27</v>
      </c>
      <c r="E13" s="78" t="s">
        <v>4</v>
      </c>
      <c r="F13" s="79">
        <v>1</v>
      </c>
      <c r="G13" s="80">
        <v>24000</v>
      </c>
      <c r="H13" s="80">
        <f t="shared" si="0"/>
        <v>24000</v>
      </c>
      <c r="I13" s="56"/>
    </row>
    <row r="14" spans="1:9">
      <c r="A14" s="73">
        <v>10</v>
      </c>
      <c r="B14" s="69" t="s">
        <v>194</v>
      </c>
      <c r="C14" s="57" t="s">
        <v>28</v>
      </c>
      <c r="D14" s="57" t="s">
        <v>29</v>
      </c>
      <c r="E14" s="70" t="s">
        <v>4</v>
      </c>
      <c r="F14" s="71">
        <v>1</v>
      </c>
      <c r="G14" s="72">
        <v>24000</v>
      </c>
      <c r="H14" s="72">
        <f t="shared" si="0"/>
        <v>24000</v>
      </c>
      <c r="I14" s="45"/>
    </row>
    <row r="15" spans="1:9">
      <c r="A15" s="68">
        <v>11</v>
      </c>
      <c r="B15" s="69" t="s">
        <v>194</v>
      </c>
      <c r="C15" s="57" t="s">
        <v>30</v>
      </c>
      <c r="D15" s="57" t="s">
        <v>31</v>
      </c>
      <c r="E15" s="70" t="s">
        <v>4</v>
      </c>
      <c r="F15" s="71">
        <v>1</v>
      </c>
      <c r="G15" s="72">
        <v>82000</v>
      </c>
      <c r="H15" s="72">
        <f t="shared" si="0"/>
        <v>82000</v>
      </c>
      <c r="I15" s="45"/>
    </row>
    <row r="16" spans="1:9">
      <c r="A16" s="73">
        <v>12</v>
      </c>
      <c r="B16" s="69" t="s">
        <v>194</v>
      </c>
      <c r="C16" s="57" t="s">
        <v>32</v>
      </c>
      <c r="D16" s="57" t="s">
        <v>33</v>
      </c>
      <c r="E16" s="70" t="s">
        <v>4</v>
      </c>
      <c r="F16" s="71">
        <v>1</v>
      </c>
      <c r="G16" s="72">
        <v>98000</v>
      </c>
      <c r="H16" s="72">
        <f t="shared" si="0"/>
        <v>98000</v>
      </c>
      <c r="I16" s="45"/>
    </row>
    <row r="17" spans="1:9" s="44" customFormat="1">
      <c r="A17" s="68">
        <v>13</v>
      </c>
      <c r="B17" s="81" t="s">
        <v>195</v>
      </c>
      <c r="C17" s="57" t="s">
        <v>34</v>
      </c>
      <c r="D17" s="57" t="s">
        <v>181</v>
      </c>
      <c r="E17" s="70" t="s">
        <v>4</v>
      </c>
      <c r="F17" s="71">
        <v>1</v>
      </c>
      <c r="G17" s="72">
        <v>178000</v>
      </c>
      <c r="H17" s="72">
        <f t="shared" si="0"/>
        <v>178000</v>
      </c>
      <c r="I17" s="54"/>
    </row>
    <row r="18" spans="1:9" s="44" customFormat="1">
      <c r="A18" s="73">
        <v>14</v>
      </c>
      <c r="B18" s="81" t="s">
        <v>195</v>
      </c>
      <c r="C18" s="57" t="s">
        <v>35</v>
      </c>
      <c r="D18" s="57" t="s">
        <v>36</v>
      </c>
      <c r="E18" s="73" t="s">
        <v>4</v>
      </c>
      <c r="F18" s="71">
        <v>2</v>
      </c>
      <c r="G18" s="72">
        <v>46500</v>
      </c>
      <c r="H18" s="72">
        <f t="shared" si="0"/>
        <v>93000</v>
      </c>
      <c r="I18" s="54"/>
    </row>
    <row r="19" spans="1:9" s="44" customFormat="1">
      <c r="A19" s="68">
        <v>15</v>
      </c>
      <c r="B19" s="81" t="s">
        <v>195</v>
      </c>
      <c r="C19" s="57" t="s">
        <v>37</v>
      </c>
      <c r="D19" s="57" t="s">
        <v>38</v>
      </c>
      <c r="E19" s="73" t="s">
        <v>4</v>
      </c>
      <c r="F19" s="71">
        <v>1</v>
      </c>
      <c r="G19" s="72">
        <v>72000</v>
      </c>
      <c r="H19" s="72">
        <f t="shared" si="0"/>
        <v>72000</v>
      </c>
      <c r="I19" s="54"/>
    </row>
    <row r="20" spans="1:9" s="44" customFormat="1">
      <c r="A20" s="73">
        <v>16</v>
      </c>
      <c r="B20" s="81" t="s">
        <v>195</v>
      </c>
      <c r="C20" s="57" t="s">
        <v>39</v>
      </c>
      <c r="D20" s="57" t="s">
        <v>40</v>
      </c>
      <c r="E20" s="73" t="s">
        <v>4</v>
      </c>
      <c r="F20" s="71">
        <v>1</v>
      </c>
      <c r="G20" s="72">
        <v>480000</v>
      </c>
      <c r="H20" s="72">
        <f t="shared" si="0"/>
        <v>480000</v>
      </c>
      <c r="I20" s="54"/>
    </row>
    <row r="21" spans="1:9" s="38" customFormat="1">
      <c r="A21" s="74">
        <v>17</v>
      </c>
      <c r="B21" s="82" t="s">
        <v>195</v>
      </c>
      <c r="C21" s="76" t="s">
        <v>41</v>
      </c>
      <c r="D21" s="76" t="s">
        <v>42</v>
      </c>
      <c r="E21" s="83" t="s">
        <v>4</v>
      </c>
      <c r="F21" s="79">
        <v>1</v>
      </c>
      <c r="G21" s="80">
        <v>96000</v>
      </c>
      <c r="H21" s="80">
        <f t="shared" si="0"/>
        <v>96000</v>
      </c>
      <c r="I21" s="56"/>
    </row>
    <row r="22" spans="1:9" s="38" customFormat="1">
      <c r="A22" s="83">
        <v>18</v>
      </c>
      <c r="B22" s="82" t="s">
        <v>195</v>
      </c>
      <c r="C22" s="76" t="s">
        <v>43</v>
      </c>
      <c r="D22" s="76" t="s">
        <v>44</v>
      </c>
      <c r="E22" s="83" t="s">
        <v>4</v>
      </c>
      <c r="F22" s="79">
        <v>1</v>
      </c>
      <c r="G22" s="80">
        <v>39000</v>
      </c>
      <c r="H22" s="80">
        <f t="shared" si="0"/>
        <v>39000</v>
      </c>
      <c r="I22" s="56"/>
    </row>
    <row r="23" spans="1:9" s="44" customFormat="1">
      <c r="A23" s="68">
        <v>19</v>
      </c>
      <c r="B23" s="81" t="s">
        <v>195</v>
      </c>
      <c r="C23" s="57" t="s">
        <v>45</v>
      </c>
      <c r="D23" s="57" t="s">
        <v>160</v>
      </c>
      <c r="E23" s="73" t="s">
        <v>4</v>
      </c>
      <c r="F23" s="71">
        <v>1</v>
      </c>
      <c r="G23" s="72">
        <v>142000</v>
      </c>
      <c r="H23" s="72">
        <f t="shared" si="0"/>
        <v>142000</v>
      </c>
      <c r="I23" s="54"/>
    </row>
    <row r="24" spans="1:9" s="38" customFormat="1">
      <c r="A24" s="83">
        <v>20</v>
      </c>
      <c r="B24" s="82" t="s">
        <v>195</v>
      </c>
      <c r="C24" s="76" t="s">
        <v>46</v>
      </c>
      <c r="D24" s="77" t="s">
        <v>47</v>
      </c>
      <c r="E24" s="83" t="s">
        <v>4</v>
      </c>
      <c r="F24" s="79">
        <v>1</v>
      </c>
      <c r="G24" s="80">
        <v>41800</v>
      </c>
      <c r="H24" s="80">
        <f t="shared" si="0"/>
        <v>41800</v>
      </c>
      <c r="I24" s="56"/>
    </row>
    <row r="25" spans="1:9" s="38" customFormat="1">
      <c r="A25" s="74">
        <v>21</v>
      </c>
      <c r="B25" s="82" t="s">
        <v>195</v>
      </c>
      <c r="C25" s="76" t="s">
        <v>48</v>
      </c>
      <c r="D25" s="77" t="s">
        <v>49</v>
      </c>
      <c r="E25" s="83" t="s">
        <v>4</v>
      </c>
      <c r="F25" s="78">
        <v>1</v>
      </c>
      <c r="G25" s="80">
        <v>95000</v>
      </c>
      <c r="H25" s="80">
        <f t="shared" si="0"/>
        <v>95000</v>
      </c>
      <c r="I25" s="56"/>
    </row>
    <row r="26" spans="1:9" s="38" customFormat="1">
      <c r="A26" s="83">
        <v>22</v>
      </c>
      <c r="B26" s="82" t="s">
        <v>195</v>
      </c>
      <c r="C26" s="76" t="s">
        <v>50</v>
      </c>
      <c r="D26" s="77" t="s">
        <v>51</v>
      </c>
      <c r="E26" s="83" t="s">
        <v>4</v>
      </c>
      <c r="F26" s="78">
        <v>1</v>
      </c>
      <c r="G26" s="80">
        <v>43800</v>
      </c>
      <c r="H26" s="80">
        <f t="shared" si="0"/>
        <v>43800</v>
      </c>
      <c r="I26" s="56"/>
    </row>
    <row r="27" spans="1:9" s="38" customFormat="1">
      <c r="A27" s="74">
        <v>23</v>
      </c>
      <c r="B27" s="82" t="s">
        <v>195</v>
      </c>
      <c r="C27" s="76" t="s">
        <v>52</v>
      </c>
      <c r="D27" s="77" t="s">
        <v>53</v>
      </c>
      <c r="E27" s="83" t="s">
        <v>4</v>
      </c>
      <c r="F27" s="78">
        <v>1</v>
      </c>
      <c r="G27" s="80">
        <v>14500</v>
      </c>
      <c r="H27" s="80">
        <f t="shared" si="0"/>
        <v>14500</v>
      </c>
      <c r="I27" s="56"/>
    </row>
    <row r="28" spans="1:9" s="38" customFormat="1">
      <c r="A28" s="83">
        <v>24</v>
      </c>
      <c r="B28" s="82" t="s">
        <v>195</v>
      </c>
      <c r="C28" s="76" t="s">
        <v>54</v>
      </c>
      <c r="D28" s="77" t="s">
        <v>55</v>
      </c>
      <c r="E28" s="83" t="s">
        <v>4</v>
      </c>
      <c r="F28" s="79">
        <v>1</v>
      </c>
      <c r="G28" s="80">
        <v>95000</v>
      </c>
      <c r="H28" s="80">
        <f t="shared" si="0"/>
        <v>95000</v>
      </c>
      <c r="I28" s="55"/>
    </row>
    <row r="29" spans="1:9" s="38" customFormat="1">
      <c r="A29" s="74">
        <v>25</v>
      </c>
      <c r="B29" s="82" t="s">
        <v>195</v>
      </c>
      <c r="C29" s="76" t="s">
        <v>56</v>
      </c>
      <c r="D29" s="77" t="s">
        <v>175</v>
      </c>
      <c r="E29" s="78" t="s">
        <v>4</v>
      </c>
      <c r="F29" s="79">
        <v>1</v>
      </c>
      <c r="G29" s="80">
        <v>43800</v>
      </c>
      <c r="H29" s="80">
        <f t="shared" si="0"/>
        <v>43800</v>
      </c>
      <c r="I29" s="55"/>
    </row>
    <row r="30" spans="1:9" s="44" customFormat="1">
      <c r="A30" s="73">
        <v>26</v>
      </c>
      <c r="B30" s="81" t="s">
        <v>195</v>
      </c>
      <c r="C30" s="57" t="s">
        <v>57</v>
      </c>
      <c r="D30" s="58" t="s">
        <v>58</v>
      </c>
      <c r="E30" s="70" t="s">
        <v>4</v>
      </c>
      <c r="F30" s="71">
        <v>1</v>
      </c>
      <c r="G30" s="72">
        <v>62000</v>
      </c>
      <c r="H30" s="72">
        <f t="shared" si="0"/>
        <v>62000</v>
      </c>
      <c r="I30" s="53"/>
    </row>
    <row r="31" spans="1:9" s="38" customFormat="1">
      <c r="A31" s="74">
        <v>27</v>
      </c>
      <c r="B31" s="82" t="s">
        <v>195</v>
      </c>
      <c r="C31" s="76" t="s">
        <v>59</v>
      </c>
      <c r="D31" s="77" t="s">
        <v>60</v>
      </c>
      <c r="E31" s="78" t="s">
        <v>4</v>
      </c>
      <c r="F31" s="79">
        <v>1</v>
      </c>
      <c r="G31" s="80">
        <v>84000</v>
      </c>
      <c r="H31" s="80">
        <f t="shared" si="0"/>
        <v>84000</v>
      </c>
      <c r="I31" s="55"/>
    </row>
    <row r="32" spans="1:9" s="38" customFormat="1">
      <c r="A32" s="83">
        <v>28</v>
      </c>
      <c r="B32" s="82" t="s">
        <v>195</v>
      </c>
      <c r="C32" s="76" t="s">
        <v>61</v>
      </c>
      <c r="D32" s="77" t="s">
        <v>62</v>
      </c>
      <c r="E32" s="78" t="s">
        <v>4</v>
      </c>
      <c r="F32" s="79">
        <v>1</v>
      </c>
      <c r="G32" s="80">
        <v>84000</v>
      </c>
      <c r="H32" s="80">
        <f t="shared" si="0"/>
        <v>84000</v>
      </c>
      <c r="I32" s="55"/>
    </row>
    <row r="33" spans="1:9" s="38" customFormat="1">
      <c r="A33" s="74">
        <v>29</v>
      </c>
      <c r="B33" s="82" t="s">
        <v>195</v>
      </c>
      <c r="C33" s="76" t="s">
        <v>63</v>
      </c>
      <c r="D33" s="77" t="s">
        <v>64</v>
      </c>
      <c r="E33" s="78" t="s">
        <v>4</v>
      </c>
      <c r="F33" s="79">
        <v>1</v>
      </c>
      <c r="G33" s="80">
        <v>28500</v>
      </c>
      <c r="H33" s="80">
        <f t="shared" si="0"/>
        <v>28500</v>
      </c>
      <c r="I33" s="55"/>
    </row>
    <row r="34" spans="1:9" s="44" customFormat="1">
      <c r="A34" s="73">
        <v>30</v>
      </c>
      <c r="B34" s="81" t="s">
        <v>195</v>
      </c>
      <c r="C34" s="57" t="s">
        <v>65</v>
      </c>
      <c r="D34" s="58" t="s">
        <v>66</v>
      </c>
      <c r="E34" s="70" t="s">
        <v>4</v>
      </c>
      <c r="F34" s="71">
        <v>1</v>
      </c>
      <c r="G34" s="72">
        <v>56000</v>
      </c>
      <c r="H34" s="72">
        <f t="shared" si="0"/>
        <v>56000</v>
      </c>
      <c r="I34" s="53"/>
    </row>
    <row r="35" spans="1:9" s="44" customFormat="1">
      <c r="A35" s="68">
        <v>31</v>
      </c>
      <c r="B35" s="81" t="s">
        <v>195</v>
      </c>
      <c r="C35" s="57" t="s">
        <v>67</v>
      </c>
      <c r="D35" s="58" t="s">
        <v>68</v>
      </c>
      <c r="E35" s="70" t="s">
        <v>4</v>
      </c>
      <c r="F35" s="71">
        <v>1</v>
      </c>
      <c r="G35" s="72">
        <v>94000</v>
      </c>
      <c r="H35" s="72">
        <f t="shared" si="0"/>
        <v>94000</v>
      </c>
      <c r="I35" s="53"/>
    </row>
    <row r="36" spans="1:9" s="44" customFormat="1">
      <c r="A36" s="73">
        <v>32</v>
      </c>
      <c r="B36" s="81" t="s">
        <v>195</v>
      </c>
      <c r="C36" s="57" t="s">
        <v>69</v>
      </c>
      <c r="D36" s="58" t="s">
        <v>70</v>
      </c>
      <c r="E36" s="70" t="s">
        <v>4</v>
      </c>
      <c r="F36" s="71">
        <v>1</v>
      </c>
      <c r="G36" s="72">
        <v>22500</v>
      </c>
      <c r="H36" s="72">
        <f t="shared" si="0"/>
        <v>22500</v>
      </c>
      <c r="I36" s="53"/>
    </row>
    <row r="37" spans="1:9" s="44" customFormat="1">
      <c r="A37" s="68">
        <v>33</v>
      </c>
      <c r="B37" s="81" t="s">
        <v>195</v>
      </c>
      <c r="C37" s="57" t="s">
        <v>71</v>
      </c>
      <c r="D37" s="58" t="s">
        <v>176</v>
      </c>
      <c r="E37" s="70" t="s">
        <v>4</v>
      </c>
      <c r="F37" s="71">
        <v>1</v>
      </c>
      <c r="G37" s="72">
        <v>65000</v>
      </c>
      <c r="H37" s="72">
        <f t="shared" si="0"/>
        <v>65000</v>
      </c>
      <c r="I37" s="54"/>
    </row>
    <row r="38" spans="1:9" s="38" customFormat="1">
      <c r="A38" s="83">
        <v>34</v>
      </c>
      <c r="B38" s="82" t="s">
        <v>195</v>
      </c>
      <c r="C38" s="76" t="s">
        <v>72</v>
      </c>
      <c r="D38" s="77" t="s">
        <v>73</v>
      </c>
      <c r="E38" s="78" t="s">
        <v>4</v>
      </c>
      <c r="F38" s="79">
        <v>1</v>
      </c>
      <c r="G38" s="80">
        <v>12000</v>
      </c>
      <c r="H38" s="80">
        <f t="shared" si="0"/>
        <v>12000</v>
      </c>
      <c r="I38" s="56"/>
    </row>
    <row r="39" spans="1:9" s="38" customFormat="1">
      <c r="A39" s="74">
        <v>35</v>
      </c>
      <c r="B39" s="82" t="s">
        <v>195</v>
      </c>
      <c r="C39" s="76" t="s">
        <v>74</v>
      </c>
      <c r="D39" s="77" t="s">
        <v>75</v>
      </c>
      <c r="E39" s="78" t="s">
        <v>4</v>
      </c>
      <c r="F39" s="79">
        <v>3</v>
      </c>
      <c r="G39" s="80">
        <v>17800</v>
      </c>
      <c r="H39" s="80">
        <f t="shared" si="0"/>
        <v>53400</v>
      </c>
      <c r="I39" s="56"/>
    </row>
    <row r="40" spans="1:9" s="38" customFormat="1">
      <c r="A40" s="83">
        <v>36</v>
      </c>
      <c r="B40" s="82" t="s">
        <v>195</v>
      </c>
      <c r="C40" s="76" t="s">
        <v>76</v>
      </c>
      <c r="D40" s="77" t="s">
        <v>77</v>
      </c>
      <c r="E40" s="78" t="s">
        <v>4</v>
      </c>
      <c r="F40" s="79">
        <v>3</v>
      </c>
      <c r="G40" s="80">
        <v>12800</v>
      </c>
      <c r="H40" s="80">
        <f t="shared" si="0"/>
        <v>38400</v>
      </c>
      <c r="I40" s="56"/>
    </row>
    <row r="41" spans="1:9" s="38" customFormat="1">
      <c r="A41" s="74">
        <v>37</v>
      </c>
      <c r="B41" s="82" t="s">
        <v>195</v>
      </c>
      <c r="C41" s="76" t="s">
        <v>78</v>
      </c>
      <c r="D41" s="77" t="s">
        <v>161</v>
      </c>
      <c r="E41" s="78" t="s">
        <v>4</v>
      </c>
      <c r="F41" s="79">
        <v>5</v>
      </c>
      <c r="G41" s="80">
        <v>8400</v>
      </c>
      <c r="H41" s="80">
        <f t="shared" si="0"/>
        <v>42000</v>
      </c>
      <c r="I41" s="56"/>
    </row>
    <row r="42" spans="1:9" s="38" customFormat="1">
      <c r="A42" s="83">
        <v>38</v>
      </c>
      <c r="B42" s="82" t="s">
        <v>195</v>
      </c>
      <c r="C42" s="76" t="s">
        <v>79</v>
      </c>
      <c r="D42" s="77" t="s">
        <v>162</v>
      </c>
      <c r="E42" s="78" t="s">
        <v>4</v>
      </c>
      <c r="F42" s="79">
        <v>5</v>
      </c>
      <c r="G42" s="80">
        <v>8400</v>
      </c>
      <c r="H42" s="80">
        <f t="shared" si="0"/>
        <v>42000</v>
      </c>
      <c r="I42" s="56"/>
    </row>
    <row r="43" spans="1:9">
      <c r="A43" s="68">
        <v>39</v>
      </c>
      <c r="B43" s="81" t="s">
        <v>195</v>
      </c>
      <c r="C43" s="57" t="s">
        <v>80</v>
      </c>
      <c r="D43" s="58" t="s">
        <v>81</v>
      </c>
      <c r="E43" s="84" t="s">
        <v>4</v>
      </c>
      <c r="F43" s="71">
        <v>3</v>
      </c>
      <c r="G43" s="72">
        <v>36500</v>
      </c>
      <c r="H43" s="72">
        <f t="shared" si="0"/>
        <v>109500</v>
      </c>
      <c r="I43" s="45"/>
    </row>
    <row r="44" spans="1:9" s="38" customFormat="1">
      <c r="A44" s="83">
        <v>40</v>
      </c>
      <c r="B44" s="83">
        <v>2541</v>
      </c>
      <c r="C44" s="76" t="s">
        <v>82</v>
      </c>
      <c r="D44" s="77" t="s">
        <v>83</v>
      </c>
      <c r="E44" s="83" t="s">
        <v>4</v>
      </c>
      <c r="F44" s="79">
        <v>1</v>
      </c>
      <c r="G44" s="80">
        <v>29700</v>
      </c>
      <c r="H44" s="80">
        <f t="shared" si="0"/>
        <v>29700</v>
      </c>
      <c r="I44" s="56"/>
    </row>
    <row r="45" spans="1:9" s="44" customFormat="1">
      <c r="A45" s="68">
        <v>41</v>
      </c>
      <c r="B45" s="73">
        <v>2541</v>
      </c>
      <c r="C45" s="57" t="s">
        <v>84</v>
      </c>
      <c r="D45" s="58" t="s">
        <v>85</v>
      </c>
      <c r="E45" s="73" t="s">
        <v>4</v>
      </c>
      <c r="F45" s="71">
        <v>1</v>
      </c>
      <c r="G45" s="72">
        <v>49800</v>
      </c>
      <c r="H45" s="72">
        <f t="shared" si="0"/>
        <v>49800</v>
      </c>
      <c r="I45" s="54"/>
    </row>
    <row r="46" spans="1:9" s="44" customFormat="1">
      <c r="A46" s="73">
        <v>42</v>
      </c>
      <c r="B46" s="73">
        <v>2544</v>
      </c>
      <c r="C46" s="57" t="s">
        <v>86</v>
      </c>
      <c r="D46" s="85" t="s">
        <v>87</v>
      </c>
      <c r="E46" s="73" t="s">
        <v>4</v>
      </c>
      <c r="F46" s="71">
        <v>1</v>
      </c>
      <c r="G46" s="86">
        <v>50900</v>
      </c>
      <c r="H46" s="72">
        <f>SUM(F46*G46)</f>
        <v>50900</v>
      </c>
      <c r="I46" s="54"/>
    </row>
    <row r="47" spans="1:9">
      <c r="A47" s="87" t="s">
        <v>188</v>
      </c>
      <c r="B47" s="87"/>
      <c r="C47" s="87"/>
      <c r="D47" s="87"/>
      <c r="E47" s="84"/>
      <c r="F47" s="71"/>
      <c r="G47" s="72"/>
      <c r="H47" s="72">
        <f>SUM(H5:H46)</f>
        <v>3930800</v>
      </c>
      <c r="I47" s="45"/>
    </row>
    <row r="48" spans="1:9">
      <c r="A48" s="87" t="s">
        <v>189</v>
      </c>
      <c r="B48" s="87"/>
      <c r="C48" s="87"/>
      <c r="D48" s="87"/>
      <c r="E48" s="84"/>
      <c r="F48" s="71"/>
      <c r="G48" s="72"/>
      <c r="H48" s="72">
        <f>SUM(H47)</f>
        <v>3930800</v>
      </c>
      <c r="I48" s="45"/>
    </row>
    <row r="49" spans="1:9" s="44" customFormat="1">
      <c r="A49" s="68">
        <v>43</v>
      </c>
      <c r="B49" s="73">
        <v>2544</v>
      </c>
      <c r="C49" s="57" t="s">
        <v>88</v>
      </c>
      <c r="D49" s="57" t="s">
        <v>89</v>
      </c>
      <c r="E49" s="73" t="s">
        <v>4</v>
      </c>
      <c r="F49" s="71">
        <v>1</v>
      </c>
      <c r="G49" s="86">
        <v>68900</v>
      </c>
      <c r="H49" s="72">
        <f t="shared" si="0"/>
        <v>68900</v>
      </c>
      <c r="I49" s="54"/>
    </row>
    <row r="50" spans="1:9">
      <c r="A50" s="73">
        <v>44</v>
      </c>
      <c r="B50" s="84">
        <v>2544</v>
      </c>
      <c r="C50" s="57" t="s">
        <v>90</v>
      </c>
      <c r="D50" s="57" t="s">
        <v>91</v>
      </c>
      <c r="E50" s="84" t="s">
        <v>4</v>
      </c>
      <c r="F50" s="71">
        <v>1</v>
      </c>
      <c r="G50" s="86">
        <v>880000</v>
      </c>
      <c r="H50" s="72">
        <f t="shared" si="0"/>
        <v>880000</v>
      </c>
      <c r="I50" s="45"/>
    </row>
    <row r="51" spans="1:9">
      <c r="A51" s="68">
        <v>45</v>
      </c>
      <c r="B51" s="88" t="s">
        <v>196</v>
      </c>
      <c r="C51" s="57" t="s">
        <v>92</v>
      </c>
      <c r="D51" s="57" t="s">
        <v>93</v>
      </c>
      <c r="E51" s="84" t="s">
        <v>4</v>
      </c>
      <c r="F51" s="71">
        <v>1</v>
      </c>
      <c r="G51" s="86">
        <v>159500</v>
      </c>
      <c r="H51" s="72">
        <f t="shared" si="0"/>
        <v>159500</v>
      </c>
      <c r="I51" s="53"/>
    </row>
    <row r="52" spans="1:9">
      <c r="A52" s="73">
        <v>46</v>
      </c>
      <c r="B52" s="69" t="s">
        <v>196</v>
      </c>
      <c r="C52" s="57" t="s">
        <v>94</v>
      </c>
      <c r="D52" s="57" t="s">
        <v>95</v>
      </c>
      <c r="E52" s="70" t="s">
        <v>5</v>
      </c>
      <c r="F52" s="71">
        <v>1</v>
      </c>
      <c r="G52" s="86">
        <v>30000</v>
      </c>
      <c r="H52" s="72">
        <f t="shared" si="0"/>
        <v>30000</v>
      </c>
      <c r="I52" s="53"/>
    </row>
    <row r="53" spans="1:9" s="44" customFormat="1">
      <c r="A53" s="68">
        <v>47</v>
      </c>
      <c r="B53" s="88" t="s">
        <v>197</v>
      </c>
      <c r="C53" s="57" t="s">
        <v>96</v>
      </c>
      <c r="D53" s="57" t="s">
        <v>9</v>
      </c>
      <c r="E53" s="70" t="s">
        <v>4</v>
      </c>
      <c r="F53" s="71">
        <v>1</v>
      </c>
      <c r="G53" s="86">
        <v>33000</v>
      </c>
      <c r="H53" s="72">
        <f t="shared" si="0"/>
        <v>33000</v>
      </c>
      <c r="I53" s="53"/>
    </row>
    <row r="54" spans="1:9">
      <c r="A54" s="73">
        <v>48</v>
      </c>
      <c r="B54" s="88" t="s">
        <v>197</v>
      </c>
      <c r="C54" s="57" t="s">
        <v>97</v>
      </c>
      <c r="D54" s="85" t="s">
        <v>98</v>
      </c>
      <c r="E54" s="70" t="s">
        <v>4</v>
      </c>
      <c r="F54" s="71">
        <v>1</v>
      </c>
      <c r="G54" s="89">
        <v>79000</v>
      </c>
      <c r="H54" s="72">
        <f t="shared" si="0"/>
        <v>79000</v>
      </c>
      <c r="I54" s="53"/>
    </row>
    <row r="55" spans="1:9">
      <c r="A55" s="68">
        <v>49</v>
      </c>
      <c r="B55" s="88" t="s">
        <v>197</v>
      </c>
      <c r="C55" s="57" t="s">
        <v>99</v>
      </c>
      <c r="D55" s="58" t="s">
        <v>100</v>
      </c>
      <c r="E55" s="70" t="s">
        <v>4</v>
      </c>
      <c r="F55" s="71">
        <v>1</v>
      </c>
      <c r="G55" s="72">
        <v>9309</v>
      </c>
      <c r="H55" s="72">
        <f t="shared" si="0"/>
        <v>9309</v>
      </c>
      <c r="I55" s="53"/>
    </row>
    <row r="56" spans="1:9" s="44" customFormat="1">
      <c r="A56" s="73">
        <v>50</v>
      </c>
      <c r="B56" s="88" t="s">
        <v>197</v>
      </c>
      <c r="C56" s="57" t="s">
        <v>101</v>
      </c>
      <c r="D56" s="85" t="s">
        <v>102</v>
      </c>
      <c r="E56" s="70" t="s">
        <v>4</v>
      </c>
      <c r="F56" s="71">
        <v>1</v>
      </c>
      <c r="G56" s="89">
        <v>234490</v>
      </c>
      <c r="H56" s="72">
        <f t="shared" si="0"/>
        <v>234490</v>
      </c>
      <c r="I56" s="53"/>
    </row>
    <row r="57" spans="1:9">
      <c r="A57" s="68">
        <v>51</v>
      </c>
      <c r="B57" s="88" t="s">
        <v>197</v>
      </c>
      <c r="C57" s="57" t="s">
        <v>103</v>
      </c>
      <c r="D57" s="85" t="s">
        <v>104</v>
      </c>
      <c r="E57" s="70" t="s">
        <v>4</v>
      </c>
      <c r="F57" s="71">
        <v>1</v>
      </c>
      <c r="G57" s="89">
        <v>36490</v>
      </c>
      <c r="H57" s="72">
        <f t="shared" si="0"/>
        <v>36490</v>
      </c>
      <c r="I57" s="53"/>
    </row>
    <row r="58" spans="1:9">
      <c r="A58" s="73">
        <v>52</v>
      </c>
      <c r="B58" s="88" t="s">
        <v>197</v>
      </c>
      <c r="C58" s="57" t="s">
        <v>105</v>
      </c>
      <c r="D58" s="85" t="s">
        <v>106</v>
      </c>
      <c r="E58" s="70" t="s">
        <v>4</v>
      </c>
      <c r="F58" s="71">
        <v>1</v>
      </c>
      <c r="G58" s="72">
        <v>9309</v>
      </c>
      <c r="H58" s="72">
        <f t="shared" si="0"/>
        <v>9309</v>
      </c>
      <c r="I58" s="53"/>
    </row>
    <row r="59" spans="1:9" s="44" customFormat="1">
      <c r="A59" s="68">
        <v>53</v>
      </c>
      <c r="B59" s="88" t="s">
        <v>197</v>
      </c>
      <c r="C59" s="57" t="s">
        <v>107</v>
      </c>
      <c r="D59" s="58" t="s">
        <v>108</v>
      </c>
      <c r="E59" s="70" t="s">
        <v>4</v>
      </c>
      <c r="F59" s="71">
        <v>1</v>
      </c>
      <c r="G59" s="72">
        <v>45903</v>
      </c>
      <c r="H59" s="72">
        <f t="shared" si="0"/>
        <v>45903</v>
      </c>
      <c r="I59" s="53"/>
    </row>
    <row r="60" spans="1:9">
      <c r="A60" s="73">
        <v>54</v>
      </c>
      <c r="B60" s="88" t="s">
        <v>197</v>
      </c>
      <c r="C60" s="57" t="s">
        <v>109</v>
      </c>
      <c r="D60" s="58" t="s">
        <v>110</v>
      </c>
      <c r="E60" s="70" t="s">
        <v>4</v>
      </c>
      <c r="F60" s="71">
        <v>4</v>
      </c>
      <c r="G60" s="72">
        <v>55961</v>
      </c>
      <c r="H60" s="72">
        <f t="shared" si="0"/>
        <v>223844</v>
      </c>
      <c r="I60" s="53"/>
    </row>
    <row r="61" spans="1:9">
      <c r="A61" s="68">
        <v>55</v>
      </c>
      <c r="B61" s="88" t="s">
        <v>197</v>
      </c>
      <c r="C61" s="57" t="s">
        <v>111</v>
      </c>
      <c r="D61" s="58" t="s">
        <v>112</v>
      </c>
      <c r="E61" s="70" t="s">
        <v>4</v>
      </c>
      <c r="F61" s="71">
        <v>4</v>
      </c>
      <c r="G61" s="72">
        <v>70000</v>
      </c>
      <c r="H61" s="72">
        <f t="shared" si="0"/>
        <v>280000</v>
      </c>
      <c r="I61" s="45"/>
    </row>
    <row r="62" spans="1:9">
      <c r="A62" s="73">
        <v>56</v>
      </c>
      <c r="B62" s="88" t="s">
        <v>197</v>
      </c>
      <c r="C62" s="57" t="s">
        <v>113</v>
      </c>
      <c r="D62" s="58" t="s">
        <v>112</v>
      </c>
      <c r="E62" s="70" t="s">
        <v>4</v>
      </c>
      <c r="F62" s="71">
        <v>1</v>
      </c>
      <c r="G62" s="72">
        <v>80000</v>
      </c>
      <c r="H62" s="72">
        <f t="shared" si="0"/>
        <v>80000</v>
      </c>
      <c r="I62" s="45"/>
    </row>
    <row r="63" spans="1:9">
      <c r="A63" s="68">
        <v>57</v>
      </c>
      <c r="B63" s="88" t="s">
        <v>197</v>
      </c>
      <c r="C63" s="57" t="s">
        <v>114</v>
      </c>
      <c r="D63" s="58" t="s">
        <v>177</v>
      </c>
      <c r="E63" s="70" t="s">
        <v>4</v>
      </c>
      <c r="F63" s="71">
        <v>1</v>
      </c>
      <c r="G63" s="72">
        <v>95000</v>
      </c>
      <c r="H63" s="72">
        <f t="shared" si="0"/>
        <v>95000</v>
      </c>
      <c r="I63" s="45"/>
    </row>
    <row r="64" spans="1:9">
      <c r="A64" s="73">
        <v>58</v>
      </c>
      <c r="B64" s="88" t="s">
        <v>197</v>
      </c>
      <c r="C64" s="57" t="s">
        <v>115</v>
      </c>
      <c r="D64" s="58" t="s">
        <v>116</v>
      </c>
      <c r="E64" s="70" t="s">
        <v>4</v>
      </c>
      <c r="F64" s="71">
        <v>1</v>
      </c>
      <c r="G64" s="72">
        <v>147490</v>
      </c>
      <c r="H64" s="72">
        <f t="shared" si="0"/>
        <v>147490</v>
      </c>
      <c r="I64" s="45"/>
    </row>
    <row r="65" spans="1:9">
      <c r="A65" s="68">
        <v>59</v>
      </c>
      <c r="B65" s="88" t="s">
        <v>197</v>
      </c>
      <c r="C65" s="57" t="s">
        <v>201</v>
      </c>
      <c r="D65" s="58" t="s">
        <v>117</v>
      </c>
      <c r="E65" s="70" t="s">
        <v>4</v>
      </c>
      <c r="F65" s="71">
        <v>2</v>
      </c>
      <c r="G65" s="72">
        <v>28490</v>
      </c>
      <c r="H65" s="72">
        <f t="shared" si="0"/>
        <v>56980</v>
      </c>
      <c r="I65" s="45"/>
    </row>
    <row r="66" spans="1:9" s="44" customFormat="1">
      <c r="A66" s="73">
        <v>60</v>
      </c>
      <c r="B66" s="88" t="s">
        <v>197</v>
      </c>
      <c r="C66" s="57" t="s">
        <v>118</v>
      </c>
      <c r="D66" s="58" t="s">
        <v>119</v>
      </c>
      <c r="E66" s="70" t="s">
        <v>4</v>
      </c>
      <c r="F66" s="71">
        <v>1</v>
      </c>
      <c r="G66" s="72">
        <v>40000</v>
      </c>
      <c r="H66" s="72">
        <f t="shared" si="0"/>
        <v>40000</v>
      </c>
      <c r="I66" s="54"/>
    </row>
    <row r="67" spans="1:9" s="44" customFormat="1">
      <c r="A67" s="68">
        <v>61</v>
      </c>
      <c r="B67" s="73">
        <v>2547</v>
      </c>
      <c r="C67" s="57" t="s">
        <v>120</v>
      </c>
      <c r="D67" s="58" t="s">
        <v>121</v>
      </c>
      <c r="E67" s="73" t="s">
        <v>4</v>
      </c>
      <c r="F67" s="71">
        <v>1</v>
      </c>
      <c r="G67" s="72">
        <v>27300</v>
      </c>
      <c r="H67" s="72">
        <f t="shared" si="0"/>
        <v>27300</v>
      </c>
      <c r="I67" s="54"/>
    </row>
    <row r="68" spans="1:9" s="38" customFormat="1">
      <c r="A68" s="83">
        <v>62</v>
      </c>
      <c r="B68" s="83">
        <v>2548</v>
      </c>
      <c r="C68" s="76" t="s">
        <v>122</v>
      </c>
      <c r="D68" s="77" t="s">
        <v>123</v>
      </c>
      <c r="E68" s="83" t="s">
        <v>5</v>
      </c>
      <c r="F68" s="79">
        <v>3</v>
      </c>
      <c r="G68" s="80">
        <v>3478</v>
      </c>
      <c r="H68" s="80">
        <f t="shared" si="0"/>
        <v>10434</v>
      </c>
      <c r="I68" s="56"/>
    </row>
    <row r="69" spans="1:9">
      <c r="A69" s="68">
        <v>63</v>
      </c>
      <c r="B69" s="84">
        <v>2548</v>
      </c>
      <c r="C69" s="57" t="s">
        <v>124</v>
      </c>
      <c r="D69" s="58" t="s">
        <v>125</v>
      </c>
      <c r="E69" s="84" t="s">
        <v>5</v>
      </c>
      <c r="F69" s="71">
        <v>3</v>
      </c>
      <c r="G69" s="72">
        <v>6440</v>
      </c>
      <c r="H69" s="72">
        <f t="shared" si="0"/>
        <v>19320</v>
      </c>
      <c r="I69" s="45"/>
    </row>
    <row r="70" spans="1:9">
      <c r="A70" s="73">
        <v>64</v>
      </c>
      <c r="B70" s="84">
        <v>2548</v>
      </c>
      <c r="C70" s="57" t="s">
        <v>126</v>
      </c>
      <c r="D70" s="58" t="s">
        <v>127</v>
      </c>
      <c r="E70" s="84" t="s">
        <v>5</v>
      </c>
      <c r="F70" s="71">
        <v>3</v>
      </c>
      <c r="G70" s="72">
        <v>4466</v>
      </c>
      <c r="H70" s="72">
        <f t="shared" si="0"/>
        <v>13398</v>
      </c>
      <c r="I70" s="45"/>
    </row>
    <row r="71" spans="1:9">
      <c r="A71" s="68">
        <v>65</v>
      </c>
      <c r="B71" s="84">
        <v>2548</v>
      </c>
      <c r="C71" s="57" t="s">
        <v>128</v>
      </c>
      <c r="D71" s="58" t="s">
        <v>129</v>
      </c>
      <c r="E71" s="84" t="s">
        <v>5</v>
      </c>
      <c r="F71" s="71">
        <v>6</v>
      </c>
      <c r="G71" s="72">
        <v>1175</v>
      </c>
      <c r="H71" s="72">
        <f t="shared" si="0"/>
        <v>7050</v>
      </c>
      <c r="I71" s="45"/>
    </row>
    <row r="72" spans="1:9" s="38" customFormat="1">
      <c r="A72" s="83">
        <v>66</v>
      </c>
      <c r="B72" s="83">
        <v>2549</v>
      </c>
      <c r="C72" s="76" t="s">
        <v>130</v>
      </c>
      <c r="D72" s="77" t="s">
        <v>131</v>
      </c>
      <c r="E72" s="78" t="s">
        <v>173</v>
      </c>
      <c r="F72" s="79">
        <v>1</v>
      </c>
      <c r="G72" s="80">
        <v>45000</v>
      </c>
      <c r="H72" s="80">
        <f t="shared" si="0"/>
        <v>45000</v>
      </c>
      <c r="I72" s="56"/>
    </row>
    <row r="73" spans="1:9">
      <c r="A73" s="68">
        <v>67</v>
      </c>
      <c r="B73" s="84">
        <v>2549</v>
      </c>
      <c r="C73" s="57" t="s">
        <v>132</v>
      </c>
      <c r="D73" s="58" t="s">
        <v>133</v>
      </c>
      <c r="E73" s="84" t="s">
        <v>4</v>
      </c>
      <c r="F73" s="71">
        <v>1</v>
      </c>
      <c r="G73" s="72">
        <v>16332</v>
      </c>
      <c r="H73" s="72">
        <f t="shared" ref="H73:H93" si="1">SUM(F73*G73)</f>
        <v>16332</v>
      </c>
      <c r="I73" s="45"/>
    </row>
    <row r="74" spans="1:9">
      <c r="A74" s="73">
        <v>68</v>
      </c>
      <c r="B74" s="84">
        <v>2549</v>
      </c>
      <c r="C74" s="57" t="s">
        <v>134</v>
      </c>
      <c r="D74" s="58" t="s">
        <v>135</v>
      </c>
      <c r="E74" s="84" t="s">
        <v>4</v>
      </c>
      <c r="F74" s="71">
        <v>1</v>
      </c>
      <c r="G74" s="72">
        <v>16355</v>
      </c>
      <c r="H74" s="72">
        <f t="shared" si="1"/>
        <v>16355</v>
      </c>
      <c r="I74" s="45"/>
    </row>
    <row r="75" spans="1:9">
      <c r="A75" s="68">
        <v>69</v>
      </c>
      <c r="B75" s="84">
        <v>2549</v>
      </c>
      <c r="C75" s="57" t="s">
        <v>136</v>
      </c>
      <c r="D75" s="58" t="s">
        <v>137</v>
      </c>
      <c r="E75" s="84" t="s">
        <v>4</v>
      </c>
      <c r="F75" s="71">
        <v>1</v>
      </c>
      <c r="G75" s="72">
        <v>797000</v>
      </c>
      <c r="H75" s="72">
        <f t="shared" si="1"/>
        <v>797000</v>
      </c>
      <c r="I75" s="45"/>
    </row>
    <row r="76" spans="1:9">
      <c r="A76" s="73">
        <v>70</v>
      </c>
      <c r="B76" s="84">
        <v>2549</v>
      </c>
      <c r="C76" s="57" t="s">
        <v>138</v>
      </c>
      <c r="D76" s="58" t="s">
        <v>178</v>
      </c>
      <c r="E76" s="70" t="s">
        <v>4</v>
      </c>
      <c r="F76" s="71">
        <v>1</v>
      </c>
      <c r="G76" s="72">
        <v>995000</v>
      </c>
      <c r="H76" s="72">
        <f t="shared" si="1"/>
        <v>995000</v>
      </c>
      <c r="I76" s="53"/>
    </row>
    <row r="77" spans="1:9">
      <c r="A77" s="68">
        <v>71</v>
      </c>
      <c r="B77" s="84">
        <v>2549</v>
      </c>
      <c r="C77" s="57" t="s">
        <v>139</v>
      </c>
      <c r="D77" s="58" t="s">
        <v>179</v>
      </c>
      <c r="E77" s="70" t="s">
        <v>4</v>
      </c>
      <c r="F77" s="71">
        <v>1</v>
      </c>
      <c r="G77" s="72">
        <v>498000</v>
      </c>
      <c r="H77" s="72">
        <f t="shared" si="1"/>
        <v>498000</v>
      </c>
      <c r="I77" s="53"/>
    </row>
    <row r="78" spans="1:9">
      <c r="A78" s="73">
        <v>72</v>
      </c>
      <c r="B78" s="84">
        <v>2549</v>
      </c>
      <c r="C78" s="57" t="s">
        <v>140</v>
      </c>
      <c r="D78" s="58" t="s">
        <v>180</v>
      </c>
      <c r="E78" s="70" t="s">
        <v>5</v>
      </c>
      <c r="F78" s="71">
        <v>1</v>
      </c>
      <c r="G78" s="72">
        <v>56400</v>
      </c>
      <c r="H78" s="72">
        <f t="shared" si="1"/>
        <v>56400</v>
      </c>
      <c r="I78" s="53"/>
    </row>
    <row r="79" spans="1:9">
      <c r="A79" s="68">
        <v>73</v>
      </c>
      <c r="B79" s="73">
        <v>2550</v>
      </c>
      <c r="C79" s="57" t="s">
        <v>141</v>
      </c>
      <c r="D79" s="58" t="s">
        <v>3</v>
      </c>
      <c r="E79" s="70" t="s">
        <v>5</v>
      </c>
      <c r="F79" s="71">
        <v>2</v>
      </c>
      <c r="G79" s="72">
        <v>3000</v>
      </c>
      <c r="H79" s="72">
        <f t="shared" si="1"/>
        <v>6000</v>
      </c>
      <c r="I79" s="53"/>
    </row>
    <row r="80" spans="1:9">
      <c r="A80" s="73">
        <v>74</v>
      </c>
      <c r="B80" s="73">
        <v>2550</v>
      </c>
      <c r="C80" s="57" t="s">
        <v>142</v>
      </c>
      <c r="D80" s="85" t="s">
        <v>143</v>
      </c>
      <c r="E80" s="70" t="s">
        <v>5</v>
      </c>
      <c r="F80" s="71">
        <v>1</v>
      </c>
      <c r="G80" s="86">
        <v>60000</v>
      </c>
      <c r="H80" s="72">
        <f t="shared" si="1"/>
        <v>60000</v>
      </c>
      <c r="I80" s="53"/>
    </row>
    <row r="81" spans="1:9">
      <c r="A81" s="68">
        <v>75</v>
      </c>
      <c r="B81" s="73">
        <v>2550</v>
      </c>
      <c r="C81" s="57" t="s">
        <v>144</v>
      </c>
      <c r="D81" s="58" t="s">
        <v>145</v>
      </c>
      <c r="E81" s="70" t="s">
        <v>5</v>
      </c>
      <c r="F81" s="71">
        <v>2</v>
      </c>
      <c r="G81" s="72">
        <v>3000</v>
      </c>
      <c r="H81" s="72">
        <f t="shared" si="1"/>
        <v>6000</v>
      </c>
      <c r="I81" s="53"/>
    </row>
    <row r="82" spans="1:9">
      <c r="A82" s="73">
        <v>76</v>
      </c>
      <c r="B82" s="88" t="s">
        <v>198</v>
      </c>
      <c r="C82" s="57" t="s">
        <v>146</v>
      </c>
      <c r="D82" s="58" t="s">
        <v>163</v>
      </c>
      <c r="E82" s="70" t="s">
        <v>173</v>
      </c>
      <c r="F82" s="71">
        <v>1</v>
      </c>
      <c r="G82" s="72">
        <v>200000</v>
      </c>
      <c r="H82" s="72">
        <f t="shared" si="1"/>
        <v>200000</v>
      </c>
      <c r="I82" s="53"/>
    </row>
    <row r="83" spans="1:9">
      <c r="A83" s="68">
        <v>77</v>
      </c>
      <c r="B83" s="90" t="s">
        <v>198</v>
      </c>
      <c r="C83" s="57" t="s">
        <v>147</v>
      </c>
      <c r="D83" s="58" t="s">
        <v>148</v>
      </c>
      <c r="E83" s="70" t="s">
        <v>173</v>
      </c>
      <c r="F83" s="71">
        <v>1</v>
      </c>
      <c r="G83" s="72">
        <v>31796</v>
      </c>
      <c r="H83" s="72">
        <f t="shared" si="1"/>
        <v>31796</v>
      </c>
      <c r="I83" s="45"/>
    </row>
    <row r="84" spans="1:9" s="38" customFormat="1">
      <c r="A84" s="83">
        <v>78</v>
      </c>
      <c r="B84" s="91" t="s">
        <v>198</v>
      </c>
      <c r="C84" s="76" t="s">
        <v>149</v>
      </c>
      <c r="D84" s="77" t="s">
        <v>150</v>
      </c>
      <c r="E84" s="78" t="s">
        <v>4</v>
      </c>
      <c r="F84" s="79">
        <v>1</v>
      </c>
      <c r="G84" s="80">
        <v>59100</v>
      </c>
      <c r="H84" s="80">
        <f t="shared" si="1"/>
        <v>59100</v>
      </c>
      <c r="I84" s="56"/>
    </row>
    <row r="85" spans="1:9">
      <c r="A85" s="68">
        <v>79</v>
      </c>
      <c r="B85" s="81" t="s">
        <v>199</v>
      </c>
      <c r="C85" s="92" t="s">
        <v>151</v>
      </c>
      <c r="D85" s="93" t="s">
        <v>152</v>
      </c>
      <c r="E85" s="70" t="s">
        <v>4</v>
      </c>
      <c r="F85" s="94">
        <v>11</v>
      </c>
      <c r="G85" s="72">
        <v>77000</v>
      </c>
      <c r="H85" s="72">
        <f t="shared" si="1"/>
        <v>847000</v>
      </c>
      <c r="I85" s="45"/>
    </row>
    <row r="86" spans="1:9">
      <c r="A86" s="73">
        <v>80</v>
      </c>
      <c r="B86" s="81" t="s">
        <v>199</v>
      </c>
      <c r="C86" s="92" t="s">
        <v>153</v>
      </c>
      <c r="D86" s="93" t="s">
        <v>154</v>
      </c>
      <c r="E86" s="70" t="s">
        <v>4</v>
      </c>
      <c r="F86" s="94">
        <v>1</v>
      </c>
      <c r="G86" s="72">
        <v>157000</v>
      </c>
      <c r="H86" s="72">
        <f t="shared" si="1"/>
        <v>157000</v>
      </c>
      <c r="I86" s="45"/>
    </row>
    <row r="87" spans="1:9">
      <c r="A87" s="68">
        <v>81</v>
      </c>
      <c r="B87" s="81" t="s">
        <v>199</v>
      </c>
      <c r="C87" s="57" t="s">
        <v>155</v>
      </c>
      <c r="D87" s="58" t="s">
        <v>164</v>
      </c>
      <c r="E87" s="70" t="s">
        <v>4</v>
      </c>
      <c r="F87" s="71">
        <v>1</v>
      </c>
      <c r="G87" s="72">
        <v>370000</v>
      </c>
      <c r="H87" s="72">
        <f t="shared" si="1"/>
        <v>370000</v>
      </c>
      <c r="I87" s="45"/>
    </row>
    <row r="88" spans="1:9">
      <c r="A88" s="73">
        <v>82</v>
      </c>
      <c r="B88" s="81" t="s">
        <v>199</v>
      </c>
      <c r="C88" s="57" t="s">
        <v>156</v>
      </c>
      <c r="D88" s="58" t="s">
        <v>157</v>
      </c>
      <c r="E88" s="70" t="s">
        <v>4</v>
      </c>
      <c r="F88" s="71">
        <v>1</v>
      </c>
      <c r="G88" s="72">
        <v>199800</v>
      </c>
      <c r="H88" s="72">
        <f t="shared" si="1"/>
        <v>199800</v>
      </c>
      <c r="I88" s="45"/>
    </row>
    <row r="89" spans="1:9">
      <c r="A89" s="68">
        <v>83</v>
      </c>
      <c r="B89" s="95">
        <v>22114</v>
      </c>
      <c r="C89" s="96"/>
      <c r="D89" s="61" t="s">
        <v>158</v>
      </c>
      <c r="E89" s="70" t="s">
        <v>4</v>
      </c>
      <c r="F89" s="97">
        <v>1</v>
      </c>
      <c r="G89" s="98">
        <v>6200</v>
      </c>
      <c r="H89" s="72">
        <f t="shared" si="1"/>
        <v>6200</v>
      </c>
      <c r="I89" s="59"/>
    </row>
    <row r="90" spans="1:9">
      <c r="A90" s="87" t="s">
        <v>188</v>
      </c>
      <c r="B90" s="87"/>
      <c r="C90" s="87"/>
      <c r="D90" s="87"/>
      <c r="E90" s="70"/>
      <c r="F90" s="97"/>
      <c r="G90" s="98"/>
      <c r="H90" s="72">
        <f>SUM(H48:H89)</f>
        <v>10884500</v>
      </c>
      <c r="I90" s="59"/>
    </row>
    <row r="91" spans="1:9">
      <c r="A91" s="87" t="s">
        <v>189</v>
      </c>
      <c r="B91" s="87"/>
      <c r="C91" s="87"/>
      <c r="D91" s="87"/>
      <c r="E91" s="70"/>
      <c r="F91" s="97"/>
      <c r="G91" s="98"/>
      <c r="H91" s="72">
        <f>SUM(H90)</f>
        <v>10884500</v>
      </c>
      <c r="I91" s="59"/>
    </row>
    <row r="92" spans="1:9" s="38" customFormat="1">
      <c r="A92" s="83">
        <v>84</v>
      </c>
      <c r="B92" s="99">
        <v>22189</v>
      </c>
      <c r="C92" s="100"/>
      <c r="D92" s="77" t="s">
        <v>159</v>
      </c>
      <c r="E92" s="83" t="s">
        <v>8</v>
      </c>
      <c r="F92" s="79">
        <v>2</v>
      </c>
      <c r="G92" s="80">
        <v>16217.5</v>
      </c>
      <c r="H92" s="80">
        <f t="shared" si="1"/>
        <v>32435</v>
      </c>
      <c r="I92" s="60"/>
    </row>
    <row r="93" spans="1:9">
      <c r="A93" s="68">
        <v>85</v>
      </c>
      <c r="B93" s="95">
        <v>22327</v>
      </c>
      <c r="C93" s="96" t="s">
        <v>165</v>
      </c>
      <c r="D93" s="61" t="s">
        <v>191</v>
      </c>
      <c r="E93" s="101" t="s">
        <v>4</v>
      </c>
      <c r="F93" s="97">
        <v>1</v>
      </c>
      <c r="G93" s="98">
        <v>1429940</v>
      </c>
      <c r="H93" s="72">
        <f t="shared" si="1"/>
        <v>1429940</v>
      </c>
      <c r="I93" s="59"/>
    </row>
    <row r="94" spans="1:9">
      <c r="A94" s="102"/>
      <c r="B94" s="95"/>
      <c r="C94" s="96"/>
      <c r="D94" s="103" t="s">
        <v>167</v>
      </c>
      <c r="E94" s="101"/>
      <c r="F94" s="97"/>
      <c r="G94" s="98"/>
      <c r="H94" s="98"/>
      <c r="I94" s="59"/>
    </row>
    <row r="95" spans="1:9">
      <c r="A95" s="102"/>
      <c r="B95" s="95"/>
      <c r="C95" s="96"/>
      <c r="D95" s="104" t="s">
        <v>166</v>
      </c>
      <c r="E95" s="101"/>
      <c r="F95" s="97"/>
      <c r="G95" s="98"/>
      <c r="H95" s="98"/>
      <c r="I95" s="59"/>
    </row>
    <row r="96" spans="1:9">
      <c r="A96" s="102"/>
      <c r="B96" s="95"/>
      <c r="C96" s="96"/>
      <c r="D96" s="103" t="s">
        <v>168</v>
      </c>
      <c r="E96" s="101"/>
      <c r="F96" s="97"/>
      <c r="G96" s="98"/>
      <c r="H96" s="98"/>
      <c r="I96" s="59"/>
    </row>
    <row r="97" spans="1:9">
      <c r="A97" s="102"/>
      <c r="B97" s="95"/>
      <c r="C97" s="96"/>
      <c r="D97" s="103" t="s">
        <v>169</v>
      </c>
      <c r="E97" s="101"/>
      <c r="F97" s="97"/>
      <c r="G97" s="98"/>
      <c r="H97" s="98"/>
      <c r="I97" s="59"/>
    </row>
    <row r="98" spans="1:9">
      <c r="A98" s="102"/>
      <c r="B98" s="95"/>
      <c r="C98" s="96"/>
      <c r="D98" s="103" t="s">
        <v>170</v>
      </c>
      <c r="E98" s="101"/>
      <c r="F98" s="97"/>
      <c r="G98" s="98"/>
      <c r="H98" s="98"/>
      <c r="I98" s="59"/>
    </row>
    <row r="99" spans="1:9">
      <c r="A99" s="102"/>
      <c r="B99" s="95"/>
      <c r="C99" s="96"/>
      <c r="D99" s="103" t="s">
        <v>171</v>
      </c>
      <c r="E99" s="101"/>
      <c r="F99" s="97"/>
      <c r="G99" s="98"/>
      <c r="H99" s="98"/>
      <c r="I99" s="59"/>
    </row>
    <row r="100" spans="1:9">
      <c r="A100" s="102">
        <v>86</v>
      </c>
      <c r="B100" s="95">
        <v>23536</v>
      </c>
      <c r="C100" s="96" t="s">
        <v>193</v>
      </c>
      <c r="D100" s="105" t="s">
        <v>192</v>
      </c>
      <c r="E100" s="101" t="s">
        <v>5</v>
      </c>
      <c r="F100" s="97">
        <v>1</v>
      </c>
      <c r="G100" s="98">
        <v>2690</v>
      </c>
      <c r="H100" s="98">
        <f>SUM(F100*G100)</f>
        <v>2690</v>
      </c>
      <c r="I100" s="59"/>
    </row>
    <row r="101" spans="1:9" ht="43.5">
      <c r="A101" s="106">
        <v>87</v>
      </c>
      <c r="B101" s="107">
        <v>23734</v>
      </c>
      <c r="C101" s="108" t="s">
        <v>243</v>
      </c>
      <c r="D101" s="109" t="s">
        <v>245</v>
      </c>
      <c r="E101" s="110" t="s">
        <v>244</v>
      </c>
      <c r="F101" s="111">
        <v>1</v>
      </c>
      <c r="G101" s="112">
        <v>489000</v>
      </c>
      <c r="H101" s="112">
        <f>SUM(F101*G101)</f>
        <v>489000</v>
      </c>
      <c r="I101" s="59"/>
    </row>
    <row r="102" spans="1:9">
      <c r="A102" s="106">
        <v>88</v>
      </c>
      <c r="B102" s="107">
        <v>23983</v>
      </c>
      <c r="C102" s="108" t="s">
        <v>247</v>
      </c>
      <c r="D102" s="109" t="s">
        <v>246</v>
      </c>
      <c r="E102" s="110" t="s">
        <v>5</v>
      </c>
      <c r="F102" s="111">
        <v>60</v>
      </c>
      <c r="G102" s="112">
        <v>550</v>
      </c>
      <c r="H102" s="112">
        <f>SUM(F102*G102)</f>
        <v>33000</v>
      </c>
      <c r="I102" s="59"/>
    </row>
    <row r="103" spans="1:9">
      <c r="A103" s="106">
        <v>89</v>
      </c>
      <c r="B103" s="107">
        <v>243406</v>
      </c>
      <c r="C103" s="108" t="s">
        <v>248</v>
      </c>
      <c r="D103" s="109" t="s">
        <v>249</v>
      </c>
      <c r="E103" s="110" t="s">
        <v>5</v>
      </c>
      <c r="F103" s="111">
        <v>5</v>
      </c>
      <c r="G103" s="112">
        <v>20000</v>
      </c>
      <c r="H103" s="112">
        <f>SUM(F103*G103)</f>
        <v>100000</v>
      </c>
      <c r="I103" s="59"/>
    </row>
    <row r="104" spans="1:9">
      <c r="A104" s="113" t="s">
        <v>7</v>
      </c>
      <c r="B104" s="113"/>
      <c r="C104" s="113"/>
      <c r="D104" s="113"/>
      <c r="E104" s="113"/>
      <c r="F104" s="70"/>
      <c r="G104" s="114"/>
      <c r="H104" s="114">
        <f>SUM(H91,H92,H93,H100,H101,H102,H103)</f>
        <v>12971565</v>
      </c>
      <c r="I104" s="45"/>
    </row>
    <row r="105" spans="1:9">
      <c r="A105" s="15"/>
      <c r="B105" s="15"/>
      <c r="C105" s="15"/>
      <c r="D105" s="15"/>
      <c r="E105" s="15"/>
      <c r="F105" s="62"/>
      <c r="G105" s="63"/>
      <c r="H105" s="63"/>
      <c r="I105" s="15"/>
    </row>
    <row r="106" spans="1:9">
      <c r="A106" s="64"/>
      <c r="B106" s="15"/>
      <c r="C106" s="65"/>
      <c r="D106" s="64"/>
      <c r="E106" s="64"/>
      <c r="F106" s="62"/>
      <c r="G106" s="64"/>
      <c r="H106" s="64"/>
      <c r="I106" s="15"/>
    </row>
    <row r="107" spans="1:9">
      <c r="A107" s="64"/>
      <c r="B107" s="15"/>
      <c r="C107" s="65"/>
      <c r="D107" s="64"/>
      <c r="E107" s="64"/>
      <c r="F107" s="47" t="s">
        <v>190</v>
      </c>
      <c r="G107" s="47"/>
      <c r="H107" s="47"/>
      <c r="I107" s="47"/>
    </row>
    <row r="108" spans="1:9">
      <c r="A108" s="64"/>
      <c r="B108" s="15"/>
      <c r="C108" s="65"/>
      <c r="D108" s="64"/>
      <c r="E108" s="64"/>
      <c r="F108" s="47" t="s">
        <v>250</v>
      </c>
      <c r="G108" s="47"/>
      <c r="H108" s="47"/>
      <c r="I108" s="47"/>
    </row>
    <row r="109" spans="1:9">
      <c r="A109" s="64"/>
      <c r="B109" s="15"/>
      <c r="C109" s="65"/>
      <c r="D109" s="64"/>
      <c r="E109" s="64"/>
      <c r="F109" s="47" t="s">
        <v>6</v>
      </c>
      <c r="G109" s="47"/>
      <c r="H109" s="47"/>
      <c r="I109" s="47"/>
    </row>
  </sheetData>
  <mergeCells count="11">
    <mergeCell ref="A90:D90"/>
    <mergeCell ref="A91:D91"/>
    <mergeCell ref="F109:I109"/>
    <mergeCell ref="A1:I1"/>
    <mergeCell ref="A2:I2"/>
    <mergeCell ref="A3:I3"/>
    <mergeCell ref="A104:E104"/>
    <mergeCell ref="F107:I107"/>
    <mergeCell ref="F108:I108"/>
    <mergeCell ref="A47:D47"/>
    <mergeCell ref="A48:D48"/>
  </mergeCells>
  <printOptions horizontalCentered="1"/>
  <pageMargins left="0.19685039370078741" right="0" top="0.39370078740157483" bottom="0.19685039370078741" header="0" footer="0"/>
  <pageSetup paperSize="9" scale="70" fitToHeight="0" orientation="portrait" r:id="rId1"/>
  <rowBreaks count="2" manualBreakCount="2">
    <brk id="47" max="16383" man="1"/>
    <brk id="90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6C823-EF69-43AC-ADAF-73040BEA2B4E}">
  <sheetPr>
    <tabColor rgb="FFC00000"/>
  </sheetPr>
  <dimension ref="A1:I28"/>
  <sheetViews>
    <sheetView zoomScale="110" zoomScaleNormal="110" workbookViewId="0">
      <selection activeCell="C17" sqref="C17"/>
    </sheetView>
  </sheetViews>
  <sheetFormatPr defaultColWidth="9" defaultRowHeight="24"/>
  <cols>
    <col min="1" max="1" width="5.28515625" style="1" customWidth="1"/>
    <col min="2" max="2" width="11.5703125" style="14" customWidth="1"/>
    <col min="3" max="3" width="32.28515625" style="12" customWidth="1"/>
    <col min="4" max="4" width="41" style="1" customWidth="1"/>
    <col min="5" max="5" width="7.42578125" style="1" customWidth="1"/>
    <col min="6" max="6" width="7" style="1" customWidth="1"/>
    <col min="7" max="7" width="13" style="1" customWidth="1"/>
    <col min="8" max="8" width="14.5703125" style="1" customWidth="1"/>
    <col min="9" max="9" width="13.140625" style="14" customWidth="1"/>
    <col min="10" max="16384" width="9" style="1"/>
  </cols>
  <sheetData>
    <row r="1" spans="1:9">
      <c r="A1" s="47" t="s">
        <v>10</v>
      </c>
      <c r="B1" s="47"/>
      <c r="C1" s="47"/>
      <c r="D1" s="47"/>
      <c r="E1" s="47"/>
      <c r="F1" s="47"/>
      <c r="G1" s="47"/>
      <c r="H1" s="47"/>
      <c r="I1" s="47"/>
    </row>
    <row r="2" spans="1:9">
      <c r="A2" s="48" t="s">
        <v>202</v>
      </c>
      <c r="B2" s="48"/>
      <c r="C2" s="48"/>
      <c r="D2" s="48"/>
      <c r="E2" s="48"/>
      <c r="F2" s="48"/>
      <c r="G2" s="48"/>
      <c r="H2" s="48"/>
      <c r="I2" s="48"/>
    </row>
    <row r="3" spans="1:9">
      <c r="A3" s="49" t="s">
        <v>242</v>
      </c>
      <c r="B3" s="49"/>
      <c r="C3" s="49"/>
      <c r="D3" s="49"/>
      <c r="E3" s="49"/>
      <c r="F3" s="49"/>
      <c r="G3" s="49"/>
      <c r="H3" s="49"/>
      <c r="I3" s="49"/>
    </row>
    <row r="4" spans="1:9" ht="96">
      <c r="A4" s="9" t="s">
        <v>182</v>
      </c>
      <c r="B4" s="9" t="s">
        <v>185</v>
      </c>
      <c r="C4" s="9" t="s">
        <v>186</v>
      </c>
      <c r="D4" s="5" t="s">
        <v>0</v>
      </c>
      <c r="E4" s="9" t="s">
        <v>183</v>
      </c>
      <c r="F4" s="5" t="s">
        <v>1</v>
      </c>
      <c r="G4" s="9" t="s">
        <v>184</v>
      </c>
      <c r="H4" s="9" t="s">
        <v>187</v>
      </c>
      <c r="I4" s="9" t="s">
        <v>2</v>
      </c>
    </row>
    <row r="5" spans="1:9">
      <c r="A5" s="6">
        <v>1</v>
      </c>
      <c r="B5" s="4" t="s">
        <v>194</v>
      </c>
      <c r="C5" s="20" t="s">
        <v>203</v>
      </c>
      <c r="D5" s="21" t="s">
        <v>21</v>
      </c>
      <c r="E5" s="2" t="s">
        <v>4</v>
      </c>
      <c r="F5" s="22">
        <v>4</v>
      </c>
      <c r="G5" s="23">
        <v>4850</v>
      </c>
      <c r="H5" s="17">
        <f>SUM(F5*G5)</f>
        <v>19400</v>
      </c>
      <c r="I5" s="16"/>
    </row>
    <row r="6" spans="1:9">
      <c r="A6" s="11">
        <v>2</v>
      </c>
      <c r="B6" s="7" t="s">
        <v>194</v>
      </c>
      <c r="C6" s="20" t="s">
        <v>204</v>
      </c>
      <c r="D6" s="21" t="s">
        <v>23</v>
      </c>
      <c r="E6" s="2" t="s">
        <v>4</v>
      </c>
      <c r="F6" s="22">
        <v>5</v>
      </c>
      <c r="G6" s="23">
        <v>5000</v>
      </c>
      <c r="H6" s="17">
        <f t="shared" ref="H6:H23" si="0">SUM(F6*G6)</f>
        <v>25000</v>
      </c>
      <c r="I6" s="16"/>
    </row>
    <row r="7" spans="1:9" s="38" customFormat="1">
      <c r="A7" s="29">
        <v>3</v>
      </c>
      <c r="B7" s="30" t="s">
        <v>194</v>
      </c>
      <c r="C7" s="31" t="s">
        <v>205</v>
      </c>
      <c r="D7" s="32" t="s">
        <v>19</v>
      </c>
      <c r="E7" s="33" t="s">
        <v>4</v>
      </c>
      <c r="F7" s="34">
        <v>1</v>
      </c>
      <c r="G7" s="35">
        <v>18500</v>
      </c>
      <c r="H7" s="36">
        <f t="shared" si="0"/>
        <v>18500</v>
      </c>
      <c r="I7" s="37"/>
    </row>
    <row r="8" spans="1:9">
      <c r="A8" s="11">
        <v>4</v>
      </c>
      <c r="B8" s="4" t="s">
        <v>195</v>
      </c>
      <c r="C8" s="20" t="s">
        <v>206</v>
      </c>
      <c r="D8" s="24" t="s">
        <v>207</v>
      </c>
      <c r="E8" s="2" t="s">
        <v>4</v>
      </c>
      <c r="F8" s="22">
        <v>1</v>
      </c>
      <c r="G8" s="23">
        <v>8400</v>
      </c>
      <c r="H8" s="17">
        <f t="shared" si="0"/>
        <v>8400</v>
      </c>
      <c r="I8" s="16"/>
    </row>
    <row r="9" spans="1:9">
      <c r="A9" s="6">
        <v>5</v>
      </c>
      <c r="B9" s="4" t="s">
        <v>195</v>
      </c>
      <c r="C9" s="25" t="s">
        <v>208</v>
      </c>
      <c r="D9" s="24" t="s">
        <v>209</v>
      </c>
      <c r="E9" s="2" t="s">
        <v>4</v>
      </c>
      <c r="F9" s="6">
        <v>1</v>
      </c>
      <c r="G9" s="23">
        <v>8400</v>
      </c>
      <c r="H9" s="17">
        <f t="shared" si="0"/>
        <v>8400</v>
      </c>
      <c r="I9" s="16"/>
    </row>
    <row r="10" spans="1:9">
      <c r="A10" s="11">
        <v>6</v>
      </c>
      <c r="B10" s="4" t="s">
        <v>197</v>
      </c>
      <c r="C10" s="20" t="s">
        <v>210</v>
      </c>
      <c r="D10" s="21" t="s">
        <v>211</v>
      </c>
      <c r="E10" s="2" t="s">
        <v>4</v>
      </c>
      <c r="F10" s="22">
        <v>1</v>
      </c>
      <c r="G10" s="23">
        <v>55961</v>
      </c>
      <c r="H10" s="17">
        <f t="shared" si="0"/>
        <v>55961</v>
      </c>
      <c r="I10" s="16"/>
    </row>
    <row r="11" spans="1:9">
      <c r="A11" s="6">
        <v>7</v>
      </c>
      <c r="B11" s="4" t="s">
        <v>197</v>
      </c>
      <c r="C11" s="20" t="s">
        <v>212</v>
      </c>
      <c r="D11" s="21" t="s">
        <v>213</v>
      </c>
      <c r="E11" s="2" t="s">
        <v>4</v>
      </c>
      <c r="F11" s="22">
        <v>1</v>
      </c>
      <c r="G11" s="23">
        <v>19795</v>
      </c>
      <c r="H11" s="17">
        <f t="shared" si="0"/>
        <v>19795</v>
      </c>
      <c r="I11" s="16"/>
    </row>
    <row r="12" spans="1:9">
      <c r="A12" s="11">
        <v>8</v>
      </c>
      <c r="B12" s="4" t="s">
        <v>197</v>
      </c>
      <c r="C12" s="20" t="s">
        <v>214</v>
      </c>
      <c r="D12" s="21" t="s">
        <v>112</v>
      </c>
      <c r="E12" s="2" t="s">
        <v>4</v>
      </c>
      <c r="F12" s="22">
        <v>3</v>
      </c>
      <c r="G12" s="23">
        <v>70000</v>
      </c>
      <c r="H12" s="17">
        <f t="shared" si="0"/>
        <v>210000</v>
      </c>
      <c r="I12" s="16"/>
    </row>
    <row r="13" spans="1:9" s="44" customFormat="1">
      <c r="A13" s="6">
        <v>9</v>
      </c>
      <c r="B13" s="4" t="s">
        <v>238</v>
      </c>
      <c r="C13" s="20" t="s">
        <v>215</v>
      </c>
      <c r="D13" s="21" t="s">
        <v>216</v>
      </c>
      <c r="E13" s="2" t="s">
        <v>5</v>
      </c>
      <c r="F13" s="22">
        <v>1</v>
      </c>
      <c r="G13" s="23">
        <v>3478</v>
      </c>
      <c r="H13" s="17">
        <f t="shared" si="0"/>
        <v>3478</v>
      </c>
      <c r="I13" s="16"/>
    </row>
    <row r="14" spans="1:9">
      <c r="A14" s="11">
        <v>10</v>
      </c>
      <c r="B14" s="4" t="s">
        <v>239</v>
      </c>
      <c r="C14" s="20" t="s">
        <v>217</v>
      </c>
      <c r="D14" s="21" t="s">
        <v>218</v>
      </c>
      <c r="E14" s="2" t="s">
        <v>5</v>
      </c>
      <c r="F14" s="22">
        <v>2</v>
      </c>
      <c r="G14" s="23">
        <v>3000</v>
      </c>
      <c r="H14" s="17">
        <f t="shared" si="0"/>
        <v>6000</v>
      </c>
      <c r="I14" s="16"/>
    </row>
    <row r="15" spans="1:9" s="38" customFormat="1">
      <c r="A15" s="29">
        <v>11</v>
      </c>
      <c r="B15" s="30" t="s">
        <v>199</v>
      </c>
      <c r="C15" s="39" t="s">
        <v>219</v>
      </c>
      <c r="D15" s="40" t="s">
        <v>220</v>
      </c>
      <c r="E15" s="33" t="s">
        <v>4</v>
      </c>
      <c r="F15" s="41">
        <v>2</v>
      </c>
      <c r="G15" s="42">
        <v>15000</v>
      </c>
      <c r="H15" s="36">
        <f t="shared" si="0"/>
        <v>30000</v>
      </c>
      <c r="I15" s="37"/>
    </row>
    <row r="16" spans="1:9" s="38" customFormat="1">
      <c r="A16" s="43">
        <v>12</v>
      </c>
      <c r="B16" s="30" t="s">
        <v>199</v>
      </c>
      <c r="C16" s="39" t="s">
        <v>221</v>
      </c>
      <c r="D16" s="40" t="s">
        <v>222</v>
      </c>
      <c r="E16" s="33" t="s">
        <v>4</v>
      </c>
      <c r="F16" s="41">
        <v>1</v>
      </c>
      <c r="G16" s="42">
        <v>25000</v>
      </c>
      <c r="H16" s="36">
        <f t="shared" si="0"/>
        <v>25000</v>
      </c>
      <c r="I16" s="37"/>
    </row>
    <row r="17" spans="1:9" s="38" customFormat="1">
      <c r="A17" s="29">
        <v>13</v>
      </c>
      <c r="B17" s="30" t="s">
        <v>199</v>
      </c>
      <c r="C17" s="39" t="s">
        <v>223</v>
      </c>
      <c r="D17" s="40" t="s">
        <v>224</v>
      </c>
      <c r="E17" s="33" t="s">
        <v>4</v>
      </c>
      <c r="F17" s="41">
        <v>1</v>
      </c>
      <c r="G17" s="42">
        <v>4000</v>
      </c>
      <c r="H17" s="36">
        <f t="shared" si="0"/>
        <v>4000</v>
      </c>
      <c r="I17" s="37"/>
    </row>
    <row r="18" spans="1:9">
      <c r="A18" s="11">
        <v>14</v>
      </c>
      <c r="B18" s="4" t="s">
        <v>240</v>
      </c>
      <c r="C18" s="8" t="s">
        <v>225</v>
      </c>
      <c r="D18" s="8" t="s">
        <v>226</v>
      </c>
      <c r="E18" s="2" t="s">
        <v>4</v>
      </c>
      <c r="F18" s="3">
        <v>1</v>
      </c>
      <c r="G18" s="26">
        <v>588000</v>
      </c>
      <c r="H18" s="17">
        <f t="shared" si="0"/>
        <v>588000</v>
      </c>
      <c r="I18" s="16"/>
    </row>
    <row r="19" spans="1:9">
      <c r="A19" s="6">
        <v>15</v>
      </c>
      <c r="B19" s="4" t="s">
        <v>241</v>
      </c>
      <c r="C19" s="8" t="s">
        <v>227</v>
      </c>
      <c r="D19" s="8" t="s">
        <v>228</v>
      </c>
      <c r="E19" s="2" t="s">
        <v>4</v>
      </c>
      <c r="F19" s="3">
        <v>1</v>
      </c>
      <c r="G19" s="26">
        <v>3500</v>
      </c>
      <c r="H19" s="17">
        <f t="shared" si="0"/>
        <v>3500</v>
      </c>
      <c r="I19" s="16"/>
    </row>
    <row r="20" spans="1:9">
      <c r="A20" s="11">
        <v>16</v>
      </c>
      <c r="B20" s="4" t="s">
        <v>241</v>
      </c>
      <c r="C20" s="8" t="s">
        <v>229</v>
      </c>
      <c r="D20" s="8" t="s">
        <v>230</v>
      </c>
      <c r="E20" s="2" t="s">
        <v>4</v>
      </c>
      <c r="F20" s="3">
        <v>1</v>
      </c>
      <c r="G20" s="26">
        <v>1500</v>
      </c>
      <c r="H20" s="17">
        <f t="shared" si="0"/>
        <v>1500</v>
      </c>
      <c r="I20" s="16"/>
    </row>
    <row r="21" spans="1:9">
      <c r="A21" s="6">
        <v>17</v>
      </c>
      <c r="B21" s="4" t="s">
        <v>241</v>
      </c>
      <c r="C21" s="8" t="s">
        <v>231</v>
      </c>
      <c r="D21" s="8" t="s">
        <v>232</v>
      </c>
      <c r="E21" s="2" t="s">
        <v>4</v>
      </c>
      <c r="F21" s="3">
        <v>1</v>
      </c>
      <c r="G21" s="26">
        <v>4000</v>
      </c>
      <c r="H21" s="17">
        <f t="shared" si="0"/>
        <v>4000</v>
      </c>
      <c r="I21" s="16"/>
    </row>
    <row r="22" spans="1:9">
      <c r="A22" s="11">
        <v>18</v>
      </c>
      <c r="B22" s="4" t="s">
        <v>241</v>
      </c>
      <c r="C22" s="8" t="s">
        <v>233</v>
      </c>
      <c r="D22" s="8" t="s">
        <v>234</v>
      </c>
      <c r="E22" s="2" t="s">
        <v>4</v>
      </c>
      <c r="F22" s="3">
        <v>1</v>
      </c>
      <c r="G22" s="26">
        <v>3500</v>
      </c>
      <c r="H22" s="17">
        <f t="shared" si="0"/>
        <v>3500</v>
      </c>
      <c r="I22" s="16"/>
    </row>
    <row r="23" spans="1:9">
      <c r="A23" s="6">
        <v>19</v>
      </c>
      <c r="B23" s="4" t="s">
        <v>241</v>
      </c>
      <c r="C23" s="27" t="s">
        <v>235</v>
      </c>
      <c r="D23" s="27" t="s">
        <v>236</v>
      </c>
      <c r="E23" s="2" t="s">
        <v>4</v>
      </c>
      <c r="F23" s="10">
        <v>1</v>
      </c>
      <c r="G23" s="28">
        <v>2000</v>
      </c>
      <c r="H23" s="17">
        <f t="shared" si="0"/>
        <v>2000</v>
      </c>
      <c r="I23" s="16"/>
    </row>
    <row r="24" spans="1:9">
      <c r="A24" s="50" t="s">
        <v>7</v>
      </c>
      <c r="B24" s="51"/>
      <c r="C24" s="51"/>
      <c r="D24" s="51"/>
      <c r="E24" s="51"/>
      <c r="F24" s="51"/>
      <c r="G24" s="51"/>
      <c r="H24" s="13">
        <f>SUM(H5:H23)</f>
        <v>1036434</v>
      </c>
      <c r="I24" s="18"/>
    </row>
    <row r="25" spans="1:9">
      <c r="B25" s="1"/>
      <c r="C25" s="1"/>
      <c r="D25" s="12"/>
      <c r="F25" s="19"/>
    </row>
    <row r="26" spans="1:9">
      <c r="B26" s="1"/>
      <c r="C26" s="1"/>
      <c r="D26" s="12"/>
      <c r="F26" s="46" t="s">
        <v>237</v>
      </c>
      <c r="G26" s="46"/>
      <c r="H26" s="46"/>
      <c r="I26" s="46"/>
    </row>
    <row r="27" spans="1:9">
      <c r="B27" s="1"/>
      <c r="C27" s="1"/>
      <c r="D27" s="12"/>
      <c r="F27" s="46" t="s">
        <v>172</v>
      </c>
      <c r="G27" s="46"/>
      <c r="H27" s="46"/>
      <c r="I27" s="46"/>
    </row>
    <row r="28" spans="1:9">
      <c r="B28" s="1"/>
      <c r="C28" s="1"/>
      <c r="D28" s="12"/>
      <c r="F28" s="46" t="s">
        <v>6</v>
      </c>
      <c r="G28" s="46"/>
      <c r="H28" s="46"/>
      <c r="I28" s="46"/>
    </row>
  </sheetData>
  <mergeCells count="7">
    <mergeCell ref="F28:I28"/>
    <mergeCell ref="A1:I1"/>
    <mergeCell ref="A2:I2"/>
    <mergeCell ref="A3:I3"/>
    <mergeCell ref="A24:G24"/>
    <mergeCell ref="F26:I26"/>
    <mergeCell ref="F27:I27"/>
  </mergeCells>
  <printOptions horizontalCentered="1"/>
  <pageMargins left="0.19685039370078741" right="0" top="0.39370078740157483" bottom="0.19685039370078741" header="0" footer="0"/>
  <pageSetup paperSize="9" scale="7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1</vt:i4>
      </vt:variant>
    </vt:vector>
  </HeadingPairs>
  <TitlesOfParts>
    <vt:vector size="3" baseType="lpstr">
      <vt:lpstr>แผนกช่างยนต์</vt:lpstr>
      <vt:lpstr>สาขาเครื่องกลอุตสาหกรรม</vt:lpstr>
      <vt:lpstr>แผนกช่างยนต์!Print_Titles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2023-01-30T04:05:44Z</cp:lastPrinted>
  <dcterms:created xsi:type="dcterms:W3CDTF">2017-11-14T01:32:33Z</dcterms:created>
  <dcterms:modified xsi:type="dcterms:W3CDTF">2023-10-18T04:22:20Z</dcterms:modified>
</cp:coreProperties>
</file>