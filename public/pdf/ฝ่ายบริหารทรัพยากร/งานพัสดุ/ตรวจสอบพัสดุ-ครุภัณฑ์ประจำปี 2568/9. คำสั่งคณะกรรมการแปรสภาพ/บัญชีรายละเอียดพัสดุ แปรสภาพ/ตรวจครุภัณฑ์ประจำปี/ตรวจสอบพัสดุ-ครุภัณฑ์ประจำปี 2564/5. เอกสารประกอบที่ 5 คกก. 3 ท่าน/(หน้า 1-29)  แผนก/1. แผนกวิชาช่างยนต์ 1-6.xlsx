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5 คกก. 3 ท่าน\(หน้า 1-29)  แผนก\"/>
    </mc:Choice>
  </mc:AlternateContent>
  <xr:revisionPtr revIDLastSave="0" documentId="13_ncr:1_{59D2486A-B3C4-4E66-AA13-FBDDDF58054D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วิชาช่างยนต์" sheetId="4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63" i="45" l="1"/>
  <c r="K164" i="45"/>
  <c r="K165" i="45"/>
  <c r="K166" i="45"/>
  <c r="K162" i="45"/>
  <c r="K133" i="45"/>
  <c r="K134" i="45"/>
  <c r="K135" i="45"/>
  <c r="K136" i="45"/>
  <c r="K137" i="45"/>
  <c r="K138" i="45"/>
  <c r="K139" i="45"/>
  <c r="K140" i="45"/>
  <c r="K141" i="45"/>
  <c r="K132" i="45"/>
  <c r="K102" i="45"/>
  <c r="K103" i="45"/>
  <c r="K104" i="45"/>
  <c r="K105" i="45"/>
  <c r="K106" i="45"/>
  <c r="K107" i="45"/>
  <c r="K108" i="45"/>
  <c r="K109" i="45"/>
  <c r="K110" i="45"/>
  <c r="K101" i="45"/>
  <c r="K71" i="45"/>
  <c r="K72" i="45"/>
  <c r="K73" i="45"/>
  <c r="K74" i="45"/>
  <c r="K75" i="45"/>
  <c r="K76" i="45"/>
  <c r="K77" i="45"/>
  <c r="K78" i="45"/>
  <c r="K79" i="45"/>
  <c r="K70" i="45"/>
  <c r="K40" i="45"/>
  <c r="K41" i="45"/>
  <c r="K42" i="45"/>
  <c r="K43" i="45"/>
  <c r="K44" i="45"/>
  <c r="K45" i="45"/>
  <c r="K46" i="45"/>
  <c r="K47" i="45"/>
  <c r="K48" i="45"/>
  <c r="K39" i="45"/>
  <c r="K8" i="45"/>
  <c r="K9" i="45"/>
  <c r="K10" i="45"/>
  <c r="K11" i="45"/>
  <c r="K12" i="45"/>
  <c r="K13" i="45"/>
  <c r="K14" i="45"/>
  <c r="K15" i="45"/>
  <c r="K16" i="45"/>
  <c r="K7" i="45"/>
  <c r="K17" i="45" l="1"/>
  <c r="K38" i="45" s="1"/>
  <c r="K49" i="45" s="1"/>
  <c r="K69" i="45" s="1"/>
  <c r="K80" i="45" s="1"/>
  <c r="K100" i="45" s="1"/>
  <c r="K111" i="45" s="1"/>
  <c r="K131" i="45" s="1"/>
  <c r="K142" i="45" s="1"/>
  <c r="K161" i="45" s="1"/>
  <c r="K167" i="45" s="1"/>
</calcChain>
</file>

<file path=xl/sharedStrings.xml><?xml version="1.0" encoding="utf-8"?>
<sst xmlns="http://schemas.openxmlformats.org/spreadsheetml/2006/main" count="513" uniqueCount="205">
  <si>
    <t>รายการ ขนาด ลักษณะ</t>
  </si>
  <si>
    <t>จำนวน</t>
  </si>
  <si>
    <t>งปม.</t>
  </si>
  <si>
    <t>บกศ.</t>
  </si>
  <si>
    <t>ปกอ.</t>
  </si>
  <si>
    <t>ชุดเครื่องคอมพิวเตอร์</t>
  </si>
  <si>
    <t xml:space="preserve"> สถานศึกษา วิทยาลัยเทคนิคกันทรลักษ์</t>
  </si>
  <si>
    <t>5120-024-0004/391-001</t>
  </si>
  <si>
    <t>เครื่องมือบริการหัวฉีดดีเซล</t>
  </si>
  <si>
    <t>4910-008-0001/391-001</t>
  </si>
  <si>
    <t>5120-024-0006/391-001</t>
  </si>
  <si>
    <t>เครื่องมือละเอียดช่างยนต์</t>
  </si>
  <si>
    <t>5120-024-0007/391-001</t>
  </si>
  <si>
    <t>เครื่องมือช่างยนต์ทั่วไป</t>
  </si>
  <si>
    <t>4910-016-0001/391-001-391-002</t>
  </si>
  <si>
    <t>แม่แรงตะเฆ่  2  ตัน</t>
  </si>
  <si>
    <t>6910-001-0001.1/391-001</t>
  </si>
  <si>
    <t>ชุดอุปกรณ์ฝึกเครื่องยนต์ดีเซล</t>
  </si>
  <si>
    <t>3442-002-0002/391-001</t>
  </si>
  <si>
    <t>เครื่องอัดจาระบีแบบเคลื่อนที่ได้ใช้ลม</t>
  </si>
  <si>
    <t>5180-003-0001/401-001</t>
  </si>
  <si>
    <t>2920-002-0001/401-001-401-002</t>
  </si>
  <si>
    <t>ชุดอุปกรณ์ฝึกไฟฟ้ารถยนต์</t>
  </si>
  <si>
    <t>2530-009-0001/401-001</t>
  </si>
  <si>
    <t>ชุดอุปกรณ์ฝึกระบบเครื่องล่าง</t>
  </si>
  <si>
    <t>4910-035-0002/401-001</t>
  </si>
  <si>
    <t>ชุดปฏิบัติการช่างซ่อมรถจักรยานยนต์</t>
  </si>
  <si>
    <t>2805-001-0001/401-001</t>
  </si>
  <si>
    <t>ชุดปฏิบัติการช่างยนต์แก๊สโซลีนเล็ก</t>
  </si>
  <si>
    <t>2520-014-0001/401-001</t>
  </si>
  <si>
    <t>ชุดอุปกรณ์ฝึกระบบส่งกำลัง</t>
  </si>
  <si>
    <t>2815-001-0002/401-001</t>
  </si>
  <si>
    <t>2520-002-0001/401-001</t>
  </si>
  <si>
    <t>เครื่องสาธิตการทำงานของคลัทซ์</t>
  </si>
  <si>
    <t>3010-006-0001/401-001</t>
  </si>
  <si>
    <t>เครื่องสาธิตการทำงานของเกียร์อัตโนมัติ</t>
  </si>
  <si>
    <t>3010-004-0001/401-001</t>
  </si>
  <si>
    <t>เครื่องสาธิตการทำงานของเกียร์ธรรมดา</t>
  </si>
  <si>
    <t>2925-011-0001/401-001</t>
  </si>
  <si>
    <t>เครื่องสาธิตการทำงานของอัลเตอเนเตอร์</t>
  </si>
  <si>
    <t>2925-017-0001/401-001</t>
  </si>
  <si>
    <t>เครื่องสาธิตการทำงานของมอเตอร์สตาร์ท</t>
  </si>
  <si>
    <t>3020-003-0001/401-001</t>
  </si>
  <si>
    <t>5950-002-0001/401-001</t>
  </si>
  <si>
    <t>เครื่องสาธิตการทำงานของคอยล์</t>
  </si>
  <si>
    <t>2530-006-0001/401-001</t>
  </si>
  <si>
    <t>เครื่องสาธิตระบบแวคกัมเบรกบอสเตอร์</t>
  </si>
  <si>
    <t>2530-005-0001/401-001</t>
  </si>
  <si>
    <t>เครื่องสาธิตระบบดับเบิ้ลเซอร์คิทเบรค</t>
  </si>
  <si>
    <t>1680-009-0001/401-001</t>
  </si>
  <si>
    <t>เครื่องสาธิตการทำงานของพวงมาลัย</t>
  </si>
  <si>
    <t>3460-007-0001/401-001</t>
  </si>
  <si>
    <t>แม่แรงยกกระปุกเกียร์</t>
  </si>
  <si>
    <t>4910-012-0001/401-001</t>
  </si>
  <si>
    <t>เครื่องมือถอดประกอบและบริการไฟฟ้ารถยนต์</t>
  </si>
  <si>
    <t>4910-007-0001/401-001</t>
  </si>
  <si>
    <t>เครื่องมือบริการระบบเบรค</t>
  </si>
  <si>
    <t>4910-012-0003/401-001</t>
  </si>
  <si>
    <t>4910-012-0002/401-001</t>
  </si>
  <si>
    <t>เครื่องตรวจอาเมเจอร์</t>
  </si>
  <si>
    <t>2340-005-0004/401-001-401-003</t>
  </si>
  <si>
    <t>เครื่องจักรยานยนต์  4  สูบ  4  จังหวะ</t>
  </si>
  <si>
    <t>2340-005-0003/401-001-401-003</t>
  </si>
  <si>
    <t>เครื่องจักรยานยนต์  2  สูบ  4  จังหวะ</t>
  </si>
  <si>
    <t>2340-005-0002/401-001-401-005</t>
  </si>
  <si>
    <t>2340-005-0001/401-001-401-005</t>
  </si>
  <si>
    <t>4910-002-0001/401-001</t>
  </si>
  <si>
    <t>เครื่องยกรถจักรยานยนต์</t>
  </si>
  <si>
    <t>4130-008-0001/411-001</t>
  </si>
  <si>
    <t>เครื่องค้นหารอยรั่วน้ำยาแอร์แบบเปลวไฟ</t>
  </si>
  <si>
    <t>4110-002-0001/411-001</t>
  </si>
  <si>
    <t>ชุดเครื่องปรับอากาศรถยนต์</t>
  </si>
  <si>
    <t>4330-004-0001/441-001</t>
  </si>
  <si>
    <t>เครื่องมืออัดและบริการบูช</t>
  </si>
  <si>
    <t>4940-004-0001/441-001</t>
  </si>
  <si>
    <t>เครื่องพ่นสีรถยนต์</t>
  </si>
  <si>
    <t>4230-006-0001/441-001</t>
  </si>
  <si>
    <t>ห้องพ่นสีและอบสีรถยนต์</t>
  </si>
  <si>
    <t>7440-001-0001/462-002</t>
  </si>
  <si>
    <t>4910-033-0001/461-001</t>
  </si>
  <si>
    <t>เครื่องสมดุลล้อรถยนต์แบบนอกรถ</t>
  </si>
  <si>
    <t>6910-001-0008/461-001</t>
  </si>
  <si>
    <t>ชุดฝึกจักรยานยนต์ 4 จังหวะ</t>
  </si>
  <si>
    <t>6130-001-0001/461-001</t>
  </si>
  <si>
    <t>ชุดฝึกเครื่องช่วยสตาร์ท</t>
  </si>
  <si>
    <t>6130-001-0001/471-002</t>
  </si>
  <si>
    <t>เครื่องประจุแบตเตอรี่แบบเร็ว</t>
  </si>
  <si>
    <t>2805-001-0001/482-001-005</t>
  </si>
  <si>
    <t>เครื่องยนต์ SAMTO 5.5 HP</t>
  </si>
  <si>
    <t>4140-001-0003/482-013-018</t>
  </si>
  <si>
    <t>พัดลมโคจร 16  นิ้ว</t>
  </si>
  <si>
    <t>2815-001-0004/493-001</t>
  </si>
  <si>
    <t>เครื่องยนต์ TOYOTA 2 L</t>
  </si>
  <si>
    <t>3940-005-0001/521-001</t>
  </si>
  <si>
    <t>เครนยกเครื่องยนต์ ขนาด 1 ตัน</t>
  </si>
  <si>
    <t>คอมเพรสเซอร์ 24000 BTU</t>
  </si>
  <si>
    <t>ชุดทดลองปั้มดีเซล</t>
  </si>
  <si>
    <t>เครื่องสาธิตการทำงานของเครื่องหัวฉีดอิเล็กทรอนิกส์</t>
  </si>
  <si>
    <t>เครื่องจักรยานยนต์ 1 สูบ 4 จังหวะขนาด 90-125 CC</t>
  </si>
  <si>
    <t>เครื่องจักรยานยนต์ 1 สูบ 2 จังหวะขนาด 80-120 CC</t>
  </si>
  <si>
    <t>บริจาค</t>
  </si>
  <si>
    <t>เครื่องล้างและทดสอบหัวเทียนของน้ำมันเชื้อเพลิง</t>
  </si>
  <si>
    <t>เครื่องสาธิตการทำงานของเฟืองท้าย แบบ HYPOID</t>
  </si>
  <si>
    <t>เครื่องทดสอบอัลเทอเนเตอร์เรกกูเรเตอร์ และมอเตอร์สตาร์ท</t>
  </si>
  <si>
    <t>เครื่องมือถอดประกอบชุดระบบส่งกำลัง และเครื่องล่างรถยนต์</t>
  </si>
  <si>
    <t>ลำดับ
ที่</t>
  </si>
  <si>
    <t>เป็นเงิน</t>
  </si>
  <si>
    <t>2539</t>
  </si>
  <si>
    <t>2540</t>
  </si>
  <si>
    <t>2546</t>
  </si>
  <si>
    <t>2552</t>
  </si>
  <si>
    <t>ได้มา
โดยวิธีใด</t>
  </si>
  <si>
    <t>ระยะเวลา
ใช้งาน</t>
  </si>
  <si>
    <t>เคย
ซ่อม
กี่ครั้ง</t>
  </si>
  <si>
    <t>คำชี้แจง
ประกอบ
ของชำรุด</t>
  </si>
  <si>
    <t>เต็มตาม
บัญชี</t>
  </si>
  <si>
    <t>ชำรุด</t>
  </si>
  <si>
    <t>บัญชีรายการ ครุภัณฑ์ ชำรุด เสื่อมคุณภาพ ไม่ใช้ราชการ ของสถานศึกษา</t>
  </si>
  <si>
    <t>ประจำปี 2564 สิ้นงวดเมื่อวันที่ 30 กันยายน 2564 ของแผนกวิชาช่างยนต์</t>
  </si>
  <si>
    <t>กระบอกปั้มไม่มีกำลัง</t>
  </si>
  <si>
    <t>อุปกรณ์ไม่สมบูรณ์</t>
  </si>
  <si>
    <t>อัดจาระบีไม่ได้</t>
  </si>
  <si>
    <t>ไฟ้ไม่เข้า</t>
  </si>
  <si>
    <t>หมายเหตุ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</si>
  <si>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</si>
  <si>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</si>
  <si>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</si>
  <si>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รวมเป็นเงิน</t>
  </si>
  <si>
    <t xml:space="preserve">หมายเลขประจำ
วัสดุครุภัณฑ์ </t>
  </si>
  <si>
    <t>หน่วยละ</t>
  </si>
  <si>
    <t>มอเตอร์ชำรุด</t>
  </si>
  <si>
    <t>เอกสารหมายเลข 2</t>
  </si>
  <si>
    <t xml:space="preserve"> -</t>
  </si>
  <si>
    <t>ยอดยกไป</t>
  </si>
  <si>
    <t>ยอกยกมา</t>
  </si>
  <si>
    <t>เอกสารหมายเลข 3</t>
  </si>
  <si>
    <t>เอกสารหมายเลข 4</t>
  </si>
  <si>
    <t>เอกสารหมายเลข 5</t>
  </si>
  <si>
    <t>ยอดยกมา</t>
  </si>
  <si>
    <t>เอกสารหมายเลข 6</t>
  </si>
  <si>
    <t>4910-016-0001/391-003</t>
  </si>
  <si>
    <t>ระบบไฮดรอลิกค์ชำรุด</t>
  </si>
  <si>
    <t>3470-002-0002/461-001</t>
  </si>
  <si>
    <t>ชุดเชื่อมแก๊สพร้อมอุปกรณ์เคลื่อนที่</t>
  </si>
  <si>
    <t>หัวเชื่อมและสายแก๊สชำรุด</t>
  </si>
  <si>
    <t>2553</t>
  </si>
  <si>
    <t>7440-001-0001/531-101-102</t>
  </si>
  <si>
    <t>เครื่องคอมพิวเตอร์พร้อมโต๊ะ</t>
  </si>
  <si>
    <t>6730-001-0003/531-005</t>
  </si>
  <si>
    <t>เครื่องฉายมัลติมีเดียโปรเจกเตอร์</t>
  </si>
  <si>
    <t>หลอดภาพชำรุด</t>
  </si>
  <si>
    <t>7430-008-0002/531-029</t>
  </si>
  <si>
    <t>เครื่องปริ้นเตอร์</t>
  </si>
  <si>
    <t>หัวพิมพ์ชำรุด</t>
  </si>
  <si>
    <t>ประจำปี 2564 สิ้นงวดเมื่อวันที่ 30 กันยายน 2564 ของแผนกช่างยนต์ สาขางานเครื่องกลอุตสาหกรรม</t>
  </si>
  <si>
    <t>ลงชื่อ</t>
  </si>
  <si>
    <t>.........................................................</t>
  </si>
  <si>
    <t>ประธานกรรมการ</t>
  </si>
  <si>
    <t>(นายประภาส  นามโคตร)</t>
  </si>
  <si>
    <t>กรรมการ</t>
  </si>
  <si>
    <t>กรรมการและเลขานุการ</t>
  </si>
  <si>
    <t>(นายไกรศร  ผิวผัน)</t>
  </si>
  <si>
    <t>(นายไพฑูรย์  พ่อค้า)</t>
  </si>
  <si>
    <t>เอกสารหมายเลข 1</t>
  </si>
  <si>
    <t>เครื่องทดสอบหัวฉีดชำรุด</t>
  </si>
  <si>
    <t>แกนวัดผลเลื่อนปรับระดับไม่ได้</t>
  </si>
  <si>
    <t>ชุดประแจแตกหัก</t>
  </si>
  <si>
    <t>เพลาลูกเบี้ยวหัก สายพานขาด</t>
  </si>
  <si>
    <t>เครื่องมือถอดลูกปืนแตก</t>
  </si>
  <si>
    <t>บอร์ดยึดแตกหัก อุปกรณ์ไฟฟ้าเสื่อมสภาพ</t>
  </si>
  <si>
    <t>ชุดปีกนกและระบบเบรคชำรุด</t>
  </si>
  <si>
    <t>ตู้เครื่องชำรุด ชุดประแจแตกหัก</t>
  </si>
  <si>
    <t>ฐานยึดเสียรูปร่าง</t>
  </si>
  <si>
    <t>แท่นขาตั้งแตก</t>
  </si>
  <si>
    <t>หลอดทดสอบแตก ปั๊มแรงดันไม่ทำงาน</t>
  </si>
  <si>
    <t>แผ่นกดชำรุด หัก</t>
  </si>
  <si>
    <t>แตกหัก</t>
  </si>
  <si>
    <t>ชุดเฟืองเกียร์แตกหัก</t>
  </si>
  <si>
    <t>แผงยึดแตกหัก</t>
  </si>
  <si>
    <t>มอเตอร์แตก</t>
  </si>
  <si>
    <t>ชุดเพลา เฟืองวงแหวนแตก</t>
  </si>
  <si>
    <t>ชุดมอเตอร์ขดลวดไหม้</t>
  </si>
  <si>
    <t>ชุดแวคกัมเบรกแตก</t>
  </si>
  <si>
    <t>กระบอกเบรคแตก</t>
  </si>
  <si>
    <t>กระปุกพวงมาลัยแตกหัก</t>
  </si>
  <si>
    <t>กระบอกปั๊มไม่มีกำลัง</t>
  </si>
  <si>
    <t>ชุดเครื่องมือวัดเสื่อมสภาพ</t>
  </si>
  <si>
    <t>ขวดลวดสนามแม่เหล็กไหม้</t>
  </si>
  <si>
    <t>ขวดลวดทดสอบไหม้</t>
  </si>
  <si>
    <t>เพลาเบี้ยว ฝาสูบร้าว</t>
  </si>
  <si>
    <t>ชุดไฟและระบบเกียร์ใช้งานไม่ได้</t>
  </si>
  <si>
    <t>เสื้อสูบแตก</t>
  </si>
  <si>
    <t>แก๊สหมด ระบบค้นหาไม่ทำงาน</t>
  </si>
  <si>
    <t>แผงคอล์ยร้อนรั่ว คอมเพรสเซอร์ไม่มีกำลังอัด</t>
  </si>
  <si>
    <t>ถังพ่นสีพ่นไม่ได้</t>
  </si>
  <si>
    <t>มอเตอร์ไหม้</t>
  </si>
  <si>
    <t>ไฟไม่เข้า</t>
  </si>
  <si>
    <t>ชุดอุปกรณ์คอมพิวเตอร์ไฟฟ้าลัดวงจร</t>
  </si>
  <si>
    <t>ชุดเสื้อสูบร้าวเกิดรอยในกระบอกสูบ</t>
  </si>
  <si>
    <t>ขดลวดไหม้</t>
  </si>
  <si>
    <t>เพลาคด</t>
  </si>
  <si>
    <t>ชุดปั๊มแรงดันลูกปั๊มไม่ทำงาน</t>
  </si>
  <si>
    <t>เมนบอร์ดชำรุด</t>
  </si>
  <si>
    <t>ชุดกรองเสื่อมสภาพและชุดระบบคอนโทรนชำรุด</t>
  </si>
  <si>
    <t>คอมเพรสเซอร์ไม่ทำงานไฟ้ไม่เข้า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</si>
</sst>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4"/>
      <name val="TH SarabunPSK"/>
      <family val="2"/>
    </font>
    <font>
      <sz val="14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116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0" xfId="0" applyFont="1" applyBorder="1"/>
    <xf numFmtId="15" fontId="4" fillId="0" borderId="1" xfId="0" applyNumberFormat="1" applyFont="1" applyBorder="1" applyAlignment="1">
      <alignment horizontal="center"/>
    </xf>
    <xf numFmtId="43" fontId="3" fillId="2" borderId="1" xfId="1" applyFont="1" applyFill="1" applyBorder="1"/>
    <xf numFmtId="43" fontId="3" fillId="0" borderId="1" xfId="1" applyFont="1" applyBorder="1" applyAlignment="1">
      <alignment horizontal="right"/>
    </xf>
    <xf numFmtId="15" fontId="4" fillId="2" borderId="1" xfId="0" applyNumberFormat="1" applyFont="1" applyFill="1" applyBorder="1" applyAlignment="1">
      <alignment horizontal="center"/>
    </xf>
    <xf numFmtId="0" fontId="3" fillId="2" borderId="1" xfId="6" applyFont="1" applyFill="1" applyBorder="1"/>
    <xf numFmtId="49" fontId="3" fillId="0" borderId="1" xfId="7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3" fillId="0" borderId="1" xfId="13" applyNumberFormat="1" applyFont="1" applyBorder="1" applyAlignment="1">
      <alignment horizontal="center"/>
    </xf>
    <xf numFmtId="49" fontId="3" fillId="0" borderId="1" xfId="6" applyNumberFormat="1" applyFont="1" applyBorder="1" applyAlignment="1">
      <alignment horizontal="left"/>
    </xf>
    <xf numFmtId="0" fontId="3" fillId="0" borderId="1" xfId="6" applyFont="1" applyFill="1" applyBorder="1"/>
    <xf numFmtId="0" fontId="3" fillId="2" borderId="1" xfId="6" applyFont="1" applyFill="1" applyBorder="1" applyAlignment="1">
      <alignment horizontal="center"/>
    </xf>
    <xf numFmtId="0" fontId="3" fillId="2" borderId="1" xfId="6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2" applyFont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3" fillId="0" borderId="6" xfId="2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43" fontId="6" fillId="0" borderId="6" xfId="0" applyNumberFormat="1" applyFont="1" applyBorder="1" applyAlignment="1"/>
    <xf numFmtId="0" fontId="4" fillId="0" borderId="0" xfId="0" applyFont="1" applyBorder="1" applyAlignment="1">
      <alignment horizontal="center"/>
    </xf>
    <xf numFmtId="49" fontId="3" fillId="0" borderId="2" xfId="7" applyNumberFormat="1" applyFont="1" applyBorder="1" applyAlignment="1">
      <alignment horizontal="center"/>
    </xf>
    <xf numFmtId="0" fontId="3" fillId="0" borderId="2" xfId="6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3" fillId="0" borderId="2" xfId="6" applyFont="1" applyBorder="1" applyAlignment="1">
      <alignment horizontal="center"/>
    </xf>
    <xf numFmtId="43" fontId="3" fillId="0" borderId="2" xfId="1" applyFont="1" applyBorder="1"/>
    <xf numFmtId="0" fontId="3" fillId="0" borderId="0" xfId="0" applyFont="1" applyBorder="1" applyAlignment="1">
      <alignment horizontal="center"/>
    </xf>
    <xf numFmtId="49" fontId="3" fillId="0" borderId="0" xfId="7" applyNumberFormat="1" applyFont="1" applyBorder="1" applyAlignment="1">
      <alignment horizontal="center"/>
    </xf>
    <xf numFmtId="43" fontId="3" fillId="0" borderId="0" xfId="1" applyFont="1" applyBorder="1"/>
    <xf numFmtId="0" fontId="3" fillId="0" borderId="6" xfId="0" applyFont="1" applyBorder="1" applyAlignment="1">
      <alignment horizontal="center"/>
    </xf>
    <xf numFmtId="49" fontId="3" fillId="0" borderId="6" xfId="7" applyNumberFormat="1" applyFont="1" applyBorder="1" applyAlignment="1">
      <alignment horizontal="center"/>
    </xf>
    <xf numFmtId="0" fontId="3" fillId="0" borderId="6" xfId="6" applyFont="1" applyBorder="1" applyAlignment="1">
      <alignment horizontal="left"/>
    </xf>
    <xf numFmtId="0" fontId="3" fillId="0" borderId="6" xfId="6" applyFont="1" applyBorder="1" applyAlignment="1">
      <alignment horizontal="center"/>
    </xf>
    <xf numFmtId="0" fontId="3" fillId="0" borderId="0" xfId="6" applyFont="1" applyBorder="1" applyAlignment="1">
      <alignment horizontal="left"/>
    </xf>
    <xf numFmtId="0" fontId="3" fillId="0" borderId="0" xfId="6" applyFont="1" applyBorder="1" applyAlignment="1"/>
    <xf numFmtId="43" fontId="7" fillId="0" borderId="6" xfId="1" applyFont="1" applyBorder="1" applyAlignment="1">
      <alignment horizontal="center"/>
    </xf>
    <xf numFmtId="43" fontId="7" fillId="0" borderId="6" xfId="1" applyFont="1" applyBorder="1"/>
    <xf numFmtId="43" fontId="7" fillId="0" borderId="1" xfId="1" applyFont="1" applyBorder="1" applyAlignment="1">
      <alignment horizontal="center"/>
    </xf>
    <xf numFmtId="43" fontId="7" fillId="0" borderId="1" xfId="1" applyFont="1" applyBorder="1"/>
    <xf numFmtId="0" fontId="3" fillId="0" borderId="0" xfId="6" applyFont="1" applyBorder="1"/>
    <xf numFmtId="0" fontId="3" fillId="0" borderId="6" xfId="6" applyFont="1" applyBorder="1"/>
    <xf numFmtId="0" fontId="3" fillId="0" borderId="0" xfId="6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/>
    </xf>
    <xf numFmtId="0" fontId="4" fillId="0" borderId="6" xfId="0" applyFont="1" applyBorder="1"/>
    <xf numFmtId="0" fontId="4" fillId="0" borderId="6" xfId="0" applyFont="1" applyBorder="1" applyAlignment="1">
      <alignment horizontal="left"/>
    </xf>
    <xf numFmtId="43" fontId="6" fillId="0" borderId="6" xfId="0" applyNumberFormat="1" applyFont="1" applyBorder="1"/>
    <xf numFmtId="49" fontId="3" fillId="0" borderId="2" xfId="0" applyNumberFormat="1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3" fontId="3" fillId="0" borderId="0" xfId="12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3" fontId="3" fillId="0" borderId="6" xfId="12" applyNumberFormat="1" applyFont="1" applyBorder="1" applyAlignment="1">
      <alignment horizontal="center"/>
    </xf>
    <xf numFmtId="0" fontId="6" fillId="0" borderId="6" xfId="0" applyFont="1" applyBorder="1" applyAlignment="1"/>
    <xf numFmtId="49" fontId="3" fillId="0" borderId="5" xfId="6" applyNumberFormat="1" applyFont="1" applyBorder="1" applyAlignment="1">
      <alignment horizontal="left" vertical="center"/>
    </xf>
    <xf numFmtId="49" fontId="3" fillId="0" borderId="7" xfId="6" applyNumberFormat="1" applyFont="1" applyBorder="1" applyAlignment="1">
      <alignment horizontal="left" vertical="center"/>
    </xf>
    <xf numFmtId="0" fontId="3" fillId="0" borderId="7" xfId="6" applyNumberFormat="1" applyFont="1" applyBorder="1" applyAlignment="1">
      <alignment horizontal="center" vertical="center"/>
    </xf>
    <xf numFmtId="43" fontId="3" fillId="0" borderId="5" xfId="1" applyFont="1" applyBorder="1" applyAlignment="1">
      <alignment horizontal="center"/>
    </xf>
    <xf numFmtId="43" fontId="3" fillId="0" borderId="1" xfId="1" applyFont="1" applyFill="1" applyBorder="1"/>
    <xf numFmtId="0" fontId="3" fillId="0" borderId="1" xfId="8" applyFont="1" applyBorder="1" applyAlignment="1">
      <alignment horizontal="left"/>
    </xf>
    <xf numFmtId="49" fontId="3" fillId="0" borderId="1" xfId="6" applyNumberFormat="1" applyFont="1" applyBorder="1" applyAlignment="1">
      <alignment horizontal="left" vertical="center"/>
    </xf>
    <xf numFmtId="0" fontId="3" fillId="0" borderId="1" xfId="8" applyFont="1" applyBorder="1" applyAlignment="1">
      <alignment horizontal="center"/>
    </xf>
    <xf numFmtId="0" fontId="3" fillId="0" borderId="2" xfId="8" applyFont="1" applyBorder="1" applyAlignment="1">
      <alignment horizontal="left"/>
    </xf>
    <xf numFmtId="49" fontId="3" fillId="0" borderId="2" xfId="6" applyNumberFormat="1" applyFont="1" applyBorder="1" applyAlignment="1">
      <alignment horizontal="left" vertical="center"/>
    </xf>
    <xf numFmtId="0" fontId="3" fillId="0" borderId="0" xfId="6" applyNumberFormat="1" applyFont="1" applyBorder="1" applyAlignment="1">
      <alignment horizontal="center" vertical="center"/>
    </xf>
    <xf numFmtId="0" fontId="3" fillId="0" borderId="2" xfId="8" applyFont="1" applyBorder="1" applyAlignment="1">
      <alignment horizontal="center"/>
    </xf>
    <xf numFmtId="43" fontId="6" fillId="0" borderId="6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center" wrapText="1"/>
    </xf>
    <xf numFmtId="43" fontId="6" fillId="0" borderId="5" xfId="0" applyNumberFormat="1" applyFont="1" applyBorder="1" applyAlignment="1">
      <alignment horizontal="center" vertical="center" wrapText="1"/>
    </xf>
    <xf numFmtId="0" fontId="3" fillId="0" borderId="0" xfId="6" applyFont="1" applyBorder="1" applyAlignment="1">
      <alignment horizontal="center"/>
    </xf>
    <xf numFmtId="0" fontId="3" fillId="0" borderId="0" xfId="6" applyFont="1" applyBorder="1" applyAlignment="1">
      <alignment horizontal="right"/>
    </xf>
    <xf numFmtId="0" fontId="3" fillId="0" borderId="0" xfId="6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6" applyFont="1" applyBorder="1" applyAlignment="1">
      <alignment horizontal="center"/>
    </xf>
    <xf numFmtId="43" fontId="3" fillId="0" borderId="1" xfId="12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43" fontId="3" fillId="0" borderId="2" xfId="12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9" fillId="0" borderId="1" xfId="6" applyFont="1" applyBorder="1" applyAlignment="1">
      <alignment horizontal="left"/>
    </xf>
    <xf numFmtId="0" fontId="9" fillId="0" borderId="2" xfId="6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6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981073</xdr:colOff>
      <xdr:row>143</xdr:row>
      <xdr:rowOff>40217</xdr:rowOff>
    </xdr:from>
    <xdr:to>
      <xdr:col>11</xdr:col>
      <xdr:colOff>1301220</xdr:colOff>
      <xdr:row>146</xdr:row>
      <xdr:rowOff>457200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867355" y="46713510"/>
          <a:ext cx="1331383" cy="320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923924</xdr:colOff>
      <xdr:row>18</xdr:row>
      <xdr:rowOff>25401</xdr:rowOff>
    </xdr:from>
    <xdr:to>
      <xdr:col>11</xdr:col>
      <xdr:colOff>1262063</xdr:colOff>
      <xdr:row>22</xdr:row>
      <xdr:rowOff>76204</xdr:rowOff>
    </xdr:to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 rot="5400000">
          <a:off x="11787980" y="6392070"/>
          <a:ext cx="1393828" cy="3381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936625</xdr:colOff>
      <xdr:row>50</xdr:row>
      <xdr:rowOff>15876</xdr:rowOff>
    </xdr:from>
    <xdr:to>
      <xdr:col>11</xdr:col>
      <xdr:colOff>1274764</xdr:colOff>
      <xdr:row>54</xdr:row>
      <xdr:rowOff>161928</xdr:rowOff>
    </xdr:to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 rot="5400000">
          <a:off x="11772106" y="16688595"/>
          <a:ext cx="1450977" cy="3381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962024</xdr:colOff>
      <xdr:row>81</xdr:row>
      <xdr:rowOff>19058</xdr:rowOff>
    </xdr:from>
    <xdr:to>
      <xdr:col>11</xdr:col>
      <xdr:colOff>1306511</xdr:colOff>
      <xdr:row>85</xdr:row>
      <xdr:rowOff>142878</xdr:rowOff>
    </xdr:to>
    <xdr:sp macro="" textlink="">
      <xdr:nvSpPr>
        <xdr:cNvPr id="6" name="กล่องข้อความ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 rot="5400000">
          <a:off x="11811795" y="26688262"/>
          <a:ext cx="1428745" cy="3444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945128</xdr:colOff>
      <xdr:row>112</xdr:row>
      <xdr:rowOff>15110</xdr:rowOff>
    </xdr:from>
    <xdr:to>
      <xdr:col>11</xdr:col>
      <xdr:colOff>1283267</xdr:colOff>
      <xdr:row>116</xdr:row>
      <xdr:rowOff>28575</xdr:rowOff>
    </xdr:to>
    <xdr:sp macro="" textlink="">
      <xdr:nvSpPr>
        <xdr:cNvPr id="7" name="กล่องข้อความ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 rot="5400000">
          <a:off x="11813565" y="36638323"/>
          <a:ext cx="1385065" cy="3381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942974</xdr:colOff>
      <xdr:row>168</xdr:row>
      <xdr:rowOff>40217</xdr:rowOff>
    </xdr:from>
    <xdr:to>
      <xdr:col>11</xdr:col>
      <xdr:colOff>1263649</xdr:colOff>
      <xdr:row>172</xdr:row>
      <xdr:rowOff>209553</xdr:rowOff>
    </xdr:to>
    <xdr:sp macro="" textlink="">
      <xdr:nvSpPr>
        <xdr:cNvPr id="11" name="กล่องข้อความ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 rot="5400000">
          <a:off x="11743794" y="55219072"/>
          <a:ext cx="1502836" cy="320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M175"/>
  <sheetViews>
    <sheetView tabSelected="1" zoomScaleNormal="100" workbookViewId="0">
      <selection activeCell="O5" sqref="O5"/>
    </sheetView>
  </sheetViews>
  <sheetFormatPr defaultColWidth="9" defaultRowHeight="24" customHeight="1"/>
  <cols>
    <col min="1" max="1" width="5" style="2" customWidth="1"/>
    <col min="2" max="2" width="10.7109375" style="27" customWidth="1"/>
    <col min="3" max="3" width="27.5703125" style="26" customWidth="1"/>
    <col min="4" max="4" width="43.140625" style="2" customWidth="1"/>
    <col min="5" max="5" width="7.140625" style="2" customWidth="1"/>
    <col min="6" max="6" width="8.85546875" style="2" customWidth="1"/>
    <col min="7" max="7" width="6.7109375" style="2" customWidth="1"/>
    <col min="8" max="9" width="6.5703125" style="2" customWidth="1"/>
    <col min="10" max="10" width="12.85546875" style="2" customWidth="1"/>
    <col min="11" max="11" width="14.42578125" style="2" customWidth="1"/>
    <col min="12" max="12" width="34.28515625" style="27" customWidth="1"/>
    <col min="13" max="16384" width="9" style="2"/>
  </cols>
  <sheetData>
    <row r="1" spans="1:12" ht="24" customHeight="1">
      <c r="K1" s="108" t="s">
        <v>163</v>
      </c>
      <c r="L1" s="108"/>
    </row>
    <row r="2" spans="1:12" ht="24" customHeight="1">
      <c r="A2" s="107" t="s">
        <v>6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1:12" ht="24" customHeight="1">
      <c r="A3" s="113" t="s">
        <v>117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</row>
    <row r="4" spans="1:12" ht="24" customHeight="1">
      <c r="A4" s="115" t="s">
        <v>118</v>
      </c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</row>
    <row r="5" spans="1:12" ht="24" customHeight="1">
      <c r="A5" s="102" t="s">
        <v>105</v>
      </c>
      <c r="B5" s="102" t="s">
        <v>126</v>
      </c>
      <c r="C5" s="102" t="s">
        <v>128</v>
      </c>
      <c r="D5" s="109" t="s">
        <v>0</v>
      </c>
      <c r="E5" s="102" t="s">
        <v>111</v>
      </c>
      <c r="F5" s="102" t="s">
        <v>112</v>
      </c>
      <c r="G5" s="111" t="s">
        <v>113</v>
      </c>
      <c r="H5" s="104" t="s">
        <v>1</v>
      </c>
      <c r="I5" s="105"/>
      <c r="J5" s="102" t="s">
        <v>129</v>
      </c>
      <c r="K5" s="102" t="s">
        <v>106</v>
      </c>
      <c r="L5" s="102" t="s">
        <v>114</v>
      </c>
    </row>
    <row r="6" spans="1:12" ht="49.5" customHeight="1">
      <c r="A6" s="103"/>
      <c r="B6" s="103"/>
      <c r="C6" s="103"/>
      <c r="D6" s="110"/>
      <c r="E6" s="103"/>
      <c r="F6" s="103"/>
      <c r="G6" s="112"/>
      <c r="H6" s="29" t="s">
        <v>115</v>
      </c>
      <c r="I6" s="30" t="s">
        <v>116</v>
      </c>
      <c r="J6" s="103"/>
      <c r="K6" s="103"/>
      <c r="L6" s="103"/>
    </row>
    <row r="7" spans="1:12" ht="24" customHeight="1">
      <c r="A7" s="24">
        <v>1</v>
      </c>
      <c r="B7" s="17" t="s">
        <v>107</v>
      </c>
      <c r="C7" s="3" t="s">
        <v>7</v>
      </c>
      <c r="D7" s="1" t="s">
        <v>8</v>
      </c>
      <c r="E7" s="4" t="s">
        <v>2</v>
      </c>
      <c r="F7" s="4">
        <v>25</v>
      </c>
      <c r="G7" s="4">
        <v>4</v>
      </c>
      <c r="H7" s="5">
        <v>1</v>
      </c>
      <c r="I7" s="5">
        <v>1</v>
      </c>
      <c r="J7" s="7">
        <v>478800</v>
      </c>
      <c r="K7" s="7">
        <f>SUM(I7*J7)</f>
        <v>478800</v>
      </c>
      <c r="L7" s="94" t="s">
        <v>164</v>
      </c>
    </row>
    <row r="8" spans="1:12" ht="24" customHeight="1">
      <c r="A8" s="16">
        <v>2</v>
      </c>
      <c r="B8" s="17" t="s">
        <v>107</v>
      </c>
      <c r="C8" s="3" t="s">
        <v>9</v>
      </c>
      <c r="D8" s="1" t="s">
        <v>101</v>
      </c>
      <c r="E8" s="4" t="s">
        <v>2</v>
      </c>
      <c r="F8" s="4">
        <v>25</v>
      </c>
      <c r="G8" s="4">
        <v>2</v>
      </c>
      <c r="H8" s="5">
        <v>1</v>
      </c>
      <c r="I8" s="5">
        <v>1</v>
      </c>
      <c r="J8" s="7">
        <v>30000</v>
      </c>
      <c r="K8" s="7">
        <f t="shared" ref="K8:K16" si="0">SUM(I8*J8)</f>
        <v>30000</v>
      </c>
      <c r="L8" s="94" t="s">
        <v>130</v>
      </c>
    </row>
    <row r="9" spans="1:12" ht="24" customHeight="1">
      <c r="A9" s="24">
        <v>3</v>
      </c>
      <c r="B9" s="17" t="s">
        <v>107</v>
      </c>
      <c r="C9" s="3" t="s">
        <v>10</v>
      </c>
      <c r="D9" s="1" t="s">
        <v>11</v>
      </c>
      <c r="E9" s="4" t="s">
        <v>2</v>
      </c>
      <c r="F9" s="4">
        <v>25</v>
      </c>
      <c r="G9" s="4" t="s">
        <v>132</v>
      </c>
      <c r="H9" s="5">
        <v>1</v>
      </c>
      <c r="I9" s="5">
        <v>1</v>
      </c>
      <c r="J9" s="7">
        <v>158800</v>
      </c>
      <c r="K9" s="7">
        <f t="shared" si="0"/>
        <v>158800</v>
      </c>
      <c r="L9" s="94" t="s">
        <v>165</v>
      </c>
    </row>
    <row r="10" spans="1:12" ht="24" customHeight="1">
      <c r="A10" s="16">
        <v>4</v>
      </c>
      <c r="B10" s="17" t="s">
        <v>107</v>
      </c>
      <c r="C10" s="3" t="s">
        <v>12</v>
      </c>
      <c r="D10" s="1" t="s">
        <v>13</v>
      </c>
      <c r="E10" s="4" t="s">
        <v>2</v>
      </c>
      <c r="F10" s="4">
        <v>25</v>
      </c>
      <c r="G10" s="4" t="s">
        <v>132</v>
      </c>
      <c r="H10" s="5">
        <v>1</v>
      </c>
      <c r="I10" s="5">
        <v>1</v>
      </c>
      <c r="J10" s="7">
        <v>498800</v>
      </c>
      <c r="K10" s="7">
        <f t="shared" si="0"/>
        <v>498800</v>
      </c>
      <c r="L10" s="94" t="s">
        <v>166</v>
      </c>
    </row>
    <row r="11" spans="1:12" ht="24" customHeight="1">
      <c r="A11" s="24">
        <v>5</v>
      </c>
      <c r="B11" s="17" t="s">
        <v>107</v>
      </c>
      <c r="C11" s="99" t="s">
        <v>14</v>
      </c>
      <c r="D11" s="1" t="s">
        <v>15</v>
      </c>
      <c r="E11" s="4" t="s">
        <v>2</v>
      </c>
      <c r="F11" s="4">
        <v>25</v>
      </c>
      <c r="G11" s="4">
        <v>3</v>
      </c>
      <c r="H11" s="5">
        <v>2</v>
      </c>
      <c r="I11" s="5">
        <v>2</v>
      </c>
      <c r="J11" s="7">
        <v>18500</v>
      </c>
      <c r="K11" s="7">
        <f t="shared" si="0"/>
        <v>37000</v>
      </c>
      <c r="L11" s="94" t="s">
        <v>119</v>
      </c>
    </row>
    <row r="12" spans="1:12" ht="24" customHeight="1">
      <c r="A12" s="16">
        <v>6</v>
      </c>
      <c r="B12" s="17" t="s">
        <v>107</v>
      </c>
      <c r="C12" s="3" t="s">
        <v>16</v>
      </c>
      <c r="D12" s="3" t="s">
        <v>17</v>
      </c>
      <c r="E12" s="4" t="s">
        <v>2</v>
      </c>
      <c r="F12" s="4">
        <v>25</v>
      </c>
      <c r="G12" s="4" t="s">
        <v>132</v>
      </c>
      <c r="H12" s="5">
        <v>1</v>
      </c>
      <c r="I12" s="5">
        <v>1</v>
      </c>
      <c r="J12" s="7">
        <v>78000</v>
      </c>
      <c r="K12" s="7">
        <f t="shared" si="0"/>
        <v>78000</v>
      </c>
      <c r="L12" s="95" t="s">
        <v>167</v>
      </c>
    </row>
    <row r="13" spans="1:12" ht="24" customHeight="1">
      <c r="A13" s="24">
        <v>7</v>
      </c>
      <c r="B13" s="17" t="s">
        <v>107</v>
      </c>
      <c r="C13" s="3" t="s">
        <v>18</v>
      </c>
      <c r="D13" s="3" t="s">
        <v>19</v>
      </c>
      <c r="E13" s="4" t="s">
        <v>2</v>
      </c>
      <c r="F13" s="4">
        <v>25</v>
      </c>
      <c r="G13" s="4" t="s">
        <v>132</v>
      </c>
      <c r="H13" s="5">
        <v>1</v>
      </c>
      <c r="I13" s="5">
        <v>1</v>
      </c>
      <c r="J13" s="7">
        <v>24000</v>
      </c>
      <c r="K13" s="7">
        <f t="shared" si="0"/>
        <v>24000</v>
      </c>
      <c r="L13" s="95" t="s">
        <v>121</v>
      </c>
    </row>
    <row r="14" spans="1:12" ht="24" customHeight="1">
      <c r="A14" s="16">
        <v>8</v>
      </c>
      <c r="B14" s="15" t="s">
        <v>108</v>
      </c>
      <c r="C14" s="3" t="s">
        <v>20</v>
      </c>
      <c r="D14" s="99" t="s">
        <v>104</v>
      </c>
      <c r="E14" s="4" t="s">
        <v>2</v>
      </c>
      <c r="F14" s="4">
        <v>24</v>
      </c>
      <c r="G14" s="4" t="s">
        <v>132</v>
      </c>
      <c r="H14" s="5">
        <v>1</v>
      </c>
      <c r="I14" s="5">
        <v>1</v>
      </c>
      <c r="J14" s="7">
        <v>178000</v>
      </c>
      <c r="K14" s="7">
        <f t="shared" si="0"/>
        <v>178000</v>
      </c>
      <c r="L14" s="95" t="s">
        <v>168</v>
      </c>
    </row>
    <row r="15" spans="1:12" ht="24" customHeight="1">
      <c r="A15" s="24">
        <v>9</v>
      </c>
      <c r="B15" s="35" t="s">
        <v>108</v>
      </c>
      <c r="C15" s="100" t="s">
        <v>21</v>
      </c>
      <c r="D15" s="36" t="s">
        <v>22</v>
      </c>
      <c r="E15" s="37" t="s">
        <v>2</v>
      </c>
      <c r="F15" s="37">
        <v>24</v>
      </c>
      <c r="G15" s="37">
        <v>5</v>
      </c>
      <c r="H15" s="38">
        <v>2</v>
      </c>
      <c r="I15" s="38">
        <v>2</v>
      </c>
      <c r="J15" s="39">
        <v>46500</v>
      </c>
      <c r="K15" s="7">
        <f t="shared" si="0"/>
        <v>93000</v>
      </c>
      <c r="L15" s="96" t="s">
        <v>169</v>
      </c>
    </row>
    <row r="16" spans="1:12" ht="24" customHeight="1">
      <c r="A16" s="16">
        <v>10</v>
      </c>
      <c r="B16" s="15" t="s">
        <v>108</v>
      </c>
      <c r="C16" s="3" t="s">
        <v>23</v>
      </c>
      <c r="D16" s="3" t="s">
        <v>24</v>
      </c>
      <c r="E16" s="23" t="s">
        <v>2</v>
      </c>
      <c r="F16" s="23">
        <v>24</v>
      </c>
      <c r="G16" s="4" t="s">
        <v>132</v>
      </c>
      <c r="H16" s="5">
        <v>1</v>
      </c>
      <c r="I16" s="5">
        <v>1</v>
      </c>
      <c r="J16" s="7">
        <v>72000</v>
      </c>
      <c r="K16" s="7">
        <f t="shared" si="0"/>
        <v>72000</v>
      </c>
      <c r="L16" s="95" t="s">
        <v>170</v>
      </c>
    </row>
    <row r="17" spans="1:13" ht="24" customHeight="1" thickBot="1">
      <c r="A17" s="43"/>
      <c r="B17" s="44"/>
      <c r="C17" s="45"/>
      <c r="D17" s="45"/>
      <c r="E17" s="32"/>
      <c r="F17" s="32"/>
      <c r="G17" s="31"/>
      <c r="H17" s="46"/>
      <c r="I17" s="46"/>
      <c r="J17" s="49" t="s">
        <v>133</v>
      </c>
      <c r="K17" s="50">
        <f>SUM(K7:K16)</f>
        <v>1648400</v>
      </c>
      <c r="L17" s="32"/>
    </row>
    <row r="18" spans="1:13" s="9" customFormat="1" ht="24" customHeight="1" thickTop="1">
      <c r="A18" s="40"/>
      <c r="B18" s="34" t="s">
        <v>123</v>
      </c>
      <c r="C18" s="25" t="s">
        <v>124</v>
      </c>
      <c r="E18" s="34"/>
      <c r="F18" s="34"/>
      <c r="G18" s="28"/>
      <c r="H18" s="55"/>
      <c r="I18" s="55"/>
      <c r="J18" s="42"/>
      <c r="K18" s="42"/>
      <c r="L18" s="34"/>
    </row>
    <row r="19" spans="1:13" s="9" customFormat="1" ht="24" customHeight="1">
      <c r="A19" s="40"/>
      <c r="B19" s="34"/>
      <c r="C19" s="25" t="s">
        <v>125</v>
      </c>
      <c r="E19" s="34"/>
      <c r="F19" s="34"/>
      <c r="G19" s="28"/>
      <c r="H19" s="55"/>
      <c r="I19" s="55"/>
      <c r="J19" s="42"/>
      <c r="K19" s="42"/>
      <c r="L19" s="34"/>
    </row>
    <row r="20" spans="1:13" s="9" customFormat="1" ht="24" customHeight="1">
      <c r="A20" s="40"/>
      <c r="B20" s="41"/>
      <c r="C20" s="47"/>
      <c r="D20" s="47"/>
      <c r="E20" s="34"/>
      <c r="G20" s="90" t="s">
        <v>155</v>
      </c>
      <c r="H20" s="106" t="s">
        <v>156</v>
      </c>
      <c r="I20" s="106"/>
      <c r="J20" s="106"/>
      <c r="K20" s="48" t="s">
        <v>157</v>
      </c>
      <c r="L20" s="48"/>
      <c r="M20" s="48"/>
    </row>
    <row r="21" spans="1:13" s="9" customFormat="1" ht="24" customHeight="1">
      <c r="A21" s="40"/>
      <c r="B21" s="41"/>
      <c r="C21" s="47"/>
      <c r="D21" s="47"/>
      <c r="E21" s="34"/>
      <c r="F21" s="34"/>
      <c r="G21" s="48"/>
      <c r="H21" s="106" t="s">
        <v>158</v>
      </c>
      <c r="I21" s="106"/>
      <c r="J21" s="106"/>
      <c r="K21" s="48"/>
      <c r="L21" s="48"/>
    </row>
    <row r="22" spans="1:13" s="9" customFormat="1" ht="33.75" customHeight="1">
      <c r="A22" s="40"/>
      <c r="B22" s="41"/>
      <c r="C22" s="47"/>
      <c r="D22" s="47"/>
      <c r="E22" s="34"/>
      <c r="F22" s="34"/>
      <c r="G22" s="90" t="s">
        <v>155</v>
      </c>
      <c r="H22" s="106" t="s">
        <v>156</v>
      </c>
      <c r="I22" s="106"/>
      <c r="J22" s="106"/>
      <c r="K22" s="48" t="s">
        <v>159</v>
      </c>
      <c r="L22" s="48"/>
    </row>
    <row r="23" spans="1:13" s="9" customFormat="1" ht="24" customHeight="1">
      <c r="A23" s="40"/>
      <c r="B23" s="41"/>
      <c r="C23" s="47"/>
      <c r="D23" s="47"/>
      <c r="E23" s="34"/>
      <c r="F23" s="34"/>
      <c r="G23" s="48"/>
      <c r="H23" s="106" t="s">
        <v>161</v>
      </c>
      <c r="I23" s="106"/>
      <c r="J23" s="106"/>
      <c r="K23" s="48"/>
      <c r="L23" s="48"/>
    </row>
    <row r="24" spans="1:13" s="9" customFormat="1" ht="34.5" customHeight="1">
      <c r="A24" s="40"/>
      <c r="B24" s="41"/>
      <c r="C24" s="47"/>
      <c r="D24" s="47"/>
      <c r="E24" s="34"/>
      <c r="F24" s="34"/>
      <c r="G24" s="90" t="s">
        <v>155</v>
      </c>
      <c r="H24" s="106" t="s">
        <v>156</v>
      </c>
      <c r="I24" s="106"/>
      <c r="J24" s="106"/>
      <c r="K24" s="47" t="s">
        <v>160</v>
      </c>
      <c r="L24" s="47"/>
    </row>
    <row r="25" spans="1:13" s="9" customFormat="1" ht="24" customHeight="1">
      <c r="A25" s="40"/>
      <c r="B25" s="41"/>
      <c r="C25" s="47"/>
      <c r="D25" s="47"/>
      <c r="E25" s="34"/>
      <c r="F25" s="34"/>
      <c r="G25" s="47"/>
      <c r="H25" s="106" t="s">
        <v>162</v>
      </c>
      <c r="I25" s="106"/>
      <c r="J25" s="106"/>
      <c r="K25" s="47"/>
      <c r="L25" s="47"/>
    </row>
    <row r="26" spans="1:13" s="9" customFormat="1" ht="24" customHeight="1">
      <c r="A26" s="40"/>
      <c r="B26" s="41"/>
      <c r="C26" s="47"/>
      <c r="D26" s="47"/>
      <c r="E26" s="34"/>
      <c r="F26" s="34"/>
      <c r="G26" s="47"/>
      <c r="H26" s="91"/>
      <c r="I26" s="91"/>
      <c r="J26" s="91"/>
      <c r="K26" s="47"/>
      <c r="L26" s="47"/>
    </row>
    <row r="27" spans="1:13" s="9" customFormat="1" ht="24" customHeight="1">
      <c r="A27" s="40"/>
      <c r="B27" s="41"/>
      <c r="C27" s="47"/>
      <c r="D27" s="47"/>
      <c r="E27" s="34"/>
      <c r="F27" s="34"/>
      <c r="G27" s="47"/>
      <c r="H27" s="91"/>
      <c r="I27" s="91"/>
      <c r="J27" s="91"/>
      <c r="K27" s="47"/>
      <c r="L27" s="47"/>
    </row>
    <row r="28" spans="1:13" s="9" customFormat="1" ht="24" customHeight="1">
      <c r="A28" s="40"/>
      <c r="B28" s="41"/>
      <c r="C28" s="47"/>
      <c r="D28" s="47"/>
      <c r="E28" s="34"/>
      <c r="F28" s="34"/>
      <c r="G28" s="47"/>
      <c r="H28" s="106"/>
      <c r="I28" s="106"/>
      <c r="J28" s="106"/>
      <c r="K28" s="47"/>
      <c r="L28" s="47"/>
    </row>
    <row r="29" spans="1:13" s="9" customFormat="1" ht="24" customHeight="1">
      <c r="A29" s="40"/>
      <c r="B29" s="41"/>
      <c r="C29" s="47"/>
      <c r="D29" s="47"/>
      <c r="E29" s="34"/>
      <c r="F29" s="34"/>
      <c r="G29" s="47"/>
      <c r="H29" s="93"/>
      <c r="I29" s="93"/>
      <c r="J29" s="93"/>
      <c r="K29" s="47"/>
      <c r="L29" s="47"/>
    </row>
    <row r="30" spans="1:13" s="9" customFormat="1" ht="24" customHeight="1">
      <c r="A30" s="40"/>
      <c r="B30" s="41"/>
      <c r="C30" s="47"/>
      <c r="D30" s="47"/>
      <c r="E30" s="34"/>
      <c r="F30" s="34"/>
      <c r="G30" s="47"/>
      <c r="H30" s="89"/>
      <c r="I30" s="89"/>
      <c r="J30" s="89"/>
      <c r="K30" s="47"/>
      <c r="L30" s="47"/>
    </row>
    <row r="31" spans="1:13" s="9" customFormat="1" ht="24" customHeight="1">
      <c r="A31" s="40"/>
      <c r="B31" s="41"/>
      <c r="C31" s="47"/>
      <c r="D31" s="47"/>
      <c r="E31" s="34"/>
      <c r="F31" s="34"/>
      <c r="G31" s="47"/>
      <c r="H31" s="89"/>
      <c r="I31" s="89"/>
      <c r="J31" s="89"/>
      <c r="K31" s="47"/>
      <c r="L31" s="47"/>
    </row>
    <row r="32" spans="1:13" s="9" customFormat="1" ht="24" customHeight="1">
      <c r="A32" s="2"/>
      <c r="B32" s="27"/>
      <c r="C32" s="26"/>
      <c r="D32" s="2"/>
      <c r="E32" s="2"/>
      <c r="F32" s="2"/>
      <c r="G32" s="2"/>
      <c r="H32" s="2"/>
      <c r="I32" s="2"/>
      <c r="J32" s="2"/>
      <c r="K32" s="108" t="s">
        <v>131</v>
      </c>
      <c r="L32" s="108"/>
    </row>
    <row r="33" spans="1:12" s="9" customFormat="1" ht="24" customHeight="1">
      <c r="A33" s="107" t="s">
        <v>6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</row>
    <row r="34" spans="1:12" s="9" customFormat="1" ht="24" customHeight="1">
      <c r="A34" s="113" t="s">
        <v>117</v>
      </c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</row>
    <row r="35" spans="1:12" s="9" customFormat="1" ht="24" customHeight="1">
      <c r="A35" s="115" t="s">
        <v>118</v>
      </c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</row>
    <row r="36" spans="1:12" ht="24" customHeight="1">
      <c r="A36" s="102" t="s">
        <v>105</v>
      </c>
      <c r="B36" s="102" t="s">
        <v>126</v>
      </c>
      <c r="C36" s="102" t="s">
        <v>128</v>
      </c>
      <c r="D36" s="109" t="s">
        <v>0</v>
      </c>
      <c r="E36" s="102" t="s">
        <v>111</v>
      </c>
      <c r="F36" s="102" t="s">
        <v>112</v>
      </c>
      <c r="G36" s="111" t="s">
        <v>113</v>
      </c>
      <c r="H36" s="104" t="s">
        <v>1</v>
      </c>
      <c r="I36" s="105"/>
      <c r="J36" s="102" t="s">
        <v>129</v>
      </c>
      <c r="K36" s="102" t="s">
        <v>106</v>
      </c>
      <c r="L36" s="102" t="s">
        <v>114</v>
      </c>
    </row>
    <row r="37" spans="1:12" ht="47.25" customHeight="1">
      <c r="A37" s="103"/>
      <c r="B37" s="103"/>
      <c r="C37" s="103"/>
      <c r="D37" s="110"/>
      <c r="E37" s="103"/>
      <c r="F37" s="103"/>
      <c r="G37" s="112"/>
      <c r="H37" s="29" t="s">
        <v>115</v>
      </c>
      <c r="I37" s="30" t="s">
        <v>116</v>
      </c>
      <c r="J37" s="103"/>
      <c r="K37" s="103"/>
      <c r="L37" s="103"/>
    </row>
    <row r="38" spans="1:12" ht="24" customHeight="1">
      <c r="A38" s="16"/>
      <c r="B38" s="15"/>
      <c r="C38" s="3"/>
      <c r="D38" s="3"/>
      <c r="E38" s="23"/>
      <c r="F38" s="23"/>
      <c r="G38" s="4"/>
      <c r="H38" s="5"/>
      <c r="I38" s="5"/>
      <c r="J38" s="51" t="s">
        <v>134</v>
      </c>
      <c r="K38" s="52">
        <f>SUM(K17)</f>
        <v>1648400</v>
      </c>
      <c r="L38" s="23"/>
    </row>
    <row r="39" spans="1:12" ht="24" customHeight="1">
      <c r="A39" s="24">
        <v>11</v>
      </c>
      <c r="B39" s="15" t="s">
        <v>108</v>
      </c>
      <c r="C39" s="3" t="s">
        <v>25</v>
      </c>
      <c r="D39" s="3" t="s">
        <v>26</v>
      </c>
      <c r="E39" s="23" t="s">
        <v>2</v>
      </c>
      <c r="F39" s="23">
        <v>24</v>
      </c>
      <c r="G39" s="4" t="s">
        <v>132</v>
      </c>
      <c r="H39" s="5">
        <v>1</v>
      </c>
      <c r="I39" s="5">
        <v>1</v>
      </c>
      <c r="J39" s="7">
        <v>480000</v>
      </c>
      <c r="K39" s="7">
        <f>SUM(I39*J39)</f>
        <v>480000</v>
      </c>
      <c r="L39" s="95" t="s">
        <v>171</v>
      </c>
    </row>
    <row r="40" spans="1:12" ht="24" customHeight="1">
      <c r="A40" s="16">
        <v>12</v>
      </c>
      <c r="B40" s="15" t="s">
        <v>108</v>
      </c>
      <c r="C40" s="3" t="s">
        <v>27</v>
      </c>
      <c r="D40" s="3" t="s">
        <v>28</v>
      </c>
      <c r="E40" s="23" t="s">
        <v>2</v>
      </c>
      <c r="F40" s="23">
        <v>24</v>
      </c>
      <c r="G40" s="4" t="s">
        <v>132</v>
      </c>
      <c r="H40" s="5">
        <v>1</v>
      </c>
      <c r="I40" s="5">
        <v>1</v>
      </c>
      <c r="J40" s="7">
        <v>96000</v>
      </c>
      <c r="K40" s="7">
        <f t="shared" ref="K40:K48" si="1">SUM(I40*J40)</f>
        <v>96000</v>
      </c>
      <c r="L40" s="95" t="s">
        <v>172</v>
      </c>
    </row>
    <row r="41" spans="1:12" ht="24" customHeight="1">
      <c r="A41" s="24">
        <v>13</v>
      </c>
      <c r="B41" s="15" t="s">
        <v>108</v>
      </c>
      <c r="C41" s="3" t="s">
        <v>29</v>
      </c>
      <c r="D41" s="3" t="s">
        <v>30</v>
      </c>
      <c r="E41" s="23" t="s">
        <v>2</v>
      </c>
      <c r="F41" s="23">
        <v>24</v>
      </c>
      <c r="G41" s="4" t="s">
        <v>132</v>
      </c>
      <c r="H41" s="5">
        <v>1</v>
      </c>
      <c r="I41" s="5">
        <v>1</v>
      </c>
      <c r="J41" s="7">
        <v>39000</v>
      </c>
      <c r="K41" s="7">
        <f t="shared" si="1"/>
        <v>39000</v>
      </c>
      <c r="L41" s="95" t="s">
        <v>173</v>
      </c>
    </row>
    <row r="42" spans="1:12" ht="24" customHeight="1">
      <c r="A42" s="16">
        <v>14</v>
      </c>
      <c r="B42" s="15" t="s">
        <v>108</v>
      </c>
      <c r="C42" s="3" t="s">
        <v>31</v>
      </c>
      <c r="D42" s="3" t="s">
        <v>97</v>
      </c>
      <c r="E42" s="23" t="s">
        <v>2</v>
      </c>
      <c r="F42" s="23">
        <v>24</v>
      </c>
      <c r="G42" s="4" t="s">
        <v>132</v>
      </c>
      <c r="H42" s="5">
        <v>1</v>
      </c>
      <c r="I42" s="5">
        <v>1</v>
      </c>
      <c r="J42" s="7">
        <v>142000</v>
      </c>
      <c r="K42" s="7">
        <f t="shared" si="1"/>
        <v>142000</v>
      </c>
      <c r="L42" s="95" t="s">
        <v>174</v>
      </c>
    </row>
    <row r="43" spans="1:12" ht="24" customHeight="1">
      <c r="A43" s="24">
        <v>15</v>
      </c>
      <c r="B43" s="15" t="s">
        <v>108</v>
      </c>
      <c r="C43" s="3" t="s">
        <v>32</v>
      </c>
      <c r="D43" s="1" t="s">
        <v>33</v>
      </c>
      <c r="E43" s="23" t="s">
        <v>2</v>
      </c>
      <c r="F43" s="23">
        <v>24</v>
      </c>
      <c r="G43" s="4" t="s">
        <v>132</v>
      </c>
      <c r="H43" s="5">
        <v>1</v>
      </c>
      <c r="I43" s="5">
        <v>1</v>
      </c>
      <c r="J43" s="7">
        <v>41800</v>
      </c>
      <c r="K43" s="7">
        <f t="shared" si="1"/>
        <v>41800</v>
      </c>
      <c r="L43" s="95" t="s">
        <v>175</v>
      </c>
    </row>
    <row r="44" spans="1:12" ht="24" customHeight="1">
      <c r="A44" s="16">
        <v>16</v>
      </c>
      <c r="B44" s="15" t="s">
        <v>108</v>
      </c>
      <c r="C44" s="3" t="s">
        <v>34</v>
      </c>
      <c r="D44" s="1" t="s">
        <v>35</v>
      </c>
      <c r="E44" s="23" t="s">
        <v>2</v>
      </c>
      <c r="F44" s="23">
        <v>24</v>
      </c>
      <c r="G44" s="4" t="s">
        <v>132</v>
      </c>
      <c r="H44" s="4">
        <v>1</v>
      </c>
      <c r="I44" s="4">
        <v>1</v>
      </c>
      <c r="J44" s="7">
        <v>95000</v>
      </c>
      <c r="K44" s="7">
        <f t="shared" si="1"/>
        <v>95000</v>
      </c>
      <c r="L44" s="95" t="s">
        <v>176</v>
      </c>
    </row>
    <row r="45" spans="1:12" ht="24" customHeight="1">
      <c r="A45" s="24">
        <v>17</v>
      </c>
      <c r="B45" s="15" t="s">
        <v>108</v>
      </c>
      <c r="C45" s="3" t="s">
        <v>36</v>
      </c>
      <c r="D45" s="1" t="s">
        <v>37</v>
      </c>
      <c r="E45" s="23" t="s">
        <v>2</v>
      </c>
      <c r="F45" s="23">
        <v>24</v>
      </c>
      <c r="G45" s="4" t="s">
        <v>132</v>
      </c>
      <c r="H45" s="4">
        <v>1</v>
      </c>
      <c r="I45" s="4">
        <v>1</v>
      </c>
      <c r="J45" s="7">
        <v>43800</v>
      </c>
      <c r="K45" s="7">
        <f t="shared" si="1"/>
        <v>43800</v>
      </c>
      <c r="L45" s="95" t="s">
        <v>177</v>
      </c>
    </row>
    <row r="46" spans="1:12" ht="24" customHeight="1">
      <c r="A46" s="16">
        <v>18</v>
      </c>
      <c r="B46" s="15" t="s">
        <v>108</v>
      </c>
      <c r="C46" s="3" t="s">
        <v>38</v>
      </c>
      <c r="D46" s="1" t="s">
        <v>39</v>
      </c>
      <c r="E46" s="23" t="s">
        <v>2</v>
      </c>
      <c r="F46" s="23">
        <v>24</v>
      </c>
      <c r="G46" s="4" t="s">
        <v>132</v>
      </c>
      <c r="H46" s="4">
        <v>1</v>
      </c>
      <c r="I46" s="4">
        <v>1</v>
      </c>
      <c r="J46" s="7">
        <v>14500</v>
      </c>
      <c r="K46" s="7">
        <f t="shared" si="1"/>
        <v>14500</v>
      </c>
      <c r="L46" s="95" t="s">
        <v>178</v>
      </c>
    </row>
    <row r="47" spans="1:12" ht="24" customHeight="1">
      <c r="A47" s="24">
        <v>19</v>
      </c>
      <c r="B47" s="15" t="s">
        <v>108</v>
      </c>
      <c r="C47" s="3" t="s">
        <v>40</v>
      </c>
      <c r="D47" s="1" t="s">
        <v>41</v>
      </c>
      <c r="E47" s="23" t="s">
        <v>2</v>
      </c>
      <c r="F47" s="23">
        <v>24</v>
      </c>
      <c r="G47" s="4" t="s">
        <v>132</v>
      </c>
      <c r="H47" s="5">
        <v>1</v>
      </c>
      <c r="I47" s="5">
        <v>1</v>
      </c>
      <c r="J47" s="7">
        <v>95000</v>
      </c>
      <c r="K47" s="7">
        <f t="shared" si="1"/>
        <v>95000</v>
      </c>
      <c r="L47" s="95" t="s">
        <v>179</v>
      </c>
    </row>
    <row r="48" spans="1:12" ht="24" customHeight="1">
      <c r="A48" s="16">
        <v>20</v>
      </c>
      <c r="B48" s="15" t="s">
        <v>108</v>
      </c>
      <c r="C48" s="3" t="s">
        <v>42</v>
      </c>
      <c r="D48" s="1" t="s">
        <v>102</v>
      </c>
      <c r="E48" s="4" t="s">
        <v>2</v>
      </c>
      <c r="F48" s="4">
        <v>24</v>
      </c>
      <c r="G48" s="4" t="s">
        <v>132</v>
      </c>
      <c r="H48" s="5">
        <v>1</v>
      </c>
      <c r="I48" s="5">
        <v>1</v>
      </c>
      <c r="J48" s="7">
        <v>43800</v>
      </c>
      <c r="K48" s="7">
        <f t="shared" si="1"/>
        <v>43800</v>
      </c>
      <c r="L48" s="95" t="s">
        <v>180</v>
      </c>
    </row>
    <row r="49" spans="1:12" ht="24" customHeight="1" thickBot="1">
      <c r="A49" s="43"/>
      <c r="B49" s="44"/>
      <c r="C49" s="45"/>
      <c r="D49" s="54"/>
      <c r="E49" s="31"/>
      <c r="F49" s="31"/>
      <c r="G49" s="31"/>
      <c r="H49" s="46"/>
      <c r="I49" s="46"/>
      <c r="J49" s="49" t="s">
        <v>133</v>
      </c>
      <c r="K49" s="50">
        <f>SUM(K38:K48)</f>
        <v>2739300</v>
      </c>
      <c r="L49" s="60"/>
    </row>
    <row r="50" spans="1:12" s="9" customFormat="1" ht="24" customHeight="1" thickTop="1">
      <c r="A50" s="40"/>
      <c r="B50" s="34" t="s">
        <v>123</v>
      </c>
      <c r="C50" s="25" t="s">
        <v>124</v>
      </c>
      <c r="E50" s="28"/>
      <c r="F50" s="28"/>
      <c r="G50" s="28"/>
      <c r="H50" s="55"/>
      <c r="I50" s="55"/>
      <c r="J50" s="42"/>
      <c r="K50" s="42"/>
      <c r="L50" s="34"/>
    </row>
    <row r="51" spans="1:12" s="9" customFormat="1" ht="24" customHeight="1">
      <c r="A51" s="40"/>
      <c r="B51" s="34"/>
      <c r="C51" s="25" t="s">
        <v>125</v>
      </c>
      <c r="E51" s="28"/>
      <c r="F51" s="28"/>
      <c r="G51" s="28"/>
      <c r="H51" s="55"/>
      <c r="I51" s="55"/>
      <c r="J51" s="42"/>
      <c r="K51" s="42"/>
      <c r="L51" s="34"/>
    </row>
    <row r="52" spans="1:12" s="9" customFormat="1" ht="24" customHeight="1">
      <c r="A52" s="40"/>
      <c r="B52" s="41"/>
      <c r="C52" s="47"/>
      <c r="D52" s="53"/>
      <c r="E52" s="28"/>
      <c r="F52" s="28"/>
      <c r="G52" s="90" t="s">
        <v>155</v>
      </c>
      <c r="H52" s="106" t="s">
        <v>156</v>
      </c>
      <c r="I52" s="106"/>
      <c r="J52" s="106"/>
      <c r="K52" s="48" t="s">
        <v>157</v>
      </c>
      <c r="L52" s="34"/>
    </row>
    <row r="53" spans="1:12" s="9" customFormat="1" ht="24" customHeight="1">
      <c r="A53" s="40"/>
      <c r="B53" s="41"/>
      <c r="C53" s="47"/>
      <c r="D53" s="53"/>
      <c r="E53" s="28"/>
      <c r="F53" s="28"/>
      <c r="G53" s="48"/>
      <c r="H53" s="106" t="s">
        <v>158</v>
      </c>
      <c r="I53" s="106"/>
      <c r="J53" s="106"/>
      <c r="K53" s="48"/>
      <c r="L53" s="34"/>
    </row>
    <row r="54" spans="1:12" s="9" customFormat="1" ht="33" customHeight="1">
      <c r="A54" s="40"/>
      <c r="B54" s="41"/>
      <c r="C54" s="47"/>
      <c r="D54" s="53"/>
      <c r="E54" s="28"/>
      <c r="F54" s="28"/>
      <c r="G54" s="90" t="s">
        <v>155</v>
      </c>
      <c r="H54" s="106" t="s">
        <v>156</v>
      </c>
      <c r="I54" s="106"/>
      <c r="J54" s="106"/>
      <c r="K54" s="48" t="s">
        <v>159</v>
      </c>
      <c r="L54" s="34"/>
    </row>
    <row r="55" spans="1:12" s="9" customFormat="1" ht="24" customHeight="1">
      <c r="A55" s="40"/>
      <c r="B55" s="41"/>
      <c r="C55" s="47"/>
      <c r="D55" s="53"/>
      <c r="E55" s="28"/>
      <c r="F55" s="28"/>
      <c r="G55" s="48"/>
      <c r="H55" s="106" t="s">
        <v>161</v>
      </c>
      <c r="I55" s="106"/>
      <c r="J55" s="106"/>
      <c r="K55" s="48"/>
      <c r="L55" s="34"/>
    </row>
    <row r="56" spans="1:12" s="9" customFormat="1" ht="32.25" customHeight="1">
      <c r="A56" s="40"/>
      <c r="B56" s="41"/>
      <c r="C56" s="47"/>
      <c r="D56" s="53"/>
      <c r="E56" s="28"/>
      <c r="F56" s="28"/>
      <c r="G56" s="90" t="s">
        <v>155</v>
      </c>
      <c r="H56" s="106" t="s">
        <v>156</v>
      </c>
      <c r="I56" s="106"/>
      <c r="J56" s="106"/>
      <c r="K56" s="47" t="s">
        <v>160</v>
      </c>
      <c r="L56" s="34"/>
    </row>
    <row r="57" spans="1:12" s="9" customFormat="1" ht="24" customHeight="1">
      <c r="A57" s="40"/>
      <c r="B57" s="41"/>
      <c r="C57" s="47"/>
      <c r="D57" s="53"/>
      <c r="E57" s="28"/>
      <c r="F57" s="28"/>
      <c r="G57" s="47"/>
      <c r="H57" s="106" t="s">
        <v>162</v>
      </c>
      <c r="I57" s="106"/>
      <c r="J57" s="106"/>
      <c r="K57" s="47"/>
      <c r="L57" s="34"/>
    </row>
    <row r="58" spans="1:12" s="9" customFormat="1" ht="24" customHeight="1">
      <c r="A58" s="40"/>
      <c r="B58" s="41"/>
      <c r="C58" s="47"/>
      <c r="D58" s="53"/>
      <c r="E58" s="28"/>
      <c r="F58" s="28"/>
      <c r="G58" s="47"/>
      <c r="H58" s="91"/>
      <c r="I58" s="91"/>
      <c r="J58" s="91"/>
      <c r="K58" s="47"/>
      <c r="L58" s="34"/>
    </row>
    <row r="59" spans="1:12" s="9" customFormat="1" ht="24" customHeight="1">
      <c r="A59" s="40"/>
      <c r="B59" s="41"/>
      <c r="C59" s="47"/>
      <c r="D59" s="53"/>
      <c r="E59" s="28"/>
      <c r="F59" s="28"/>
      <c r="G59" s="47"/>
      <c r="H59" s="93"/>
      <c r="I59" s="93"/>
      <c r="J59" s="93"/>
      <c r="K59" s="47"/>
      <c r="L59" s="34"/>
    </row>
    <row r="60" spans="1:12" s="9" customFormat="1" ht="24" customHeight="1">
      <c r="A60" s="40"/>
      <c r="B60" s="41"/>
      <c r="C60" s="47"/>
      <c r="D60" s="53"/>
      <c r="E60" s="28"/>
      <c r="F60" s="28"/>
      <c r="G60" s="47"/>
      <c r="H60" s="91"/>
      <c r="I60" s="91"/>
      <c r="J60" s="91"/>
      <c r="K60" s="47"/>
      <c r="L60" s="34"/>
    </row>
    <row r="61" spans="1:12" s="9" customFormat="1" ht="24" customHeight="1">
      <c r="A61" s="40"/>
      <c r="B61" s="41"/>
      <c r="C61" s="47"/>
      <c r="D61" s="53"/>
      <c r="E61" s="28"/>
      <c r="F61" s="28"/>
      <c r="G61" s="28"/>
      <c r="H61" s="55"/>
      <c r="I61" s="55"/>
      <c r="J61" s="42"/>
      <c r="K61" s="42"/>
      <c r="L61" s="34"/>
    </row>
    <row r="62" spans="1:12" s="9" customFormat="1" ht="24" customHeight="1">
      <c r="A62" s="40"/>
      <c r="B62" s="41"/>
      <c r="C62" s="47"/>
      <c r="D62" s="53"/>
      <c r="E62" s="28"/>
      <c r="F62" s="28"/>
      <c r="G62" s="28"/>
      <c r="H62" s="55"/>
      <c r="I62" s="55"/>
      <c r="J62" s="42"/>
      <c r="K62" s="42"/>
      <c r="L62" s="34"/>
    </row>
    <row r="63" spans="1:12" s="9" customFormat="1" ht="24" customHeight="1">
      <c r="A63" s="2"/>
      <c r="B63" s="27"/>
      <c r="C63" s="26"/>
      <c r="D63" s="2"/>
      <c r="E63" s="2"/>
      <c r="F63" s="2"/>
      <c r="G63" s="2"/>
      <c r="H63" s="2"/>
      <c r="I63" s="2"/>
      <c r="J63" s="2"/>
      <c r="K63" s="108" t="s">
        <v>135</v>
      </c>
      <c r="L63" s="108"/>
    </row>
    <row r="64" spans="1:12" s="9" customFormat="1" ht="24" customHeight="1">
      <c r="A64" s="107" t="s">
        <v>6</v>
      </c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</row>
    <row r="65" spans="1:12" s="9" customFormat="1" ht="24" customHeight="1">
      <c r="A65" s="113" t="s">
        <v>117</v>
      </c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</row>
    <row r="66" spans="1:12" s="9" customFormat="1" ht="24" customHeight="1">
      <c r="A66" s="115" t="s">
        <v>118</v>
      </c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</row>
    <row r="67" spans="1:12" s="9" customFormat="1" ht="24" customHeight="1">
      <c r="A67" s="102" t="s">
        <v>105</v>
      </c>
      <c r="B67" s="102" t="s">
        <v>126</v>
      </c>
      <c r="C67" s="102" t="s">
        <v>128</v>
      </c>
      <c r="D67" s="109" t="s">
        <v>0</v>
      </c>
      <c r="E67" s="102" t="s">
        <v>111</v>
      </c>
      <c r="F67" s="102" t="s">
        <v>112</v>
      </c>
      <c r="G67" s="111" t="s">
        <v>113</v>
      </c>
      <c r="H67" s="104" t="s">
        <v>1</v>
      </c>
      <c r="I67" s="105"/>
      <c r="J67" s="102" t="s">
        <v>129</v>
      </c>
      <c r="K67" s="102" t="s">
        <v>106</v>
      </c>
      <c r="L67" s="102" t="s">
        <v>114</v>
      </c>
    </row>
    <row r="68" spans="1:12" s="9" customFormat="1" ht="51" customHeight="1">
      <c r="A68" s="103"/>
      <c r="B68" s="103"/>
      <c r="C68" s="103"/>
      <c r="D68" s="110"/>
      <c r="E68" s="103"/>
      <c r="F68" s="103"/>
      <c r="G68" s="112"/>
      <c r="H68" s="29" t="s">
        <v>115</v>
      </c>
      <c r="I68" s="30" t="s">
        <v>116</v>
      </c>
      <c r="J68" s="103"/>
      <c r="K68" s="103"/>
      <c r="L68" s="103"/>
    </row>
    <row r="69" spans="1:12" s="9" customFormat="1" ht="24" customHeight="1">
      <c r="A69" s="16"/>
      <c r="B69" s="15"/>
      <c r="C69" s="3"/>
      <c r="D69" s="3"/>
      <c r="E69" s="23"/>
      <c r="F69" s="23"/>
      <c r="G69" s="4"/>
      <c r="H69" s="5"/>
      <c r="I69" s="5"/>
      <c r="J69" s="51" t="s">
        <v>134</v>
      </c>
      <c r="K69" s="52">
        <f>SUM(K49)</f>
        <v>2739300</v>
      </c>
      <c r="L69" s="23"/>
    </row>
    <row r="70" spans="1:12" ht="24" customHeight="1">
      <c r="A70" s="24">
        <v>21</v>
      </c>
      <c r="B70" s="15" t="s">
        <v>108</v>
      </c>
      <c r="C70" s="3" t="s">
        <v>43</v>
      </c>
      <c r="D70" s="1" t="s">
        <v>44</v>
      </c>
      <c r="E70" s="4" t="s">
        <v>2</v>
      </c>
      <c r="F70" s="4">
        <v>24</v>
      </c>
      <c r="G70" s="4" t="s">
        <v>132</v>
      </c>
      <c r="H70" s="5">
        <v>1</v>
      </c>
      <c r="I70" s="5">
        <v>1</v>
      </c>
      <c r="J70" s="7">
        <v>62000</v>
      </c>
      <c r="K70" s="7">
        <f>SUM(I70*J70)</f>
        <v>62000</v>
      </c>
      <c r="L70" s="95" t="s">
        <v>181</v>
      </c>
    </row>
    <row r="71" spans="1:12" ht="24" customHeight="1">
      <c r="A71" s="16">
        <v>22</v>
      </c>
      <c r="B71" s="15" t="s">
        <v>108</v>
      </c>
      <c r="C71" s="3" t="s">
        <v>45</v>
      </c>
      <c r="D71" s="1" t="s">
        <v>46</v>
      </c>
      <c r="E71" s="4" t="s">
        <v>2</v>
      </c>
      <c r="F71" s="4">
        <v>24</v>
      </c>
      <c r="G71" s="4" t="s">
        <v>132</v>
      </c>
      <c r="H71" s="5">
        <v>1</v>
      </c>
      <c r="I71" s="5">
        <v>1</v>
      </c>
      <c r="J71" s="7">
        <v>84000</v>
      </c>
      <c r="K71" s="7">
        <f t="shared" ref="K71:K79" si="2">SUM(I71*J71)</f>
        <v>84000</v>
      </c>
      <c r="L71" s="95" t="s">
        <v>182</v>
      </c>
    </row>
    <row r="72" spans="1:12" ht="24" customHeight="1">
      <c r="A72" s="24">
        <v>23</v>
      </c>
      <c r="B72" s="15" t="s">
        <v>108</v>
      </c>
      <c r="C72" s="3" t="s">
        <v>47</v>
      </c>
      <c r="D72" s="1" t="s">
        <v>48</v>
      </c>
      <c r="E72" s="4" t="s">
        <v>2</v>
      </c>
      <c r="F72" s="4">
        <v>24</v>
      </c>
      <c r="G72" s="4" t="s">
        <v>132</v>
      </c>
      <c r="H72" s="5">
        <v>1</v>
      </c>
      <c r="I72" s="5">
        <v>1</v>
      </c>
      <c r="J72" s="7">
        <v>84000</v>
      </c>
      <c r="K72" s="7">
        <f t="shared" si="2"/>
        <v>84000</v>
      </c>
      <c r="L72" s="95" t="s">
        <v>183</v>
      </c>
    </row>
    <row r="73" spans="1:12" ht="24" customHeight="1">
      <c r="A73" s="16">
        <v>24</v>
      </c>
      <c r="B73" s="15" t="s">
        <v>108</v>
      </c>
      <c r="C73" s="3" t="s">
        <v>49</v>
      </c>
      <c r="D73" s="1" t="s">
        <v>50</v>
      </c>
      <c r="E73" s="4" t="s">
        <v>2</v>
      </c>
      <c r="F73" s="4">
        <v>24</v>
      </c>
      <c r="G73" s="4" t="s">
        <v>132</v>
      </c>
      <c r="H73" s="5">
        <v>1</v>
      </c>
      <c r="I73" s="5">
        <v>1</v>
      </c>
      <c r="J73" s="7">
        <v>28500</v>
      </c>
      <c r="K73" s="7">
        <f t="shared" si="2"/>
        <v>28500</v>
      </c>
      <c r="L73" s="95" t="s">
        <v>184</v>
      </c>
    </row>
    <row r="74" spans="1:12" ht="24" customHeight="1">
      <c r="A74" s="24">
        <v>25</v>
      </c>
      <c r="B74" s="15" t="s">
        <v>108</v>
      </c>
      <c r="C74" s="3" t="s">
        <v>51</v>
      </c>
      <c r="D74" s="1" t="s">
        <v>52</v>
      </c>
      <c r="E74" s="4" t="s">
        <v>2</v>
      </c>
      <c r="F74" s="4">
        <v>24</v>
      </c>
      <c r="G74" s="4">
        <v>2</v>
      </c>
      <c r="H74" s="5">
        <v>1</v>
      </c>
      <c r="I74" s="5">
        <v>1</v>
      </c>
      <c r="J74" s="7">
        <v>56000</v>
      </c>
      <c r="K74" s="7">
        <f t="shared" si="2"/>
        <v>56000</v>
      </c>
      <c r="L74" s="94" t="s">
        <v>185</v>
      </c>
    </row>
    <row r="75" spans="1:12" ht="24" customHeight="1">
      <c r="A75" s="16">
        <v>26</v>
      </c>
      <c r="B75" s="15" t="s">
        <v>108</v>
      </c>
      <c r="C75" s="3" t="s">
        <v>53</v>
      </c>
      <c r="D75" s="1" t="s">
        <v>54</v>
      </c>
      <c r="E75" s="4" t="s">
        <v>2</v>
      </c>
      <c r="F75" s="4">
        <v>24</v>
      </c>
      <c r="G75" s="4" t="s">
        <v>132</v>
      </c>
      <c r="H75" s="5">
        <v>1</v>
      </c>
      <c r="I75" s="5">
        <v>1</v>
      </c>
      <c r="J75" s="7">
        <v>94000</v>
      </c>
      <c r="K75" s="7">
        <f t="shared" si="2"/>
        <v>94000</v>
      </c>
      <c r="L75" s="95" t="s">
        <v>186</v>
      </c>
    </row>
    <row r="76" spans="1:12" ht="24" customHeight="1">
      <c r="A76" s="24">
        <v>27</v>
      </c>
      <c r="B76" s="15" t="s">
        <v>108</v>
      </c>
      <c r="C76" s="3" t="s">
        <v>55</v>
      </c>
      <c r="D76" s="1" t="s">
        <v>56</v>
      </c>
      <c r="E76" s="4" t="s">
        <v>2</v>
      </c>
      <c r="F76" s="4">
        <v>24</v>
      </c>
      <c r="G76" s="4" t="s">
        <v>132</v>
      </c>
      <c r="H76" s="5">
        <v>1</v>
      </c>
      <c r="I76" s="5">
        <v>1</v>
      </c>
      <c r="J76" s="7">
        <v>22500</v>
      </c>
      <c r="K76" s="7">
        <f t="shared" si="2"/>
        <v>22500</v>
      </c>
      <c r="L76" s="95" t="s">
        <v>166</v>
      </c>
    </row>
    <row r="77" spans="1:12" ht="24" customHeight="1">
      <c r="A77" s="16">
        <v>28</v>
      </c>
      <c r="B77" s="15" t="s">
        <v>108</v>
      </c>
      <c r="C77" s="3" t="s">
        <v>57</v>
      </c>
      <c r="D77" s="1" t="s">
        <v>103</v>
      </c>
      <c r="E77" s="4" t="s">
        <v>2</v>
      </c>
      <c r="F77" s="4">
        <v>24</v>
      </c>
      <c r="G77" s="4" t="s">
        <v>132</v>
      </c>
      <c r="H77" s="5">
        <v>1</v>
      </c>
      <c r="I77" s="5">
        <v>1</v>
      </c>
      <c r="J77" s="7">
        <v>65000</v>
      </c>
      <c r="K77" s="7">
        <f t="shared" si="2"/>
        <v>65000</v>
      </c>
      <c r="L77" s="95" t="s">
        <v>187</v>
      </c>
    </row>
    <row r="78" spans="1:12" ht="24" customHeight="1">
      <c r="A78" s="24">
        <v>29</v>
      </c>
      <c r="B78" s="15" t="s">
        <v>108</v>
      </c>
      <c r="C78" s="3" t="s">
        <v>58</v>
      </c>
      <c r="D78" s="1" t="s">
        <v>59</v>
      </c>
      <c r="E78" s="4" t="s">
        <v>2</v>
      </c>
      <c r="F78" s="4">
        <v>24</v>
      </c>
      <c r="G78" s="4" t="s">
        <v>132</v>
      </c>
      <c r="H78" s="5">
        <v>1</v>
      </c>
      <c r="I78" s="5">
        <v>1</v>
      </c>
      <c r="J78" s="7">
        <v>12000</v>
      </c>
      <c r="K78" s="7">
        <f t="shared" si="2"/>
        <v>12000</v>
      </c>
      <c r="L78" s="95" t="s">
        <v>188</v>
      </c>
    </row>
    <row r="79" spans="1:12" ht="24" customHeight="1">
      <c r="A79" s="16">
        <v>30</v>
      </c>
      <c r="B79" s="15" t="s">
        <v>108</v>
      </c>
      <c r="C79" s="99" t="s">
        <v>60</v>
      </c>
      <c r="D79" s="1" t="s">
        <v>61</v>
      </c>
      <c r="E79" s="4" t="s">
        <v>2</v>
      </c>
      <c r="F79" s="4">
        <v>24</v>
      </c>
      <c r="G79" s="4" t="s">
        <v>132</v>
      </c>
      <c r="H79" s="5">
        <v>3</v>
      </c>
      <c r="I79" s="5">
        <v>3</v>
      </c>
      <c r="J79" s="7">
        <v>17800</v>
      </c>
      <c r="K79" s="7">
        <f t="shared" si="2"/>
        <v>53400</v>
      </c>
      <c r="L79" s="95" t="s">
        <v>189</v>
      </c>
    </row>
    <row r="80" spans="1:12" ht="24" customHeight="1" thickBot="1">
      <c r="A80" s="59"/>
      <c r="B80" s="32"/>
      <c r="C80" s="60"/>
      <c r="D80" s="59"/>
      <c r="E80" s="59"/>
      <c r="F80" s="59"/>
      <c r="G80" s="59"/>
      <c r="H80" s="59"/>
      <c r="I80" s="59"/>
      <c r="J80" s="58" t="s">
        <v>133</v>
      </c>
      <c r="K80" s="61">
        <f>SUM(K69:K79)</f>
        <v>3300700</v>
      </c>
      <c r="L80" s="60"/>
    </row>
    <row r="81" spans="1:12" ht="24" customHeight="1" thickTop="1">
      <c r="B81" s="34" t="s">
        <v>123</v>
      </c>
      <c r="C81" s="25" t="s">
        <v>124</v>
      </c>
      <c r="D81" s="9"/>
      <c r="E81" s="28"/>
      <c r="F81" s="28"/>
      <c r="G81" s="28"/>
      <c r="H81" s="55"/>
      <c r="I81" s="55"/>
      <c r="J81" s="42"/>
      <c r="K81" s="42"/>
      <c r="L81" s="34"/>
    </row>
    <row r="82" spans="1:12" ht="24" customHeight="1">
      <c r="B82" s="34"/>
      <c r="C82" s="25" t="s">
        <v>125</v>
      </c>
      <c r="D82" s="9"/>
      <c r="E82" s="28"/>
      <c r="F82" s="28"/>
      <c r="G82" s="28"/>
      <c r="H82" s="55"/>
      <c r="I82" s="55"/>
      <c r="J82" s="42"/>
      <c r="K82" s="42"/>
      <c r="L82" s="34"/>
    </row>
    <row r="83" spans="1:12" ht="24" customHeight="1">
      <c r="B83" s="41"/>
      <c r="C83" s="47"/>
      <c r="D83" s="53"/>
      <c r="E83" s="28"/>
      <c r="F83" s="28"/>
      <c r="G83" s="90" t="s">
        <v>155</v>
      </c>
      <c r="H83" s="106" t="s">
        <v>156</v>
      </c>
      <c r="I83" s="106"/>
      <c r="J83" s="106"/>
      <c r="K83" s="48" t="s">
        <v>157</v>
      </c>
      <c r="L83" s="34"/>
    </row>
    <row r="84" spans="1:12" ht="24" customHeight="1">
      <c r="B84" s="41"/>
      <c r="C84" s="47"/>
      <c r="D84" s="53"/>
      <c r="E84" s="28"/>
      <c r="F84" s="28"/>
      <c r="G84" s="48"/>
      <c r="H84" s="106" t="s">
        <v>158</v>
      </c>
      <c r="I84" s="106"/>
      <c r="J84" s="106"/>
      <c r="K84" s="48"/>
      <c r="L84" s="34"/>
    </row>
    <row r="85" spans="1:12" ht="30.75" customHeight="1">
      <c r="B85" s="41"/>
      <c r="C85" s="47"/>
      <c r="D85" s="53"/>
      <c r="E85" s="28"/>
      <c r="F85" s="28"/>
      <c r="G85" s="90" t="s">
        <v>155</v>
      </c>
      <c r="H85" s="106" t="s">
        <v>156</v>
      </c>
      <c r="I85" s="106"/>
      <c r="J85" s="106"/>
      <c r="K85" s="48" t="s">
        <v>159</v>
      </c>
      <c r="L85" s="34"/>
    </row>
    <row r="86" spans="1:12" ht="24" customHeight="1">
      <c r="B86" s="41"/>
      <c r="C86" s="47"/>
      <c r="D86" s="53"/>
      <c r="E86" s="28"/>
      <c r="F86" s="28"/>
      <c r="G86" s="48"/>
      <c r="H86" s="106" t="s">
        <v>161</v>
      </c>
      <c r="I86" s="106"/>
      <c r="J86" s="106"/>
      <c r="K86" s="48"/>
      <c r="L86" s="34"/>
    </row>
    <row r="87" spans="1:12" ht="32.25" customHeight="1">
      <c r="B87" s="41"/>
      <c r="C87" s="47"/>
      <c r="D87" s="53"/>
      <c r="E87" s="28"/>
      <c r="F87" s="28"/>
      <c r="G87" s="90" t="s">
        <v>155</v>
      </c>
      <c r="H87" s="106" t="s">
        <v>156</v>
      </c>
      <c r="I87" s="106"/>
      <c r="J87" s="106"/>
      <c r="K87" s="47" t="s">
        <v>160</v>
      </c>
      <c r="L87" s="34"/>
    </row>
    <row r="88" spans="1:12" ht="24" customHeight="1">
      <c r="B88" s="41"/>
      <c r="C88" s="47"/>
      <c r="D88" s="53"/>
      <c r="E88" s="28"/>
      <c r="F88" s="28"/>
      <c r="G88" s="47"/>
      <c r="H88" s="106" t="s">
        <v>162</v>
      </c>
      <c r="I88" s="106"/>
      <c r="J88" s="106"/>
      <c r="K88" s="47"/>
      <c r="L88" s="34"/>
    </row>
    <row r="89" spans="1:12" ht="24" customHeight="1">
      <c r="B89" s="41"/>
      <c r="C89" s="47"/>
      <c r="D89" s="53"/>
      <c r="E89" s="28"/>
      <c r="F89" s="28"/>
      <c r="G89" s="47"/>
      <c r="H89" s="93"/>
      <c r="I89" s="93"/>
      <c r="J89" s="93"/>
      <c r="K89" s="47"/>
      <c r="L89" s="34"/>
    </row>
    <row r="90" spans="1:12" ht="24" customHeight="1">
      <c r="B90" s="41"/>
      <c r="C90" s="47"/>
      <c r="D90" s="53"/>
      <c r="E90" s="28"/>
      <c r="F90" s="28"/>
      <c r="G90" s="47"/>
      <c r="H90" s="91"/>
      <c r="I90" s="91"/>
      <c r="J90" s="91"/>
      <c r="K90" s="47"/>
      <c r="L90" s="34"/>
    </row>
    <row r="91" spans="1:12" ht="24" customHeight="1">
      <c r="B91" s="41"/>
      <c r="C91" s="47"/>
      <c r="D91" s="53"/>
      <c r="E91" s="28"/>
      <c r="F91" s="28"/>
      <c r="G91" s="47"/>
      <c r="H91" s="91"/>
      <c r="I91" s="91"/>
      <c r="J91" s="91"/>
      <c r="K91" s="47"/>
      <c r="L91" s="34"/>
    </row>
    <row r="94" spans="1:12" ht="24" customHeight="1">
      <c r="K94" s="108" t="s">
        <v>136</v>
      </c>
      <c r="L94" s="108"/>
    </row>
    <row r="95" spans="1:12" ht="24" customHeight="1">
      <c r="A95" s="107" t="s">
        <v>6</v>
      </c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</row>
    <row r="96" spans="1:12" ht="24" customHeight="1">
      <c r="A96" s="113" t="s">
        <v>117</v>
      </c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</row>
    <row r="97" spans="1:12" ht="24" customHeight="1">
      <c r="A97" s="115" t="s">
        <v>118</v>
      </c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</row>
    <row r="98" spans="1:12" ht="24" customHeight="1">
      <c r="A98" s="102" t="s">
        <v>105</v>
      </c>
      <c r="B98" s="102" t="s">
        <v>126</v>
      </c>
      <c r="C98" s="102" t="s">
        <v>128</v>
      </c>
      <c r="D98" s="109" t="s">
        <v>0</v>
      </c>
      <c r="E98" s="102" t="s">
        <v>111</v>
      </c>
      <c r="F98" s="102" t="s">
        <v>112</v>
      </c>
      <c r="G98" s="111" t="s">
        <v>113</v>
      </c>
      <c r="H98" s="104" t="s">
        <v>1</v>
      </c>
      <c r="I98" s="105"/>
      <c r="J98" s="102" t="s">
        <v>129</v>
      </c>
      <c r="K98" s="102" t="s">
        <v>106</v>
      </c>
      <c r="L98" s="102" t="s">
        <v>114</v>
      </c>
    </row>
    <row r="99" spans="1:12" ht="50.25" customHeight="1">
      <c r="A99" s="103"/>
      <c r="B99" s="103"/>
      <c r="C99" s="103"/>
      <c r="D99" s="110"/>
      <c r="E99" s="103"/>
      <c r="F99" s="103"/>
      <c r="G99" s="112"/>
      <c r="H99" s="29" t="s">
        <v>115</v>
      </c>
      <c r="I99" s="30" t="s">
        <v>116</v>
      </c>
      <c r="J99" s="103"/>
      <c r="K99" s="103"/>
      <c r="L99" s="103"/>
    </row>
    <row r="100" spans="1:12" ht="24" customHeight="1">
      <c r="A100" s="16"/>
      <c r="B100" s="15"/>
      <c r="C100" s="3"/>
      <c r="D100" s="3"/>
      <c r="E100" s="23"/>
      <c r="F100" s="23"/>
      <c r="G100" s="4"/>
      <c r="H100" s="5"/>
      <c r="I100" s="5"/>
      <c r="J100" s="51" t="s">
        <v>138</v>
      </c>
      <c r="K100" s="52">
        <f>SUM(K80)</f>
        <v>3300700</v>
      </c>
      <c r="L100" s="23"/>
    </row>
    <row r="101" spans="1:12" ht="24" customHeight="1">
      <c r="A101" s="24">
        <v>31</v>
      </c>
      <c r="B101" s="15" t="s">
        <v>108</v>
      </c>
      <c r="C101" s="99" t="s">
        <v>62</v>
      </c>
      <c r="D101" s="1" t="s">
        <v>63</v>
      </c>
      <c r="E101" s="4" t="s">
        <v>2</v>
      </c>
      <c r="F101" s="4">
        <v>24</v>
      </c>
      <c r="G101" s="4" t="s">
        <v>132</v>
      </c>
      <c r="H101" s="5">
        <v>3</v>
      </c>
      <c r="I101" s="5">
        <v>3</v>
      </c>
      <c r="J101" s="7">
        <v>12800</v>
      </c>
      <c r="K101" s="7">
        <f>SUM(I101*J101)</f>
        <v>38400</v>
      </c>
      <c r="L101" s="95" t="s">
        <v>190</v>
      </c>
    </row>
    <row r="102" spans="1:12" ht="24" customHeight="1">
      <c r="A102" s="16">
        <v>32</v>
      </c>
      <c r="B102" s="15" t="s">
        <v>108</v>
      </c>
      <c r="C102" s="99" t="s">
        <v>64</v>
      </c>
      <c r="D102" s="1" t="s">
        <v>98</v>
      </c>
      <c r="E102" s="4" t="s">
        <v>2</v>
      </c>
      <c r="F102" s="4">
        <v>24</v>
      </c>
      <c r="G102" s="4" t="s">
        <v>132</v>
      </c>
      <c r="H102" s="5">
        <v>5</v>
      </c>
      <c r="I102" s="5">
        <v>5</v>
      </c>
      <c r="J102" s="7">
        <v>8400</v>
      </c>
      <c r="K102" s="7">
        <f t="shared" ref="K102:K110" si="3">SUM(I102*J102)</f>
        <v>42000</v>
      </c>
      <c r="L102" s="95" t="s">
        <v>191</v>
      </c>
    </row>
    <row r="103" spans="1:12" ht="24" customHeight="1">
      <c r="A103" s="24">
        <v>33</v>
      </c>
      <c r="B103" s="15" t="s">
        <v>108</v>
      </c>
      <c r="C103" s="99" t="s">
        <v>65</v>
      </c>
      <c r="D103" s="1" t="s">
        <v>99</v>
      </c>
      <c r="E103" s="4" t="s">
        <v>2</v>
      </c>
      <c r="F103" s="4">
        <v>24</v>
      </c>
      <c r="G103" s="4" t="s">
        <v>132</v>
      </c>
      <c r="H103" s="5">
        <v>5</v>
      </c>
      <c r="I103" s="5">
        <v>5</v>
      </c>
      <c r="J103" s="7">
        <v>8400</v>
      </c>
      <c r="K103" s="7">
        <f t="shared" si="3"/>
        <v>42000</v>
      </c>
      <c r="L103" s="95" t="s">
        <v>191</v>
      </c>
    </row>
    <row r="104" spans="1:12" ht="24" customHeight="1">
      <c r="A104" s="16">
        <v>34</v>
      </c>
      <c r="B104" s="15" t="s">
        <v>108</v>
      </c>
      <c r="C104" s="3" t="s">
        <v>66</v>
      </c>
      <c r="D104" s="1" t="s">
        <v>67</v>
      </c>
      <c r="E104" s="23" t="s">
        <v>2</v>
      </c>
      <c r="F104" s="23">
        <v>24</v>
      </c>
      <c r="G104" s="23">
        <v>3</v>
      </c>
      <c r="H104" s="5">
        <v>3</v>
      </c>
      <c r="I104" s="5">
        <v>3</v>
      </c>
      <c r="J104" s="7">
        <v>36500</v>
      </c>
      <c r="K104" s="7">
        <f t="shared" si="3"/>
        <v>109500</v>
      </c>
      <c r="L104" s="94" t="s">
        <v>119</v>
      </c>
    </row>
    <row r="105" spans="1:12" ht="24" customHeight="1">
      <c r="A105" s="24">
        <v>35</v>
      </c>
      <c r="B105" s="23">
        <v>2541</v>
      </c>
      <c r="C105" s="3" t="s">
        <v>68</v>
      </c>
      <c r="D105" s="1" t="s">
        <v>69</v>
      </c>
      <c r="E105" s="23" t="s">
        <v>2</v>
      </c>
      <c r="F105" s="23">
        <v>23</v>
      </c>
      <c r="G105" s="4" t="s">
        <v>132</v>
      </c>
      <c r="H105" s="5">
        <v>1</v>
      </c>
      <c r="I105" s="5">
        <v>1</v>
      </c>
      <c r="J105" s="7">
        <v>29700</v>
      </c>
      <c r="K105" s="7">
        <f t="shared" si="3"/>
        <v>29700</v>
      </c>
      <c r="L105" s="95" t="s">
        <v>192</v>
      </c>
    </row>
    <row r="106" spans="1:12" ht="24" customHeight="1">
      <c r="A106" s="16">
        <v>36</v>
      </c>
      <c r="B106" s="23">
        <v>2541</v>
      </c>
      <c r="C106" s="3" t="s">
        <v>70</v>
      </c>
      <c r="D106" s="1" t="s">
        <v>71</v>
      </c>
      <c r="E106" s="23" t="s">
        <v>2</v>
      </c>
      <c r="F106" s="23">
        <v>23</v>
      </c>
      <c r="G106" s="4" t="s">
        <v>132</v>
      </c>
      <c r="H106" s="5">
        <v>1</v>
      </c>
      <c r="I106" s="5">
        <v>1</v>
      </c>
      <c r="J106" s="7">
        <v>49800</v>
      </c>
      <c r="K106" s="7">
        <f t="shared" si="3"/>
        <v>49800</v>
      </c>
      <c r="L106" s="101" t="s">
        <v>193</v>
      </c>
    </row>
    <row r="107" spans="1:12" ht="24" customHeight="1">
      <c r="A107" s="24">
        <v>37</v>
      </c>
      <c r="B107" s="23">
        <v>2544</v>
      </c>
      <c r="C107" s="3" t="s">
        <v>72</v>
      </c>
      <c r="D107" s="19" t="s">
        <v>73</v>
      </c>
      <c r="E107" s="23" t="s">
        <v>2</v>
      </c>
      <c r="F107" s="23">
        <v>20</v>
      </c>
      <c r="G107" s="4" t="s">
        <v>132</v>
      </c>
      <c r="H107" s="5">
        <v>1</v>
      </c>
      <c r="I107" s="5">
        <v>1</v>
      </c>
      <c r="J107" s="12">
        <v>50900</v>
      </c>
      <c r="K107" s="7">
        <f t="shared" si="3"/>
        <v>50900</v>
      </c>
      <c r="L107" s="94" t="s">
        <v>119</v>
      </c>
    </row>
    <row r="108" spans="1:12" ht="24" customHeight="1">
      <c r="A108" s="16">
        <v>38</v>
      </c>
      <c r="B108" s="23">
        <v>2544</v>
      </c>
      <c r="C108" s="3" t="s">
        <v>74</v>
      </c>
      <c r="D108" s="3" t="s">
        <v>75</v>
      </c>
      <c r="E108" s="23" t="s">
        <v>2</v>
      </c>
      <c r="F108" s="23">
        <v>20</v>
      </c>
      <c r="G108" s="4" t="s">
        <v>132</v>
      </c>
      <c r="H108" s="5">
        <v>1</v>
      </c>
      <c r="I108" s="5">
        <v>1</v>
      </c>
      <c r="J108" s="12">
        <v>68900</v>
      </c>
      <c r="K108" s="7">
        <f t="shared" si="3"/>
        <v>68900</v>
      </c>
      <c r="L108" s="95" t="s">
        <v>194</v>
      </c>
    </row>
    <row r="109" spans="1:12" ht="24" customHeight="1">
      <c r="A109" s="24">
        <v>39</v>
      </c>
      <c r="B109" s="23">
        <v>2544</v>
      </c>
      <c r="C109" s="3" t="s">
        <v>76</v>
      </c>
      <c r="D109" s="3" t="s">
        <v>77</v>
      </c>
      <c r="E109" s="23" t="s">
        <v>2</v>
      </c>
      <c r="F109" s="23">
        <v>20</v>
      </c>
      <c r="G109" s="4" t="s">
        <v>132</v>
      </c>
      <c r="H109" s="5">
        <v>1</v>
      </c>
      <c r="I109" s="5">
        <v>1</v>
      </c>
      <c r="J109" s="12">
        <v>880000</v>
      </c>
      <c r="K109" s="7">
        <f t="shared" si="3"/>
        <v>880000</v>
      </c>
      <c r="L109" s="101" t="s">
        <v>203</v>
      </c>
    </row>
    <row r="110" spans="1:12" ht="24" customHeight="1">
      <c r="A110" s="16">
        <v>40</v>
      </c>
      <c r="B110" s="8" t="s">
        <v>109</v>
      </c>
      <c r="C110" s="3" t="s">
        <v>78</v>
      </c>
      <c r="D110" s="3" t="s">
        <v>5</v>
      </c>
      <c r="E110" s="4" t="s">
        <v>2</v>
      </c>
      <c r="F110" s="4">
        <v>18</v>
      </c>
      <c r="G110" s="4" t="s">
        <v>132</v>
      </c>
      <c r="H110" s="5">
        <v>1</v>
      </c>
      <c r="I110" s="5">
        <v>1</v>
      </c>
      <c r="J110" s="12">
        <v>33000</v>
      </c>
      <c r="K110" s="7">
        <f t="shared" si="3"/>
        <v>33000</v>
      </c>
      <c r="L110" s="94" t="s">
        <v>196</v>
      </c>
    </row>
    <row r="111" spans="1:12" ht="24" customHeight="1" thickBot="1">
      <c r="A111" s="43"/>
      <c r="B111" s="66"/>
      <c r="C111" s="45"/>
      <c r="D111" s="45"/>
      <c r="E111" s="31"/>
      <c r="F111" s="31"/>
      <c r="G111" s="31"/>
      <c r="H111" s="46"/>
      <c r="I111" s="46"/>
      <c r="J111" s="49" t="s">
        <v>133</v>
      </c>
      <c r="K111" s="49">
        <f>SUM(K100:K110)</f>
        <v>4644900</v>
      </c>
      <c r="L111" s="67"/>
    </row>
    <row r="112" spans="1:12" ht="24" customHeight="1" thickTop="1">
      <c r="A112" s="40"/>
      <c r="B112" s="34" t="s">
        <v>123</v>
      </c>
      <c r="C112" s="25" t="s">
        <v>124</v>
      </c>
      <c r="D112" s="9"/>
      <c r="E112" s="28"/>
      <c r="F112" s="28"/>
      <c r="G112" s="28"/>
      <c r="H112" s="55"/>
      <c r="I112" s="55"/>
      <c r="J112" s="42"/>
      <c r="K112" s="42"/>
      <c r="L112" s="34"/>
    </row>
    <row r="113" spans="1:12" ht="24" customHeight="1">
      <c r="A113" s="40"/>
      <c r="B113" s="34"/>
      <c r="C113" s="25" t="s">
        <v>125</v>
      </c>
      <c r="D113" s="9"/>
      <c r="E113" s="28"/>
      <c r="F113" s="28"/>
      <c r="G113" s="28"/>
      <c r="H113" s="55"/>
      <c r="I113" s="55"/>
      <c r="J113" s="42"/>
      <c r="K113" s="42"/>
      <c r="L113" s="34"/>
    </row>
    <row r="114" spans="1:12" ht="24" customHeight="1">
      <c r="A114" s="40"/>
      <c r="B114" s="41"/>
      <c r="C114" s="47"/>
      <c r="D114" s="53"/>
      <c r="E114" s="28"/>
      <c r="F114" s="28"/>
      <c r="G114" s="90" t="s">
        <v>155</v>
      </c>
      <c r="H114" s="106" t="s">
        <v>156</v>
      </c>
      <c r="I114" s="106"/>
      <c r="J114" s="106"/>
      <c r="K114" s="48" t="s">
        <v>157</v>
      </c>
      <c r="L114" s="34"/>
    </row>
    <row r="115" spans="1:12" ht="24" customHeight="1">
      <c r="A115" s="40"/>
      <c r="B115" s="41"/>
      <c r="C115" s="47"/>
      <c r="D115" s="53"/>
      <c r="E115" s="28"/>
      <c r="F115" s="28"/>
      <c r="G115" s="48"/>
      <c r="H115" s="106" t="s">
        <v>158</v>
      </c>
      <c r="I115" s="106"/>
      <c r="J115" s="106"/>
      <c r="K115" s="48"/>
      <c r="L115" s="34"/>
    </row>
    <row r="116" spans="1:12" ht="36" customHeight="1">
      <c r="A116" s="40"/>
      <c r="B116" s="41"/>
      <c r="C116" s="47"/>
      <c r="D116" s="53"/>
      <c r="E116" s="28"/>
      <c r="F116" s="28"/>
      <c r="G116" s="90" t="s">
        <v>155</v>
      </c>
      <c r="H116" s="106" t="s">
        <v>156</v>
      </c>
      <c r="I116" s="106"/>
      <c r="J116" s="106"/>
      <c r="K116" s="48" t="s">
        <v>159</v>
      </c>
      <c r="L116" s="34"/>
    </row>
    <row r="117" spans="1:12" ht="24" customHeight="1">
      <c r="A117" s="40"/>
      <c r="B117" s="41"/>
      <c r="C117" s="47"/>
      <c r="D117" s="53"/>
      <c r="E117" s="28"/>
      <c r="F117" s="28"/>
      <c r="G117" s="48"/>
      <c r="H117" s="106" t="s">
        <v>161</v>
      </c>
      <c r="I117" s="106"/>
      <c r="J117" s="106"/>
      <c r="K117" s="48"/>
      <c r="L117" s="34"/>
    </row>
    <row r="118" spans="1:12" ht="33" customHeight="1">
      <c r="A118" s="40"/>
      <c r="B118" s="41"/>
      <c r="C118" s="47"/>
      <c r="D118" s="53"/>
      <c r="E118" s="28"/>
      <c r="F118" s="28"/>
      <c r="G118" s="90" t="s">
        <v>155</v>
      </c>
      <c r="H118" s="106" t="s">
        <v>156</v>
      </c>
      <c r="I118" s="106"/>
      <c r="J118" s="106"/>
      <c r="K118" s="47" t="s">
        <v>160</v>
      </c>
      <c r="L118" s="34"/>
    </row>
    <row r="119" spans="1:12" ht="24" customHeight="1">
      <c r="A119" s="40"/>
      <c r="B119" s="64"/>
      <c r="C119" s="47"/>
      <c r="D119" s="47"/>
      <c r="E119" s="28"/>
      <c r="F119" s="28"/>
      <c r="G119" s="47"/>
      <c r="H119" s="106" t="s">
        <v>162</v>
      </c>
      <c r="I119" s="106"/>
      <c r="J119" s="106"/>
      <c r="K119" s="47"/>
      <c r="L119" s="65"/>
    </row>
    <row r="120" spans="1:12" ht="24" customHeight="1">
      <c r="A120" s="40"/>
      <c r="B120" s="64"/>
      <c r="C120" s="47"/>
      <c r="D120" s="47"/>
      <c r="E120" s="28"/>
      <c r="F120" s="28"/>
      <c r="G120" s="47"/>
      <c r="H120" s="93"/>
      <c r="I120" s="93"/>
      <c r="J120" s="93"/>
      <c r="K120" s="47"/>
      <c r="L120" s="65"/>
    </row>
    <row r="121" spans="1:12" ht="24" customHeight="1">
      <c r="A121" s="40"/>
      <c r="B121" s="64"/>
      <c r="C121" s="47"/>
      <c r="D121" s="47"/>
      <c r="E121" s="28"/>
      <c r="F121" s="28"/>
      <c r="G121" s="47"/>
      <c r="H121" s="91"/>
      <c r="I121" s="91"/>
      <c r="J121" s="91"/>
      <c r="K121" s="47"/>
      <c r="L121" s="65"/>
    </row>
    <row r="122" spans="1:12" ht="24" customHeight="1">
      <c r="A122" s="40"/>
      <c r="B122" s="64"/>
      <c r="C122" s="47"/>
      <c r="D122" s="47"/>
      <c r="E122" s="28"/>
      <c r="F122" s="28"/>
      <c r="G122" s="47"/>
      <c r="H122" s="91"/>
      <c r="I122" s="91"/>
      <c r="J122" s="91"/>
      <c r="K122" s="47"/>
      <c r="L122" s="65"/>
    </row>
    <row r="123" spans="1:12" ht="24" customHeight="1">
      <c r="A123" s="40"/>
      <c r="B123" s="64"/>
      <c r="C123" s="47"/>
      <c r="D123" s="47"/>
      <c r="E123" s="28"/>
      <c r="F123" s="28"/>
      <c r="G123" s="47"/>
      <c r="H123" s="91"/>
      <c r="I123" s="91"/>
      <c r="J123" s="91"/>
      <c r="K123" s="47"/>
      <c r="L123" s="65"/>
    </row>
    <row r="124" spans="1:12" ht="24" customHeight="1">
      <c r="A124" s="40"/>
      <c r="B124" s="64"/>
      <c r="C124" s="47"/>
      <c r="D124" s="47"/>
      <c r="E124" s="28"/>
      <c r="F124" s="28"/>
      <c r="G124" s="47"/>
      <c r="H124" s="89"/>
      <c r="I124" s="89"/>
      <c r="J124" s="89"/>
      <c r="K124" s="47"/>
      <c r="L124" s="65"/>
    </row>
    <row r="125" spans="1:12" ht="24" customHeight="1">
      <c r="K125" s="108" t="s">
        <v>137</v>
      </c>
      <c r="L125" s="108"/>
    </row>
    <row r="126" spans="1:12" ht="24" customHeight="1">
      <c r="A126" s="107" t="s">
        <v>6</v>
      </c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</row>
    <row r="127" spans="1:12" ht="24" customHeight="1">
      <c r="A127" s="113" t="s">
        <v>117</v>
      </c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</row>
    <row r="128" spans="1:12" ht="24" customHeight="1">
      <c r="A128" s="115" t="s">
        <v>118</v>
      </c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</row>
    <row r="129" spans="1:12" ht="24" customHeight="1">
      <c r="A129" s="102" t="s">
        <v>105</v>
      </c>
      <c r="B129" s="102" t="s">
        <v>126</v>
      </c>
      <c r="C129" s="102" t="s">
        <v>128</v>
      </c>
      <c r="D129" s="109" t="s">
        <v>0</v>
      </c>
      <c r="E129" s="102" t="s">
        <v>111</v>
      </c>
      <c r="F129" s="102" t="s">
        <v>112</v>
      </c>
      <c r="G129" s="111" t="s">
        <v>113</v>
      </c>
      <c r="H129" s="104" t="s">
        <v>1</v>
      </c>
      <c r="I129" s="105"/>
      <c r="J129" s="102" t="s">
        <v>129</v>
      </c>
      <c r="K129" s="102" t="s">
        <v>106</v>
      </c>
      <c r="L129" s="102" t="s">
        <v>114</v>
      </c>
    </row>
    <row r="130" spans="1:12" ht="51.75" customHeight="1">
      <c r="A130" s="103"/>
      <c r="B130" s="103"/>
      <c r="C130" s="103"/>
      <c r="D130" s="110"/>
      <c r="E130" s="103"/>
      <c r="F130" s="103"/>
      <c r="G130" s="112"/>
      <c r="H130" s="29" t="s">
        <v>115</v>
      </c>
      <c r="I130" s="30" t="s">
        <v>116</v>
      </c>
      <c r="J130" s="103"/>
      <c r="K130" s="103"/>
      <c r="L130" s="103"/>
    </row>
    <row r="131" spans="1:12" ht="24" customHeight="1">
      <c r="A131" s="16"/>
      <c r="B131" s="15"/>
      <c r="C131" s="3"/>
      <c r="D131" s="3"/>
      <c r="E131" s="23"/>
      <c r="F131" s="23"/>
      <c r="G131" s="4"/>
      <c r="H131" s="5"/>
      <c r="I131" s="5"/>
      <c r="J131" s="51" t="s">
        <v>138</v>
      </c>
      <c r="K131" s="52">
        <f>SUM(K111)</f>
        <v>4644900</v>
      </c>
      <c r="L131" s="23"/>
    </row>
    <row r="132" spans="1:12" ht="24" customHeight="1">
      <c r="A132" s="24">
        <v>41</v>
      </c>
      <c r="B132" s="8" t="s">
        <v>109</v>
      </c>
      <c r="C132" s="3" t="s">
        <v>79</v>
      </c>
      <c r="D132" s="19" t="s">
        <v>80</v>
      </c>
      <c r="E132" s="4" t="s">
        <v>2</v>
      </c>
      <c r="F132" s="4">
        <v>18</v>
      </c>
      <c r="G132" s="4" t="s">
        <v>132</v>
      </c>
      <c r="H132" s="5">
        <v>1</v>
      </c>
      <c r="I132" s="5">
        <v>1</v>
      </c>
      <c r="J132" s="6">
        <v>234490</v>
      </c>
      <c r="K132" s="7">
        <f>SUM(I132*J132)</f>
        <v>234490</v>
      </c>
      <c r="L132" s="94" t="s">
        <v>197</v>
      </c>
    </row>
    <row r="133" spans="1:12" ht="24" customHeight="1">
      <c r="A133" s="16">
        <v>42</v>
      </c>
      <c r="B133" s="8" t="s">
        <v>109</v>
      </c>
      <c r="C133" s="3" t="s">
        <v>81</v>
      </c>
      <c r="D133" s="1" t="s">
        <v>82</v>
      </c>
      <c r="E133" s="4" t="s">
        <v>2</v>
      </c>
      <c r="F133" s="4">
        <v>18</v>
      </c>
      <c r="G133" s="4" t="s">
        <v>132</v>
      </c>
      <c r="H133" s="5">
        <v>1</v>
      </c>
      <c r="I133" s="5">
        <v>1</v>
      </c>
      <c r="J133" s="7">
        <v>45903</v>
      </c>
      <c r="K133" s="7">
        <f t="shared" ref="K133:K141" si="4">SUM(I133*J133)</f>
        <v>45903</v>
      </c>
      <c r="L133" s="95" t="s">
        <v>198</v>
      </c>
    </row>
    <row r="134" spans="1:12" ht="24" customHeight="1">
      <c r="A134" s="24">
        <v>43</v>
      </c>
      <c r="B134" s="8" t="s">
        <v>109</v>
      </c>
      <c r="C134" s="3" t="s">
        <v>83</v>
      </c>
      <c r="D134" s="1" t="s">
        <v>84</v>
      </c>
      <c r="E134" s="4" t="s">
        <v>2</v>
      </c>
      <c r="F134" s="4">
        <v>18</v>
      </c>
      <c r="G134" s="4" t="s">
        <v>132</v>
      </c>
      <c r="H134" s="5">
        <v>1</v>
      </c>
      <c r="I134" s="5">
        <v>1</v>
      </c>
      <c r="J134" s="7">
        <v>40000</v>
      </c>
      <c r="K134" s="7">
        <f t="shared" si="4"/>
        <v>40000</v>
      </c>
      <c r="L134" s="95" t="s">
        <v>199</v>
      </c>
    </row>
    <row r="135" spans="1:12" ht="24" customHeight="1">
      <c r="A135" s="16">
        <v>44</v>
      </c>
      <c r="B135" s="23">
        <v>2547</v>
      </c>
      <c r="C135" s="3" t="s">
        <v>85</v>
      </c>
      <c r="D135" s="1" t="s">
        <v>86</v>
      </c>
      <c r="E135" s="23" t="s">
        <v>2</v>
      </c>
      <c r="F135" s="23">
        <v>17</v>
      </c>
      <c r="G135" s="4" t="s">
        <v>132</v>
      </c>
      <c r="H135" s="5">
        <v>1</v>
      </c>
      <c r="I135" s="5">
        <v>1</v>
      </c>
      <c r="J135" s="7">
        <v>27300</v>
      </c>
      <c r="K135" s="7">
        <f t="shared" si="4"/>
        <v>27300</v>
      </c>
      <c r="L135" s="95" t="s">
        <v>122</v>
      </c>
    </row>
    <row r="136" spans="1:12" ht="24" customHeight="1">
      <c r="A136" s="24">
        <v>45</v>
      </c>
      <c r="B136" s="23">
        <v>2548</v>
      </c>
      <c r="C136" s="3" t="s">
        <v>87</v>
      </c>
      <c r="D136" s="1" t="s">
        <v>88</v>
      </c>
      <c r="E136" s="23" t="s">
        <v>3</v>
      </c>
      <c r="F136" s="23">
        <v>16</v>
      </c>
      <c r="G136" s="4" t="s">
        <v>132</v>
      </c>
      <c r="H136" s="5">
        <v>3</v>
      </c>
      <c r="I136" s="5">
        <v>3</v>
      </c>
      <c r="J136" s="7">
        <v>3478</v>
      </c>
      <c r="K136" s="7">
        <f t="shared" si="4"/>
        <v>10434</v>
      </c>
      <c r="L136" s="98" t="s">
        <v>120</v>
      </c>
    </row>
    <row r="137" spans="1:12" ht="24" customHeight="1">
      <c r="A137" s="16">
        <v>46</v>
      </c>
      <c r="B137" s="23">
        <v>2548</v>
      </c>
      <c r="C137" s="3" t="s">
        <v>89</v>
      </c>
      <c r="D137" s="1" t="s">
        <v>90</v>
      </c>
      <c r="E137" s="23" t="s">
        <v>3</v>
      </c>
      <c r="F137" s="23">
        <v>16</v>
      </c>
      <c r="G137" s="4" t="s">
        <v>132</v>
      </c>
      <c r="H137" s="5">
        <v>6</v>
      </c>
      <c r="I137" s="5">
        <v>6</v>
      </c>
      <c r="J137" s="7">
        <v>1175</v>
      </c>
      <c r="K137" s="7">
        <f t="shared" si="4"/>
        <v>7050</v>
      </c>
      <c r="L137" s="95" t="s">
        <v>195</v>
      </c>
    </row>
    <row r="138" spans="1:12" ht="24" customHeight="1">
      <c r="A138" s="24">
        <v>47</v>
      </c>
      <c r="B138" s="23">
        <v>2549</v>
      </c>
      <c r="C138" s="3" t="s">
        <v>91</v>
      </c>
      <c r="D138" s="20" t="s">
        <v>92</v>
      </c>
      <c r="E138" s="4" t="s">
        <v>100</v>
      </c>
      <c r="F138" s="4">
        <v>15</v>
      </c>
      <c r="G138" s="4" t="s">
        <v>132</v>
      </c>
      <c r="H138" s="5">
        <v>1</v>
      </c>
      <c r="I138" s="5">
        <v>1</v>
      </c>
      <c r="J138" s="7">
        <v>45000</v>
      </c>
      <c r="K138" s="7">
        <f t="shared" si="4"/>
        <v>45000</v>
      </c>
      <c r="L138" s="95" t="s">
        <v>200</v>
      </c>
    </row>
    <row r="139" spans="1:12" ht="24" customHeight="1">
      <c r="A139" s="16">
        <v>48</v>
      </c>
      <c r="B139" s="18" t="s">
        <v>110</v>
      </c>
      <c r="C139" s="3" t="s">
        <v>93</v>
      </c>
      <c r="D139" s="1" t="s">
        <v>94</v>
      </c>
      <c r="E139" s="4" t="s">
        <v>2</v>
      </c>
      <c r="F139" s="4">
        <v>13</v>
      </c>
      <c r="G139" s="4">
        <v>2</v>
      </c>
      <c r="H139" s="5">
        <v>1</v>
      </c>
      <c r="I139" s="5">
        <v>1</v>
      </c>
      <c r="J139" s="7">
        <v>59100</v>
      </c>
      <c r="K139" s="7">
        <f t="shared" si="4"/>
        <v>59100</v>
      </c>
      <c r="L139" s="95" t="s">
        <v>185</v>
      </c>
    </row>
    <row r="140" spans="1:12" ht="24" customHeight="1">
      <c r="A140" s="24">
        <v>49</v>
      </c>
      <c r="B140" s="13"/>
      <c r="C140" s="22"/>
      <c r="D140" s="14" t="s">
        <v>95</v>
      </c>
      <c r="E140" s="4" t="s">
        <v>2</v>
      </c>
      <c r="F140" s="4"/>
      <c r="G140" s="4" t="s">
        <v>132</v>
      </c>
      <c r="H140" s="21">
        <v>1</v>
      </c>
      <c r="I140" s="21">
        <v>1</v>
      </c>
      <c r="J140" s="11">
        <v>6200</v>
      </c>
      <c r="K140" s="7">
        <f t="shared" si="4"/>
        <v>6200</v>
      </c>
      <c r="L140" s="95" t="s">
        <v>204</v>
      </c>
    </row>
    <row r="141" spans="1:12" ht="24" customHeight="1">
      <c r="A141" s="16">
        <v>50</v>
      </c>
      <c r="B141" s="10"/>
      <c r="C141" s="22"/>
      <c r="D141" s="1" t="s">
        <v>96</v>
      </c>
      <c r="E141" s="23" t="s">
        <v>4</v>
      </c>
      <c r="F141" s="23"/>
      <c r="G141" s="4" t="s">
        <v>132</v>
      </c>
      <c r="H141" s="5">
        <v>2</v>
      </c>
      <c r="I141" s="5">
        <v>2</v>
      </c>
      <c r="J141" s="7">
        <v>16217.5</v>
      </c>
      <c r="K141" s="7">
        <f t="shared" si="4"/>
        <v>32435</v>
      </c>
      <c r="L141" s="95" t="s">
        <v>201</v>
      </c>
    </row>
    <row r="142" spans="1:12" ht="24" customHeight="1" thickBot="1">
      <c r="A142" s="68"/>
      <c r="B142" s="68"/>
      <c r="C142" s="68"/>
      <c r="D142" s="68"/>
      <c r="E142" s="68"/>
      <c r="F142" s="68"/>
      <c r="G142" s="68"/>
      <c r="H142" s="68"/>
      <c r="I142" s="68"/>
      <c r="J142" s="49" t="s">
        <v>133</v>
      </c>
      <c r="K142" s="33">
        <f>SUM(K131:K141)</f>
        <v>5152812</v>
      </c>
      <c r="L142" s="32"/>
    </row>
    <row r="143" spans="1:12" ht="24" customHeight="1" thickTop="1">
      <c r="A143" s="9"/>
      <c r="B143" s="34" t="s">
        <v>123</v>
      </c>
      <c r="C143" s="25" t="s">
        <v>124</v>
      </c>
      <c r="D143" s="9"/>
      <c r="E143" s="9"/>
      <c r="F143" s="9"/>
      <c r="G143" s="9"/>
      <c r="H143" s="28"/>
      <c r="I143" s="28"/>
      <c r="J143" s="9"/>
      <c r="K143" s="9"/>
      <c r="L143" s="34"/>
    </row>
    <row r="144" spans="1:12" ht="24" customHeight="1">
      <c r="A144" s="9"/>
      <c r="B144" s="34"/>
      <c r="C144" s="25" t="s">
        <v>125</v>
      </c>
      <c r="D144" s="9"/>
      <c r="E144" s="9"/>
      <c r="F144" s="9"/>
      <c r="G144" s="9"/>
      <c r="H144" s="28"/>
      <c r="I144" s="28"/>
      <c r="J144" s="9"/>
      <c r="K144" s="9"/>
      <c r="L144" s="34"/>
    </row>
    <row r="145" spans="1:12" ht="24" customHeight="1">
      <c r="A145" s="9"/>
      <c r="B145" s="34"/>
      <c r="C145" s="25"/>
      <c r="D145" s="9"/>
      <c r="E145" s="9"/>
      <c r="F145" s="9"/>
      <c r="G145" s="90" t="s">
        <v>155</v>
      </c>
      <c r="H145" s="106" t="s">
        <v>156</v>
      </c>
      <c r="I145" s="106"/>
      <c r="J145" s="106"/>
      <c r="K145" s="48" t="s">
        <v>157</v>
      </c>
      <c r="L145" s="34"/>
    </row>
    <row r="146" spans="1:12" ht="24" customHeight="1">
      <c r="A146" s="9"/>
      <c r="B146" s="34"/>
      <c r="C146" s="25"/>
      <c r="D146" s="9"/>
      <c r="E146" s="9"/>
      <c r="F146" s="9"/>
      <c r="G146" s="48"/>
      <c r="H146" s="106" t="s">
        <v>158</v>
      </c>
      <c r="I146" s="106"/>
      <c r="J146" s="106"/>
      <c r="K146" s="48"/>
      <c r="L146" s="34"/>
    </row>
    <row r="147" spans="1:12" ht="39.75" customHeight="1">
      <c r="G147" s="90" t="s">
        <v>155</v>
      </c>
      <c r="H147" s="106" t="s">
        <v>156</v>
      </c>
      <c r="I147" s="106"/>
      <c r="J147" s="106"/>
      <c r="K147" s="48" t="s">
        <v>159</v>
      </c>
      <c r="L147" s="34"/>
    </row>
    <row r="148" spans="1:12" ht="24" customHeight="1">
      <c r="G148" s="48"/>
      <c r="H148" s="106" t="s">
        <v>161</v>
      </c>
      <c r="I148" s="106"/>
      <c r="J148" s="106"/>
      <c r="K148" s="48"/>
      <c r="L148" s="34"/>
    </row>
    <row r="149" spans="1:12" ht="45" customHeight="1">
      <c r="G149" s="90" t="s">
        <v>155</v>
      </c>
      <c r="H149" s="106" t="s">
        <v>156</v>
      </c>
      <c r="I149" s="106"/>
      <c r="J149" s="106"/>
      <c r="K149" s="47" t="s">
        <v>160</v>
      </c>
      <c r="L149" s="34"/>
    </row>
    <row r="150" spans="1:12" ht="24" customHeight="1">
      <c r="G150" s="47"/>
      <c r="H150" s="106" t="s">
        <v>162</v>
      </c>
      <c r="I150" s="106"/>
      <c r="J150" s="106"/>
      <c r="K150" s="47"/>
      <c r="L150" s="65"/>
    </row>
    <row r="151" spans="1:12" ht="24" customHeight="1">
      <c r="B151" s="92"/>
      <c r="G151" s="47"/>
      <c r="H151" s="91"/>
      <c r="I151" s="91"/>
      <c r="J151" s="91"/>
      <c r="K151" s="47"/>
      <c r="L151" s="65"/>
    </row>
    <row r="152" spans="1:12" ht="24" customHeight="1">
      <c r="B152" s="92"/>
      <c r="G152" s="47"/>
      <c r="H152" s="91"/>
      <c r="I152" s="91"/>
      <c r="J152" s="91"/>
      <c r="K152" s="47"/>
      <c r="L152" s="65"/>
    </row>
    <row r="153" spans="1:12" ht="24" customHeight="1">
      <c r="G153" s="47"/>
      <c r="H153" s="89"/>
      <c r="I153" s="89"/>
      <c r="J153" s="89"/>
      <c r="K153" s="47"/>
      <c r="L153" s="65"/>
    </row>
    <row r="155" spans="1:12" ht="24" customHeight="1">
      <c r="K155" s="108" t="s">
        <v>139</v>
      </c>
      <c r="L155" s="108"/>
    </row>
    <row r="156" spans="1:12" ht="24" customHeight="1">
      <c r="A156" s="107" t="s">
        <v>6</v>
      </c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</row>
    <row r="157" spans="1:12" ht="24" customHeight="1">
      <c r="A157" s="113" t="s">
        <v>117</v>
      </c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</row>
    <row r="158" spans="1:12" ht="24" customHeight="1">
      <c r="A158" s="114" t="s">
        <v>154</v>
      </c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</row>
    <row r="159" spans="1:12" ht="24" customHeight="1">
      <c r="A159" s="102" t="s">
        <v>105</v>
      </c>
      <c r="B159" s="102" t="s">
        <v>126</v>
      </c>
      <c r="C159" s="102" t="s">
        <v>128</v>
      </c>
      <c r="D159" s="109" t="s">
        <v>0</v>
      </c>
      <c r="E159" s="102" t="s">
        <v>111</v>
      </c>
      <c r="F159" s="102" t="s">
        <v>112</v>
      </c>
      <c r="G159" s="111" t="s">
        <v>113</v>
      </c>
      <c r="H159" s="104" t="s">
        <v>1</v>
      </c>
      <c r="I159" s="105"/>
      <c r="J159" s="102" t="s">
        <v>129</v>
      </c>
      <c r="K159" s="102" t="s">
        <v>106</v>
      </c>
      <c r="L159" s="102" t="s">
        <v>114</v>
      </c>
    </row>
    <row r="160" spans="1:12" ht="50.25" customHeight="1">
      <c r="A160" s="103"/>
      <c r="B160" s="103"/>
      <c r="C160" s="103"/>
      <c r="D160" s="110"/>
      <c r="E160" s="103"/>
      <c r="F160" s="103"/>
      <c r="G160" s="112"/>
      <c r="H160" s="29" t="s">
        <v>115</v>
      </c>
      <c r="I160" s="30" t="s">
        <v>116</v>
      </c>
      <c r="J160" s="103"/>
      <c r="K160" s="103"/>
      <c r="L160" s="103"/>
    </row>
    <row r="161" spans="1:12" ht="24" customHeight="1">
      <c r="A161" s="56"/>
      <c r="B161" s="56"/>
      <c r="C161" s="56"/>
      <c r="D161" s="84"/>
      <c r="E161" s="56"/>
      <c r="F161" s="85"/>
      <c r="G161" s="57"/>
      <c r="H161" s="86"/>
      <c r="I161" s="30"/>
      <c r="J161" s="87" t="s">
        <v>138</v>
      </c>
      <c r="K161" s="88">
        <f>SUM(K142)</f>
        <v>5152812</v>
      </c>
      <c r="L161" s="56"/>
    </row>
    <row r="162" spans="1:12" ht="24" customHeight="1">
      <c r="A162" s="16">
        <v>51</v>
      </c>
      <c r="B162" s="8" t="s">
        <v>107</v>
      </c>
      <c r="C162" s="69" t="s">
        <v>140</v>
      </c>
      <c r="D162" s="70" t="s">
        <v>15</v>
      </c>
      <c r="E162" s="4" t="s">
        <v>2</v>
      </c>
      <c r="F162" s="71">
        <v>25</v>
      </c>
      <c r="G162" s="4" t="s">
        <v>132</v>
      </c>
      <c r="H162" s="71">
        <v>1</v>
      </c>
      <c r="I162" s="5">
        <v>1</v>
      </c>
      <c r="J162" s="72">
        <v>18500</v>
      </c>
      <c r="K162" s="73">
        <f>SUM(I162*J162)</f>
        <v>18500</v>
      </c>
      <c r="L162" s="94" t="s">
        <v>141</v>
      </c>
    </row>
    <row r="163" spans="1:12" ht="24" customHeight="1">
      <c r="A163" s="16">
        <v>52</v>
      </c>
      <c r="B163" s="8" t="s">
        <v>109</v>
      </c>
      <c r="C163" s="69" t="s">
        <v>142</v>
      </c>
      <c r="D163" s="70" t="s">
        <v>143</v>
      </c>
      <c r="E163" s="4" t="s">
        <v>2</v>
      </c>
      <c r="F163" s="71">
        <v>18</v>
      </c>
      <c r="G163" s="4" t="s">
        <v>132</v>
      </c>
      <c r="H163" s="71">
        <v>1</v>
      </c>
      <c r="I163" s="5">
        <v>1</v>
      </c>
      <c r="J163" s="72">
        <v>19795</v>
      </c>
      <c r="K163" s="73">
        <f t="shared" ref="K163:K166" si="5">SUM(I163*J163)</f>
        <v>19795</v>
      </c>
      <c r="L163" s="94" t="s">
        <v>144</v>
      </c>
    </row>
    <row r="164" spans="1:12" ht="24" customHeight="1">
      <c r="A164" s="16">
        <v>53</v>
      </c>
      <c r="B164" s="8" t="s">
        <v>145</v>
      </c>
      <c r="C164" s="74" t="s">
        <v>146</v>
      </c>
      <c r="D164" s="75" t="s">
        <v>147</v>
      </c>
      <c r="E164" s="4" t="s">
        <v>2</v>
      </c>
      <c r="F164" s="71">
        <v>11</v>
      </c>
      <c r="G164" s="4" t="s">
        <v>132</v>
      </c>
      <c r="H164" s="76">
        <v>2</v>
      </c>
      <c r="I164" s="5">
        <v>2</v>
      </c>
      <c r="J164" s="7">
        <v>15000</v>
      </c>
      <c r="K164" s="73">
        <f t="shared" si="5"/>
        <v>30000</v>
      </c>
      <c r="L164" s="94" t="s">
        <v>202</v>
      </c>
    </row>
    <row r="165" spans="1:12" ht="24" customHeight="1">
      <c r="A165" s="16">
        <v>54</v>
      </c>
      <c r="B165" s="8" t="s">
        <v>145</v>
      </c>
      <c r="C165" s="74" t="s">
        <v>148</v>
      </c>
      <c r="D165" s="75" t="s">
        <v>149</v>
      </c>
      <c r="E165" s="4" t="s">
        <v>2</v>
      </c>
      <c r="F165" s="71">
        <v>11</v>
      </c>
      <c r="G165" s="4" t="s">
        <v>132</v>
      </c>
      <c r="H165" s="76">
        <v>1</v>
      </c>
      <c r="I165" s="76">
        <v>1</v>
      </c>
      <c r="J165" s="7">
        <v>25000</v>
      </c>
      <c r="K165" s="73">
        <f t="shared" si="5"/>
        <v>25000</v>
      </c>
      <c r="L165" s="94" t="s">
        <v>150</v>
      </c>
    </row>
    <row r="166" spans="1:12" ht="24" customHeight="1">
      <c r="A166" s="16">
        <v>55</v>
      </c>
      <c r="B166" s="62" t="s">
        <v>145</v>
      </c>
      <c r="C166" s="77" t="s">
        <v>151</v>
      </c>
      <c r="D166" s="78" t="s">
        <v>152</v>
      </c>
      <c r="E166" s="63" t="s">
        <v>2</v>
      </c>
      <c r="F166" s="79">
        <v>11</v>
      </c>
      <c r="G166" s="4" t="s">
        <v>132</v>
      </c>
      <c r="H166" s="80">
        <v>1</v>
      </c>
      <c r="I166" s="38">
        <v>1</v>
      </c>
      <c r="J166" s="39">
        <v>4000</v>
      </c>
      <c r="K166" s="73">
        <f t="shared" si="5"/>
        <v>4000</v>
      </c>
      <c r="L166" s="97" t="s">
        <v>153</v>
      </c>
    </row>
    <row r="167" spans="1:12" ht="24" customHeight="1" thickBot="1">
      <c r="A167" s="59"/>
      <c r="B167" s="68"/>
      <c r="C167" s="68"/>
      <c r="D167" s="68"/>
      <c r="E167" s="68"/>
      <c r="F167" s="68"/>
      <c r="G167" s="68"/>
      <c r="H167" s="68"/>
      <c r="I167" s="68"/>
      <c r="J167" s="58" t="s">
        <v>127</v>
      </c>
      <c r="K167" s="81">
        <f>SUM(K161:K166)</f>
        <v>5250107</v>
      </c>
      <c r="L167" s="59"/>
    </row>
    <row r="168" spans="1:12" ht="24" customHeight="1" thickTop="1">
      <c r="A168" s="82"/>
      <c r="B168" s="34" t="s">
        <v>123</v>
      </c>
      <c r="C168" s="25" t="s">
        <v>124</v>
      </c>
      <c r="D168" s="9"/>
      <c r="E168" s="9"/>
      <c r="F168" s="9"/>
      <c r="G168" s="9"/>
      <c r="H168" s="28"/>
      <c r="I168" s="28"/>
      <c r="J168" s="9"/>
      <c r="K168" s="9"/>
      <c r="L168" s="2"/>
    </row>
    <row r="169" spans="1:12" ht="24" customHeight="1">
      <c r="A169" s="82"/>
      <c r="B169" s="34"/>
      <c r="C169" s="25" t="s">
        <v>125</v>
      </c>
      <c r="D169" s="9"/>
      <c r="E169" s="9"/>
      <c r="F169" s="9"/>
      <c r="G169" s="9"/>
      <c r="H169" s="28"/>
      <c r="I169" s="28"/>
      <c r="J169" s="9"/>
      <c r="K169" s="9"/>
      <c r="L169" s="2"/>
    </row>
    <row r="170" spans="1:12" ht="24" customHeight="1">
      <c r="A170" s="83"/>
      <c r="B170" s="34"/>
      <c r="C170" s="25"/>
      <c r="D170" s="9"/>
      <c r="E170" s="9"/>
      <c r="F170" s="9"/>
      <c r="G170" s="90" t="s">
        <v>155</v>
      </c>
      <c r="H170" s="106" t="s">
        <v>156</v>
      </c>
      <c r="I170" s="106"/>
      <c r="J170" s="106"/>
      <c r="K170" s="48" t="s">
        <v>157</v>
      </c>
      <c r="L170" s="34"/>
    </row>
    <row r="171" spans="1:12" ht="24" customHeight="1">
      <c r="A171" s="83"/>
      <c r="B171" s="34"/>
      <c r="C171" s="25"/>
      <c r="D171" s="9"/>
      <c r="E171" s="9"/>
      <c r="F171" s="9"/>
      <c r="G171" s="48"/>
      <c r="H171" s="106" t="s">
        <v>158</v>
      </c>
      <c r="I171" s="106"/>
      <c r="J171" s="106"/>
      <c r="K171" s="48"/>
      <c r="L171" s="34"/>
    </row>
    <row r="172" spans="1:12" ht="33" customHeight="1">
      <c r="A172" s="9"/>
      <c r="G172" s="90" t="s">
        <v>155</v>
      </c>
      <c r="H172" s="106" t="s">
        <v>156</v>
      </c>
      <c r="I172" s="106"/>
      <c r="J172" s="106"/>
      <c r="K172" s="48" t="s">
        <v>159</v>
      </c>
      <c r="L172" s="34"/>
    </row>
    <row r="173" spans="1:12" ht="24" customHeight="1">
      <c r="A173" s="9"/>
      <c r="G173" s="48"/>
      <c r="H173" s="106" t="s">
        <v>161</v>
      </c>
      <c r="I173" s="106"/>
      <c r="J173" s="106"/>
      <c r="K173" s="48"/>
      <c r="L173" s="34"/>
    </row>
    <row r="174" spans="1:12" ht="34.5" customHeight="1">
      <c r="A174" s="9"/>
      <c r="G174" s="90" t="s">
        <v>155</v>
      </c>
      <c r="H174" s="106" t="s">
        <v>156</v>
      </c>
      <c r="I174" s="106"/>
      <c r="J174" s="106"/>
      <c r="K174" s="47" t="s">
        <v>160</v>
      </c>
      <c r="L174" s="34"/>
    </row>
    <row r="175" spans="1:12" ht="24" customHeight="1">
      <c r="A175" s="9"/>
      <c r="G175" s="47"/>
      <c r="H175" s="106" t="s">
        <v>162</v>
      </c>
      <c r="I175" s="106"/>
      <c r="J175" s="106"/>
      <c r="K175" s="47"/>
      <c r="L175" s="65"/>
    </row>
  </sheetData>
  <mergeCells count="127">
    <mergeCell ref="K32:L32"/>
    <mergeCell ref="A33:L33"/>
    <mergeCell ref="A34:L34"/>
    <mergeCell ref="A35:L35"/>
    <mergeCell ref="A36:A37"/>
    <mergeCell ref="B36:B37"/>
    <mergeCell ref="L36:L37"/>
    <mergeCell ref="H53:J53"/>
    <mergeCell ref="C36:C37"/>
    <mergeCell ref="D36:D37"/>
    <mergeCell ref="E36:E37"/>
    <mergeCell ref="F36:F37"/>
    <mergeCell ref="K36:K37"/>
    <mergeCell ref="G36:G37"/>
    <mergeCell ref="H54:J54"/>
    <mergeCell ref="H55:J55"/>
    <mergeCell ref="H36:I36"/>
    <mergeCell ref="J36:J37"/>
    <mergeCell ref="K1:L1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  <mergeCell ref="A2:L2"/>
    <mergeCell ref="A3:L3"/>
    <mergeCell ref="A4:L4"/>
    <mergeCell ref="H22:J22"/>
    <mergeCell ref="H23:J23"/>
    <mergeCell ref="H24:J24"/>
    <mergeCell ref="H28:J28"/>
    <mergeCell ref="H21:J21"/>
    <mergeCell ref="G98:G99"/>
    <mergeCell ref="H98:I98"/>
    <mergeCell ref="L67:L68"/>
    <mergeCell ref="K63:L63"/>
    <mergeCell ref="A64:L64"/>
    <mergeCell ref="A65:L65"/>
    <mergeCell ref="A66:L66"/>
    <mergeCell ref="F67:F68"/>
    <mergeCell ref="G67:G68"/>
    <mergeCell ref="H67:I67"/>
    <mergeCell ref="J67:J68"/>
    <mergeCell ref="K67:K68"/>
    <mergeCell ref="A67:A68"/>
    <mergeCell ref="B67:B68"/>
    <mergeCell ref="C67:C68"/>
    <mergeCell ref="D67:D68"/>
    <mergeCell ref="E67:E68"/>
    <mergeCell ref="F159:F160"/>
    <mergeCell ref="G159:G160"/>
    <mergeCell ref="A127:L127"/>
    <mergeCell ref="A128:L128"/>
    <mergeCell ref="K129:K130"/>
    <mergeCell ref="L129:L130"/>
    <mergeCell ref="H84:J84"/>
    <mergeCell ref="H85:J85"/>
    <mergeCell ref="H86:J86"/>
    <mergeCell ref="K94:L94"/>
    <mergeCell ref="A95:L95"/>
    <mergeCell ref="H115:J115"/>
    <mergeCell ref="H116:J116"/>
    <mergeCell ref="H117:J117"/>
    <mergeCell ref="K125:L125"/>
    <mergeCell ref="A126:L126"/>
    <mergeCell ref="A96:L96"/>
    <mergeCell ref="A97:L97"/>
    <mergeCell ref="A98:A99"/>
    <mergeCell ref="B98:B99"/>
    <mergeCell ref="C98:C99"/>
    <mergeCell ref="D98:D99"/>
    <mergeCell ref="E98:E99"/>
    <mergeCell ref="F98:F99"/>
    <mergeCell ref="H175:J175"/>
    <mergeCell ref="H25:J25"/>
    <mergeCell ref="H52:J52"/>
    <mergeCell ref="H56:J56"/>
    <mergeCell ref="H57:J57"/>
    <mergeCell ref="H83:J83"/>
    <mergeCell ref="H87:J87"/>
    <mergeCell ref="H88:J88"/>
    <mergeCell ref="H114:J114"/>
    <mergeCell ref="H118:J118"/>
    <mergeCell ref="H172:J172"/>
    <mergeCell ref="H173:J173"/>
    <mergeCell ref="H171:J171"/>
    <mergeCell ref="A157:L157"/>
    <mergeCell ref="A158:L158"/>
    <mergeCell ref="A159:A160"/>
    <mergeCell ref="B159:B160"/>
    <mergeCell ref="J98:J99"/>
    <mergeCell ref="K98:K99"/>
    <mergeCell ref="L98:L99"/>
    <mergeCell ref="H119:J119"/>
    <mergeCell ref="K159:K160"/>
    <mergeCell ref="L159:L160"/>
    <mergeCell ref="H146:J146"/>
    <mergeCell ref="C159:C160"/>
    <mergeCell ref="A129:A130"/>
    <mergeCell ref="H159:I159"/>
    <mergeCell ref="J159:J160"/>
    <mergeCell ref="H145:J145"/>
    <mergeCell ref="H149:J149"/>
    <mergeCell ref="H20:J20"/>
    <mergeCell ref="H170:J170"/>
    <mergeCell ref="H174:J174"/>
    <mergeCell ref="H147:J147"/>
    <mergeCell ref="H148:J148"/>
    <mergeCell ref="A156:L156"/>
    <mergeCell ref="K155:L155"/>
    <mergeCell ref="D159:D160"/>
    <mergeCell ref="E159:E160"/>
    <mergeCell ref="H150:J150"/>
    <mergeCell ref="B129:B130"/>
    <mergeCell ref="C129:C130"/>
    <mergeCell ref="D129:D130"/>
    <mergeCell ref="E129:E130"/>
    <mergeCell ref="F129:F130"/>
    <mergeCell ref="G129:G130"/>
    <mergeCell ref="H129:I129"/>
    <mergeCell ref="J129:J130"/>
  </mergeCells>
  <printOptions horizontalCentered="1"/>
  <pageMargins left="0.19685039370078741" right="0.19685039370078741" top="0.19685039370078741" bottom="0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แผนกวิชาช่างยนต์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2022-03-09T07:24:57Z</cp:lastPrinted>
  <dcterms:created xsi:type="dcterms:W3CDTF">2017-11-14T01:32:33Z</dcterms:created>
  <dcterms:modified xsi:type="dcterms:W3CDTF">2022-10-19T04:30:07Z</dcterms:modified>
</cp:coreProperties>
</file>