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3. ฝ่ายวิชาการ\"/>
    </mc:Choice>
  </mc:AlternateContent>
  <xr:revisionPtr revIDLastSave="0" documentId="13_ncr:1_{AB5EE7B3-0A74-4F65-8365-C3EFEA9F0E0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ฒนาหลักสูตร" sheetId="46" r:id="rId1"/>
  </sheets>
  <definedNames>
    <definedName name="_xlnm.Print_Titles" localSheetId="0">งานพัฒนาหลักสูตร!$2:$5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46" l="1"/>
  <c r="K8" i="46"/>
  <c r="K9" i="46"/>
  <c r="K10" i="46"/>
  <c r="K11" i="46"/>
  <c r="K12" i="46"/>
  <c r="K13" i="46"/>
  <c r="K14" i="46"/>
  <c r="K15" i="46"/>
  <c r="K16" i="46"/>
  <c r="K7" i="46"/>
</calcChain>
</file>

<file path=xl/sharedStrings.xml><?xml version="1.0" encoding="utf-8"?>
<sst xmlns="http://schemas.openxmlformats.org/spreadsheetml/2006/main" count="76" uniqueCount="56">
  <si>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</si>
  <si>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</si>
  <si>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</si>
  <si>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</si>
  <si>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</si>
  <si>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</si>
  <si>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</si>
  <si>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</si>
  <si>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</si>
  <si>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</si>
  <si>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</si>
  <si>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</si>
  <si>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</si>
  <si>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</si>
  <si>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</si>
  <si>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</si>
  <si>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</si>
  <si>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</si>
  <si>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</si>
  <si>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</si>
  <si>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</si>
  <si>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ชุดคอมพิวเตอร์</t>
  </si>
  <si>
    <t>บกศ.</t>
  </si>
  <si>
    <t>งปม.</t>
  </si>
  <si>
    <t>เครื่องคอมพิวเตอร์พร้อมโต๊ะเก้าอี้</t>
  </si>
  <si>
    <t xml:space="preserve"> ลงชื่อ...................................................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</si>
  <si>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</si>
  <si>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(นายไกรศร  ผิวผัน)</t>
  </si>
  <si>
    <t>2539</t>
  </si>
  <si>
    <t>4140-001-0001/391-003</t>
  </si>
  <si>
    <t>พัดลมตั้งโต๊ะ 16" ฮาตาริ</t>
  </si>
  <si>
    <t>7110-002-0006/401-002-003</t>
  </si>
  <si>
    <t>ตู้เหล็ก 2 บานเลื่อน PRERIDDENT</t>
  </si>
  <si>
    <t>4140-001-0001/442-007-008</t>
  </si>
  <si>
    <t>พัดลมตั้งพื้น 16" โตซิบ้า</t>
  </si>
  <si>
    <t>7440-001-0001/462-005</t>
  </si>
  <si>
    <t>7110-002-0006/472-059-060</t>
  </si>
  <si>
    <t>ตู้เหล็ก 2 บานเลื่อนไทโย</t>
  </si>
  <si>
    <t>6720-005-0002/472-004</t>
  </si>
  <si>
    <t>กล้องดิจิตอล</t>
  </si>
  <si>
    <t>7110-002-0007/492-007</t>
  </si>
  <si>
    <t>ตู้บานเลื่อนทึบ 4 ฟุต</t>
  </si>
  <si>
    <t>7110-002-0005/492-010</t>
  </si>
  <si>
    <t>ตู้เหล็ก 2 บานเปิด</t>
  </si>
  <si>
    <t>7110-001-0003/512-003</t>
  </si>
  <si>
    <t>โต๊ะเหล็ก 5 ฟุต TC-3060 BESTER</t>
  </si>
  <si>
    <t>2553</t>
  </si>
  <si>
    <t>7440-001-0001/531-149</t>
  </si>
  <si>
    <t>ประจำปี 2564 สิ้นงวดเมื่อวันที่ 30 กันยายน 2564 ของงานพัฒนาหลักสูตรการเรียนการสอน</t>
  </si>
  <si>
    <t>มอเตอร์ไหม้</t>
  </si>
  <si>
    <t>สนิมเกาะประตูชำรุด</t>
  </si>
  <si>
    <t>เมนบอร์ดชำรุด</t>
  </si>
  <si>
    <t>เลนส์รับภาพแตก</t>
  </si>
  <si>
    <t>ประตูชำรุด</t>
  </si>
  <si>
    <t>ขาหัก สนิมเกาะ</t>
  </si>
  <si>
    <t>CPU ไหม้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</si>
</sst>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1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1" xfId="6" applyFont="1" applyBorder="1" applyAlignment="1">
      <alignment horizontal="left" vertical="center"/>
    </xf>
    <xf numFmtId="0" fontId="4" fillId="0" borderId="1" xfId="6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43" fontId="4" fillId="0" borderId="1" xfId="1" applyFont="1" applyBorder="1" applyAlignment="1">
      <alignment vertical="center"/>
    </xf>
    <xf numFmtId="43" fontId="4" fillId="0" borderId="1" xfId="1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 vertical="center"/>
    </xf>
    <xf numFmtId="0" fontId="2" fillId="0" borderId="1" xfId="6" applyFont="1" applyBorder="1" applyAlignment="1">
      <alignment horizontal="left" vertical="center"/>
    </xf>
    <xf numFmtId="49" fontId="4" fillId="0" borderId="1" xfId="13" applyNumberFormat="1" applyFont="1" applyBorder="1" applyAlignment="1">
      <alignment horizontal="center" vertical="center"/>
    </xf>
    <xf numFmtId="43" fontId="4" fillId="0" borderId="1" xfId="12" applyFont="1" applyBorder="1" applyAlignment="1">
      <alignment horizontal="center" vertical="center"/>
    </xf>
    <xf numFmtId="15" fontId="5" fillId="0" borderId="6" xfId="0" applyNumberFormat="1" applyFont="1" applyBorder="1" applyAlignment="1">
      <alignment horizontal="center" vertical="center"/>
    </xf>
    <xf numFmtId="0" fontId="4" fillId="2" borderId="6" xfId="6" applyFont="1" applyFill="1" applyBorder="1" applyAlignment="1">
      <alignment horizontal="left" vertical="center"/>
    </xf>
    <xf numFmtId="0" fontId="4" fillId="0" borderId="6" xfId="6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43" fontId="4" fillId="0" borderId="6" xfId="1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43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43" fontId="4" fillId="0" borderId="1" xfId="12" applyNumberFormat="1" applyFont="1" applyBorder="1" applyAlignment="1">
      <alignment horizontal="left" vertical="center"/>
    </xf>
    <xf numFmtId="43" fontId="7" fillId="0" borderId="7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1028699</xdr:colOff>
      <xdr:row>21</xdr:row>
      <xdr:rowOff>200025</xdr:rowOff>
    </xdr:from>
    <xdr:to>
      <xdr:col>11</xdr:col>
      <xdr:colOff>1362074</xdr:colOff>
      <xdr:row>27</xdr:row>
      <xdr:rowOff>95250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67999" y="6515100"/>
          <a:ext cx="14382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4" zoomScaleNormal="100" workbookViewId="0">
      <selection activeCell="K15" sqref="K15"/>
    </sheetView>
  </sheetViews>
  <sheetFormatPr defaultColWidth="9" defaultRowHeight="24" x14ac:dyDescent="0.2"/>
  <cols>
    <col min="1" max="1" width="5.25" style="2" customWidth="1"/>
    <col min="2" max="2" width="12" style="3" customWidth="1"/>
    <col min="3" max="3" width="33.375" style="4" customWidth="1"/>
    <col min="4" max="4" width="40.75" style="2" customWidth="1"/>
    <col min="5" max="5" width="7.625" style="2" customWidth="1"/>
    <col min="6" max="6" width="8.625" style="2" customWidth="1"/>
    <col min="7" max="7" width="6.625" style="2" customWidth="1"/>
    <col min="8" max="9" width="7.625" style="2" customWidth="1"/>
    <col min="10" max="10" width="11.75" style="2" customWidth="1"/>
    <col min="11" max="11" width="11.875" style="2" customWidth="1"/>
    <col min="12" max="12" width="23.125" style="3" customWidth="1"/>
    <col min="13" max="16384" width="9" style="2"/>
  </cols>
  <sheetData>
    <row r="1" spans="1:12" ht="21" customHeight="1" x14ac:dyDescent="0.2">
      <c r="L1" s="5" t="s">
        <v>20</v>
      </c>
    </row>
    <row r="2" spans="1:12" ht="21" customHeight="1" x14ac:dyDescent="0.2">
      <c r="A2" s="46" t="s">
        <v>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21" customHeight="1" x14ac:dyDescent="0.2">
      <c r="A3" s="47" t="s">
        <v>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ht="21" customHeight="1" x14ac:dyDescent="0.2">
      <c r="A4" s="48" t="s">
        <v>48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21" customHeight="1" x14ac:dyDescent="0.2">
      <c r="A5" s="41" t="s">
        <v>8</v>
      </c>
      <c r="B5" s="41" t="s">
        <v>19</v>
      </c>
      <c r="C5" s="41" t="s">
        <v>16</v>
      </c>
      <c r="D5" s="49" t="s">
        <v>0</v>
      </c>
      <c r="E5" s="41" t="s">
        <v>11</v>
      </c>
      <c r="F5" s="41" t="s">
        <v>10</v>
      </c>
      <c r="G5" s="41" t="s">
        <v>12</v>
      </c>
      <c r="H5" s="39" t="s">
        <v>1</v>
      </c>
      <c r="I5" s="40"/>
      <c r="J5" s="41" t="s">
        <v>15</v>
      </c>
      <c r="K5" s="41" t="s">
        <v>9</v>
      </c>
      <c r="L5" s="41" t="s">
        <v>14</v>
      </c>
    </row>
    <row r="6" spans="1:12" ht="45" customHeight="1" x14ac:dyDescent="0.2">
      <c r="A6" s="42"/>
      <c r="B6" s="42"/>
      <c r="C6" s="42"/>
      <c r="D6" s="50"/>
      <c r="E6" s="42"/>
      <c r="F6" s="42"/>
      <c r="G6" s="42"/>
      <c r="H6" s="6" t="s">
        <v>13</v>
      </c>
      <c r="I6" s="7" t="s">
        <v>3</v>
      </c>
      <c r="J6" s="42"/>
      <c r="K6" s="42"/>
      <c r="L6" s="42"/>
    </row>
    <row r="7" spans="1:12" ht="20.45" customHeight="1" x14ac:dyDescent="0.2">
      <c r="A7" s="1">
        <v>1</v>
      </c>
      <c r="B7" s="8" t="s">
        <v>28</v>
      </c>
      <c r="C7" s="9" t="s">
        <v>29</v>
      </c>
      <c r="D7" s="10" t="s">
        <v>30</v>
      </c>
      <c r="E7" s="11" t="s">
        <v>23</v>
      </c>
      <c r="F7" s="11">
        <v>25</v>
      </c>
      <c r="G7" s="11" t="s">
        <v>26</v>
      </c>
      <c r="H7" s="11">
        <v>1</v>
      </c>
      <c r="I7" s="11">
        <v>1</v>
      </c>
      <c r="J7" s="13">
        <v>900</v>
      </c>
      <c r="K7" s="13">
        <f>SUM(I7*J7)</f>
        <v>900</v>
      </c>
      <c r="L7" s="36" t="s">
        <v>49</v>
      </c>
    </row>
    <row r="8" spans="1:12" ht="20.45" customHeight="1" x14ac:dyDescent="0.2">
      <c r="A8" s="1">
        <v>2</v>
      </c>
      <c r="B8" s="15">
        <v>2540</v>
      </c>
      <c r="C8" s="9" t="s">
        <v>31</v>
      </c>
      <c r="D8" s="10" t="s">
        <v>32</v>
      </c>
      <c r="E8" s="11" t="s">
        <v>23</v>
      </c>
      <c r="F8" s="11">
        <v>14</v>
      </c>
      <c r="G8" s="11" t="s">
        <v>26</v>
      </c>
      <c r="H8" s="11">
        <v>2</v>
      </c>
      <c r="I8" s="11">
        <v>2</v>
      </c>
      <c r="J8" s="13">
        <v>2250</v>
      </c>
      <c r="K8" s="13">
        <f t="shared" ref="K8:K16" si="0">SUM(I8*J8)</f>
        <v>4500</v>
      </c>
      <c r="L8" s="36" t="s">
        <v>50</v>
      </c>
    </row>
    <row r="9" spans="1:12" ht="20.45" customHeight="1" x14ac:dyDescent="0.2">
      <c r="A9" s="1">
        <v>3</v>
      </c>
      <c r="B9" s="15">
        <v>2544</v>
      </c>
      <c r="C9" s="9" t="s">
        <v>33</v>
      </c>
      <c r="D9" s="10" t="s">
        <v>34</v>
      </c>
      <c r="E9" s="11" t="s">
        <v>22</v>
      </c>
      <c r="F9" s="11">
        <v>20</v>
      </c>
      <c r="G9" s="11" t="s">
        <v>26</v>
      </c>
      <c r="H9" s="11">
        <v>2</v>
      </c>
      <c r="I9" s="11">
        <v>2</v>
      </c>
      <c r="J9" s="13">
        <v>1650</v>
      </c>
      <c r="K9" s="13">
        <f t="shared" si="0"/>
        <v>3300</v>
      </c>
      <c r="L9" s="36" t="s">
        <v>49</v>
      </c>
    </row>
    <row r="10" spans="1:12" ht="20.45" customHeight="1" x14ac:dyDescent="0.2">
      <c r="A10" s="1">
        <v>4</v>
      </c>
      <c r="B10" s="15">
        <v>2546</v>
      </c>
      <c r="C10" s="9" t="s">
        <v>35</v>
      </c>
      <c r="D10" s="10" t="s">
        <v>21</v>
      </c>
      <c r="E10" s="11" t="s">
        <v>22</v>
      </c>
      <c r="F10" s="11">
        <v>18</v>
      </c>
      <c r="G10" s="11" t="s">
        <v>26</v>
      </c>
      <c r="H10" s="11">
        <v>1</v>
      </c>
      <c r="I10" s="11">
        <v>1</v>
      </c>
      <c r="J10" s="13">
        <v>33000</v>
      </c>
      <c r="K10" s="13">
        <f t="shared" si="0"/>
        <v>33000</v>
      </c>
      <c r="L10" s="36" t="s">
        <v>51</v>
      </c>
    </row>
    <row r="11" spans="1:12" ht="20.45" customHeight="1" x14ac:dyDescent="0.2">
      <c r="A11" s="1">
        <v>5</v>
      </c>
      <c r="B11" s="15">
        <v>2547</v>
      </c>
      <c r="C11" s="9" t="s">
        <v>36</v>
      </c>
      <c r="D11" s="10" t="s">
        <v>37</v>
      </c>
      <c r="E11" s="11" t="s">
        <v>22</v>
      </c>
      <c r="F11" s="11">
        <v>17</v>
      </c>
      <c r="G11" s="11" t="s">
        <v>26</v>
      </c>
      <c r="H11" s="11">
        <v>1</v>
      </c>
      <c r="I11" s="11">
        <v>1</v>
      </c>
      <c r="J11" s="13">
        <v>2900</v>
      </c>
      <c r="K11" s="13">
        <f t="shared" si="0"/>
        <v>2900</v>
      </c>
      <c r="L11" s="36" t="s">
        <v>50</v>
      </c>
    </row>
    <row r="12" spans="1:12" ht="20.45" customHeight="1" x14ac:dyDescent="0.2">
      <c r="A12" s="1">
        <v>6</v>
      </c>
      <c r="B12" s="15">
        <v>2547</v>
      </c>
      <c r="C12" s="9" t="s">
        <v>38</v>
      </c>
      <c r="D12" s="10" t="s">
        <v>39</v>
      </c>
      <c r="E12" s="11" t="s">
        <v>22</v>
      </c>
      <c r="F12" s="11">
        <v>17</v>
      </c>
      <c r="G12" s="11" t="s">
        <v>26</v>
      </c>
      <c r="H12" s="11">
        <v>1</v>
      </c>
      <c r="I12" s="11">
        <v>1</v>
      </c>
      <c r="J12" s="13">
        <v>6900</v>
      </c>
      <c r="K12" s="13">
        <f t="shared" si="0"/>
        <v>6900</v>
      </c>
      <c r="L12" s="36" t="s">
        <v>52</v>
      </c>
    </row>
    <row r="13" spans="1:12" ht="20.45" customHeight="1" x14ac:dyDescent="0.2">
      <c r="A13" s="1">
        <v>7</v>
      </c>
      <c r="B13" s="15">
        <v>2549</v>
      </c>
      <c r="C13" s="9" t="s">
        <v>40</v>
      </c>
      <c r="D13" s="10" t="s">
        <v>41</v>
      </c>
      <c r="E13" s="11" t="s">
        <v>22</v>
      </c>
      <c r="F13" s="11">
        <v>15</v>
      </c>
      <c r="G13" s="11" t="s">
        <v>26</v>
      </c>
      <c r="H13" s="11">
        <v>1</v>
      </c>
      <c r="I13" s="11">
        <v>1</v>
      </c>
      <c r="J13" s="13">
        <v>2650</v>
      </c>
      <c r="K13" s="13">
        <f t="shared" si="0"/>
        <v>2650</v>
      </c>
      <c r="L13" s="36" t="s">
        <v>50</v>
      </c>
    </row>
    <row r="14" spans="1:12" ht="20.45" customHeight="1" x14ac:dyDescent="0.2">
      <c r="A14" s="1">
        <v>8</v>
      </c>
      <c r="B14" s="15">
        <v>2549</v>
      </c>
      <c r="C14" s="9" t="s">
        <v>42</v>
      </c>
      <c r="D14" s="10" t="s">
        <v>43</v>
      </c>
      <c r="E14" s="11" t="s">
        <v>22</v>
      </c>
      <c r="F14" s="11">
        <v>15</v>
      </c>
      <c r="G14" s="11" t="s">
        <v>26</v>
      </c>
      <c r="H14" s="11">
        <v>1</v>
      </c>
      <c r="I14" s="11">
        <v>1</v>
      </c>
      <c r="J14" s="13">
        <v>3000</v>
      </c>
      <c r="K14" s="13">
        <f t="shared" si="0"/>
        <v>3000</v>
      </c>
      <c r="L14" s="36" t="s">
        <v>53</v>
      </c>
    </row>
    <row r="15" spans="1:12" ht="20.45" customHeight="1" x14ac:dyDescent="0.2">
      <c r="A15" s="1">
        <v>9</v>
      </c>
      <c r="B15" s="15">
        <v>2551</v>
      </c>
      <c r="C15" s="9" t="s">
        <v>44</v>
      </c>
      <c r="D15" s="10" t="s">
        <v>45</v>
      </c>
      <c r="E15" s="11" t="s">
        <v>22</v>
      </c>
      <c r="F15" s="11">
        <v>13</v>
      </c>
      <c r="G15" s="11" t="s">
        <v>26</v>
      </c>
      <c r="H15" s="11">
        <v>1</v>
      </c>
      <c r="I15" s="11">
        <v>1</v>
      </c>
      <c r="J15" s="13">
        <v>5684.5</v>
      </c>
      <c r="K15" s="13">
        <f t="shared" si="0"/>
        <v>5684.5</v>
      </c>
      <c r="L15" s="36" t="s">
        <v>54</v>
      </c>
    </row>
    <row r="16" spans="1:12" ht="20.45" customHeight="1" x14ac:dyDescent="0.2">
      <c r="A16" s="1">
        <v>10</v>
      </c>
      <c r="B16" s="16" t="s">
        <v>46</v>
      </c>
      <c r="C16" s="9" t="s">
        <v>47</v>
      </c>
      <c r="D16" s="10" t="s">
        <v>24</v>
      </c>
      <c r="E16" s="11" t="s">
        <v>23</v>
      </c>
      <c r="F16" s="11">
        <v>11</v>
      </c>
      <c r="G16" s="11" t="s">
        <v>26</v>
      </c>
      <c r="H16" s="11">
        <v>1</v>
      </c>
      <c r="I16" s="11">
        <v>1</v>
      </c>
      <c r="J16" s="13">
        <v>17000</v>
      </c>
      <c r="K16" s="13">
        <f t="shared" si="0"/>
        <v>17000</v>
      </c>
      <c r="L16" s="36" t="s">
        <v>55</v>
      </c>
    </row>
    <row r="17" spans="1:12" ht="20.45" customHeight="1" x14ac:dyDescent="0.2">
      <c r="A17" s="1"/>
      <c r="B17" s="17"/>
      <c r="C17" s="9"/>
      <c r="D17" s="18"/>
      <c r="E17" s="11"/>
      <c r="F17" s="11"/>
      <c r="G17" s="11"/>
      <c r="H17" s="11"/>
      <c r="I17" s="12"/>
      <c r="J17" s="13"/>
      <c r="K17" s="13"/>
      <c r="L17" s="7"/>
    </row>
    <row r="18" spans="1:12" ht="20.45" customHeight="1" x14ac:dyDescent="0.2">
      <c r="A18" s="1"/>
      <c r="B18" s="16"/>
      <c r="C18" s="9"/>
      <c r="D18" s="10"/>
      <c r="E18" s="11"/>
      <c r="F18" s="11"/>
      <c r="G18" s="11"/>
      <c r="H18" s="11"/>
      <c r="I18" s="12"/>
      <c r="J18" s="13"/>
      <c r="K18" s="13"/>
      <c r="L18" s="14"/>
    </row>
    <row r="19" spans="1:12" ht="20.45" customHeight="1" x14ac:dyDescent="0.2">
      <c r="A19" s="1"/>
      <c r="B19" s="19"/>
      <c r="C19" s="9"/>
      <c r="D19" s="10"/>
      <c r="E19" s="11"/>
      <c r="F19" s="11"/>
      <c r="G19" s="11"/>
      <c r="H19" s="11"/>
      <c r="I19" s="12"/>
      <c r="J19" s="13"/>
      <c r="K19" s="13"/>
      <c r="L19" s="20"/>
    </row>
    <row r="20" spans="1:12" ht="20.45" customHeight="1" thickBot="1" x14ac:dyDescent="0.25">
      <c r="A20" s="1"/>
      <c r="B20" s="21"/>
      <c r="C20" s="22"/>
      <c r="D20" s="23"/>
      <c r="E20" s="24"/>
      <c r="F20" s="24"/>
      <c r="G20" s="11"/>
      <c r="H20" s="24"/>
      <c r="I20" s="25"/>
      <c r="J20" s="26"/>
      <c r="K20" s="26"/>
      <c r="L20" s="27"/>
    </row>
    <row r="21" spans="1:12" ht="20.45" customHeight="1" thickBot="1" x14ac:dyDescent="0.25">
      <c r="A21" s="43" t="s">
        <v>5</v>
      </c>
      <c r="B21" s="44"/>
      <c r="C21" s="44"/>
      <c r="D21" s="44"/>
      <c r="E21" s="44"/>
      <c r="F21" s="44"/>
      <c r="G21" s="44"/>
      <c r="H21" s="44"/>
      <c r="I21" s="44"/>
      <c r="J21" s="45"/>
      <c r="K21" s="37">
        <f>SUM(K7:K16)</f>
        <v>79834.5</v>
      </c>
      <c r="L21" s="28"/>
    </row>
    <row r="22" spans="1:12" ht="20.45" customHeight="1" thickTop="1" x14ac:dyDescent="0.2">
      <c r="A22" s="29"/>
      <c r="B22" s="29"/>
      <c r="C22" s="29"/>
      <c r="D22" s="29"/>
      <c r="E22" s="29"/>
      <c r="F22" s="29"/>
      <c r="G22" s="29"/>
      <c r="H22" s="29"/>
      <c r="I22" s="30"/>
      <c r="J22" s="31"/>
      <c r="K22" s="31"/>
      <c r="L22" s="32"/>
    </row>
    <row r="23" spans="1:12" ht="20.45" customHeight="1" x14ac:dyDescent="0.2">
      <c r="A23" s="33"/>
      <c r="B23" s="34" t="s">
        <v>2</v>
      </c>
      <c r="C23" s="35" t="s">
        <v>17</v>
      </c>
      <c r="D23" s="33"/>
      <c r="E23" s="33"/>
      <c r="F23" s="33"/>
      <c r="G23" s="33"/>
      <c r="H23" s="33"/>
      <c r="I23" s="30"/>
      <c r="J23" s="33"/>
      <c r="K23" s="33"/>
      <c r="L23" s="32"/>
    </row>
    <row r="24" spans="1:12" ht="20.45" customHeight="1" x14ac:dyDescent="0.2">
      <c r="A24" s="33"/>
      <c r="B24" s="32"/>
      <c r="C24" s="35" t="s">
        <v>18</v>
      </c>
      <c r="D24" s="33"/>
      <c r="E24" s="33"/>
      <c r="F24" s="33"/>
      <c r="G24" s="33"/>
      <c r="H24" s="33"/>
      <c r="I24" s="33"/>
      <c r="J24" s="33"/>
      <c r="K24" s="33"/>
      <c r="L24" s="33"/>
    </row>
    <row r="25" spans="1:12" ht="20.45" customHeight="1" x14ac:dyDescent="0.2">
      <c r="A25" s="33"/>
      <c r="B25" s="32"/>
      <c r="C25" s="35"/>
      <c r="D25" s="33"/>
      <c r="E25" s="33"/>
      <c r="F25" s="33"/>
      <c r="G25" s="33"/>
      <c r="H25" s="33"/>
      <c r="I25" s="33"/>
      <c r="J25" s="33"/>
      <c r="K25" s="33"/>
      <c r="L25" s="33"/>
    </row>
    <row r="26" spans="1:12" ht="20.45" customHeight="1" x14ac:dyDescent="0.2">
      <c r="A26" s="33"/>
      <c r="B26" s="32"/>
      <c r="C26" s="35"/>
      <c r="D26" s="33"/>
      <c r="E26" s="33"/>
      <c r="F26" s="33"/>
      <c r="G26" s="33"/>
      <c r="H26" s="38" t="s">
        <v>25</v>
      </c>
      <c r="I26" s="38"/>
      <c r="J26" s="38"/>
      <c r="K26" s="38"/>
      <c r="L26" s="33"/>
    </row>
    <row r="27" spans="1:12" ht="20.45" customHeight="1" x14ac:dyDescent="0.2">
      <c r="H27" s="38" t="s">
        <v>27</v>
      </c>
      <c r="I27" s="38"/>
      <c r="J27" s="38"/>
      <c r="K27" s="38"/>
    </row>
    <row r="28" spans="1:12" ht="20.45" customHeight="1" x14ac:dyDescent="0.2">
      <c r="H28" s="38" t="s">
        <v>4</v>
      </c>
      <c r="I28" s="38"/>
      <c r="J28" s="38"/>
      <c r="K28" s="38"/>
    </row>
  </sheetData>
  <mergeCells count="18"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8:K28"/>
    <mergeCell ref="H27:K27"/>
    <mergeCell ref="H5:I5"/>
    <mergeCell ref="J5:J6"/>
    <mergeCell ref="K5:K6"/>
  </mergeCells>
  <printOptions horizontalCentered="1"/>
  <pageMargins left="0.19685039370078741" right="0.19685039370078741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งานพัฒนาหลักสูตร</vt:lpstr>
      <vt:lpstr>งานพัฒนาหลักสูตร!Print_Titles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2021-10-29T07:33:32Z</cp:lastPrinted>
  <dcterms:created xsi:type="dcterms:W3CDTF">2017-11-14T01:32:33Z</dcterms:created>
  <dcterms:modified xsi:type="dcterms:W3CDTF">2022-02-28T08:06:51Z</dcterms:modified>
</cp:coreProperties>
</file>