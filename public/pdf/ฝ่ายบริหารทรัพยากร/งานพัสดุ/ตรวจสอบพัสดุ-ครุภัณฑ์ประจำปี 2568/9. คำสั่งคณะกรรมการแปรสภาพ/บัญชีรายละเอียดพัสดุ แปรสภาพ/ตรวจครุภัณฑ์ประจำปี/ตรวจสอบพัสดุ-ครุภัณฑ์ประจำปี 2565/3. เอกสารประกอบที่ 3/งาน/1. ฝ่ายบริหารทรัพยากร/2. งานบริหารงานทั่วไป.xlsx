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งาน\1. ฝ่ายบริหารทรัพยากร\"/>
    </mc:Choice>
  </mc:AlternateContent>
  <xr:revisionPtr revIDLastSave="0" documentId="13_ncr:1_{8717E7EE-657F-434F-980C-F91F33066AB4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บริหารงานทั่วไป" sheetId="46" r:id="rId1"/>
  </sheets>
  <definedNames>
    <definedName name="_xlnm.Print_Titles" localSheetId="0">งานบริหารงานทั่วไป!$2:$5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8" i="46" l="1"/>
  <c r="K8" i="46"/>
  <c r="K9" i="46"/>
  <c r="K10" i="46"/>
  <c r="K11" i="46"/>
  <c r="K12" i="46"/>
  <c r="K13" i="46"/>
  <c r="K14" i="46"/>
  <c r="K15" i="46"/>
  <c r="K16" i="46"/>
  <c r="K17" i="46"/>
  <c r="K7" i="46"/>
</calcChain>
</file>

<file path=xl/sharedStrings.xml><?xml version="1.0" encoding="utf-8"?>
<sst xmlns="http://schemas.openxmlformats.org/spreadsheetml/2006/main" count="79" uniqueCount="62">
  <si>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</si>
  <si>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</si>
  <si>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</si>
  <si>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</si>
  <si>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</si>
  <si>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</si>
  <si>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</si>
  <si>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</si>
  <si>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</si>
  <si>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</si>
  <si>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</si>
  <si>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</si>
  <si>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</si>
  <si>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</si>
  <si>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</si>
  <si>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</si>
  <si>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</si>
  <si>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</si>
  <si>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</si>
  <si>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</si>
  <si>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</si>
  <si>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</si>
  <si>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(นางกิ่งดาว  บุญประสิทธิ์)</t>
  </si>
  <si>
    <t>7440-001-0001/473-002</t>
  </si>
  <si>
    <t>คอมพิวเตอร์ DTK</t>
  </si>
  <si>
    <t>บริจาค</t>
  </si>
  <si>
    <t>7440-010-0002/482-004</t>
  </si>
  <si>
    <t>เครื่องสแกนเนอร์ 7650</t>
  </si>
  <si>
    <t>บกศ.</t>
  </si>
  <si>
    <t>7440-009-0001/501-001</t>
  </si>
  <si>
    <t>FLASH DRIVE 512 MB</t>
  </si>
  <si>
    <t>งปม.</t>
  </si>
  <si>
    <t>7440-010-0003/502-003</t>
  </si>
  <si>
    <t>ฮาร์ดดิส</t>
  </si>
  <si>
    <t>7440-001-0001/502-056</t>
  </si>
  <si>
    <t>เครื่องคอมพิวเตอร์ จอแบน</t>
  </si>
  <si>
    <t>7430-008-0006/523-006</t>
  </si>
  <si>
    <t>เครื่องมัลติฟังชั่น BAOTHER DCP 8056</t>
  </si>
  <si>
    <t>7430-008-0002/531-021</t>
  </si>
  <si>
    <t>เครื่องปริ้นเตอร์ HP Laserjet P 1102</t>
  </si>
  <si>
    <t>7440-001-0001/531-146</t>
  </si>
  <si>
    <t>เครื่องคอมพิวเตอร์พร้อมโต๊ะเก้าอี้</t>
  </si>
  <si>
    <t>5835-006-001/531-001</t>
  </si>
  <si>
    <t>เครื่องบันทึกเสียง  Sony</t>
  </si>
  <si>
    <t>4110-001-0001/582-001</t>
  </si>
  <si>
    <t>ตู้เย็น ขนาด 6.4 คิว</t>
  </si>
  <si>
    <t>7430-003-6002</t>
  </si>
  <si>
    <t>HP LASERJET PI606</t>
  </si>
  <si>
    <t xml:space="preserve">งปม.  </t>
  </si>
  <si>
    <t>-</t>
  </si>
  <si>
    <t>เมนบอร์ดพัง</t>
  </si>
  <si>
    <t>เครื่องไม่อ่านเอกสาร</t>
  </si>
  <si>
    <t>หน่วยความจำไม่ทำงาน</t>
  </si>
  <si>
    <t>ไม่อ่านข้อมูล</t>
  </si>
  <si>
    <t>จอภาพไม่แสดงผล</t>
  </si>
  <si>
    <t>เครื่องไม่ดึงกระดาษ</t>
  </si>
  <si>
    <t>ไม่ดึงกระดาษ แกนกลางหัก</t>
  </si>
  <si>
    <t>โต๊ะ เก้าอี้ ขาหัก</t>
  </si>
  <si>
    <t>ไม่อ่านและไม่บันทึกเสียง</t>
  </si>
  <si>
    <t>คอมเพรสเซอร์ชำรุด</t>
  </si>
  <si>
    <t>แกนกลางไม่ดึงกระดาษ</t>
  </si>
  <si>
    <t>ประจำปี 2565 สิ้นงวดเมื่อวันที่ 30 กันยายน 2565 ของงานบริหารงานทั่วไป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</si>
</sst>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8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0" fontId="4" fillId="0" borderId="0" xfId="0" applyFont="1" applyBorder="1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6" applyFont="1" applyBorder="1" applyAlignment="1">
      <alignment horizontal="center" vertical="center"/>
    </xf>
    <xf numFmtId="0" fontId="3" fillId="0" borderId="1" xfId="6" applyFont="1" applyBorder="1" applyAlignment="1">
      <alignment horizontal="left" vertical="center"/>
    </xf>
    <xf numFmtId="15" fontId="3" fillId="0" borderId="1" xfId="7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43" fontId="3" fillId="0" borderId="2" xfId="1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43" fontId="3" fillId="0" borderId="2" xfId="6" applyNumberFormat="1" applyFont="1" applyBorder="1"/>
    <xf numFmtId="43" fontId="3" fillId="0" borderId="1" xfId="6" applyNumberFormat="1" applyFont="1" applyBorder="1"/>
    <xf numFmtId="43" fontId="3" fillId="0" borderId="1" xfId="1" applyFont="1" applyBorder="1" applyAlignment="1">
      <alignment horizontal="center"/>
    </xf>
    <xf numFmtId="43" fontId="3" fillId="0" borderId="1" xfId="12" applyNumberFormat="1" applyFont="1" applyBorder="1" applyAlignment="1">
      <alignment horizontal="left"/>
    </xf>
    <xf numFmtId="43" fontId="6" fillId="0" borderId="6" xfId="0" applyNumberFormat="1" applyFont="1" applyBorder="1" applyAlignment="1"/>
    <xf numFmtId="0" fontId="4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1495425</xdr:colOff>
      <xdr:row>19</xdr:row>
      <xdr:rowOff>57153</xdr:rowOff>
    </xdr:from>
    <xdr:to>
      <xdr:col>11</xdr:col>
      <xdr:colOff>1819275</xdr:colOff>
      <xdr:row>23</xdr:row>
      <xdr:rowOff>257176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034713" y="6748465"/>
          <a:ext cx="1419223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L25"/>
  <sheetViews>
    <sheetView tabSelected="1" topLeftCell="A10" zoomScaleNormal="100" workbookViewId="0">
      <selection activeCell="N19" sqref="N19"/>
    </sheetView>
  </sheetViews>
  <sheetFormatPr defaultColWidth="9" defaultRowHeight="24"/>
  <cols>
    <col min="1" max="1" width="5.28515625" style="2" customWidth="1"/>
    <col min="2" max="2" width="12" style="20" customWidth="1"/>
    <col min="3" max="3" width="28.42578125" style="13" customWidth="1"/>
    <col min="4" max="4" width="41.28515625" style="2" customWidth="1"/>
    <col min="5" max="5" width="7.5703125" style="2" customWidth="1"/>
    <col min="6" max="6" width="8.5703125" style="2" customWidth="1"/>
    <col min="7" max="7" width="6.5703125" style="2" customWidth="1"/>
    <col min="8" max="9" width="7.5703125" style="2" customWidth="1"/>
    <col min="10" max="10" width="12.5703125" style="2" customWidth="1"/>
    <col min="11" max="11" width="13.85546875" style="2" customWidth="1"/>
    <col min="12" max="12" width="29.7109375" style="20" customWidth="1"/>
    <col min="13" max="16384" width="9" style="2"/>
  </cols>
  <sheetData>
    <row r="1" spans="1:12">
      <c r="L1" s="20" t="s">
        <v>20</v>
      </c>
    </row>
    <row r="2" spans="1:12">
      <c r="A2" s="41" t="s">
        <v>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>
      <c r="A3" s="42" t="s">
        <v>7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2">
      <c r="A4" s="43" t="s">
        <v>61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ht="28.5" customHeight="1">
      <c r="A5" s="36" t="s">
        <v>8</v>
      </c>
      <c r="B5" s="36" t="s">
        <v>19</v>
      </c>
      <c r="C5" s="36" t="s">
        <v>16</v>
      </c>
      <c r="D5" s="44" t="s">
        <v>0</v>
      </c>
      <c r="E5" s="36" t="s">
        <v>11</v>
      </c>
      <c r="F5" s="36" t="s">
        <v>10</v>
      </c>
      <c r="G5" s="46" t="s">
        <v>12</v>
      </c>
      <c r="H5" s="34" t="s">
        <v>1</v>
      </c>
      <c r="I5" s="35"/>
      <c r="J5" s="36" t="s">
        <v>15</v>
      </c>
      <c r="K5" s="36" t="s">
        <v>9</v>
      </c>
      <c r="L5" s="36" t="s">
        <v>14</v>
      </c>
    </row>
    <row r="6" spans="1:12" ht="45" customHeight="1">
      <c r="A6" s="37"/>
      <c r="B6" s="37"/>
      <c r="C6" s="37"/>
      <c r="D6" s="45"/>
      <c r="E6" s="37"/>
      <c r="F6" s="37"/>
      <c r="G6" s="47"/>
      <c r="H6" s="9" t="s">
        <v>13</v>
      </c>
      <c r="I6" s="8" t="s">
        <v>3</v>
      </c>
      <c r="J6" s="37"/>
      <c r="K6" s="37"/>
      <c r="L6" s="37"/>
    </row>
    <row r="7" spans="1:12">
      <c r="A7" s="11">
        <v>1</v>
      </c>
      <c r="B7" s="10">
        <v>2547</v>
      </c>
      <c r="C7" s="22" t="s">
        <v>23</v>
      </c>
      <c r="D7" s="23" t="s">
        <v>24</v>
      </c>
      <c r="E7" s="3" t="s">
        <v>25</v>
      </c>
      <c r="F7" s="3">
        <v>18</v>
      </c>
      <c r="G7" s="3" t="s">
        <v>49</v>
      </c>
      <c r="H7" s="27">
        <v>1</v>
      </c>
      <c r="I7" s="27">
        <v>1</v>
      </c>
      <c r="J7" s="26">
        <v>29000</v>
      </c>
      <c r="K7" s="26">
        <f>SUM(I7*J7)</f>
        <v>29000</v>
      </c>
      <c r="L7" s="31" t="s">
        <v>50</v>
      </c>
    </row>
    <row r="8" spans="1:12">
      <c r="A8" s="11">
        <v>2</v>
      </c>
      <c r="B8" s="10">
        <v>2548</v>
      </c>
      <c r="C8" s="4" t="s">
        <v>26</v>
      </c>
      <c r="D8" s="1" t="s">
        <v>27</v>
      </c>
      <c r="E8" s="3" t="s">
        <v>28</v>
      </c>
      <c r="F8" s="3">
        <v>17</v>
      </c>
      <c r="G8" s="3" t="s">
        <v>49</v>
      </c>
      <c r="H8" s="27">
        <v>1</v>
      </c>
      <c r="I8" s="27">
        <v>1</v>
      </c>
      <c r="J8" s="28">
        <v>26000</v>
      </c>
      <c r="K8" s="26">
        <f t="shared" ref="K8:K17" si="0">SUM(I8*J8)</f>
        <v>26000</v>
      </c>
      <c r="L8" s="31" t="s">
        <v>51</v>
      </c>
    </row>
    <row r="9" spans="1:12">
      <c r="A9" s="11">
        <v>3</v>
      </c>
      <c r="B9" s="10">
        <v>2550</v>
      </c>
      <c r="C9" s="4" t="s">
        <v>29</v>
      </c>
      <c r="D9" s="1" t="s">
        <v>30</v>
      </c>
      <c r="E9" s="3" t="s">
        <v>31</v>
      </c>
      <c r="F9" s="3">
        <v>15</v>
      </c>
      <c r="G9" s="3" t="s">
        <v>49</v>
      </c>
      <c r="H9" s="27">
        <v>1</v>
      </c>
      <c r="I9" s="27">
        <v>1</v>
      </c>
      <c r="J9" s="28">
        <v>800</v>
      </c>
      <c r="K9" s="26">
        <f t="shared" si="0"/>
        <v>800</v>
      </c>
      <c r="L9" s="31" t="s">
        <v>52</v>
      </c>
    </row>
    <row r="10" spans="1:12">
      <c r="A10" s="11">
        <v>4</v>
      </c>
      <c r="B10" s="10">
        <v>2550</v>
      </c>
      <c r="C10" s="4" t="s">
        <v>32</v>
      </c>
      <c r="D10" s="1" t="s">
        <v>33</v>
      </c>
      <c r="E10" s="3" t="s">
        <v>28</v>
      </c>
      <c r="F10" s="3">
        <v>15</v>
      </c>
      <c r="G10" s="3" t="s">
        <v>49</v>
      </c>
      <c r="H10" s="27">
        <v>1</v>
      </c>
      <c r="I10" s="27">
        <v>1</v>
      </c>
      <c r="J10" s="28">
        <v>3300</v>
      </c>
      <c r="K10" s="26">
        <f t="shared" si="0"/>
        <v>3300</v>
      </c>
      <c r="L10" s="31" t="s">
        <v>53</v>
      </c>
    </row>
    <row r="11" spans="1:12">
      <c r="A11" s="11">
        <v>5</v>
      </c>
      <c r="B11" s="10">
        <v>2550</v>
      </c>
      <c r="C11" s="4" t="s">
        <v>34</v>
      </c>
      <c r="D11" s="1" t="s">
        <v>35</v>
      </c>
      <c r="E11" s="3" t="s">
        <v>28</v>
      </c>
      <c r="F11" s="3">
        <v>15</v>
      </c>
      <c r="G11" s="3" t="s">
        <v>49</v>
      </c>
      <c r="H11" s="27">
        <v>1</v>
      </c>
      <c r="I11" s="27">
        <v>1</v>
      </c>
      <c r="J11" s="28">
        <v>17300</v>
      </c>
      <c r="K11" s="26">
        <f t="shared" si="0"/>
        <v>17300</v>
      </c>
      <c r="L11" s="31" t="s">
        <v>54</v>
      </c>
    </row>
    <row r="12" spans="1:12">
      <c r="A12" s="11">
        <v>6</v>
      </c>
      <c r="B12" s="10">
        <v>2552</v>
      </c>
      <c r="C12" s="4" t="s">
        <v>36</v>
      </c>
      <c r="D12" s="1" t="s">
        <v>37</v>
      </c>
      <c r="E12" s="3" t="s">
        <v>25</v>
      </c>
      <c r="F12" s="3">
        <v>13</v>
      </c>
      <c r="G12" s="3" t="s">
        <v>49</v>
      </c>
      <c r="H12" s="27">
        <v>1</v>
      </c>
      <c r="I12" s="27">
        <v>1</v>
      </c>
      <c r="J12" s="28">
        <v>11000</v>
      </c>
      <c r="K12" s="26">
        <f t="shared" si="0"/>
        <v>11000</v>
      </c>
      <c r="L12" s="31" t="s">
        <v>55</v>
      </c>
    </row>
    <row r="13" spans="1:12">
      <c r="A13" s="11">
        <v>7</v>
      </c>
      <c r="B13" s="10">
        <v>2553</v>
      </c>
      <c r="C13" s="4" t="s">
        <v>38</v>
      </c>
      <c r="D13" s="1" t="s">
        <v>39</v>
      </c>
      <c r="E13" s="3" t="s">
        <v>31</v>
      </c>
      <c r="F13" s="3">
        <v>12</v>
      </c>
      <c r="G13" s="3" t="s">
        <v>49</v>
      </c>
      <c r="H13" s="27">
        <v>1</v>
      </c>
      <c r="I13" s="27">
        <v>1</v>
      </c>
      <c r="J13" s="29">
        <v>3950</v>
      </c>
      <c r="K13" s="26">
        <f t="shared" si="0"/>
        <v>3950</v>
      </c>
      <c r="L13" s="31" t="s">
        <v>56</v>
      </c>
    </row>
    <row r="14" spans="1:12">
      <c r="A14" s="11">
        <v>8</v>
      </c>
      <c r="B14" s="10">
        <v>2553</v>
      </c>
      <c r="C14" s="4" t="s">
        <v>40</v>
      </c>
      <c r="D14" s="1" t="s">
        <v>41</v>
      </c>
      <c r="E14" s="3" t="s">
        <v>31</v>
      </c>
      <c r="F14" s="3">
        <v>12</v>
      </c>
      <c r="G14" s="3" t="s">
        <v>49</v>
      </c>
      <c r="H14" s="27">
        <v>1</v>
      </c>
      <c r="I14" s="27">
        <v>1</v>
      </c>
      <c r="J14" s="5">
        <v>17000</v>
      </c>
      <c r="K14" s="26">
        <f t="shared" si="0"/>
        <v>17000</v>
      </c>
      <c r="L14" s="31" t="s">
        <v>57</v>
      </c>
    </row>
    <row r="15" spans="1:12">
      <c r="A15" s="11">
        <v>9</v>
      </c>
      <c r="B15" s="10">
        <v>2553</v>
      </c>
      <c r="C15" s="4" t="s">
        <v>42</v>
      </c>
      <c r="D15" s="1" t="s">
        <v>43</v>
      </c>
      <c r="E15" s="3" t="s">
        <v>31</v>
      </c>
      <c r="F15" s="3">
        <v>12</v>
      </c>
      <c r="G15" s="3" t="s">
        <v>49</v>
      </c>
      <c r="H15" s="27">
        <v>1</v>
      </c>
      <c r="I15" s="27">
        <v>1</v>
      </c>
      <c r="J15" s="5">
        <v>4750</v>
      </c>
      <c r="K15" s="26">
        <f t="shared" si="0"/>
        <v>4750</v>
      </c>
      <c r="L15" s="31" t="s">
        <v>58</v>
      </c>
    </row>
    <row r="16" spans="1:12">
      <c r="A16" s="11">
        <v>10</v>
      </c>
      <c r="B16" s="24">
        <v>21191</v>
      </c>
      <c r="C16" s="6" t="s">
        <v>44</v>
      </c>
      <c r="D16" s="25" t="s">
        <v>45</v>
      </c>
      <c r="E16" s="3" t="s">
        <v>28</v>
      </c>
      <c r="F16" s="3">
        <v>7</v>
      </c>
      <c r="G16" s="3" t="s">
        <v>49</v>
      </c>
      <c r="H16" s="27">
        <v>1</v>
      </c>
      <c r="I16" s="27">
        <v>1</v>
      </c>
      <c r="J16" s="30">
        <v>6420</v>
      </c>
      <c r="K16" s="26">
        <f t="shared" si="0"/>
        <v>6420</v>
      </c>
      <c r="L16" s="31" t="s">
        <v>59</v>
      </c>
    </row>
    <row r="17" spans="1:12" ht="24.75" thickBot="1">
      <c r="A17" s="11">
        <v>11</v>
      </c>
      <c r="B17" s="24">
        <v>21959</v>
      </c>
      <c r="C17" s="22" t="s">
        <v>46</v>
      </c>
      <c r="D17" s="23" t="s">
        <v>47</v>
      </c>
      <c r="E17" s="3" t="s">
        <v>48</v>
      </c>
      <c r="F17" s="3">
        <v>5</v>
      </c>
      <c r="G17" s="3" t="s">
        <v>49</v>
      </c>
      <c r="H17" s="27">
        <v>4</v>
      </c>
      <c r="I17" s="27">
        <v>4</v>
      </c>
      <c r="J17" s="30">
        <v>2568</v>
      </c>
      <c r="K17" s="26">
        <f t="shared" si="0"/>
        <v>10272</v>
      </c>
      <c r="L17" s="31" t="s">
        <v>60</v>
      </c>
    </row>
    <row r="18" spans="1:12" ht="24.75" thickBot="1">
      <c r="A18" s="38" t="s">
        <v>5</v>
      </c>
      <c r="B18" s="39"/>
      <c r="C18" s="39"/>
      <c r="D18" s="39"/>
      <c r="E18" s="39"/>
      <c r="F18" s="39"/>
      <c r="G18" s="39"/>
      <c r="H18" s="39"/>
      <c r="I18" s="39"/>
      <c r="J18" s="40"/>
      <c r="K18" s="32">
        <f>SUM(K7:K17)</f>
        <v>129792</v>
      </c>
      <c r="L18" s="18"/>
    </row>
    <row r="19" spans="1:12" ht="24.75" thickTop="1">
      <c r="A19" s="21"/>
      <c r="B19" s="21"/>
      <c r="C19" s="21"/>
      <c r="D19" s="21"/>
      <c r="E19" s="21"/>
      <c r="F19" s="21"/>
      <c r="G19" s="21"/>
      <c r="H19" s="21"/>
      <c r="I19" s="16"/>
      <c r="J19" s="15"/>
      <c r="K19" s="15"/>
      <c r="L19" s="19"/>
    </row>
    <row r="20" spans="1:12">
      <c r="A20" s="7"/>
      <c r="B20" s="17" t="s">
        <v>2</v>
      </c>
      <c r="C20" s="12" t="s">
        <v>17</v>
      </c>
      <c r="D20" s="7"/>
      <c r="E20" s="7"/>
      <c r="F20" s="7"/>
      <c r="G20" s="7"/>
      <c r="H20" s="7"/>
      <c r="I20" s="16"/>
      <c r="J20" s="7"/>
      <c r="K20" s="7"/>
      <c r="L20" s="19"/>
    </row>
    <row r="21" spans="1:12">
      <c r="A21" s="7"/>
      <c r="B21" s="19"/>
      <c r="C21" s="12" t="s">
        <v>18</v>
      </c>
      <c r="D21" s="7"/>
      <c r="E21" s="7"/>
      <c r="F21" s="7"/>
      <c r="G21" s="7"/>
      <c r="H21" s="14"/>
      <c r="I21" s="14"/>
      <c r="J21" s="14"/>
      <c r="K21" s="14"/>
      <c r="L21" s="14"/>
    </row>
    <row r="22" spans="1:12">
      <c r="A22" s="7"/>
      <c r="B22" s="19"/>
      <c r="C22" s="12"/>
      <c r="D22" s="7"/>
      <c r="E22" s="7"/>
      <c r="F22" s="7"/>
      <c r="G22" s="7"/>
      <c r="H22" s="14"/>
      <c r="I22" s="14"/>
      <c r="J22" s="14"/>
      <c r="K22" s="14"/>
      <c r="L22" s="14"/>
    </row>
    <row r="23" spans="1:12">
      <c r="A23" s="7"/>
      <c r="B23" s="19"/>
      <c r="C23" s="12"/>
      <c r="D23" s="7"/>
      <c r="E23" s="7"/>
      <c r="F23" s="7"/>
      <c r="G23" s="7"/>
      <c r="H23" s="33" t="s">
        <v>21</v>
      </c>
      <c r="I23" s="33"/>
      <c r="J23" s="33"/>
      <c r="K23" s="33"/>
      <c r="L23" s="14"/>
    </row>
    <row r="24" spans="1:12">
      <c r="H24" s="33" t="s">
        <v>22</v>
      </c>
      <c r="I24" s="33"/>
      <c r="J24" s="33"/>
      <c r="K24" s="33"/>
    </row>
    <row r="25" spans="1:12">
      <c r="H25" s="33" t="s">
        <v>4</v>
      </c>
      <c r="I25" s="33"/>
      <c r="J25" s="33"/>
      <c r="K25" s="33"/>
    </row>
  </sheetData>
  <mergeCells count="18">
    <mergeCell ref="L5:L6"/>
    <mergeCell ref="A18:J18"/>
    <mergeCell ref="H23:K23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5:K25"/>
    <mergeCell ref="H24:K24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งานบริหารงานทั่วไป</vt:lpstr>
      <vt:lpstr>งานบริหารงานทั่วไป!Print_Titles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2022-10-12T03:47:29Z</cp:lastPrinted>
  <dcterms:created xsi:type="dcterms:W3CDTF">2017-11-14T01:32:33Z</dcterms:created>
  <dcterms:modified xsi:type="dcterms:W3CDTF">2022-10-12T03:48:02Z</dcterms:modified>
</cp:coreProperties>
</file>