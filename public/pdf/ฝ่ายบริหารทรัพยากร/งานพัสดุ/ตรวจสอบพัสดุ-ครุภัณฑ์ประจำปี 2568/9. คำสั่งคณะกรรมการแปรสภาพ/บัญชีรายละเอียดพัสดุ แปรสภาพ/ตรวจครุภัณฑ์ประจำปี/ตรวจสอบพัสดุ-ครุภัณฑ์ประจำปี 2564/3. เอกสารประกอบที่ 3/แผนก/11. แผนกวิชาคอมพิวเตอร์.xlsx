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60D004A0-9847-4793-B739-E548E3F0FD7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คอมพิวเตอร์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1" i="33" l="1"/>
  <c r="K72" i="33"/>
  <c r="K73" i="33"/>
  <c r="K74" i="33"/>
  <c r="K75" i="33"/>
  <c r="K76" i="33"/>
  <c r="K77" i="33"/>
  <c r="K78" i="33"/>
  <c r="K79" i="33"/>
  <c r="K80" i="33"/>
  <c r="K70" i="33"/>
  <c r="K40" i="33"/>
  <c r="K41" i="33"/>
  <c r="K42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39" i="33"/>
  <c r="K8" i="33"/>
  <c r="K9" i="33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5" i="33" s="1"/>
  <c r="K38" i="33" s="1"/>
  <c r="K24" i="33"/>
  <c r="K7" i="33"/>
  <c r="K56" i="33" l="1"/>
  <c r="K69" i="33" s="1"/>
  <c r="K87" i="33" s="1"/>
</calcChain>
</file>

<file path=xl/sharedStrings.xml><?xml version="1.0" encoding="utf-8"?>
<sst xmlns="http://schemas.openxmlformats.org/spreadsheetml/2006/main" count="326" uniqueCount="126">
  <si>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</si>
  <si>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</si>
  <si>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</si>
  <si>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</si>
  <si>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</si>
  <si>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</si>
  <si>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</si>
  <si>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</si>
  <si>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</si>
  <si>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</si>
  <si>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</si>
  <si>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</si>
  <si>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</si>
  <si>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</si>
  <si>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</si>
  <si>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</si>
  <si>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</si>
  <si>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</si>
  <si>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</si>
  <si>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</si>
  <si>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</si>
  <si>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ประจำปี 2564 สิ้นงวดเมื่อวันที่ 30 กันยายน 2564 ของแผนกคอมพิวเตอร์ธุรกิจ</t>
  </si>
  <si>
    <t>เอกสารหมายเลข …….</t>
  </si>
  <si>
    <t>2540</t>
  </si>
  <si>
    <t>7440-001-0001/401-015-016</t>
  </si>
  <si>
    <t>เครื่องไมโครคอมพิวเตอร์</t>
  </si>
  <si>
    <t>7430-008-0001/401-004-005</t>
  </si>
  <si>
    <t>เครื่องปริ้นเตอร์ OKI 391</t>
  </si>
  <si>
    <t>7110-007-0002/401-002-401-005</t>
  </si>
  <si>
    <t>โต๊ะวางเครื่องปริ้น</t>
  </si>
  <si>
    <t>7110-007-0001/401-003-401-022</t>
  </si>
  <si>
    <t>โต๊ะวางเครื่องคอมพิวเตอร์</t>
  </si>
  <si>
    <t>7110-006-0002/401-001-401-020</t>
  </si>
  <si>
    <t>เก้าอี้สำหรับคอมพิวเตอร์</t>
  </si>
  <si>
    <t>7440-010-0001/421-001</t>
  </si>
  <si>
    <t>โปรแกรมสำเร็จรูป</t>
  </si>
  <si>
    <t>7440-001-0001/421-023-421-032</t>
  </si>
  <si>
    <t>7430-008-0001/421-007-421-008</t>
  </si>
  <si>
    <t>เครื่องปริ้นเตอร์ 710 C</t>
  </si>
  <si>
    <t>7110-007-0002/421-007-421-008</t>
  </si>
  <si>
    <t>7110-007-0001/421-023-421-032</t>
  </si>
  <si>
    <t>7110-006-0002/421-021-421-040</t>
  </si>
  <si>
    <t>2543</t>
  </si>
  <si>
    <t>7440-001-0001/431-036-431-040</t>
  </si>
  <si>
    <t>7440-010-0001/431-002</t>
  </si>
  <si>
    <t>7430-008-0001/431-009</t>
  </si>
  <si>
    <t>เครื่องปริ้นเตอร์ 2080I</t>
  </si>
  <si>
    <t>งปม.</t>
  </si>
  <si>
    <t>7430-008-0001/431-010</t>
  </si>
  <si>
    <t>เครื่องปริ้นเตอร์เลซอร์ PD12</t>
  </si>
  <si>
    <t>7110-007-0002/431-009-431-010</t>
  </si>
  <si>
    <t>7110-007-0001/431-033-431-037</t>
  </si>
  <si>
    <t>7110-006-0002/431-041-431-045</t>
  </si>
  <si>
    <t>-</t>
  </si>
  <si>
    <t>ยอดยกไป</t>
  </si>
  <si>
    <t>ยอดยกมา</t>
  </si>
  <si>
    <t>5825-020-0001/442-024</t>
  </si>
  <si>
    <t>โทรทัศน์สี 29"</t>
  </si>
  <si>
    <t>บกศ.</t>
  </si>
  <si>
    <t>7440-001-0001/462-010-462-030</t>
  </si>
  <si>
    <t>7440-001-0001/461-041-461-047</t>
  </si>
  <si>
    <t>7440-001-0001/461-048-461-054</t>
  </si>
  <si>
    <t>7430-008-0001/462-001</t>
  </si>
  <si>
    <t>เครื่องปริ้นเตอร์ EPL 6100</t>
  </si>
  <si>
    <t>7440-001-0001/482-031-482-035</t>
  </si>
  <si>
    <t>7440-001-0001/482-036-039</t>
  </si>
  <si>
    <t>7440-001-0001/482-040-043</t>
  </si>
  <si>
    <t>7440-010-0002/482-003</t>
  </si>
  <si>
    <t>SCANNER EPSON2480</t>
  </si>
  <si>
    <t>7740-004-0001/482-004-006</t>
  </si>
  <si>
    <t xml:space="preserve">เครื่อง WRITE CD ROM </t>
  </si>
  <si>
    <t>4140-001-0001/482-016-021</t>
  </si>
  <si>
    <t>พัดลมติดผนัง</t>
  </si>
  <si>
    <t>7440-001-0004/482-001</t>
  </si>
  <si>
    <t xml:space="preserve">SERVER SEY </t>
  </si>
  <si>
    <t>7430-008-0001/482-005</t>
  </si>
  <si>
    <t>เครื่องปริ้นเตอร์เอฟสัน LQ 300+</t>
  </si>
  <si>
    <t>7430-008-0001/482-004</t>
  </si>
  <si>
    <t>เครื่องปริ้นเตอร์เอฟสันCX3500</t>
  </si>
  <si>
    <t>เครื่องไม่อ่านแผ่น</t>
  </si>
  <si>
    <t>7440-001-0001/482-046</t>
  </si>
  <si>
    <t>เครื่องคอมพิวเตอร์ GVIEW</t>
  </si>
  <si>
    <t>2549</t>
  </si>
  <si>
    <t>7440-001-0001/493-007-016</t>
  </si>
  <si>
    <t>บริจาค</t>
  </si>
  <si>
    <t>7440-001-0001/493-017-026</t>
  </si>
  <si>
    <t>7440-009-0001/492-003</t>
  </si>
  <si>
    <t>FLASH DRIVE 512 MB</t>
  </si>
  <si>
    <t>2550</t>
  </si>
  <si>
    <t>7430-008-0002/502-014</t>
  </si>
  <si>
    <t>เครื่องปริ้นเตอร์เอฟสัน A3 CANON IX 5000</t>
  </si>
  <si>
    <t>7740-010-0001/502-001</t>
  </si>
  <si>
    <t>เครื่อง DVD RW</t>
  </si>
  <si>
    <t>7740-010-0006/501-003</t>
  </si>
  <si>
    <t>HUB 24 PORT</t>
  </si>
  <si>
    <t>7740-010-0006/501-001-002</t>
  </si>
  <si>
    <t>HUB 16 PORT</t>
  </si>
  <si>
    <t>2551</t>
  </si>
  <si>
    <t>7440-001-0001/512-060-108</t>
  </si>
  <si>
    <t>เครื่องไมโครคอมพิวเตอร์ SVOA จอแบน</t>
  </si>
  <si>
    <t>7440-001-0001/512-109-157</t>
  </si>
  <si>
    <t>7110-006-0007/512-006</t>
  </si>
  <si>
    <t>เก้าอี้สำนักงาน  S -35  หนัง</t>
  </si>
  <si>
    <t>7440-010-0013/531-001-004</t>
  </si>
  <si>
    <t>เครื่องแปลงสัญญาณอินเตอร์เน็ต Switching Hub</t>
  </si>
  <si>
    <t>6730-001-0003/531-009-012</t>
  </si>
  <si>
    <t>เครื่องโปรเจคเตอร์พร้อมจอรับภาพ</t>
  </si>
  <si>
    <t>7110-006-0009/531-001-160</t>
  </si>
  <si>
    <t>เก้าอี้เบาะชุดโครเมี่ยม</t>
  </si>
  <si>
    <t>หลอดภาพเสียหาย</t>
  </si>
  <si>
    <t>(นายสิริปัญญ์  เสริมสิริพิพัฒน์)</t>
  </si>
  <si>
    <t>เมนบอร์ด  ฮาร์ดดิส  แรม เสียชำรุด</t>
  </si>
  <si>
    <t>พัง หัก แกนไม่ดึงกระดาษ</t>
  </si>
  <si>
    <t>โต๊ะขาหัก</t>
  </si>
  <si>
    <t>ไม้อัดผุพัง ขาหัก</t>
  </si>
  <si>
    <t xml:space="preserve">ขาหัก เบาะขาด </t>
  </si>
  <si>
    <t>ชำรุดไม่อ่านแผ่น</t>
  </si>
  <si>
    <t>ขาหัก เบาะขาด</t>
  </si>
  <si>
    <t xml:space="preserve">พัง หัก แกนไม่ดึงกระดาษ </t>
  </si>
  <si>
    <t>พัง หัก แกนไม่ดึงกระดาษ ไม่มี</t>
  </si>
  <si>
    <t xml:space="preserve">โต๊ะขาหัก </t>
  </si>
  <si>
    <t xml:space="preserve">หลอดภาพเสีย </t>
  </si>
  <si>
    <t>ไม่อ่านข้อมูล</t>
  </si>
  <si>
    <t xml:space="preserve">ไฟกระชาก ช๊อต </t>
  </si>
  <si>
    <t>ไฟกระชาก ช๊อต</t>
  </si>
  <si>
    <t>มอเตอร์ไหม้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</si>
</sst>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1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3" fontId="3" fillId="0" borderId="0" xfId="12" applyNumberFormat="1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9" fontId="3" fillId="0" borderId="1" xfId="6" applyNumberFormat="1" applyFont="1" applyBorder="1" applyAlignment="1">
      <alignment horizontal="left"/>
    </xf>
    <xf numFmtId="43" fontId="3" fillId="0" borderId="1" xfId="1" applyFont="1" applyFill="1" applyBorder="1"/>
    <xf numFmtId="49" fontId="3" fillId="0" borderId="1" xfId="0" applyNumberFormat="1" applyFont="1" applyBorder="1" applyAlignment="1">
      <alignment horizontal="center"/>
    </xf>
    <xf numFmtId="43" fontId="3" fillId="0" borderId="1" xfId="6" applyNumberFormat="1" applyFont="1" applyBorder="1"/>
    <xf numFmtId="43" fontId="3" fillId="0" borderId="4" xfId="1" applyFont="1" applyFill="1" applyBorder="1"/>
    <xf numFmtId="43" fontId="9" fillId="0" borderId="1" xfId="12" applyNumberFormat="1" applyFont="1" applyFill="1" applyBorder="1" applyAlignment="1">
      <alignment horizontal="left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1609725</xdr:colOff>
      <xdr:row>25</xdr:row>
      <xdr:rowOff>95250</xdr:rowOff>
    </xdr:from>
    <xdr:to>
      <xdr:col>11</xdr:col>
      <xdr:colOff>1943100</xdr:colOff>
      <xdr:row>30</xdr:row>
      <xdr:rowOff>247650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39475" y="782955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1609725</xdr:colOff>
      <xdr:row>56</xdr:row>
      <xdr:rowOff>95250</xdr:rowOff>
    </xdr:from>
    <xdr:to>
      <xdr:col>11</xdr:col>
      <xdr:colOff>1943100</xdr:colOff>
      <xdr:row>61</xdr:row>
      <xdr:rowOff>247650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892A6AFB-79A3-42B1-8268-6D23390FE921}"/>
            </a:ext>
          </a:extLst>
        </xdr:cNvPr>
        <xdr:cNvSpPr txBox="1"/>
      </xdr:nvSpPr>
      <xdr:spPr>
        <a:xfrm rot="5400000">
          <a:off x="13063538" y="8662987"/>
          <a:ext cx="16764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1609725</xdr:colOff>
      <xdr:row>87</xdr:row>
      <xdr:rowOff>95250</xdr:rowOff>
    </xdr:from>
    <xdr:to>
      <xdr:col>11</xdr:col>
      <xdr:colOff>1943100</xdr:colOff>
      <xdr:row>92</xdr:row>
      <xdr:rowOff>247650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53217E08-15DF-4D09-8603-0BB20D091B8B}"/>
            </a:ext>
          </a:extLst>
        </xdr:cNvPr>
        <xdr:cNvSpPr txBox="1"/>
      </xdr:nvSpPr>
      <xdr:spPr>
        <a:xfrm rot="5400000">
          <a:off x="13063538" y="8662987"/>
          <a:ext cx="16764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92"/>
  <sheetViews>
    <sheetView tabSelected="1" topLeftCell="A67" zoomScaleNormal="100" workbookViewId="0">
      <selection activeCell="G85" sqref="G85"/>
    </sheetView>
  </sheetViews>
  <sheetFormatPr defaultColWidth="9" defaultRowHeight="24" customHeight="1"/>
  <cols>
    <col min="1" max="1" width="5.42578125" style="2" customWidth="1"/>
    <col min="2" max="2" width="13.28515625" style="2" customWidth="1"/>
    <col min="3" max="3" width="33.5703125" style="2" customWidth="1"/>
    <col min="4" max="4" width="38.28515625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5" style="2" bestFit="1" customWidth="1"/>
    <col min="11" max="11" width="18.85546875" style="2" bestFit="1" customWidth="1"/>
    <col min="12" max="12" width="30.140625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33" t="s">
        <v>22</v>
      </c>
    </row>
    <row r="2" spans="1:14" ht="24" customHeight="1">
      <c r="A2" s="62" t="s">
        <v>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37"/>
    </row>
    <row r="3" spans="1:14" ht="24" customHeight="1">
      <c r="A3" s="63" t="s">
        <v>20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38"/>
    </row>
    <row r="4" spans="1:14" ht="24" customHeight="1">
      <c r="A4" s="64" t="s">
        <v>21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35"/>
    </row>
    <row r="5" spans="1:14" s="44" customFormat="1" ht="27" customHeight="1">
      <c r="A5" s="65" t="s">
        <v>8</v>
      </c>
      <c r="B5" s="65" t="s">
        <v>19</v>
      </c>
      <c r="C5" s="65" t="s">
        <v>16</v>
      </c>
      <c r="D5" s="67" t="s">
        <v>0</v>
      </c>
      <c r="E5" s="65" t="s">
        <v>11</v>
      </c>
      <c r="F5" s="65" t="s">
        <v>10</v>
      </c>
      <c r="G5" s="65" t="s">
        <v>12</v>
      </c>
      <c r="H5" s="69" t="s">
        <v>1</v>
      </c>
      <c r="I5" s="70"/>
      <c r="J5" s="65" t="s">
        <v>15</v>
      </c>
      <c r="K5" s="65" t="s">
        <v>9</v>
      </c>
      <c r="L5" s="65" t="s">
        <v>14</v>
      </c>
      <c r="M5" s="36"/>
    </row>
    <row r="6" spans="1:14" s="44" customFormat="1" ht="42.75" customHeight="1">
      <c r="A6" s="66"/>
      <c r="B6" s="66"/>
      <c r="C6" s="66"/>
      <c r="D6" s="68"/>
      <c r="E6" s="66"/>
      <c r="F6" s="66"/>
      <c r="G6" s="66"/>
      <c r="H6" s="45" t="s">
        <v>13</v>
      </c>
      <c r="I6" s="46" t="s">
        <v>3</v>
      </c>
      <c r="J6" s="66"/>
      <c r="K6" s="66"/>
      <c r="L6" s="66"/>
      <c r="M6" s="47"/>
      <c r="N6" s="48"/>
    </row>
    <row r="7" spans="1:14" ht="24" customHeight="1">
      <c r="A7" s="12">
        <v>1</v>
      </c>
      <c r="B7" s="22" t="s">
        <v>23</v>
      </c>
      <c r="C7" s="31" t="s">
        <v>24</v>
      </c>
      <c r="D7" s="16" t="s">
        <v>25</v>
      </c>
      <c r="E7" s="4" t="s">
        <v>47</v>
      </c>
      <c r="F7" s="4">
        <v>24</v>
      </c>
      <c r="G7" s="4" t="s">
        <v>53</v>
      </c>
      <c r="H7" s="5">
        <v>2</v>
      </c>
      <c r="I7" s="5">
        <v>2</v>
      </c>
      <c r="J7" s="13">
        <v>35000</v>
      </c>
      <c r="K7" s="13">
        <f>SUM(I7*J7)</f>
        <v>70000</v>
      </c>
      <c r="L7" s="54" t="s">
        <v>111</v>
      </c>
      <c r="M7" s="27"/>
      <c r="N7" s="23"/>
    </row>
    <row r="8" spans="1:14" ht="24" customHeight="1">
      <c r="A8" s="12">
        <v>2</v>
      </c>
      <c r="B8" s="22" t="s">
        <v>23</v>
      </c>
      <c r="C8" s="31" t="s">
        <v>26</v>
      </c>
      <c r="D8" s="16" t="s">
        <v>27</v>
      </c>
      <c r="E8" s="4" t="s">
        <v>47</v>
      </c>
      <c r="F8" s="4">
        <v>24</v>
      </c>
      <c r="G8" s="4" t="s">
        <v>53</v>
      </c>
      <c r="H8" s="5">
        <v>2</v>
      </c>
      <c r="I8" s="5">
        <v>2</v>
      </c>
      <c r="J8" s="13">
        <v>17500</v>
      </c>
      <c r="K8" s="13">
        <f t="shared" ref="K8:K24" si="0">SUM(I8*J8)</f>
        <v>35000</v>
      </c>
      <c r="L8" s="55" t="s">
        <v>112</v>
      </c>
      <c r="M8" s="27"/>
      <c r="N8" s="23"/>
    </row>
    <row r="9" spans="1:14" ht="24" customHeight="1">
      <c r="A9" s="12">
        <v>3</v>
      </c>
      <c r="B9" s="22" t="s">
        <v>23</v>
      </c>
      <c r="C9" s="31" t="s">
        <v>28</v>
      </c>
      <c r="D9" s="16" t="s">
        <v>29</v>
      </c>
      <c r="E9" s="4" t="s">
        <v>47</v>
      </c>
      <c r="F9" s="4">
        <v>24</v>
      </c>
      <c r="G9" s="4" t="s">
        <v>53</v>
      </c>
      <c r="H9" s="5">
        <v>4</v>
      </c>
      <c r="I9" s="5">
        <v>4</v>
      </c>
      <c r="J9" s="13">
        <v>2500</v>
      </c>
      <c r="K9" s="13">
        <f t="shared" si="0"/>
        <v>10000</v>
      </c>
      <c r="L9" s="55" t="s">
        <v>113</v>
      </c>
      <c r="M9" s="27"/>
      <c r="N9" s="23"/>
    </row>
    <row r="10" spans="1:14" ht="24" customHeight="1">
      <c r="A10" s="12">
        <v>4</v>
      </c>
      <c r="B10" s="22" t="s">
        <v>23</v>
      </c>
      <c r="C10" s="31" t="s">
        <v>30</v>
      </c>
      <c r="D10" s="16" t="s">
        <v>31</v>
      </c>
      <c r="E10" s="4" t="s">
        <v>47</v>
      </c>
      <c r="F10" s="4">
        <v>24</v>
      </c>
      <c r="G10" s="4" t="s">
        <v>53</v>
      </c>
      <c r="H10" s="5">
        <v>20</v>
      </c>
      <c r="I10" s="5">
        <v>20</v>
      </c>
      <c r="J10" s="13">
        <v>2600</v>
      </c>
      <c r="K10" s="13">
        <f t="shared" si="0"/>
        <v>52000</v>
      </c>
      <c r="L10" s="55" t="s">
        <v>114</v>
      </c>
      <c r="M10" s="27"/>
      <c r="N10" s="23"/>
    </row>
    <row r="11" spans="1:14" ht="24" customHeight="1">
      <c r="A11" s="12">
        <v>5</v>
      </c>
      <c r="B11" s="22" t="s">
        <v>23</v>
      </c>
      <c r="C11" s="3" t="s">
        <v>32</v>
      </c>
      <c r="D11" s="1" t="s">
        <v>33</v>
      </c>
      <c r="E11" s="4" t="s">
        <v>47</v>
      </c>
      <c r="F11" s="4">
        <v>24</v>
      </c>
      <c r="G11" s="4" t="s">
        <v>53</v>
      </c>
      <c r="H11" s="5">
        <v>20</v>
      </c>
      <c r="I11" s="5">
        <v>20</v>
      </c>
      <c r="J11" s="13">
        <v>1200</v>
      </c>
      <c r="K11" s="13">
        <f t="shared" si="0"/>
        <v>24000</v>
      </c>
      <c r="L11" s="56" t="s">
        <v>115</v>
      </c>
      <c r="M11" s="29"/>
      <c r="N11" s="23"/>
    </row>
    <row r="12" spans="1:14" ht="24" customHeight="1">
      <c r="A12" s="12">
        <v>6</v>
      </c>
      <c r="B12" s="22">
        <v>2542</v>
      </c>
      <c r="C12" s="31" t="s">
        <v>34</v>
      </c>
      <c r="D12" s="16" t="s">
        <v>35</v>
      </c>
      <c r="E12" s="4" t="s">
        <v>47</v>
      </c>
      <c r="F12" s="4">
        <v>22</v>
      </c>
      <c r="G12" s="4" t="s">
        <v>53</v>
      </c>
      <c r="H12" s="5">
        <v>1</v>
      </c>
      <c r="I12" s="5">
        <v>1</v>
      </c>
      <c r="J12" s="13">
        <v>12500</v>
      </c>
      <c r="K12" s="13">
        <f t="shared" si="0"/>
        <v>12500</v>
      </c>
      <c r="L12" s="56" t="s">
        <v>116</v>
      </c>
      <c r="M12" s="29"/>
      <c r="N12" s="23"/>
    </row>
    <row r="13" spans="1:14" ht="24" customHeight="1">
      <c r="A13" s="12">
        <v>7</v>
      </c>
      <c r="B13" s="22">
        <v>2542</v>
      </c>
      <c r="C13" s="31" t="s">
        <v>36</v>
      </c>
      <c r="D13" s="16" t="s">
        <v>25</v>
      </c>
      <c r="E13" s="4" t="s">
        <v>47</v>
      </c>
      <c r="F13" s="4">
        <v>22</v>
      </c>
      <c r="G13" s="4" t="s">
        <v>53</v>
      </c>
      <c r="H13" s="5">
        <v>10</v>
      </c>
      <c r="I13" s="5">
        <v>10</v>
      </c>
      <c r="J13" s="13">
        <v>34500</v>
      </c>
      <c r="K13" s="13">
        <f t="shared" si="0"/>
        <v>345000</v>
      </c>
      <c r="L13" s="54" t="s">
        <v>111</v>
      </c>
      <c r="M13" s="29"/>
      <c r="N13" s="23"/>
    </row>
    <row r="14" spans="1:14" ht="24" customHeight="1">
      <c r="A14" s="12">
        <v>8</v>
      </c>
      <c r="B14" s="22">
        <v>2542</v>
      </c>
      <c r="C14" s="31" t="s">
        <v>37</v>
      </c>
      <c r="D14" s="16" t="s">
        <v>38</v>
      </c>
      <c r="E14" s="4" t="s">
        <v>47</v>
      </c>
      <c r="F14" s="4">
        <v>22</v>
      </c>
      <c r="G14" s="4" t="s">
        <v>53</v>
      </c>
      <c r="H14" s="5">
        <v>2</v>
      </c>
      <c r="I14" s="5">
        <v>2</v>
      </c>
      <c r="J14" s="13">
        <v>9000</v>
      </c>
      <c r="K14" s="13">
        <f t="shared" si="0"/>
        <v>18000</v>
      </c>
      <c r="L14" s="55" t="s">
        <v>112</v>
      </c>
      <c r="M14" s="29"/>
      <c r="N14" s="23"/>
    </row>
    <row r="15" spans="1:14" ht="24" customHeight="1">
      <c r="A15" s="12">
        <v>9</v>
      </c>
      <c r="B15" s="22">
        <v>2542</v>
      </c>
      <c r="C15" s="31" t="s">
        <v>39</v>
      </c>
      <c r="D15" s="16" t="s">
        <v>29</v>
      </c>
      <c r="E15" s="4" t="s">
        <v>47</v>
      </c>
      <c r="F15" s="4">
        <v>22</v>
      </c>
      <c r="G15" s="4" t="s">
        <v>53</v>
      </c>
      <c r="H15" s="5">
        <v>2</v>
      </c>
      <c r="I15" s="5">
        <v>2</v>
      </c>
      <c r="J15" s="13">
        <v>2500</v>
      </c>
      <c r="K15" s="13">
        <f t="shared" si="0"/>
        <v>5000</v>
      </c>
      <c r="L15" s="55" t="s">
        <v>113</v>
      </c>
      <c r="M15" s="29"/>
      <c r="N15" s="23"/>
    </row>
    <row r="16" spans="1:14" ht="24" customHeight="1">
      <c r="A16" s="12">
        <v>10</v>
      </c>
      <c r="B16" s="22">
        <v>2542</v>
      </c>
      <c r="C16" s="31" t="s">
        <v>40</v>
      </c>
      <c r="D16" s="16" t="s">
        <v>31</v>
      </c>
      <c r="E16" s="4" t="s">
        <v>47</v>
      </c>
      <c r="F16" s="4">
        <v>22</v>
      </c>
      <c r="G16" s="4" t="s">
        <v>53</v>
      </c>
      <c r="H16" s="5">
        <v>10</v>
      </c>
      <c r="I16" s="5">
        <v>10</v>
      </c>
      <c r="J16" s="13">
        <v>2500</v>
      </c>
      <c r="K16" s="13">
        <f t="shared" si="0"/>
        <v>25000</v>
      </c>
      <c r="L16" s="55" t="s">
        <v>113</v>
      </c>
      <c r="M16" s="29"/>
      <c r="N16" s="23"/>
    </row>
    <row r="17" spans="1:16" ht="24" customHeight="1">
      <c r="A17" s="12">
        <v>11</v>
      </c>
      <c r="B17" s="22">
        <v>2542</v>
      </c>
      <c r="C17" s="31" t="s">
        <v>41</v>
      </c>
      <c r="D17" s="16" t="s">
        <v>33</v>
      </c>
      <c r="E17" s="4" t="s">
        <v>47</v>
      </c>
      <c r="F17" s="4">
        <v>22</v>
      </c>
      <c r="G17" s="4" t="s">
        <v>53</v>
      </c>
      <c r="H17" s="5">
        <v>20</v>
      </c>
      <c r="I17" s="5">
        <v>20</v>
      </c>
      <c r="J17" s="13">
        <v>1200</v>
      </c>
      <c r="K17" s="13">
        <f t="shared" si="0"/>
        <v>24000</v>
      </c>
      <c r="L17" s="56" t="s">
        <v>117</v>
      </c>
      <c r="M17" s="29"/>
      <c r="N17" s="23"/>
    </row>
    <row r="18" spans="1:16" ht="24" customHeight="1">
      <c r="A18" s="12">
        <v>12</v>
      </c>
      <c r="B18" s="22" t="s">
        <v>42</v>
      </c>
      <c r="C18" s="31" t="s">
        <v>43</v>
      </c>
      <c r="D18" s="16" t="s">
        <v>25</v>
      </c>
      <c r="E18" s="4" t="s">
        <v>47</v>
      </c>
      <c r="F18" s="4">
        <v>21</v>
      </c>
      <c r="G18" s="4" t="s">
        <v>53</v>
      </c>
      <c r="H18" s="5">
        <v>5</v>
      </c>
      <c r="I18" s="5">
        <v>5</v>
      </c>
      <c r="J18" s="13">
        <v>38900</v>
      </c>
      <c r="K18" s="13">
        <f t="shared" si="0"/>
        <v>194500</v>
      </c>
      <c r="L18" s="54" t="s">
        <v>111</v>
      </c>
      <c r="M18" s="29"/>
      <c r="N18" s="23"/>
    </row>
    <row r="19" spans="1:16" ht="24" customHeight="1">
      <c r="A19" s="12">
        <v>13</v>
      </c>
      <c r="B19" s="22" t="s">
        <v>42</v>
      </c>
      <c r="C19" s="31" t="s">
        <v>44</v>
      </c>
      <c r="D19" s="16" t="s">
        <v>35</v>
      </c>
      <c r="E19" s="4" t="s">
        <v>47</v>
      </c>
      <c r="F19" s="4">
        <v>21</v>
      </c>
      <c r="G19" s="4" t="s">
        <v>53</v>
      </c>
      <c r="H19" s="5">
        <v>1</v>
      </c>
      <c r="I19" s="5">
        <v>1</v>
      </c>
      <c r="J19" s="13">
        <v>20000</v>
      </c>
      <c r="K19" s="13">
        <f t="shared" si="0"/>
        <v>20000</v>
      </c>
      <c r="L19" s="56" t="s">
        <v>116</v>
      </c>
      <c r="M19" s="29"/>
      <c r="N19" s="23"/>
    </row>
    <row r="20" spans="1:16" ht="24" customHeight="1">
      <c r="A20" s="12">
        <v>14</v>
      </c>
      <c r="B20" s="22" t="s">
        <v>42</v>
      </c>
      <c r="C20" s="31" t="s">
        <v>45</v>
      </c>
      <c r="D20" s="16" t="s">
        <v>46</v>
      </c>
      <c r="E20" s="22" t="s">
        <v>47</v>
      </c>
      <c r="F20" s="4">
        <v>21</v>
      </c>
      <c r="G20" s="4" t="s">
        <v>53</v>
      </c>
      <c r="H20" s="5">
        <v>1</v>
      </c>
      <c r="I20" s="5">
        <v>1</v>
      </c>
      <c r="J20" s="13">
        <v>20000</v>
      </c>
      <c r="K20" s="13">
        <f t="shared" si="0"/>
        <v>20000</v>
      </c>
      <c r="L20" s="55" t="s">
        <v>118</v>
      </c>
      <c r="M20" s="29"/>
      <c r="N20" s="23"/>
    </row>
    <row r="21" spans="1:16" ht="24" customHeight="1">
      <c r="A21" s="12">
        <v>15</v>
      </c>
      <c r="B21" s="22" t="s">
        <v>42</v>
      </c>
      <c r="C21" s="31" t="s">
        <v>48</v>
      </c>
      <c r="D21" s="16" t="s">
        <v>49</v>
      </c>
      <c r="E21" s="22" t="s">
        <v>47</v>
      </c>
      <c r="F21" s="4">
        <v>21</v>
      </c>
      <c r="G21" s="4" t="s">
        <v>53</v>
      </c>
      <c r="H21" s="5">
        <v>1</v>
      </c>
      <c r="I21" s="5">
        <v>1</v>
      </c>
      <c r="J21" s="13">
        <v>31500</v>
      </c>
      <c r="K21" s="13">
        <f t="shared" si="0"/>
        <v>31500</v>
      </c>
      <c r="L21" s="55" t="s">
        <v>119</v>
      </c>
      <c r="M21" s="29"/>
      <c r="N21" s="23"/>
    </row>
    <row r="22" spans="1:16" ht="24" customHeight="1">
      <c r="A22" s="12">
        <v>16</v>
      </c>
      <c r="B22" s="22" t="s">
        <v>42</v>
      </c>
      <c r="C22" s="31" t="s">
        <v>50</v>
      </c>
      <c r="D22" s="16" t="s">
        <v>29</v>
      </c>
      <c r="E22" s="22" t="s">
        <v>47</v>
      </c>
      <c r="F22" s="4">
        <v>21</v>
      </c>
      <c r="G22" s="4" t="s">
        <v>53</v>
      </c>
      <c r="H22" s="5">
        <v>2</v>
      </c>
      <c r="I22" s="5">
        <v>2</v>
      </c>
      <c r="J22" s="13">
        <v>2500</v>
      </c>
      <c r="K22" s="13">
        <f t="shared" si="0"/>
        <v>5000</v>
      </c>
      <c r="L22" s="55" t="s">
        <v>120</v>
      </c>
      <c r="M22" s="6"/>
      <c r="N22" s="23"/>
    </row>
    <row r="23" spans="1:16" ht="24" customHeight="1">
      <c r="A23" s="12">
        <v>17</v>
      </c>
      <c r="B23" s="22" t="s">
        <v>42</v>
      </c>
      <c r="C23" s="31" t="s">
        <v>51</v>
      </c>
      <c r="D23" s="16" t="s">
        <v>31</v>
      </c>
      <c r="E23" s="22" t="s">
        <v>47</v>
      </c>
      <c r="F23" s="4">
        <v>21</v>
      </c>
      <c r="G23" s="4" t="s">
        <v>53</v>
      </c>
      <c r="H23" s="5">
        <v>5</v>
      </c>
      <c r="I23" s="5">
        <v>5</v>
      </c>
      <c r="J23" s="13">
        <v>2500</v>
      </c>
      <c r="K23" s="13">
        <f t="shared" si="0"/>
        <v>12500</v>
      </c>
      <c r="L23" s="55" t="s">
        <v>120</v>
      </c>
      <c r="M23" s="6"/>
      <c r="N23" s="23"/>
    </row>
    <row r="24" spans="1:16" ht="24" customHeight="1">
      <c r="A24" s="39">
        <v>18</v>
      </c>
      <c r="B24" s="40" t="s">
        <v>42</v>
      </c>
      <c r="C24" s="18" t="s">
        <v>52</v>
      </c>
      <c r="D24" s="17" t="s">
        <v>33</v>
      </c>
      <c r="E24" s="15" t="s">
        <v>47</v>
      </c>
      <c r="F24" s="4">
        <v>21</v>
      </c>
      <c r="G24" s="4" t="s">
        <v>53</v>
      </c>
      <c r="H24" s="5">
        <v>5</v>
      </c>
      <c r="I24" s="5">
        <v>5</v>
      </c>
      <c r="J24" s="20">
        <v>1200</v>
      </c>
      <c r="K24" s="13">
        <f t="shared" si="0"/>
        <v>6000</v>
      </c>
      <c r="L24" s="56" t="s">
        <v>115</v>
      </c>
      <c r="M24" s="6"/>
    </row>
    <row r="25" spans="1:16" ht="24" customHeight="1" thickBot="1">
      <c r="A25" s="57" t="s">
        <v>54</v>
      </c>
      <c r="B25" s="58"/>
      <c r="C25" s="58"/>
      <c r="D25" s="58"/>
      <c r="E25" s="58"/>
      <c r="F25" s="58"/>
      <c r="G25" s="58"/>
      <c r="H25" s="58"/>
      <c r="I25" s="58"/>
      <c r="J25" s="59"/>
      <c r="K25" s="34">
        <f>SUM(K7:K24)</f>
        <v>910000</v>
      </c>
      <c r="L25" s="42"/>
      <c r="M25" s="35"/>
    </row>
    <row r="26" spans="1:16" ht="24" customHeight="1" thickTop="1">
      <c r="A26" s="6"/>
      <c r="B26" s="6"/>
      <c r="C26" s="6"/>
      <c r="D26" s="6"/>
      <c r="E26" s="6"/>
      <c r="F26" s="6"/>
      <c r="G26" s="6"/>
      <c r="H26" s="6"/>
      <c r="I26" s="30"/>
      <c r="J26" s="6"/>
      <c r="K26" s="6"/>
      <c r="L26" s="11"/>
      <c r="M26" s="35"/>
      <c r="P26" s="23"/>
    </row>
    <row r="27" spans="1:16" ht="24" customHeight="1">
      <c r="A27" s="6"/>
      <c r="B27" s="32" t="s">
        <v>2</v>
      </c>
      <c r="C27" s="24" t="s">
        <v>17</v>
      </c>
      <c r="D27" s="6"/>
      <c r="E27" s="6"/>
      <c r="F27" s="6"/>
      <c r="G27" s="6"/>
      <c r="H27" s="6"/>
      <c r="L27" s="28"/>
      <c r="M27" s="35"/>
    </row>
    <row r="28" spans="1:16" ht="24" customHeight="1">
      <c r="A28" s="6"/>
      <c r="B28" s="35"/>
      <c r="C28" s="24" t="s">
        <v>18</v>
      </c>
      <c r="D28" s="6"/>
      <c r="E28" s="6"/>
      <c r="F28" s="6"/>
      <c r="G28" s="6"/>
      <c r="H28" s="6"/>
      <c r="I28" s="60" t="s">
        <v>4</v>
      </c>
      <c r="J28" s="60"/>
      <c r="K28" s="60"/>
      <c r="L28" s="28"/>
    </row>
    <row r="29" spans="1:16" ht="24" customHeight="1">
      <c r="A29" s="6"/>
      <c r="D29" s="25"/>
      <c r="E29" s="26"/>
      <c r="F29" s="26"/>
      <c r="G29" s="6"/>
      <c r="H29" s="6"/>
      <c r="I29" s="61" t="s">
        <v>110</v>
      </c>
      <c r="J29" s="61"/>
      <c r="K29" s="61"/>
      <c r="L29" s="28"/>
    </row>
    <row r="30" spans="1:16" ht="24" customHeight="1">
      <c r="I30" s="61" t="s">
        <v>5</v>
      </c>
      <c r="J30" s="61"/>
      <c r="K30" s="61"/>
    </row>
    <row r="32" spans="1:16" ht="24" customHeight="1">
      <c r="L32" s="33" t="s">
        <v>22</v>
      </c>
    </row>
    <row r="33" spans="1:12" ht="24" customHeight="1">
      <c r="A33" s="62" t="s">
        <v>7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</row>
    <row r="34" spans="1:12" ht="24" customHeight="1">
      <c r="A34" s="63" t="s">
        <v>20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</row>
    <row r="35" spans="1:12" ht="24" customHeight="1">
      <c r="A35" s="64" t="s">
        <v>21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</row>
    <row r="36" spans="1:12" ht="29.25" customHeight="1">
      <c r="A36" s="65" t="s">
        <v>8</v>
      </c>
      <c r="B36" s="65" t="s">
        <v>19</v>
      </c>
      <c r="C36" s="65" t="s">
        <v>16</v>
      </c>
      <c r="D36" s="67" t="s">
        <v>0</v>
      </c>
      <c r="E36" s="65" t="s">
        <v>11</v>
      </c>
      <c r="F36" s="65" t="s">
        <v>10</v>
      </c>
      <c r="G36" s="65" t="s">
        <v>12</v>
      </c>
      <c r="H36" s="69" t="s">
        <v>1</v>
      </c>
      <c r="I36" s="70"/>
      <c r="J36" s="65" t="s">
        <v>15</v>
      </c>
      <c r="K36" s="65" t="s">
        <v>9</v>
      </c>
      <c r="L36" s="65" t="s">
        <v>14</v>
      </c>
    </row>
    <row r="37" spans="1:12" ht="40.5" customHeight="1">
      <c r="A37" s="66"/>
      <c r="B37" s="66"/>
      <c r="C37" s="66"/>
      <c r="D37" s="68"/>
      <c r="E37" s="66"/>
      <c r="F37" s="66"/>
      <c r="G37" s="66"/>
      <c r="H37" s="45" t="s">
        <v>13</v>
      </c>
      <c r="I37" s="46" t="s">
        <v>3</v>
      </c>
      <c r="J37" s="66"/>
      <c r="K37" s="66"/>
      <c r="L37" s="66"/>
    </row>
    <row r="38" spans="1:12" ht="24" customHeight="1">
      <c r="A38" s="12"/>
      <c r="B38" s="22"/>
      <c r="C38" s="31"/>
      <c r="D38" s="14" t="s">
        <v>55</v>
      </c>
      <c r="E38" s="4"/>
      <c r="F38" s="4"/>
      <c r="G38" s="4"/>
      <c r="H38" s="14"/>
      <c r="I38" s="14"/>
      <c r="J38" s="13"/>
      <c r="K38" s="13">
        <f>K25</f>
        <v>910000</v>
      </c>
      <c r="L38" s="9"/>
    </row>
    <row r="39" spans="1:12" ht="24" customHeight="1">
      <c r="A39" s="12">
        <v>19</v>
      </c>
      <c r="B39" s="22">
        <v>2544</v>
      </c>
      <c r="C39" s="3" t="s">
        <v>56</v>
      </c>
      <c r="D39" s="3" t="s">
        <v>57</v>
      </c>
      <c r="E39" s="22" t="s">
        <v>58</v>
      </c>
      <c r="F39" s="4">
        <v>20</v>
      </c>
      <c r="G39" s="4" t="s">
        <v>53</v>
      </c>
      <c r="H39" s="5">
        <v>1</v>
      </c>
      <c r="I39" s="5">
        <v>1</v>
      </c>
      <c r="J39" s="50">
        <v>31850</v>
      </c>
      <c r="K39" s="50">
        <f>SUM(J39*I39)</f>
        <v>31850</v>
      </c>
      <c r="L39" s="56" t="s">
        <v>121</v>
      </c>
    </row>
    <row r="40" spans="1:12" ht="24" customHeight="1">
      <c r="A40" s="12">
        <v>20</v>
      </c>
      <c r="B40" s="22">
        <v>2546</v>
      </c>
      <c r="C40" s="3" t="s">
        <v>59</v>
      </c>
      <c r="D40" s="3" t="s">
        <v>25</v>
      </c>
      <c r="E40" s="22" t="s">
        <v>58</v>
      </c>
      <c r="F40" s="4">
        <v>18</v>
      </c>
      <c r="G40" s="4" t="s">
        <v>53</v>
      </c>
      <c r="H40" s="5">
        <v>21</v>
      </c>
      <c r="I40" s="5">
        <v>21</v>
      </c>
      <c r="J40" s="50">
        <v>24285.71</v>
      </c>
      <c r="K40" s="50">
        <f t="shared" ref="K40:K55" si="1">SUM(J40*I40)</f>
        <v>509999.91</v>
      </c>
      <c r="L40" s="54" t="s">
        <v>111</v>
      </c>
    </row>
    <row r="41" spans="1:12" ht="24" customHeight="1">
      <c r="A41" s="12">
        <v>21</v>
      </c>
      <c r="B41" s="22">
        <v>2546</v>
      </c>
      <c r="C41" s="3" t="s">
        <v>60</v>
      </c>
      <c r="D41" s="3" t="s">
        <v>25</v>
      </c>
      <c r="E41" s="22" t="s">
        <v>47</v>
      </c>
      <c r="F41" s="4">
        <v>18</v>
      </c>
      <c r="G41" s="4" t="s">
        <v>53</v>
      </c>
      <c r="H41" s="5">
        <v>7</v>
      </c>
      <c r="I41" s="5">
        <v>7</v>
      </c>
      <c r="J41" s="50">
        <v>11862.85</v>
      </c>
      <c r="K41" s="50">
        <f t="shared" si="1"/>
        <v>83039.95</v>
      </c>
      <c r="L41" s="54" t="s">
        <v>111</v>
      </c>
    </row>
    <row r="42" spans="1:12" ht="24" customHeight="1">
      <c r="A42" s="12">
        <v>22</v>
      </c>
      <c r="B42" s="22">
        <v>2546</v>
      </c>
      <c r="C42" s="3" t="s">
        <v>61</v>
      </c>
      <c r="D42" s="3" t="s">
        <v>25</v>
      </c>
      <c r="E42" s="22" t="s">
        <v>47</v>
      </c>
      <c r="F42" s="4">
        <v>18</v>
      </c>
      <c r="G42" s="4" t="s">
        <v>53</v>
      </c>
      <c r="H42" s="5">
        <v>7</v>
      </c>
      <c r="I42" s="5">
        <v>7</v>
      </c>
      <c r="J42" s="50">
        <v>15500</v>
      </c>
      <c r="K42" s="50">
        <f t="shared" si="1"/>
        <v>108500</v>
      </c>
      <c r="L42" s="54" t="s">
        <v>111</v>
      </c>
    </row>
    <row r="43" spans="1:12" ht="24" customHeight="1">
      <c r="A43" s="12">
        <v>23</v>
      </c>
      <c r="B43" s="22">
        <v>2546</v>
      </c>
      <c r="C43" s="3" t="s">
        <v>62</v>
      </c>
      <c r="D43" s="3" t="s">
        <v>63</v>
      </c>
      <c r="E43" s="22" t="s">
        <v>58</v>
      </c>
      <c r="F43" s="4">
        <v>18</v>
      </c>
      <c r="G43" s="4" t="s">
        <v>53</v>
      </c>
      <c r="H43" s="5">
        <v>1</v>
      </c>
      <c r="I43" s="5">
        <v>1</v>
      </c>
      <c r="J43" s="50">
        <v>9900</v>
      </c>
      <c r="K43" s="50">
        <f t="shared" si="1"/>
        <v>9900</v>
      </c>
      <c r="L43" s="55" t="s">
        <v>118</v>
      </c>
    </row>
    <row r="44" spans="1:12" ht="24" customHeight="1">
      <c r="A44" s="12">
        <v>24</v>
      </c>
      <c r="B44" s="22">
        <v>2548</v>
      </c>
      <c r="C44" s="3" t="s">
        <v>64</v>
      </c>
      <c r="D44" s="3" t="s">
        <v>25</v>
      </c>
      <c r="E44" s="22" t="s">
        <v>58</v>
      </c>
      <c r="F44" s="4">
        <v>16</v>
      </c>
      <c r="G44" s="4" t="s">
        <v>53</v>
      </c>
      <c r="H44" s="5">
        <v>5</v>
      </c>
      <c r="I44" s="5">
        <v>5</v>
      </c>
      <c r="J44" s="50">
        <v>16000</v>
      </c>
      <c r="K44" s="50">
        <f t="shared" si="1"/>
        <v>80000</v>
      </c>
      <c r="L44" s="54" t="s">
        <v>111</v>
      </c>
    </row>
    <row r="45" spans="1:12" ht="24" customHeight="1">
      <c r="A45" s="12">
        <v>25</v>
      </c>
      <c r="B45" s="22">
        <v>2548</v>
      </c>
      <c r="C45" s="3" t="s">
        <v>65</v>
      </c>
      <c r="D45" s="3" t="s">
        <v>25</v>
      </c>
      <c r="E45" s="22" t="s">
        <v>58</v>
      </c>
      <c r="F45" s="4">
        <v>16</v>
      </c>
      <c r="G45" s="4" t="s">
        <v>53</v>
      </c>
      <c r="H45" s="5">
        <v>4</v>
      </c>
      <c r="I45" s="5">
        <v>4</v>
      </c>
      <c r="J45" s="50">
        <v>16000</v>
      </c>
      <c r="K45" s="50">
        <f t="shared" si="1"/>
        <v>64000</v>
      </c>
      <c r="L45" s="54" t="s">
        <v>111</v>
      </c>
    </row>
    <row r="46" spans="1:12" ht="24" customHeight="1">
      <c r="A46" s="12">
        <v>26</v>
      </c>
      <c r="B46" s="22">
        <v>2548</v>
      </c>
      <c r="C46" s="3" t="s">
        <v>66</v>
      </c>
      <c r="D46" s="3" t="s">
        <v>25</v>
      </c>
      <c r="E46" s="22" t="s">
        <v>58</v>
      </c>
      <c r="F46" s="4">
        <v>16</v>
      </c>
      <c r="G46" s="4" t="s">
        <v>53</v>
      </c>
      <c r="H46" s="5">
        <v>4</v>
      </c>
      <c r="I46" s="5">
        <v>4</v>
      </c>
      <c r="J46" s="50">
        <v>16000</v>
      </c>
      <c r="K46" s="50">
        <f t="shared" si="1"/>
        <v>64000</v>
      </c>
      <c r="L46" s="54" t="s">
        <v>111</v>
      </c>
    </row>
    <row r="47" spans="1:12" ht="24" customHeight="1">
      <c r="A47" s="12">
        <v>27</v>
      </c>
      <c r="B47" s="22">
        <v>2548</v>
      </c>
      <c r="C47" s="3" t="s">
        <v>67</v>
      </c>
      <c r="D47" s="3" t="s">
        <v>68</v>
      </c>
      <c r="E47" s="22" t="s">
        <v>58</v>
      </c>
      <c r="F47" s="4">
        <v>16</v>
      </c>
      <c r="G47" s="4" t="s">
        <v>53</v>
      </c>
      <c r="H47" s="5">
        <v>1</v>
      </c>
      <c r="I47" s="5">
        <v>1</v>
      </c>
      <c r="J47" s="50">
        <v>6600</v>
      </c>
      <c r="K47" s="50">
        <f t="shared" si="1"/>
        <v>6600</v>
      </c>
      <c r="L47" s="55" t="s">
        <v>118</v>
      </c>
    </row>
    <row r="48" spans="1:12" ht="24" customHeight="1">
      <c r="A48" s="12">
        <v>28</v>
      </c>
      <c r="B48" s="22">
        <v>2548</v>
      </c>
      <c r="C48" s="3" t="s">
        <v>69</v>
      </c>
      <c r="D48" s="3" t="s">
        <v>70</v>
      </c>
      <c r="E48" s="22" t="s">
        <v>58</v>
      </c>
      <c r="F48" s="4">
        <v>16</v>
      </c>
      <c r="G48" s="4" t="s">
        <v>53</v>
      </c>
      <c r="H48" s="5">
        <v>3</v>
      </c>
      <c r="I48" s="5">
        <v>3</v>
      </c>
      <c r="J48" s="50">
        <v>1100</v>
      </c>
      <c r="K48" s="50">
        <f t="shared" si="1"/>
        <v>3300</v>
      </c>
      <c r="L48" s="56" t="s">
        <v>79</v>
      </c>
    </row>
    <row r="49" spans="1:12" ht="24" customHeight="1">
      <c r="A49" s="12">
        <v>29</v>
      </c>
      <c r="B49" s="22">
        <v>2548</v>
      </c>
      <c r="C49" s="3" t="s">
        <v>71</v>
      </c>
      <c r="D49" s="49" t="s">
        <v>72</v>
      </c>
      <c r="E49" s="22" t="s">
        <v>58</v>
      </c>
      <c r="F49" s="4">
        <v>16</v>
      </c>
      <c r="G49" s="4" t="s">
        <v>53</v>
      </c>
      <c r="H49" s="5">
        <v>6</v>
      </c>
      <c r="I49" s="5">
        <v>6</v>
      </c>
      <c r="J49" s="13">
        <v>1200</v>
      </c>
      <c r="K49" s="50">
        <f t="shared" si="1"/>
        <v>7200</v>
      </c>
      <c r="L49" s="56" t="s">
        <v>125</v>
      </c>
    </row>
    <row r="50" spans="1:12" ht="24" customHeight="1">
      <c r="A50" s="12">
        <v>30</v>
      </c>
      <c r="B50" s="22">
        <v>2548</v>
      </c>
      <c r="C50" s="3" t="s">
        <v>73</v>
      </c>
      <c r="D50" s="3" t="s">
        <v>74</v>
      </c>
      <c r="E50" s="22" t="s">
        <v>58</v>
      </c>
      <c r="F50" s="4">
        <v>16</v>
      </c>
      <c r="G50" s="4" t="s">
        <v>53</v>
      </c>
      <c r="H50" s="5">
        <v>1</v>
      </c>
      <c r="I50" s="5">
        <v>1</v>
      </c>
      <c r="J50" s="50">
        <v>79000</v>
      </c>
      <c r="K50" s="50">
        <f t="shared" si="1"/>
        <v>79000</v>
      </c>
      <c r="L50" s="54" t="s">
        <v>111</v>
      </c>
    </row>
    <row r="51" spans="1:12" ht="24" customHeight="1">
      <c r="A51" s="12">
        <v>31</v>
      </c>
      <c r="B51" s="22">
        <v>2548</v>
      </c>
      <c r="C51" s="3" t="s">
        <v>75</v>
      </c>
      <c r="D51" s="3" t="s">
        <v>76</v>
      </c>
      <c r="E51" s="22" t="s">
        <v>58</v>
      </c>
      <c r="F51" s="4">
        <v>16</v>
      </c>
      <c r="G51" s="4" t="s">
        <v>53</v>
      </c>
      <c r="H51" s="5">
        <v>1</v>
      </c>
      <c r="I51" s="5">
        <v>1</v>
      </c>
      <c r="J51" s="50">
        <v>9200</v>
      </c>
      <c r="K51" s="50">
        <f t="shared" si="1"/>
        <v>9200</v>
      </c>
      <c r="L51" s="55" t="s">
        <v>112</v>
      </c>
    </row>
    <row r="52" spans="1:12" ht="24" customHeight="1">
      <c r="A52" s="12">
        <v>32</v>
      </c>
      <c r="B52" s="22">
        <v>2548</v>
      </c>
      <c r="C52" s="3" t="s">
        <v>77</v>
      </c>
      <c r="D52" s="3" t="s">
        <v>78</v>
      </c>
      <c r="E52" s="22" t="s">
        <v>58</v>
      </c>
      <c r="F52" s="4">
        <v>16</v>
      </c>
      <c r="G52" s="4" t="s">
        <v>53</v>
      </c>
      <c r="H52" s="5">
        <v>1</v>
      </c>
      <c r="I52" s="5">
        <v>1</v>
      </c>
      <c r="J52" s="50">
        <v>5900</v>
      </c>
      <c r="K52" s="50">
        <f t="shared" si="1"/>
        <v>5900</v>
      </c>
      <c r="L52" s="55" t="s">
        <v>112</v>
      </c>
    </row>
    <row r="53" spans="1:12" ht="24" customHeight="1">
      <c r="A53" s="12">
        <v>33</v>
      </c>
      <c r="B53" s="22">
        <v>2548</v>
      </c>
      <c r="C53" s="3" t="s">
        <v>80</v>
      </c>
      <c r="D53" s="3" t="s">
        <v>81</v>
      </c>
      <c r="E53" s="22" t="s">
        <v>58</v>
      </c>
      <c r="F53" s="5">
        <v>16</v>
      </c>
      <c r="G53" s="4" t="s">
        <v>53</v>
      </c>
      <c r="H53" s="5">
        <v>1</v>
      </c>
      <c r="I53" s="5">
        <v>1</v>
      </c>
      <c r="J53" s="52">
        <v>40700</v>
      </c>
      <c r="K53" s="50">
        <f t="shared" si="1"/>
        <v>40700</v>
      </c>
      <c r="L53" s="54" t="s">
        <v>111</v>
      </c>
    </row>
    <row r="54" spans="1:12" ht="24" customHeight="1">
      <c r="A54" s="12">
        <v>34</v>
      </c>
      <c r="B54" s="51" t="s">
        <v>82</v>
      </c>
      <c r="C54" s="3" t="s">
        <v>83</v>
      </c>
      <c r="D54" s="3" t="s">
        <v>25</v>
      </c>
      <c r="E54" s="4" t="s">
        <v>84</v>
      </c>
      <c r="F54" s="5">
        <v>15</v>
      </c>
      <c r="G54" s="4" t="s">
        <v>53</v>
      </c>
      <c r="H54" s="5">
        <v>10</v>
      </c>
      <c r="I54" s="5">
        <v>10</v>
      </c>
      <c r="J54" s="50">
        <v>11730</v>
      </c>
      <c r="K54" s="50">
        <f t="shared" si="1"/>
        <v>117300</v>
      </c>
      <c r="L54" s="54" t="s">
        <v>111</v>
      </c>
    </row>
    <row r="55" spans="1:12" ht="24" customHeight="1">
      <c r="A55" s="12">
        <v>35</v>
      </c>
      <c r="B55" s="51" t="s">
        <v>82</v>
      </c>
      <c r="C55" s="3" t="s">
        <v>85</v>
      </c>
      <c r="D55" s="3" t="s">
        <v>25</v>
      </c>
      <c r="E55" s="4" t="s">
        <v>84</v>
      </c>
      <c r="F55" s="5">
        <v>15</v>
      </c>
      <c r="G55" s="4" t="s">
        <v>53</v>
      </c>
      <c r="H55" s="5">
        <v>10</v>
      </c>
      <c r="I55" s="5">
        <v>10</v>
      </c>
      <c r="J55" s="50">
        <v>11730</v>
      </c>
      <c r="K55" s="50">
        <f t="shared" si="1"/>
        <v>117300</v>
      </c>
      <c r="L55" s="54" t="s">
        <v>111</v>
      </c>
    </row>
    <row r="56" spans="1:12" ht="24" customHeight="1" thickBot="1">
      <c r="A56" s="57" t="s">
        <v>6</v>
      </c>
      <c r="B56" s="58"/>
      <c r="C56" s="58"/>
      <c r="D56" s="58"/>
      <c r="E56" s="58"/>
      <c r="F56" s="58"/>
      <c r="G56" s="58"/>
      <c r="H56" s="58"/>
      <c r="I56" s="58"/>
      <c r="J56" s="59"/>
      <c r="K56" s="34">
        <f>SUM(K38:K55)</f>
        <v>2247789.86</v>
      </c>
      <c r="L56" s="42"/>
    </row>
    <row r="57" spans="1:12" ht="24" customHeight="1" thickTop="1">
      <c r="A57" s="6"/>
      <c r="B57" s="6"/>
      <c r="C57" s="6"/>
      <c r="D57" s="6"/>
      <c r="E57" s="6"/>
      <c r="F57" s="6"/>
      <c r="G57" s="6"/>
      <c r="H57" s="6"/>
      <c r="I57" s="30"/>
      <c r="J57" s="6"/>
      <c r="K57" s="6"/>
      <c r="L57" s="11"/>
    </row>
    <row r="58" spans="1:12" ht="24" customHeight="1">
      <c r="A58" s="6"/>
      <c r="B58" s="32" t="s">
        <v>2</v>
      </c>
      <c r="C58" s="24" t="s">
        <v>17</v>
      </c>
      <c r="D58" s="6"/>
      <c r="E58" s="6"/>
      <c r="F58" s="6"/>
      <c r="G58" s="6"/>
      <c r="H58" s="6"/>
      <c r="L58" s="28"/>
    </row>
    <row r="59" spans="1:12" ht="24" customHeight="1">
      <c r="A59" s="6"/>
      <c r="B59" s="43"/>
      <c r="C59" s="24" t="s">
        <v>18</v>
      </c>
      <c r="D59" s="6"/>
      <c r="E59" s="6"/>
      <c r="F59" s="6"/>
      <c r="G59" s="6"/>
      <c r="H59" s="6"/>
      <c r="I59" s="61" t="s">
        <v>4</v>
      </c>
      <c r="J59" s="61"/>
      <c r="K59" s="61"/>
      <c r="L59" s="28"/>
    </row>
    <row r="60" spans="1:12" ht="24" customHeight="1">
      <c r="A60" s="6"/>
      <c r="D60" s="25"/>
      <c r="E60" s="26"/>
      <c r="F60" s="26"/>
      <c r="G60" s="6"/>
      <c r="H60" s="6"/>
      <c r="I60" s="61" t="s">
        <v>110</v>
      </c>
      <c r="J60" s="61"/>
      <c r="K60" s="61"/>
      <c r="L60" s="28"/>
    </row>
    <row r="61" spans="1:12" ht="24" customHeight="1">
      <c r="I61" s="61" t="s">
        <v>5</v>
      </c>
      <c r="J61" s="61"/>
      <c r="K61" s="61"/>
    </row>
    <row r="63" spans="1:12" ht="24" customHeight="1">
      <c r="L63" s="33" t="s">
        <v>22</v>
      </c>
    </row>
    <row r="64" spans="1:12" ht="24" customHeight="1">
      <c r="A64" s="62" t="s">
        <v>7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</row>
    <row r="65" spans="1:12" ht="24" customHeight="1">
      <c r="A65" s="63" t="s">
        <v>20</v>
      </c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</row>
    <row r="66" spans="1:12" ht="24" customHeight="1">
      <c r="A66" s="64" t="s">
        <v>21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</row>
    <row r="67" spans="1:12" ht="32.25" customHeight="1">
      <c r="A67" s="65" t="s">
        <v>8</v>
      </c>
      <c r="B67" s="65" t="s">
        <v>19</v>
      </c>
      <c r="C67" s="65" t="s">
        <v>16</v>
      </c>
      <c r="D67" s="67" t="s">
        <v>0</v>
      </c>
      <c r="E67" s="65" t="s">
        <v>11</v>
      </c>
      <c r="F67" s="65" t="s">
        <v>10</v>
      </c>
      <c r="G67" s="65" t="s">
        <v>12</v>
      </c>
      <c r="H67" s="69" t="s">
        <v>1</v>
      </c>
      <c r="I67" s="70"/>
      <c r="J67" s="65" t="s">
        <v>15</v>
      </c>
      <c r="K67" s="65" t="s">
        <v>9</v>
      </c>
      <c r="L67" s="65" t="s">
        <v>14</v>
      </c>
    </row>
    <row r="68" spans="1:12" ht="42" customHeight="1">
      <c r="A68" s="66"/>
      <c r="B68" s="66"/>
      <c r="C68" s="66"/>
      <c r="D68" s="68"/>
      <c r="E68" s="66"/>
      <c r="F68" s="66"/>
      <c r="G68" s="66"/>
      <c r="H68" s="45" t="s">
        <v>13</v>
      </c>
      <c r="I68" s="46" t="s">
        <v>3</v>
      </c>
      <c r="J68" s="66"/>
      <c r="K68" s="66"/>
      <c r="L68" s="66"/>
    </row>
    <row r="69" spans="1:12" ht="24" customHeight="1">
      <c r="A69" s="12"/>
      <c r="B69" s="22"/>
      <c r="C69" s="31"/>
      <c r="D69" s="14" t="s">
        <v>55</v>
      </c>
      <c r="E69" s="4"/>
      <c r="F69" s="4"/>
      <c r="G69" s="4"/>
      <c r="H69" s="14"/>
      <c r="I69" s="14"/>
      <c r="J69" s="13"/>
      <c r="K69" s="13">
        <f>K56</f>
        <v>2247789.86</v>
      </c>
      <c r="L69" s="9"/>
    </row>
    <row r="70" spans="1:12" ht="24" customHeight="1">
      <c r="A70" s="12">
        <v>36</v>
      </c>
      <c r="B70" s="22" t="s">
        <v>82</v>
      </c>
      <c r="C70" s="31" t="s">
        <v>86</v>
      </c>
      <c r="D70" s="16" t="s">
        <v>87</v>
      </c>
      <c r="E70" s="4" t="s">
        <v>58</v>
      </c>
      <c r="F70" s="4">
        <v>15</v>
      </c>
      <c r="G70" s="4" t="s">
        <v>53</v>
      </c>
      <c r="H70" s="14">
        <v>1</v>
      </c>
      <c r="I70" s="14">
        <v>1</v>
      </c>
      <c r="J70" s="50">
        <v>695.5</v>
      </c>
      <c r="K70" s="13">
        <f>SUM(J70*I70)</f>
        <v>695.5</v>
      </c>
      <c r="L70" s="55" t="s">
        <v>122</v>
      </c>
    </row>
    <row r="71" spans="1:12" ht="24" customHeight="1">
      <c r="A71" s="12">
        <v>37</v>
      </c>
      <c r="B71" s="22" t="s">
        <v>88</v>
      </c>
      <c r="C71" s="31" t="s">
        <v>89</v>
      </c>
      <c r="D71" s="16" t="s">
        <v>90</v>
      </c>
      <c r="E71" s="4" t="s">
        <v>58</v>
      </c>
      <c r="F71" s="4">
        <v>14</v>
      </c>
      <c r="G71" s="4" t="s">
        <v>53</v>
      </c>
      <c r="H71" s="14">
        <v>1</v>
      </c>
      <c r="I71" s="14">
        <v>1</v>
      </c>
      <c r="J71" s="50">
        <v>14800</v>
      </c>
      <c r="K71" s="13">
        <f t="shared" ref="K71:K80" si="2">SUM(J71*I71)</f>
        <v>14800</v>
      </c>
      <c r="L71" s="55" t="s">
        <v>112</v>
      </c>
    </row>
    <row r="72" spans="1:12" ht="24" customHeight="1">
      <c r="A72" s="12">
        <v>38</v>
      </c>
      <c r="B72" s="22" t="s">
        <v>88</v>
      </c>
      <c r="C72" s="31" t="s">
        <v>91</v>
      </c>
      <c r="D72" s="16" t="s">
        <v>92</v>
      </c>
      <c r="E72" s="4" t="s">
        <v>58</v>
      </c>
      <c r="F72" s="4">
        <v>14</v>
      </c>
      <c r="G72" s="4" t="s">
        <v>53</v>
      </c>
      <c r="H72" s="14">
        <v>1</v>
      </c>
      <c r="I72" s="14">
        <v>1</v>
      </c>
      <c r="J72" s="50">
        <v>3600</v>
      </c>
      <c r="K72" s="13">
        <f t="shared" si="2"/>
        <v>3600</v>
      </c>
      <c r="L72" s="56" t="s">
        <v>79</v>
      </c>
    </row>
    <row r="73" spans="1:12" ht="24" customHeight="1">
      <c r="A73" s="12">
        <v>39</v>
      </c>
      <c r="B73" s="22" t="s">
        <v>88</v>
      </c>
      <c r="C73" s="3" t="s">
        <v>93</v>
      </c>
      <c r="D73" s="1" t="s">
        <v>94</v>
      </c>
      <c r="E73" s="4" t="s">
        <v>47</v>
      </c>
      <c r="F73" s="4">
        <v>14</v>
      </c>
      <c r="G73" s="4" t="s">
        <v>53</v>
      </c>
      <c r="H73" s="5">
        <v>3</v>
      </c>
      <c r="I73" s="5">
        <v>3</v>
      </c>
      <c r="J73" s="50">
        <v>3400</v>
      </c>
      <c r="K73" s="13">
        <f t="shared" si="2"/>
        <v>10200</v>
      </c>
      <c r="L73" s="56" t="s">
        <v>123</v>
      </c>
    </row>
    <row r="74" spans="1:12" ht="24" customHeight="1">
      <c r="A74" s="12">
        <v>40</v>
      </c>
      <c r="B74" s="22" t="s">
        <v>88</v>
      </c>
      <c r="C74" s="31" t="s">
        <v>95</v>
      </c>
      <c r="D74" s="16" t="s">
        <v>96</v>
      </c>
      <c r="E74" s="4" t="s">
        <v>47</v>
      </c>
      <c r="F74" s="4">
        <v>14</v>
      </c>
      <c r="G74" s="4" t="s">
        <v>53</v>
      </c>
      <c r="H74" s="14">
        <v>2</v>
      </c>
      <c r="I74" s="14">
        <v>2</v>
      </c>
      <c r="J74" s="53">
        <v>2200</v>
      </c>
      <c r="K74" s="13">
        <f t="shared" si="2"/>
        <v>4400</v>
      </c>
      <c r="L74" s="56" t="s">
        <v>123</v>
      </c>
    </row>
    <row r="75" spans="1:12" ht="24" customHeight="1">
      <c r="A75" s="12">
        <v>41</v>
      </c>
      <c r="B75" s="22" t="s">
        <v>97</v>
      </c>
      <c r="C75" s="31" t="s">
        <v>98</v>
      </c>
      <c r="D75" s="16" t="s">
        <v>99</v>
      </c>
      <c r="E75" s="4" t="s">
        <v>58</v>
      </c>
      <c r="F75" s="4">
        <v>13</v>
      </c>
      <c r="G75" s="4" t="s">
        <v>53</v>
      </c>
      <c r="H75" s="14">
        <v>49</v>
      </c>
      <c r="I75" s="14">
        <v>49</v>
      </c>
      <c r="J75" s="50">
        <v>14000</v>
      </c>
      <c r="K75" s="13">
        <f t="shared" si="2"/>
        <v>686000</v>
      </c>
      <c r="L75" s="54" t="s">
        <v>111</v>
      </c>
    </row>
    <row r="76" spans="1:12" ht="24" customHeight="1">
      <c r="A76" s="12">
        <v>42</v>
      </c>
      <c r="B76" s="22" t="s">
        <v>97</v>
      </c>
      <c r="C76" s="31" t="s">
        <v>100</v>
      </c>
      <c r="D76" s="16" t="s">
        <v>25</v>
      </c>
      <c r="E76" s="4" t="s">
        <v>58</v>
      </c>
      <c r="F76" s="4">
        <v>13</v>
      </c>
      <c r="G76" s="4" t="s">
        <v>53</v>
      </c>
      <c r="H76" s="14">
        <v>49</v>
      </c>
      <c r="I76" s="14">
        <v>49</v>
      </c>
      <c r="J76" s="50">
        <v>13979.59</v>
      </c>
      <c r="K76" s="13">
        <f t="shared" si="2"/>
        <v>684999.91</v>
      </c>
      <c r="L76" s="54" t="s">
        <v>111</v>
      </c>
    </row>
    <row r="77" spans="1:12" ht="24" customHeight="1">
      <c r="A77" s="12">
        <v>43</v>
      </c>
      <c r="B77" s="22" t="s">
        <v>97</v>
      </c>
      <c r="C77" s="31" t="s">
        <v>101</v>
      </c>
      <c r="D77" s="16" t="s">
        <v>102</v>
      </c>
      <c r="E77" s="4" t="s">
        <v>58</v>
      </c>
      <c r="F77" s="4">
        <v>13</v>
      </c>
      <c r="G77" s="4" t="s">
        <v>53</v>
      </c>
      <c r="H77" s="14">
        <v>1</v>
      </c>
      <c r="I77" s="14">
        <v>1</v>
      </c>
      <c r="J77" s="50">
        <v>1006.25</v>
      </c>
      <c r="K77" s="13">
        <f t="shared" si="2"/>
        <v>1006.25</v>
      </c>
      <c r="L77" s="56" t="s">
        <v>115</v>
      </c>
    </row>
    <row r="78" spans="1:12" ht="24" customHeight="1">
      <c r="A78" s="12">
        <v>44</v>
      </c>
      <c r="B78" s="22">
        <v>2553</v>
      </c>
      <c r="C78" s="31" t="s">
        <v>103</v>
      </c>
      <c r="D78" s="16" t="s">
        <v>104</v>
      </c>
      <c r="E78" s="4" t="s">
        <v>47</v>
      </c>
      <c r="F78" s="4">
        <v>11</v>
      </c>
      <c r="G78" s="4" t="s">
        <v>53</v>
      </c>
      <c r="H78" s="14">
        <v>4</v>
      </c>
      <c r="I78" s="14">
        <v>4</v>
      </c>
      <c r="J78" s="50">
        <v>3000</v>
      </c>
      <c r="K78" s="13">
        <f t="shared" si="2"/>
        <v>12000</v>
      </c>
      <c r="L78" s="56" t="s">
        <v>124</v>
      </c>
    </row>
    <row r="79" spans="1:12" ht="24" customHeight="1">
      <c r="A79" s="12">
        <v>45</v>
      </c>
      <c r="B79" s="22">
        <v>2553</v>
      </c>
      <c r="C79" s="31" t="s">
        <v>105</v>
      </c>
      <c r="D79" s="16" t="s">
        <v>106</v>
      </c>
      <c r="E79" s="4" t="s">
        <v>47</v>
      </c>
      <c r="F79" s="4">
        <v>11</v>
      </c>
      <c r="G79" s="4" t="s">
        <v>53</v>
      </c>
      <c r="H79" s="14">
        <v>4</v>
      </c>
      <c r="I79" s="14">
        <v>4</v>
      </c>
      <c r="J79" s="50">
        <v>32000</v>
      </c>
      <c r="K79" s="13">
        <f t="shared" si="2"/>
        <v>128000</v>
      </c>
      <c r="L79" s="56" t="s">
        <v>109</v>
      </c>
    </row>
    <row r="80" spans="1:12" ht="24" customHeight="1">
      <c r="A80" s="12">
        <v>46</v>
      </c>
      <c r="B80" s="22">
        <v>2553</v>
      </c>
      <c r="C80" s="31" t="s">
        <v>107</v>
      </c>
      <c r="D80" s="16" t="s">
        <v>108</v>
      </c>
      <c r="E80" s="4" t="s">
        <v>47</v>
      </c>
      <c r="F80" s="4">
        <v>11</v>
      </c>
      <c r="G80" s="4" t="s">
        <v>53</v>
      </c>
      <c r="H80" s="14">
        <v>160</v>
      </c>
      <c r="I80" s="14">
        <v>160</v>
      </c>
      <c r="J80" s="50">
        <v>400</v>
      </c>
      <c r="K80" s="13">
        <f t="shared" si="2"/>
        <v>64000</v>
      </c>
      <c r="L80" s="56" t="s">
        <v>117</v>
      </c>
    </row>
    <row r="81" spans="1:12" ht="24" customHeight="1">
      <c r="A81" s="12"/>
      <c r="B81" s="22"/>
      <c r="C81" s="31"/>
      <c r="D81" s="16"/>
      <c r="E81" s="4"/>
      <c r="F81" s="4"/>
      <c r="G81" s="4"/>
      <c r="H81" s="14"/>
      <c r="I81" s="14"/>
      <c r="J81" s="50"/>
      <c r="K81" s="13"/>
      <c r="L81" s="8"/>
    </row>
    <row r="82" spans="1:12" ht="24" customHeight="1">
      <c r="A82" s="12"/>
      <c r="B82" s="22"/>
      <c r="C82" s="31"/>
      <c r="D82" s="16"/>
      <c r="E82" s="22"/>
      <c r="F82" s="22"/>
      <c r="G82" s="4"/>
      <c r="H82" s="14"/>
      <c r="I82" s="14"/>
      <c r="J82" s="13"/>
      <c r="K82" s="13"/>
      <c r="L82" s="8"/>
    </row>
    <row r="83" spans="1:12" ht="24" customHeight="1">
      <c r="A83" s="12"/>
      <c r="B83" s="22"/>
      <c r="C83" s="31"/>
      <c r="D83" s="16"/>
      <c r="E83" s="22"/>
      <c r="F83" s="22"/>
      <c r="G83" s="4"/>
      <c r="H83" s="14"/>
      <c r="I83" s="14"/>
      <c r="J83" s="13"/>
      <c r="K83" s="13"/>
      <c r="L83" s="8"/>
    </row>
    <row r="84" spans="1:12" ht="24" customHeight="1">
      <c r="A84" s="12"/>
      <c r="B84" s="22"/>
      <c r="C84" s="31"/>
      <c r="D84" s="16"/>
      <c r="E84" s="22"/>
      <c r="F84" s="22"/>
      <c r="G84" s="4"/>
      <c r="H84" s="14"/>
      <c r="I84" s="14"/>
      <c r="J84" s="13"/>
      <c r="K84" s="13"/>
      <c r="L84" s="8"/>
    </row>
    <row r="85" spans="1:12" ht="24" customHeight="1">
      <c r="A85" s="12"/>
      <c r="B85" s="22"/>
      <c r="C85" s="31"/>
      <c r="D85" s="16"/>
      <c r="E85" s="22"/>
      <c r="F85" s="22"/>
      <c r="G85" s="4"/>
      <c r="H85" s="14"/>
      <c r="I85" s="14"/>
      <c r="J85" s="13"/>
      <c r="K85" s="13"/>
      <c r="L85" s="8"/>
    </row>
    <row r="86" spans="1:12" ht="24" customHeight="1">
      <c r="A86" s="39"/>
      <c r="B86" s="40"/>
      <c r="C86" s="18"/>
      <c r="D86" s="17"/>
      <c r="E86" s="15"/>
      <c r="F86" s="15"/>
      <c r="G86" s="19"/>
      <c r="H86" s="21"/>
      <c r="I86" s="21"/>
      <c r="J86" s="20"/>
      <c r="K86" s="41"/>
      <c r="L86" s="10"/>
    </row>
    <row r="87" spans="1:12" ht="24" customHeight="1" thickBot="1">
      <c r="A87" s="57" t="s">
        <v>6</v>
      </c>
      <c r="B87" s="58"/>
      <c r="C87" s="58"/>
      <c r="D87" s="58"/>
      <c r="E87" s="58"/>
      <c r="F87" s="58"/>
      <c r="G87" s="58"/>
      <c r="H87" s="58"/>
      <c r="I87" s="58"/>
      <c r="J87" s="59"/>
      <c r="K87" s="34">
        <f>SUM(K69:K86)</f>
        <v>3857491.52</v>
      </c>
      <c r="L87" s="42"/>
    </row>
    <row r="88" spans="1:12" ht="24" customHeight="1" thickTop="1">
      <c r="A88" s="6"/>
      <c r="B88" s="6"/>
      <c r="C88" s="6"/>
      <c r="D88" s="6"/>
      <c r="E88" s="6"/>
      <c r="F88" s="6"/>
      <c r="G88" s="6"/>
      <c r="H88" s="6"/>
      <c r="I88" s="30"/>
      <c r="J88" s="6"/>
      <c r="K88" s="6"/>
      <c r="L88" s="11"/>
    </row>
    <row r="89" spans="1:12" ht="24" customHeight="1">
      <c r="A89" s="6"/>
      <c r="B89" s="32" t="s">
        <v>2</v>
      </c>
      <c r="C89" s="24" t="s">
        <v>17</v>
      </c>
      <c r="D89" s="6"/>
      <c r="E89" s="6"/>
      <c r="F89" s="6"/>
      <c r="G89" s="6"/>
      <c r="H89" s="6"/>
      <c r="L89" s="28"/>
    </row>
    <row r="90" spans="1:12" ht="24" customHeight="1">
      <c r="A90" s="6"/>
      <c r="B90" s="43"/>
      <c r="C90" s="24" t="s">
        <v>18</v>
      </c>
      <c r="D90" s="6"/>
      <c r="E90" s="6"/>
      <c r="F90" s="6"/>
      <c r="G90" s="6"/>
      <c r="H90" s="6"/>
      <c r="I90" s="61" t="s">
        <v>4</v>
      </c>
      <c r="J90" s="61"/>
      <c r="K90" s="61"/>
      <c r="L90" s="28"/>
    </row>
    <row r="91" spans="1:12" ht="24" customHeight="1">
      <c r="A91" s="6"/>
      <c r="D91" s="25"/>
      <c r="E91" s="26"/>
      <c r="F91" s="26"/>
      <c r="G91" s="6"/>
      <c r="H91" s="6"/>
      <c r="I91" s="61" t="s">
        <v>110</v>
      </c>
      <c r="J91" s="61"/>
      <c r="K91" s="61"/>
      <c r="L91" s="28"/>
    </row>
    <row r="92" spans="1:12" ht="24" customHeight="1">
      <c r="I92" s="61" t="s">
        <v>5</v>
      </c>
      <c r="J92" s="61"/>
      <c r="K92" s="61"/>
    </row>
  </sheetData>
  <mergeCells count="54">
    <mergeCell ref="L67:L68"/>
    <mergeCell ref="A87:J87"/>
    <mergeCell ref="I90:K90"/>
    <mergeCell ref="I91:K91"/>
    <mergeCell ref="I92:K92"/>
    <mergeCell ref="F67:F68"/>
    <mergeCell ref="G67:G68"/>
    <mergeCell ref="H67:I67"/>
    <mergeCell ref="J67:J68"/>
    <mergeCell ref="K67:K68"/>
    <mergeCell ref="A67:A68"/>
    <mergeCell ref="B67:B68"/>
    <mergeCell ref="C67:C68"/>
    <mergeCell ref="D67:D68"/>
    <mergeCell ref="E67:E68"/>
    <mergeCell ref="A56:J56"/>
    <mergeCell ref="I61:K61"/>
    <mergeCell ref="A64:L64"/>
    <mergeCell ref="A65:L65"/>
    <mergeCell ref="A66:L66"/>
    <mergeCell ref="I59:K59"/>
    <mergeCell ref="I60:K60"/>
    <mergeCell ref="A35:L35"/>
    <mergeCell ref="A36:A37"/>
    <mergeCell ref="B36:B37"/>
    <mergeCell ref="C36:C37"/>
    <mergeCell ref="D36:D37"/>
    <mergeCell ref="E36:E37"/>
    <mergeCell ref="F36:F37"/>
    <mergeCell ref="G36:G37"/>
    <mergeCell ref="H36:I36"/>
    <mergeCell ref="J36:J37"/>
    <mergeCell ref="K36:K37"/>
    <mergeCell ref="L36:L37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5:J25"/>
    <mergeCell ref="I28:K28"/>
    <mergeCell ref="I29:K29"/>
    <mergeCell ref="A33:L33"/>
    <mergeCell ref="A34:L34"/>
    <mergeCell ref="I30:K30"/>
  </mergeCells>
  <printOptions horizontalCentered="1"/>
  <pageMargins left="0.19685039370078741" right="0" top="0.39370078740157483" bottom="0.19685039370078741" header="0" footer="0"/>
  <pageSetup paperSize="9" scale="7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แผนกคอมพิวเตอร์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2021-11-01T06:55:13Z</cp:lastPrinted>
  <dcterms:created xsi:type="dcterms:W3CDTF">2017-11-14T01:32:33Z</dcterms:created>
  <dcterms:modified xsi:type="dcterms:W3CDTF">2022-05-23T11:05:02Z</dcterms:modified>
</cp:coreProperties>
</file>