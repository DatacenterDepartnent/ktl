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225"/>
  <workbookPr/>
  <mc:AlternateContent xmlns:mc="http://schemas.openxmlformats.org/markup-compatibility/2006">
    <mc:Choice Requires="x15">
      <x15ac:absPath xmlns:x15ac="http://schemas.microsoft.com/office/spreadsheetml/2010/11/ac" url="C:\Users\Pasdoo\Documents\งานพัสดุ ธนพร\ตรวจครุภัณฑ์ประจำปี\ตรวจสอบพัสดุ-ครุภัณฑ์ประจำปี 2564\เอกสารประกอบที่ 2\งาน\"/>
    </mc:Choice>
  </mc:AlternateContent>
  <xr:revisionPtr revIDLastSave="0" documentId="13_ncr:1_{64026886-641C-4682-87E1-A3961DF8607D}" xr6:coauthVersionLast="47" xr6:coauthVersionMax="47" xr10:uidLastSave="{00000000-0000-0000-0000-000000000000}"/>
  <bookViews>
    <workbookView xWindow="-120" yWindow="-120" windowWidth="24240" windowHeight="13140" tabRatio="897" xr2:uid="{00000000-000D-0000-FFFF-FFFF00000000}"/>
  </bookViews>
  <sheets>
    <sheet name="งานอาคารสถานที่" sheetId="25" r:id="rId1"/>
  </sheets>
  <definedNames>
    <definedName name="_xlnm.Print_Titles" localSheetId="0">งานอาคารสถานที่!$1:$4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H148" i="25" l="1"/>
  <c r="H149" i="25" l="1"/>
  <c r="H147" i="25" l="1"/>
  <c r="H146" i="25"/>
  <c r="H145" i="25"/>
  <c r="H144" i="25"/>
  <c r="H141" i="25"/>
  <c r="H140" i="25" l="1"/>
  <c r="H139" i="25"/>
  <c r="H136" i="25"/>
  <c r="H137" i="25"/>
  <c r="H138" i="25"/>
  <c r="H134" i="25"/>
  <c r="H135" i="25"/>
  <c r="H133" i="25" l="1"/>
  <c r="H132" i="25"/>
  <c r="H6" i="25" l="1"/>
  <c r="H7" i="25"/>
  <c r="H8" i="25"/>
  <c r="H9" i="25"/>
  <c r="H10" i="25"/>
  <c r="H11" i="25"/>
  <c r="H12" i="25"/>
  <c r="H13" i="25"/>
  <c r="H14" i="25"/>
  <c r="H15" i="25"/>
  <c r="H16" i="25"/>
  <c r="H17" i="25"/>
  <c r="H18" i="25"/>
  <c r="H19" i="25"/>
  <c r="H20" i="25"/>
  <c r="H21" i="25"/>
  <c r="H22" i="25"/>
  <c r="H23" i="25"/>
  <c r="H24" i="25"/>
  <c r="H25" i="25"/>
  <c r="H26" i="25"/>
  <c r="H27" i="25"/>
  <c r="H28" i="25"/>
  <c r="H29" i="25"/>
  <c r="H30" i="25"/>
  <c r="H31" i="25"/>
  <c r="H32" i="25"/>
  <c r="H33" i="25"/>
  <c r="H34" i="25"/>
  <c r="H35" i="25"/>
  <c r="H36" i="25"/>
  <c r="H37" i="25"/>
  <c r="H38" i="25"/>
  <c r="H39" i="25"/>
  <c r="H40" i="25"/>
  <c r="H41" i="25"/>
  <c r="H42" i="25"/>
  <c r="H43" i="25"/>
  <c r="H44" i="25"/>
  <c r="H45" i="25"/>
  <c r="H46" i="25"/>
  <c r="H47" i="25"/>
  <c r="H48" i="25"/>
  <c r="H49" i="25"/>
  <c r="H52" i="25"/>
  <c r="H53" i="25"/>
  <c r="H54" i="25"/>
  <c r="H55" i="25"/>
  <c r="H56" i="25"/>
  <c r="H57" i="25"/>
  <c r="H58" i="25"/>
  <c r="H59" i="25"/>
  <c r="H60" i="25"/>
  <c r="H61" i="25"/>
  <c r="H62" i="25"/>
  <c r="H63" i="25"/>
  <c r="H64" i="25"/>
  <c r="H65" i="25"/>
  <c r="H66" i="25"/>
  <c r="H67" i="25"/>
  <c r="H68" i="25"/>
  <c r="H69" i="25"/>
  <c r="H70" i="25"/>
  <c r="H71" i="25"/>
  <c r="H72" i="25"/>
  <c r="H73" i="25"/>
  <c r="H74" i="25"/>
  <c r="H75" i="25"/>
  <c r="H76" i="25"/>
  <c r="H77" i="25"/>
  <c r="H78" i="25"/>
  <c r="H79" i="25"/>
  <c r="H80" i="25"/>
  <c r="H81" i="25"/>
  <c r="H82" i="25"/>
  <c r="H83" i="25"/>
  <c r="H84" i="25"/>
  <c r="H85" i="25"/>
  <c r="H86" i="25"/>
  <c r="H87" i="25"/>
  <c r="H88" i="25"/>
  <c r="H89" i="25"/>
  <c r="H90" i="25"/>
  <c r="H91" i="25"/>
  <c r="H92" i="25"/>
  <c r="H93" i="25"/>
  <c r="H94" i="25"/>
  <c r="H95" i="25"/>
  <c r="H98" i="25"/>
  <c r="H99" i="25"/>
  <c r="H100" i="25"/>
  <c r="H101" i="25"/>
  <c r="H102" i="25"/>
  <c r="H103" i="25"/>
  <c r="H104" i="25"/>
  <c r="H105" i="25"/>
  <c r="H106" i="25"/>
  <c r="H107" i="25"/>
  <c r="H108" i="25"/>
  <c r="H109" i="25"/>
  <c r="H110" i="25"/>
  <c r="H111" i="25"/>
  <c r="H112" i="25"/>
  <c r="H113" i="25"/>
  <c r="H114" i="25"/>
  <c r="H115" i="25"/>
  <c r="H116" i="25"/>
  <c r="H117" i="25"/>
  <c r="H118" i="25"/>
  <c r="H119" i="25"/>
  <c r="H120" i="25"/>
  <c r="H121" i="25"/>
  <c r="H122" i="25"/>
  <c r="H123" i="25"/>
  <c r="H124" i="25"/>
  <c r="H125" i="25"/>
  <c r="H126" i="25"/>
  <c r="H127" i="25"/>
  <c r="H128" i="25"/>
  <c r="H129" i="25"/>
  <c r="H130" i="25"/>
  <c r="H131" i="25"/>
  <c r="H5" i="25"/>
  <c r="H50" i="25" l="1"/>
  <c r="H51" i="25" s="1"/>
  <c r="H96" i="25" s="1"/>
  <c r="H97" i="25" s="1"/>
  <c r="H142" i="25" s="1"/>
  <c r="H143" i="25" s="1"/>
  <c r="H150" i="25" s="1"/>
</calcChain>
</file>

<file path=xl/sharedStrings.xml><?xml version="1.0" encoding="utf-8"?>
<sst xmlns="http://schemas.openxmlformats.org/spreadsheetml/2006/main" count="497" uniqueCount="274">
  <si>
    <t>รายการ ขนาด ลักษณะ</t>
  </si>
  <si>
    <t>จำนวน</t>
  </si>
  <si>
    <t>หมายเหตุ</t>
  </si>
  <si>
    <t>ตู้เหล็ก 2 บานเปิด</t>
  </si>
  <si>
    <t>งปม.</t>
  </si>
  <si>
    <t>บกศ.</t>
  </si>
  <si>
    <t>ตู้เหล็ก 4 ลิ้นชัก</t>
  </si>
  <si>
    <t>เครื่องคอมพิวเตอร์</t>
  </si>
  <si>
    <t>หัวหน้าหน่วยจ่าย/หน่วยเบิก</t>
  </si>
  <si>
    <t>ตู้เหล็ก  2  บานเปิด</t>
  </si>
  <si>
    <t>กล้องถ่ายภาพนิ่ง</t>
  </si>
  <si>
    <t xml:space="preserve"> สถานศึกษา วิทยาลัยเทคนิคกันทรลักษ์</t>
  </si>
  <si>
    <t>6720-005-0002/531-005</t>
  </si>
  <si>
    <t>เก้าอี้สำหรับห้องประชุม</t>
  </si>
  <si>
    <t>เก้าอี้ฟังคำบรรยาย</t>
  </si>
  <si>
    <t>7110-007-0010/391-001</t>
  </si>
  <si>
    <t>โต๊ะประชุม ขนาด 12 คน</t>
  </si>
  <si>
    <t>เครื่องทำน้ำเย็นสแตนดาร์ด</t>
  </si>
  <si>
    <t>โต๊ะทำงานระดับ 3-6</t>
  </si>
  <si>
    <t>7110-007-0005/391-001</t>
  </si>
  <si>
    <t>โต๊ะทำงานระดับ 7-9</t>
  </si>
  <si>
    <t>7110-007-0010/401-002</t>
  </si>
  <si>
    <t>7110-006-0001/403-001</t>
  </si>
  <si>
    <t>เก้าอี้สำนักงานล้อเลื่อนหลังโยก</t>
  </si>
  <si>
    <t>7110-006-0001/403-002</t>
  </si>
  <si>
    <t>7110-007-0003/403-001</t>
  </si>
  <si>
    <t>7110-007-0005/403-001-002</t>
  </si>
  <si>
    <t>4210-001-0001/403-001-005</t>
  </si>
  <si>
    <t>เครื่องปรับอากาศ</t>
  </si>
  <si>
    <t>9925-009-0001/412-001</t>
  </si>
  <si>
    <t>โต๊ะหมู่บูชา (หมู่ 9 หน้า 8)</t>
  </si>
  <si>
    <t>3750-002-0001/412-001</t>
  </si>
  <si>
    <t>รถตัดหญ้า 5.5</t>
  </si>
  <si>
    <t>4110-002-0002/422-001</t>
  </si>
  <si>
    <t>เครื่องทำน้ำเย็น</t>
  </si>
  <si>
    <t>9925-009-0001/422-002</t>
  </si>
  <si>
    <t>โต๊ะหมู่บูชา (หมู่ 5)</t>
  </si>
  <si>
    <t>เก้าอี้รับประทานอาหาร</t>
  </si>
  <si>
    <t>โต๊ะรับประทานอาหาร</t>
  </si>
  <si>
    <t>โต๊ะอเนกประสงค์</t>
  </si>
  <si>
    <t>โต๊ะทำงานระดับระดับ 1 - 2 พร้อมเก้าอี้</t>
  </si>
  <si>
    <t>3570-002-0001/432-001</t>
  </si>
  <si>
    <t>ชุดรับแขก</t>
  </si>
  <si>
    <t>7110-006-0001/432-001</t>
  </si>
  <si>
    <t>4110-002-0002/433-001-004</t>
  </si>
  <si>
    <t>พัดลมอุตสาหกรรม 20 "</t>
  </si>
  <si>
    <t>3750-002-0001/432-003</t>
  </si>
  <si>
    <t>รถตัดหญ้า 4 ล้อ</t>
  </si>
  <si>
    <t>3750-002-0001/432-004</t>
  </si>
  <si>
    <t>เครื่องตัดหญ้าแบบสายสพาย</t>
  </si>
  <si>
    <t>7490-015-0001/432-001</t>
  </si>
  <si>
    <t>เครื่องตัดสติกเกอร์ ROLAND</t>
  </si>
  <si>
    <t>4140-001-0001/442-006</t>
  </si>
  <si>
    <t>พัดลมติดผนัง</t>
  </si>
  <si>
    <t>5130-007-0001/442-001</t>
  </si>
  <si>
    <t>เครื่องเจียมือถือ 4" มากีต้า</t>
  </si>
  <si>
    <t>5130-009-0001/442-001</t>
  </si>
  <si>
    <t>สว่านโรตารี่ GBH - 2 BOSCH</t>
  </si>
  <si>
    <t>4530-001-0001/442-001</t>
  </si>
  <si>
    <t>เตาแก๊ส KBS หัวปรับลัคกีเฟรม + ขาตั้ง</t>
  </si>
  <si>
    <t>3220-003-0001/452-001</t>
  </si>
  <si>
    <t>จิกซอร์ 4300 มากีต้า</t>
  </si>
  <si>
    <t>3220-006-0001/452-001</t>
  </si>
  <si>
    <t>กบไสไม้ 1100  มากีต้า</t>
  </si>
  <si>
    <t>4330-001-0002/452-001</t>
  </si>
  <si>
    <t>ปั้มน้ำเวล ขนาด 1 1/2"</t>
  </si>
  <si>
    <t>4330-001-0002/452-002</t>
  </si>
  <si>
    <t>ปั้มน้ำมิตซู  ขนาด 2" 2 PH</t>
  </si>
  <si>
    <t>7110-007-0003/462-001-002</t>
  </si>
  <si>
    <t>7110-007-0005/462-001</t>
  </si>
  <si>
    <t>4110-002-0002/462-002</t>
  </si>
  <si>
    <t>เครื่องทำน้ำเย็น 4 หัว</t>
  </si>
  <si>
    <t>4140-001-0001/463-003-018</t>
  </si>
  <si>
    <t>5130-009-0001/462-002</t>
  </si>
  <si>
    <t>สว่านไฟฟ้ากระแทก</t>
  </si>
  <si>
    <t>3445-002-0001/462-001</t>
  </si>
  <si>
    <t>เครื่องตัดไฟเบอร์  14  มาสต้า</t>
  </si>
  <si>
    <t>7910-003-0001/461-002</t>
  </si>
  <si>
    <t>เครื่องดูดฝุ่น</t>
  </si>
  <si>
    <t>4210-001-0001/472-001</t>
  </si>
  <si>
    <t>4210-001-0001/473-006</t>
  </si>
  <si>
    <t>7110-001-0001/481-001-005</t>
  </si>
  <si>
    <t>3750-002-0001/482-001</t>
  </si>
  <si>
    <t>โครงรถตัดหญ้า 2 ล้อ</t>
  </si>
  <si>
    <t>3750-002-0001/482-005</t>
  </si>
  <si>
    <t>7110-006-0006/481-001-280</t>
  </si>
  <si>
    <t>เก้าอี้ขาคู่หน้าไม้ยาง</t>
  </si>
  <si>
    <t>5210-002-0001/482-001</t>
  </si>
  <si>
    <t>เลื่อยวงเดือน 9 นิ้ว</t>
  </si>
  <si>
    <t>2805-001-0002/482-001</t>
  </si>
  <si>
    <t>เครื่องยนต์สูบเฉียง 5.5 HONDA</t>
  </si>
  <si>
    <t>3510-003-0001/484-001</t>
  </si>
  <si>
    <t>เครื่องซักผ้า</t>
  </si>
  <si>
    <t>7110-001-0001/492-048-068</t>
  </si>
  <si>
    <t>7110-0006-0004/494-161-580</t>
  </si>
  <si>
    <t>4110-002-0002/492-003-004</t>
  </si>
  <si>
    <t>เครื่องทำน้ำเย็น 5 หัว</t>
  </si>
  <si>
    <t>4110-002-0002/492-005-006</t>
  </si>
  <si>
    <t>เครื่องทำน้ำเย็น  6  หัว</t>
  </si>
  <si>
    <t>9925-009-0002/492-003</t>
  </si>
  <si>
    <t>โต๊ะหมู่บูชา ขนาด 9 * 9</t>
  </si>
  <si>
    <t>4210-001-0001/494-001-002</t>
  </si>
  <si>
    <t>7110-006-0004/504-581-700</t>
  </si>
  <si>
    <t>4330-001-0002/502-003</t>
  </si>
  <si>
    <t>ปั้มหอยโข่ง</t>
  </si>
  <si>
    <t>7110-002-0006/502-088-089</t>
  </si>
  <si>
    <t>ตู้เหล็ก 2 บานเลื่อนกระจก</t>
  </si>
  <si>
    <t>7125-002-0002/502-009-010</t>
  </si>
  <si>
    <t>7110-002-0005/502-013</t>
  </si>
  <si>
    <t>7440-001-0001/502-055</t>
  </si>
  <si>
    <t>7110-007-0001/502-009</t>
  </si>
  <si>
    <t>โต๊ะเครื่องคอมพิวเตอร์</t>
  </si>
  <si>
    <t>4140-001-0002/514-001-008</t>
  </si>
  <si>
    <t>พัดลมไอน้ำ</t>
  </si>
  <si>
    <t>7110-001-0003/512-006</t>
  </si>
  <si>
    <t>โต๊ะเหล็ก 5 ฟุต TC - 3060  BESTER</t>
  </si>
  <si>
    <t>7110-006-0007/512-005</t>
  </si>
  <si>
    <t>เก้าอี้สำนักงาน  S - 35 หนัง</t>
  </si>
  <si>
    <t>7490-015-0001/512-002</t>
  </si>
  <si>
    <t>เครื่องตัดสติกเกอร์ ROLAN SV-15</t>
  </si>
  <si>
    <t>8350-001-0001/521-007-013</t>
  </si>
  <si>
    <t>ผ้าม่านพร้อมอุปกรณ์</t>
  </si>
  <si>
    <t>3450-002-0001/521-001</t>
  </si>
  <si>
    <t>เครื่องขัดพื้น CLEAN WORLD 18 นิ้ว TIP</t>
  </si>
  <si>
    <t>5925-001-0001/521-001</t>
  </si>
  <si>
    <t>เซอร์กิจเบเกอร์ 400A350</t>
  </si>
  <si>
    <t>7430-008-0002/531-017</t>
  </si>
  <si>
    <t>HP Laserjet P1005</t>
  </si>
  <si>
    <t>4140-001-0003/532-001-009</t>
  </si>
  <si>
    <t>พัดลมไอน้ำขนาด 26"  พร้อมอุปกรณ์</t>
  </si>
  <si>
    <t>8350-001-0001/531-014-015</t>
  </si>
  <si>
    <t>ผ้าม่านพร้อมติดตั้ง ขนาด 376*200 ซ.ม.</t>
  </si>
  <si>
    <t>8350-001-0001/531-016-017</t>
  </si>
  <si>
    <t>ผ้าม่านพร้อมติดตั้ง ขนาด 356*230 ซ.ม.</t>
  </si>
  <si>
    <t>8350-001-0001/531-018-019</t>
  </si>
  <si>
    <t>ผ้าม่านพร้อมติดตั้ง ขนาด 260*230 ซ.ม.</t>
  </si>
  <si>
    <t>8350-001-0001/531-020-021</t>
  </si>
  <si>
    <t>ผ้าม่านพร้อมติดตั้ง ขนาด 96*105 ซ.ม.</t>
  </si>
  <si>
    <t>8350-001-0001/531-022-023</t>
  </si>
  <si>
    <t>ผ้าม่านพร้อมติดตั้ง ขนาด 360*220 ซ.ม.</t>
  </si>
  <si>
    <t>8350-001-0001/531-024-025</t>
  </si>
  <si>
    <t>ผ้าม่านพร้อมติดตั้ง ขนาด 260*220 ซ.ม.</t>
  </si>
  <si>
    <t>8350-001-0001/531-026-027</t>
  </si>
  <si>
    <t>ผ้าม่านพร้อมติดตั้ง ขนาด 100*95 ซ.ม.</t>
  </si>
  <si>
    <t>2310-004-0001/532-002</t>
  </si>
  <si>
    <t>รถยนต์โตโยต้า ไฮเอช  สีเทา</t>
  </si>
  <si>
    <t>7110-002-0005/531-029</t>
  </si>
  <si>
    <t>7110-002-0006/531-025</t>
  </si>
  <si>
    <t>ตู้  2  บานเลือนกระจก  4  ฟุต</t>
  </si>
  <si>
    <t>4120-001-0003/551-008-009</t>
  </si>
  <si>
    <t>เครื่องปรับอากาศมิสซูบิซิ 32,000 บีทียู</t>
  </si>
  <si>
    <t>7110-007-0013/551-001-016</t>
  </si>
  <si>
    <t>ชุดโต๊ะประชุม 16 ที่นั่ง พร้อมเก้าอี้</t>
  </si>
  <si>
    <t>ชุดโต๊ะประชุม 8 ที่นั่ง พร้อมเก้าอี้</t>
  </si>
  <si>
    <t>4610-007-0001/551-001-002</t>
  </si>
  <si>
    <t>เครื่องกรองน้ำ</t>
  </si>
  <si>
    <t>4110-003-0001/551-001-002</t>
  </si>
  <si>
    <t>ตู้น้ำกิน 6 ก๊อก ขนาด 3/8</t>
  </si>
  <si>
    <t>7240-004-0001/582-001(2)</t>
  </si>
  <si>
    <t>ถังน้ำสแตนเลสขนาด 2000 ลิตร</t>
  </si>
  <si>
    <t xml:space="preserve">ปั๊มน้ำ MITSUBISHI 380V 2 นิ้ว 3แรง </t>
  </si>
  <si>
    <t>3750-0204-6001(4)</t>
  </si>
  <si>
    <t>เครื่องตัดหญ้า แบบสพายข้าง</t>
  </si>
  <si>
    <t>ชุดเก้าอี้หลุย</t>
  </si>
  <si>
    <t>เครื่องตัดหญ้า แบบรถเข็น 2 ล้อ</t>
  </si>
  <si>
    <t>เครื่องเลื่อยโซ่ยนต์เลเซอร์</t>
  </si>
  <si>
    <t>บันไดสไลด์ ขนาด 14 ขั้น</t>
  </si>
  <si>
    <t>7105-014-0001/622-001(3)</t>
  </si>
  <si>
    <t>เครื่องปรับอากาศแบบเคลื่อนที่ PA-90 AJ</t>
  </si>
  <si>
    <t>4120-001-0001/622-001(2)</t>
  </si>
  <si>
    <t>3750-002-0001/622-001(3)</t>
  </si>
  <si>
    <t>ปั้มลมแบบลูกสูบ ขนาด 30 ลิตร</t>
  </si>
  <si>
    <t>4310-001-0001/622-001</t>
  </si>
  <si>
    <t>3210-002-0001/622-001</t>
  </si>
  <si>
    <t>4240-012-0001/622-001</t>
  </si>
  <si>
    <t>ตู้น้ำเย็นแบบ 2 ก๊อก DP-522 HC-MAZMA</t>
  </si>
  <si>
    <t>4110-002-0001/622-001(5)</t>
  </si>
  <si>
    <t>พัดลมอุตสาหกรรม 30 " MC-305 SMIRA</t>
  </si>
  <si>
    <t>4140-001-0002/622-001(10)</t>
  </si>
  <si>
    <t>เลื่อยวงเดือน 9 นิ้ว JC-5905 PUMPKIN</t>
  </si>
  <si>
    <t>3220-003-0001/622-001</t>
  </si>
  <si>
    <t>4140-001-0001/622-001(60)</t>
  </si>
  <si>
    <t>พัดลมโคจร</t>
  </si>
  <si>
    <t>หินเจียมือขนาด 4 นิ้ว</t>
  </si>
  <si>
    <t>4910-014-000/632-001</t>
  </si>
  <si>
    <t>3750-002-0002/632-001</t>
  </si>
  <si>
    <t>รถตัดหญ้าแบบ 4 ล้อเข็น</t>
  </si>
  <si>
    <t>3750-002-0001/632-001</t>
  </si>
  <si>
    <t>7105-005-0001/632-001(5)</t>
  </si>
  <si>
    <t>7910-0032-001/632-001</t>
  </si>
  <si>
    <t>บริจาค</t>
  </si>
  <si>
    <t>พัดลมตั้งพื้น แบบสไลด์ได้</t>
  </si>
  <si>
    <t>เก้าอี้สนามไม้</t>
  </si>
  <si>
    <t>4140-001-0001/632-031-060</t>
  </si>
  <si>
    <t>4140-001-0001/632-001-030</t>
  </si>
  <si>
    <t>ปกศ.</t>
  </si>
  <si>
    <t>โต๊ะทำงานระดับ 1 - 2 พร้อมเก้าอี้</t>
  </si>
  <si>
    <t>ลำดับ
ที่</t>
  </si>
  <si>
    <t>ได้มา
โดยวิธี</t>
  </si>
  <si>
    <t>ราคา
หน่วยละ</t>
  </si>
  <si>
    <t>วัน เดือน ปี 
ที่ได้รับ</t>
  </si>
  <si>
    <t xml:space="preserve">หมายเลขประจำ
วัสดุ-ครุภัณฑ์ </t>
  </si>
  <si>
    <t xml:space="preserve">รวมเป็นเงิน </t>
  </si>
  <si>
    <t>เป็นเงิน</t>
  </si>
  <si>
    <t>ยอดยกไป</t>
  </si>
  <si>
    <t>ยอดยกมา</t>
  </si>
  <si>
    <t xml:space="preserve"> ....................................................</t>
  </si>
  <si>
    <t>(นายสมาน  คำขาว</t>
  </si>
  <si>
    <t>ประจำปี 2564  ณ วันที่ 30 กันยายน 2564</t>
  </si>
  <si>
    <t>7195-008-0001/642-001</t>
  </si>
  <si>
    <t>ตู้ชั้นวางทีวี 85 นิ้ว</t>
  </si>
  <si>
    <t>7105-006-0001/642-001</t>
  </si>
  <si>
    <t>7105-006-0002/642-001(3)</t>
  </si>
  <si>
    <t xml:space="preserve">โต๊ะกลางหน้าหิน </t>
  </si>
  <si>
    <t>โต๊ะน้ำชาหน้ากระจกกลม+เก้าอี้หวายเทียม 2 ตัว</t>
  </si>
  <si>
    <t>4140-001-0001/432-001(3)</t>
  </si>
  <si>
    <t>7110-006-0004/444-081-160</t>
  </si>
  <si>
    <t>7110-0006-0004/434-001-080</t>
  </si>
  <si>
    <t>7110-006-0003/391-001-400</t>
  </si>
  <si>
    <t>7110-006-0004/391-001-200</t>
  </si>
  <si>
    <t>7110-006-0004/392-001-075</t>
  </si>
  <si>
    <t>4110-002-0002/391-001-002</t>
  </si>
  <si>
    <t>7110-007-0003/391-001-015</t>
  </si>
  <si>
    <t>7110-006-0004/401-201-400</t>
  </si>
  <si>
    <t>7110-006-0005/424-001-072</t>
  </si>
  <si>
    <t>7110-007-0018/424-001-036</t>
  </si>
  <si>
    <t>7110-007-0019/424-001-020</t>
  </si>
  <si>
    <t>7110-001-0001/432-001-015</t>
  </si>
  <si>
    <t>7110-001-0001/434-001-015</t>
  </si>
  <si>
    <t>7110-006-0004/432-076-120</t>
  </si>
  <si>
    <t>7110-001-0001/462-016-019</t>
  </si>
  <si>
    <t>7110-006-0004/462-121-200</t>
  </si>
  <si>
    <t>4140-001-0001/463-001-002</t>
  </si>
  <si>
    <t>7110-001-0001/472-036-038</t>
  </si>
  <si>
    <t>7110-001-0001/472-027-035</t>
  </si>
  <si>
    <t>7110-001-0001/472-039-042</t>
  </si>
  <si>
    <t>4210-001-0001/472-001-002</t>
  </si>
  <si>
    <t>4210-001-0001/472-003-004</t>
  </si>
  <si>
    <t>7110-007-0014/551-017-024</t>
  </si>
  <si>
    <t>7105-006-0002/642-001</t>
  </si>
  <si>
    <t>โต๊ะน้ำชา 2 ที่นั่ง (แบบเหลี่ยม)</t>
  </si>
  <si>
    <t>7105-006-0003/642-001</t>
  </si>
  <si>
    <t>โต๊ะประชุม ขนาด 8 ที่นั่ง</t>
  </si>
  <si>
    <t>4140-001-0003/642-001</t>
  </si>
  <si>
    <t>พัดลมประหยัดพลังงาน ขนาด 6.5 เมตร</t>
  </si>
  <si>
    <t>7110-006-0005/642-001-040</t>
  </si>
  <si>
    <t>เก้าอี้นั่งฟังคำบรรยาย</t>
  </si>
  <si>
    <t>4120-001-0001/642-001</t>
  </si>
  <si>
    <t>เครื่องปรับอากาศ 12,000 BTU</t>
  </si>
  <si>
    <t>4120-001-0001/642-002</t>
  </si>
  <si>
    <t>เครื่องปรับอากาศ 24,000 BTU</t>
  </si>
  <si>
    <t>4120-001-0001/642-003</t>
  </si>
  <si>
    <t>4140-001-0005/642-001(12)</t>
  </si>
  <si>
    <t>พัดลมติดเพดาน</t>
  </si>
  <si>
    <t>7110-007-0001/642-001(4)</t>
  </si>
  <si>
    <t>โต๊ะชั้นตรี ระดับ 1-2 (โต๊ะทำงานเหล็กพร้อมกระจก)</t>
  </si>
  <si>
    <t>7110-006-0001/642-001(4)</t>
  </si>
  <si>
    <t>เก้าอี้ระดับ 1-2</t>
  </si>
  <si>
    <t>4120-001-0001/642-004-008</t>
  </si>
  <si>
    <t>4140-001-0005/642-013-038</t>
  </si>
  <si>
    <t>2539</t>
  </si>
  <si>
    <t>2540</t>
  </si>
  <si>
    <t>2545</t>
  </si>
  <si>
    <t>2546</t>
  </si>
  <si>
    <t>2550</t>
  </si>
  <si>
    <t>2549</t>
  </si>
  <si>
    <t>2555</t>
  </si>
  <si>
    <t>2541</t>
  </si>
  <si>
    <t>2542</t>
  </si>
  <si>
    <t>2544</t>
  </si>
  <si>
    <t>บัญชีรายการ งานอาคารสถานที่  คงเหลือ</t>
  </si>
  <si>
    <t>2558</t>
  </si>
  <si>
    <t>2320-008-0002/643-001</t>
  </si>
  <si>
    <t>รถกระบะ 4 ประตู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</si>
</sst>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9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4"/>
      <name val="Cordia New"/>
      <family val="2"/>
    </font>
    <font>
      <sz val="16"/>
      <name val="TH SarabunPSK"/>
      <family val="2"/>
    </font>
    <font>
      <sz val="16"/>
      <color theme="1"/>
      <name val="TH SarabunPSK"/>
      <family val="2"/>
    </font>
    <font>
      <sz val="10"/>
      <name val="Arial"/>
      <family val="2"/>
    </font>
    <font>
      <b/>
      <sz val="16"/>
      <color theme="1"/>
      <name val="TH SarabunPSK"/>
      <family val="2"/>
    </font>
    <font>
      <b/>
      <sz val="16"/>
      <name val="TH SarabunPSK"/>
      <family val="2"/>
    </font>
    <font>
      <sz val="16"/>
      <color rgb="FFFF0000"/>
      <name val="TH SarabunPSK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</cellStyleXfs>
  <cellXfs count="79">
    <xf numFmtId="0" fontId="0" fillId="0" borderId="0" xfId="0"/>
    <xf numFmtId="0" fontId="3" fillId="0" borderId="1" xfId="6" applyFont="1" applyBorder="1"/>
    <xf numFmtId="0" fontId="4" fillId="0" borderId="0" xfId="0" applyFont="1"/>
    <xf numFmtId="0" fontId="3" fillId="0" borderId="1" xfId="6" applyFont="1" applyBorder="1" applyAlignment="1">
      <alignment horizontal="left"/>
    </xf>
    <xf numFmtId="49" fontId="3" fillId="0" borderId="1" xfId="0" applyNumberFormat="1" applyFont="1" applyBorder="1" applyAlignment="1">
      <alignment horizontal="center"/>
    </xf>
    <xf numFmtId="0" fontId="4" fillId="0" borderId="0" xfId="0" applyFont="1" applyBorder="1"/>
    <xf numFmtId="15" fontId="4" fillId="0" borderId="1" xfId="0" applyNumberFormat="1" applyFont="1" applyBorder="1" applyAlignment="1">
      <alignment horizontal="center"/>
    </xf>
    <xf numFmtId="0" fontId="4" fillId="0" borderId="1" xfId="0" applyFont="1" applyFill="1" applyBorder="1" applyAlignment="1">
      <alignment horizontal="center"/>
    </xf>
    <xf numFmtId="0" fontId="4" fillId="0" borderId="0" xfId="0" applyFont="1" applyFill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3" fillId="0" borderId="1" xfId="0" applyFont="1" applyBorder="1"/>
    <xf numFmtId="0" fontId="3" fillId="0" borderId="1" xfId="6" applyFont="1" applyBorder="1" applyAlignment="1">
      <alignment horizontal="left" vertical="center"/>
    </xf>
    <xf numFmtId="49" fontId="3" fillId="0" borderId="1" xfId="7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" xfId="2" applyFont="1" applyFill="1" applyBorder="1" applyAlignment="1">
      <alignment horizontal="center"/>
    </xf>
    <xf numFmtId="43" fontId="3" fillId="0" borderId="1" xfId="1" applyFont="1" applyFill="1" applyBorder="1" applyAlignment="1">
      <alignment horizontal="center"/>
    </xf>
    <xf numFmtId="43" fontId="3" fillId="0" borderId="1" xfId="12" applyNumberFormat="1" applyFont="1" applyBorder="1" applyAlignment="1">
      <alignment horizontal="center"/>
    </xf>
    <xf numFmtId="0" fontId="3" fillId="0" borderId="1" xfId="6" applyFont="1" applyFill="1" applyBorder="1" applyAlignment="1">
      <alignment horizontal="center"/>
    </xf>
    <xf numFmtId="49" fontId="3" fillId="0" borderId="1" xfId="13" applyNumberFormat="1" applyFont="1" applyBorder="1" applyAlignment="1">
      <alignment horizontal="center"/>
    </xf>
    <xf numFmtId="0" fontId="3" fillId="0" borderId="1" xfId="0" applyFont="1" applyFill="1" applyBorder="1" applyAlignment="1">
      <alignment horizontal="center"/>
    </xf>
    <xf numFmtId="15" fontId="3" fillId="0" borderId="1" xfId="0" applyNumberFormat="1" applyFont="1" applyBorder="1" applyAlignment="1">
      <alignment horizontal="center"/>
    </xf>
    <xf numFmtId="43" fontId="3" fillId="0" borderId="1" xfId="1" applyFont="1" applyFill="1" applyBorder="1"/>
    <xf numFmtId="49" fontId="3" fillId="0" borderId="1" xfId="6" applyNumberFormat="1" applyFont="1" applyBorder="1" applyAlignment="1">
      <alignment horizontal="left"/>
    </xf>
    <xf numFmtId="43" fontId="3" fillId="0" borderId="1" xfId="12" applyFont="1" applyBorder="1" applyAlignment="1">
      <alignment horizontal="center"/>
    </xf>
    <xf numFmtId="49" fontId="3" fillId="0" borderId="1" xfId="6" applyNumberFormat="1" applyFont="1" applyBorder="1"/>
    <xf numFmtId="49" fontId="3" fillId="2" borderId="1" xfId="7" applyNumberFormat="1" applyFont="1" applyFill="1" applyBorder="1" applyAlignment="1">
      <alignment horizontal="center"/>
    </xf>
    <xf numFmtId="0" fontId="3" fillId="2" borderId="1" xfId="0" applyFont="1" applyFill="1" applyBorder="1"/>
    <xf numFmtId="0" fontId="4" fillId="0" borderId="1" xfId="0" applyFont="1" applyBorder="1" applyAlignment="1">
      <alignment horizontal="center" vertical="center" wrapText="1"/>
    </xf>
    <xf numFmtId="0" fontId="3" fillId="2" borderId="1" xfId="6" applyFont="1" applyFill="1" applyBorder="1" applyAlignment="1">
      <alignment horizontal="left"/>
    </xf>
    <xf numFmtId="0" fontId="4" fillId="0" borderId="0" xfId="0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0" xfId="0" applyFont="1" applyBorder="1" applyAlignment="1">
      <alignment horizontal="center" vertical="center"/>
    </xf>
    <xf numFmtId="0" fontId="3" fillId="0" borderId="0" xfId="9" applyFont="1" applyAlignment="1">
      <alignment horizontal="center" vertical="center"/>
    </xf>
    <xf numFmtId="43" fontId="4" fillId="0" borderId="0" xfId="0" applyNumberFormat="1" applyFont="1" applyBorder="1" applyAlignment="1">
      <alignment horizontal="center"/>
    </xf>
    <xf numFmtId="0" fontId="3" fillId="0" borderId="5" xfId="6" applyFont="1" applyBorder="1" applyAlignment="1">
      <alignment horizontal="left"/>
    </xf>
    <xf numFmtId="43" fontId="3" fillId="0" borderId="0" xfId="12" applyNumberFormat="1" applyFont="1" applyBorder="1" applyAlignment="1">
      <alignment horizontal="center"/>
    </xf>
    <xf numFmtId="43" fontId="4" fillId="0" borderId="0" xfId="0" applyNumberFormat="1" applyFont="1"/>
    <xf numFmtId="0" fontId="3" fillId="3" borderId="1" xfId="0" applyFont="1" applyFill="1" applyBorder="1" applyAlignment="1">
      <alignment horizontal="center" vertical="center"/>
    </xf>
    <xf numFmtId="0" fontId="3" fillId="0" borderId="6" xfId="6" applyFont="1" applyBorder="1" applyAlignment="1">
      <alignment horizontal="left"/>
    </xf>
    <xf numFmtId="0" fontId="3" fillId="0" borderId="7" xfId="6" applyFont="1" applyBorder="1" applyAlignment="1">
      <alignment horizontal="left" vertical="center"/>
    </xf>
    <xf numFmtId="43" fontId="3" fillId="0" borderId="6" xfId="1" applyFont="1" applyFill="1" applyBorder="1" applyAlignment="1">
      <alignment horizontal="center"/>
    </xf>
    <xf numFmtId="43" fontId="3" fillId="0" borderId="4" xfId="12" applyNumberFormat="1" applyFont="1" applyBorder="1" applyAlignment="1">
      <alignment horizontal="center"/>
    </xf>
    <xf numFmtId="43" fontId="3" fillId="0" borderId="0" xfId="12" applyFont="1" applyBorder="1" applyAlignment="1">
      <alignment horizontal="center"/>
    </xf>
    <xf numFmtId="0" fontId="3" fillId="0" borderId="5" xfId="6" applyFont="1" applyFill="1" applyBorder="1" applyAlignment="1">
      <alignment horizontal="center"/>
    </xf>
    <xf numFmtId="43" fontId="3" fillId="0" borderId="5" xfId="1" applyFont="1" applyFill="1" applyBorder="1" applyAlignment="1">
      <alignment horizontal="center"/>
    </xf>
    <xf numFmtId="0" fontId="3" fillId="2" borderId="5" xfId="6" applyFont="1" applyFill="1" applyBorder="1" applyAlignment="1">
      <alignment horizontal="left"/>
    </xf>
    <xf numFmtId="0" fontId="6" fillId="0" borderId="0" xfId="0" applyFont="1" applyFill="1" applyBorder="1" applyAlignment="1">
      <alignment horizontal="center"/>
    </xf>
    <xf numFmtId="0" fontId="3" fillId="0" borderId="0" xfId="2" applyFont="1" applyFill="1" applyBorder="1" applyAlignment="1">
      <alignment horizontal="center"/>
    </xf>
    <xf numFmtId="43" fontId="4" fillId="0" borderId="0" xfId="0" applyNumberFormat="1" applyFont="1" applyFill="1" applyBorder="1" applyAlignment="1">
      <alignment horizontal="center"/>
    </xf>
    <xf numFmtId="43" fontId="4" fillId="0" borderId="0" xfId="0" applyNumberFormat="1" applyFont="1" applyFill="1" applyBorder="1"/>
    <xf numFmtId="0" fontId="4" fillId="0" borderId="0" xfId="0" applyFont="1" applyBorder="1" applyAlignment="1">
      <alignment horizontal="left"/>
    </xf>
    <xf numFmtId="0" fontId="4" fillId="0" borderId="0" xfId="0" applyFont="1" applyFill="1" applyBorder="1"/>
    <xf numFmtId="43" fontId="8" fillId="0" borderId="0" xfId="0" applyNumberFormat="1" applyFont="1"/>
    <xf numFmtId="0" fontId="4" fillId="0" borderId="0" xfId="0" applyFont="1" applyAlignment="1">
      <alignment horizontal="left"/>
    </xf>
    <xf numFmtId="0" fontId="4" fillId="0" borderId="0" xfId="0" applyFont="1" applyFill="1"/>
    <xf numFmtId="0" fontId="3" fillId="3" borderId="1" xfId="0" applyFont="1" applyFill="1" applyBorder="1" applyAlignment="1">
      <alignment vertical="center"/>
    </xf>
    <xf numFmtId="0" fontId="4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5" fontId="3" fillId="3" borderId="1" xfId="0" applyNumberFormat="1" applyFont="1" applyFill="1" applyBorder="1" applyAlignment="1">
      <alignment horizontal="right" vertical="center"/>
    </xf>
    <xf numFmtId="0" fontId="3" fillId="3" borderId="1" xfId="0" applyFont="1" applyFill="1" applyBorder="1" applyAlignment="1">
      <alignment horizontal="left" vertical="center"/>
    </xf>
    <xf numFmtId="0" fontId="4" fillId="0" borderId="0" xfId="0" applyFont="1" applyBorder="1" applyAlignment="1">
      <alignment horizontal="center"/>
    </xf>
    <xf numFmtId="15" fontId="3" fillId="3" borderId="1" xfId="0" applyNumberFormat="1" applyFont="1" applyFill="1" applyBorder="1" applyAlignment="1">
      <alignment horizontal="center" vertical="center"/>
    </xf>
    <xf numFmtId="0" fontId="4" fillId="0" borderId="0" xfId="0" applyFont="1" applyBorder="1" applyAlignment="1">
      <alignment horizontal="center"/>
    </xf>
    <xf numFmtId="0" fontId="3" fillId="3" borderId="0" xfId="0" applyFont="1" applyFill="1" applyBorder="1" applyAlignment="1">
      <alignment horizontal="center" vertical="center"/>
    </xf>
    <xf numFmtId="0" fontId="3" fillId="3" borderId="0" xfId="0" applyFont="1" applyFill="1" applyBorder="1" applyAlignment="1">
      <alignment vertical="center"/>
    </xf>
    <xf numFmtId="43" fontId="3" fillId="0" borderId="0" xfId="1" applyFont="1" applyFill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9" applyFont="1" applyAlignment="1">
      <alignment horizontal="center" vertical="center"/>
    </xf>
    <xf numFmtId="0" fontId="6" fillId="0" borderId="0" xfId="0" applyFont="1" applyBorder="1" applyAlignment="1" applyProtection="1">
      <alignment horizontal="center"/>
      <protection locked="0"/>
    </xf>
    <xf numFmtId="0" fontId="4" fillId="0" borderId="0" xfId="0" applyFont="1" applyBorder="1" applyAlignment="1">
      <alignment horizontal="center"/>
    </xf>
    <xf numFmtId="49" fontId="3" fillId="0" borderId="2" xfId="13" applyNumberFormat="1" applyFont="1" applyBorder="1" applyAlignment="1">
      <alignment horizontal="right"/>
    </xf>
    <xf numFmtId="49" fontId="3" fillId="0" borderId="3" xfId="13" applyNumberFormat="1" applyFont="1" applyBorder="1" applyAlignment="1">
      <alignment horizontal="right"/>
    </xf>
    <xf numFmtId="49" fontId="3" fillId="0" borderId="4" xfId="13" applyNumberFormat="1" applyFont="1" applyBorder="1" applyAlignment="1">
      <alignment horizontal="right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</cellXfs>
  <cellStyles count="14">
    <cellStyle name="Normal_ครุภัณฑ์ปี  2553" xfId="8" xr:uid="{00000000-0005-0000-0000-000000000000}"/>
    <cellStyle name="เครื่องหมายจุลภาค 9" xfId="12" xr:uid="{00000000-0005-0000-0000-000002000000}"/>
    <cellStyle name="จุลภาค" xfId="1" builtinId="3"/>
    <cellStyle name="ปกติ" xfId="0" builtinId="0"/>
    <cellStyle name="ปกติ 10" xfId="4" xr:uid="{00000000-0005-0000-0000-000004000000}"/>
    <cellStyle name="ปกติ 12" xfId="7" xr:uid="{00000000-0005-0000-0000-000005000000}"/>
    <cellStyle name="ปกติ 14" xfId="3" xr:uid="{00000000-0005-0000-0000-000006000000}"/>
    <cellStyle name="ปกติ 19" xfId="13" xr:uid="{00000000-0005-0000-0000-000007000000}"/>
    <cellStyle name="ปกติ 21" xfId="2" xr:uid="{00000000-0005-0000-0000-000008000000}"/>
    <cellStyle name="ปกติ 22" xfId="5" xr:uid="{00000000-0005-0000-0000-000009000000}"/>
    <cellStyle name="ปกติ 3" xfId="9" xr:uid="{00000000-0005-0000-0000-00000A000000}"/>
    <cellStyle name="ปกติ 4" xfId="10" xr:uid="{00000000-0005-0000-0000-00000B000000}"/>
    <cellStyle name="ปกติ 5" xfId="11" xr:uid="{00000000-0005-0000-0000-00000C000000}"/>
    <cellStyle name="ปกติ_รายการครุภัณฑ์ ปี 52 ที่แก้ไขเรียงลำดับใหม่ 23 ก.พ.53" xfId="6" xr:uid="{00000000-0005-0000-0000-00000D000000}"/>
  </cellStyles>
  <dxfs count="0"/>
  <tableStyles count="0" defaultTableStyle="TableStyleMedium2" defaultPivotStyle="PivotStyleLight16"/>
  <colors>
    <mruColors>
      <color rgb="FF993300"/>
      <color rgb="FF0070C0"/>
      <color rgb="FFFF0066"/>
      <color rgb="FF7030A0"/>
      <color rgb="FF2F75B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857250</xdr:colOff>
      <xdr:row>0</xdr:row>
      <xdr:rowOff>152400</xdr:rowOff>
    </xdr:from>
    <xdr:to>
      <xdr:col>8</xdr:col>
      <xdr:colOff>457200</xdr:colOff>
      <xdr:row>1</xdr:row>
      <xdr:rowOff>161925</xdr:rowOff>
    </xdr:to>
    <xdr:sp macro="" textlink="">
      <xdr:nvSpPr>
        <xdr:cNvPr id="2" name="กล่องข้อความ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8448675" y="152400"/>
          <a:ext cx="1704975" cy="2952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2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7030A0"/>
  </sheetPr>
  <dimension ref="A1:L156"/>
  <sheetViews>
    <sheetView tabSelected="1" workbookViewId="0">
      <selection activeCell="F12" sqref="F12"/>
    </sheetView>
  </sheetViews>
  <sheetFormatPr defaultColWidth="9" defaultRowHeight="22.5" customHeight="1"/>
  <cols>
    <col min="1" max="1" width="5.28515625" style="2" customWidth="1"/>
    <col min="2" max="2" width="10.85546875" style="2" customWidth="1"/>
    <col min="3" max="3" width="29.28515625" style="55" customWidth="1"/>
    <col min="4" max="4" width="41.85546875" style="2" customWidth="1"/>
    <col min="5" max="5" width="6.140625" style="56" customWidth="1"/>
    <col min="6" max="6" width="6.28515625" style="56" customWidth="1"/>
    <col min="7" max="7" width="13.85546875" style="56" customWidth="1"/>
    <col min="8" max="8" width="13.7109375" style="56" customWidth="1"/>
    <col min="9" max="9" width="8.7109375" style="31" customWidth="1"/>
    <col min="10" max="10" width="15.140625" style="31" customWidth="1"/>
    <col min="11" max="12" width="13.140625" style="2" customWidth="1"/>
    <col min="13" max="16384" width="9" style="2"/>
  </cols>
  <sheetData>
    <row r="1" spans="1:12" ht="22.5" customHeight="1">
      <c r="A1" s="70" t="s">
        <v>11</v>
      </c>
      <c r="B1" s="70"/>
      <c r="C1" s="70"/>
      <c r="D1" s="70"/>
      <c r="E1" s="70"/>
      <c r="F1" s="70"/>
      <c r="G1" s="70"/>
      <c r="H1" s="70"/>
      <c r="I1" s="70"/>
    </row>
    <row r="2" spans="1:12" ht="22.5" customHeight="1">
      <c r="A2" s="71" t="s">
        <v>270</v>
      </c>
      <c r="B2" s="71"/>
      <c r="C2" s="71"/>
      <c r="D2" s="71"/>
      <c r="E2" s="71"/>
      <c r="F2" s="71"/>
      <c r="G2" s="71"/>
      <c r="H2" s="71"/>
      <c r="I2" s="71"/>
      <c r="J2" s="34"/>
    </row>
    <row r="3" spans="1:12" ht="22.5" customHeight="1">
      <c r="A3" s="72" t="s">
        <v>208</v>
      </c>
      <c r="B3" s="72"/>
      <c r="C3" s="72"/>
      <c r="D3" s="72"/>
      <c r="E3" s="72"/>
      <c r="F3" s="72"/>
      <c r="G3" s="72"/>
      <c r="H3" s="72"/>
      <c r="I3" s="72"/>
      <c r="J3" s="29"/>
    </row>
    <row r="4" spans="1:12" s="31" customFormat="1" ht="42" customHeight="1">
      <c r="A4" s="27" t="s">
        <v>197</v>
      </c>
      <c r="B4" s="27" t="s">
        <v>200</v>
      </c>
      <c r="C4" s="27" t="s">
        <v>201</v>
      </c>
      <c r="D4" s="9" t="s">
        <v>0</v>
      </c>
      <c r="E4" s="27" t="s">
        <v>198</v>
      </c>
      <c r="F4" s="9" t="s">
        <v>1</v>
      </c>
      <c r="G4" s="27" t="s">
        <v>199</v>
      </c>
      <c r="H4" s="27" t="s">
        <v>203</v>
      </c>
      <c r="I4" s="9" t="s">
        <v>2</v>
      </c>
      <c r="J4" s="33"/>
    </row>
    <row r="5" spans="1:12" ht="22.5" customHeight="1">
      <c r="A5" s="13">
        <v>1</v>
      </c>
      <c r="B5" s="4" t="s">
        <v>260</v>
      </c>
      <c r="C5" s="3" t="s">
        <v>218</v>
      </c>
      <c r="D5" s="11" t="s">
        <v>13</v>
      </c>
      <c r="E5" s="14" t="s">
        <v>4</v>
      </c>
      <c r="F5" s="14">
        <v>331</v>
      </c>
      <c r="G5" s="15">
        <v>500</v>
      </c>
      <c r="H5" s="15">
        <f>SUM(F5*G5)</f>
        <v>165500</v>
      </c>
      <c r="I5" s="16"/>
      <c r="J5" s="37"/>
      <c r="L5" s="38"/>
    </row>
    <row r="6" spans="1:12" ht="22.5" customHeight="1">
      <c r="A6" s="39">
        <v>2</v>
      </c>
      <c r="B6" s="4" t="s">
        <v>260</v>
      </c>
      <c r="C6" s="40" t="s">
        <v>219</v>
      </c>
      <c r="D6" s="41" t="s">
        <v>14</v>
      </c>
      <c r="E6" s="14" t="s">
        <v>4</v>
      </c>
      <c r="F6" s="14">
        <v>83</v>
      </c>
      <c r="G6" s="42">
        <v>600</v>
      </c>
      <c r="H6" s="15">
        <f t="shared" ref="H6:H71" si="0">SUM(F6*G6)</f>
        <v>49800</v>
      </c>
      <c r="I6" s="16"/>
      <c r="J6" s="37"/>
    </row>
    <row r="7" spans="1:12" ht="22.5" customHeight="1">
      <c r="A7" s="13">
        <v>3</v>
      </c>
      <c r="B7" s="4" t="s">
        <v>260</v>
      </c>
      <c r="C7" s="3" t="s">
        <v>220</v>
      </c>
      <c r="D7" s="1" t="s">
        <v>14</v>
      </c>
      <c r="E7" s="14" t="s">
        <v>5</v>
      </c>
      <c r="F7" s="14">
        <v>27</v>
      </c>
      <c r="G7" s="15">
        <v>600</v>
      </c>
      <c r="H7" s="15">
        <f t="shared" si="0"/>
        <v>16200</v>
      </c>
      <c r="I7" s="16"/>
      <c r="J7" s="37"/>
    </row>
    <row r="8" spans="1:12" ht="22.5" customHeight="1">
      <c r="A8" s="39">
        <v>4</v>
      </c>
      <c r="B8" s="4" t="s">
        <v>260</v>
      </c>
      <c r="C8" s="3" t="s">
        <v>15</v>
      </c>
      <c r="D8" s="1" t="s">
        <v>16</v>
      </c>
      <c r="E8" s="14" t="s">
        <v>4</v>
      </c>
      <c r="F8" s="14">
        <v>1</v>
      </c>
      <c r="G8" s="15">
        <v>15000</v>
      </c>
      <c r="H8" s="15">
        <f t="shared" si="0"/>
        <v>15000</v>
      </c>
      <c r="I8" s="16"/>
      <c r="J8" s="37"/>
    </row>
    <row r="9" spans="1:12" ht="22.5" customHeight="1">
      <c r="A9" s="13">
        <v>5</v>
      </c>
      <c r="B9" s="4" t="s">
        <v>260</v>
      </c>
      <c r="C9" s="3" t="s">
        <v>221</v>
      </c>
      <c r="D9" s="3" t="s">
        <v>17</v>
      </c>
      <c r="E9" s="14" t="s">
        <v>4</v>
      </c>
      <c r="F9" s="14">
        <v>2</v>
      </c>
      <c r="G9" s="15">
        <v>2350</v>
      </c>
      <c r="H9" s="15">
        <f t="shared" si="0"/>
        <v>4700</v>
      </c>
      <c r="I9" s="16"/>
      <c r="J9" s="37"/>
    </row>
    <row r="10" spans="1:12" ht="22.5" customHeight="1">
      <c r="A10" s="39">
        <v>6</v>
      </c>
      <c r="B10" s="4" t="s">
        <v>260</v>
      </c>
      <c r="C10" s="3" t="s">
        <v>222</v>
      </c>
      <c r="D10" s="3" t="s">
        <v>18</v>
      </c>
      <c r="E10" s="14" t="s">
        <v>4</v>
      </c>
      <c r="F10" s="14">
        <v>15</v>
      </c>
      <c r="G10" s="15">
        <v>2250</v>
      </c>
      <c r="H10" s="15">
        <f t="shared" si="0"/>
        <v>33750</v>
      </c>
      <c r="I10" s="16"/>
      <c r="J10" s="37"/>
    </row>
    <row r="11" spans="1:12" ht="22.5" customHeight="1">
      <c r="A11" s="13">
        <v>7</v>
      </c>
      <c r="B11" s="4" t="s">
        <v>260</v>
      </c>
      <c r="C11" s="3" t="s">
        <v>19</v>
      </c>
      <c r="D11" s="3" t="s">
        <v>20</v>
      </c>
      <c r="E11" s="14" t="s">
        <v>4</v>
      </c>
      <c r="F11" s="14">
        <v>1</v>
      </c>
      <c r="G11" s="15">
        <v>3800</v>
      </c>
      <c r="H11" s="15">
        <f t="shared" si="0"/>
        <v>3800</v>
      </c>
      <c r="I11" s="16"/>
      <c r="J11" s="37"/>
    </row>
    <row r="12" spans="1:12" ht="22.5" customHeight="1">
      <c r="A12" s="39">
        <v>8</v>
      </c>
      <c r="B12" s="4" t="s">
        <v>261</v>
      </c>
      <c r="C12" s="3" t="s">
        <v>223</v>
      </c>
      <c r="D12" s="1" t="s">
        <v>14</v>
      </c>
      <c r="E12" s="14" t="s">
        <v>4</v>
      </c>
      <c r="F12" s="14">
        <v>156</v>
      </c>
      <c r="G12" s="15">
        <v>600</v>
      </c>
      <c r="H12" s="15">
        <f t="shared" si="0"/>
        <v>93600</v>
      </c>
      <c r="I12" s="16"/>
      <c r="J12" s="37"/>
    </row>
    <row r="13" spans="1:12" ht="22.5" customHeight="1">
      <c r="A13" s="13">
        <v>9</v>
      </c>
      <c r="B13" s="4" t="s">
        <v>261</v>
      </c>
      <c r="C13" s="3" t="s">
        <v>21</v>
      </c>
      <c r="D13" s="1" t="s">
        <v>16</v>
      </c>
      <c r="E13" s="14" t="s">
        <v>4</v>
      </c>
      <c r="F13" s="17">
        <v>1</v>
      </c>
      <c r="G13" s="15">
        <v>13000</v>
      </c>
      <c r="H13" s="15">
        <f t="shared" si="0"/>
        <v>13000</v>
      </c>
      <c r="I13" s="16"/>
      <c r="J13" s="37"/>
    </row>
    <row r="14" spans="1:12" ht="22.5" customHeight="1">
      <c r="A14" s="39">
        <v>10</v>
      </c>
      <c r="B14" s="4" t="s">
        <v>261</v>
      </c>
      <c r="C14" s="3" t="s">
        <v>22</v>
      </c>
      <c r="D14" s="3" t="s">
        <v>23</v>
      </c>
      <c r="E14" s="14" t="s">
        <v>190</v>
      </c>
      <c r="F14" s="17">
        <v>1</v>
      </c>
      <c r="G14" s="15">
        <v>3000</v>
      </c>
      <c r="H14" s="15">
        <f t="shared" si="0"/>
        <v>3000</v>
      </c>
      <c r="I14" s="16"/>
      <c r="J14" s="37"/>
    </row>
    <row r="15" spans="1:12" ht="22.5" customHeight="1">
      <c r="A15" s="13">
        <v>11</v>
      </c>
      <c r="B15" s="4" t="s">
        <v>261</v>
      </c>
      <c r="C15" s="3" t="s">
        <v>24</v>
      </c>
      <c r="D15" s="3" t="s">
        <v>23</v>
      </c>
      <c r="E15" s="14" t="s">
        <v>190</v>
      </c>
      <c r="F15" s="17">
        <v>1</v>
      </c>
      <c r="G15" s="15">
        <v>2500</v>
      </c>
      <c r="H15" s="15">
        <f t="shared" si="0"/>
        <v>2500</v>
      </c>
      <c r="I15" s="16"/>
      <c r="J15" s="37"/>
    </row>
    <row r="16" spans="1:12" ht="22.5" customHeight="1">
      <c r="A16" s="39">
        <v>12</v>
      </c>
      <c r="B16" s="4" t="s">
        <v>261</v>
      </c>
      <c r="C16" s="3" t="s">
        <v>25</v>
      </c>
      <c r="D16" s="3" t="s">
        <v>18</v>
      </c>
      <c r="E16" s="14" t="s">
        <v>190</v>
      </c>
      <c r="F16" s="17">
        <v>1</v>
      </c>
      <c r="G16" s="15">
        <v>2100</v>
      </c>
      <c r="H16" s="15">
        <f t="shared" si="0"/>
        <v>2100</v>
      </c>
      <c r="I16" s="32"/>
      <c r="J16" s="29"/>
    </row>
    <row r="17" spans="1:10" ht="22.5" customHeight="1">
      <c r="A17" s="13">
        <v>13</v>
      </c>
      <c r="B17" s="4" t="s">
        <v>261</v>
      </c>
      <c r="C17" s="3" t="s">
        <v>26</v>
      </c>
      <c r="D17" s="3" t="s">
        <v>20</v>
      </c>
      <c r="E17" s="14" t="s">
        <v>190</v>
      </c>
      <c r="F17" s="17">
        <v>2</v>
      </c>
      <c r="G17" s="15">
        <v>3500</v>
      </c>
      <c r="H17" s="15">
        <f t="shared" si="0"/>
        <v>7000</v>
      </c>
      <c r="I17" s="32"/>
      <c r="J17" s="29"/>
    </row>
    <row r="18" spans="1:10" ht="22.5" customHeight="1">
      <c r="A18" s="39">
        <v>14</v>
      </c>
      <c r="B18" s="4" t="s">
        <v>261</v>
      </c>
      <c r="C18" s="3" t="s">
        <v>27</v>
      </c>
      <c r="D18" s="1" t="s">
        <v>28</v>
      </c>
      <c r="E18" s="14" t="s">
        <v>190</v>
      </c>
      <c r="F18" s="17">
        <v>5</v>
      </c>
      <c r="G18" s="15">
        <v>23000</v>
      </c>
      <c r="H18" s="15">
        <f t="shared" si="0"/>
        <v>115000</v>
      </c>
      <c r="I18" s="32"/>
      <c r="J18" s="29"/>
    </row>
    <row r="19" spans="1:10" ht="22.5" customHeight="1">
      <c r="A19" s="13">
        <v>15</v>
      </c>
      <c r="B19" s="12" t="s">
        <v>267</v>
      </c>
      <c r="C19" s="3" t="s">
        <v>29</v>
      </c>
      <c r="D19" s="3" t="s">
        <v>30</v>
      </c>
      <c r="E19" s="14" t="s">
        <v>5</v>
      </c>
      <c r="F19" s="17">
        <v>1</v>
      </c>
      <c r="G19" s="15">
        <v>3500</v>
      </c>
      <c r="H19" s="15">
        <f t="shared" si="0"/>
        <v>3500</v>
      </c>
      <c r="I19" s="32"/>
      <c r="J19" s="29"/>
    </row>
    <row r="20" spans="1:10" ht="22.5" customHeight="1">
      <c r="A20" s="39">
        <v>16</v>
      </c>
      <c r="B20" s="12" t="s">
        <v>267</v>
      </c>
      <c r="C20" s="3" t="s">
        <v>31</v>
      </c>
      <c r="D20" s="3" t="s">
        <v>32</v>
      </c>
      <c r="E20" s="14" t="s">
        <v>5</v>
      </c>
      <c r="F20" s="17">
        <v>1</v>
      </c>
      <c r="G20" s="15">
        <v>9530</v>
      </c>
      <c r="H20" s="15">
        <f t="shared" si="0"/>
        <v>9530</v>
      </c>
      <c r="I20" s="32"/>
      <c r="J20" s="29"/>
    </row>
    <row r="21" spans="1:10" ht="22.5" customHeight="1">
      <c r="A21" s="13">
        <v>17</v>
      </c>
      <c r="B21" s="12" t="s">
        <v>268</v>
      </c>
      <c r="C21" s="3" t="s">
        <v>33</v>
      </c>
      <c r="D21" s="3" t="s">
        <v>34</v>
      </c>
      <c r="E21" s="14" t="s">
        <v>5</v>
      </c>
      <c r="F21" s="17">
        <v>1</v>
      </c>
      <c r="G21" s="15">
        <v>27500</v>
      </c>
      <c r="H21" s="15">
        <f t="shared" si="0"/>
        <v>27500</v>
      </c>
      <c r="I21" s="32"/>
      <c r="J21" s="29"/>
    </row>
    <row r="22" spans="1:10" ht="22.5" customHeight="1">
      <c r="A22" s="39">
        <v>18</v>
      </c>
      <c r="B22" s="12" t="s">
        <v>268</v>
      </c>
      <c r="C22" s="3" t="s">
        <v>35</v>
      </c>
      <c r="D22" s="3" t="s">
        <v>36</v>
      </c>
      <c r="E22" s="14" t="s">
        <v>5</v>
      </c>
      <c r="F22" s="17">
        <v>1</v>
      </c>
      <c r="G22" s="15">
        <v>1100</v>
      </c>
      <c r="H22" s="15">
        <f t="shared" si="0"/>
        <v>1100</v>
      </c>
      <c r="I22" s="32"/>
      <c r="J22" s="29"/>
    </row>
    <row r="23" spans="1:10" ht="22.5" customHeight="1">
      <c r="A23" s="13">
        <v>19</v>
      </c>
      <c r="B23" s="12" t="s">
        <v>268</v>
      </c>
      <c r="C23" s="3" t="s">
        <v>224</v>
      </c>
      <c r="D23" s="3" t="s">
        <v>37</v>
      </c>
      <c r="E23" s="14" t="s">
        <v>195</v>
      </c>
      <c r="F23" s="17">
        <v>72</v>
      </c>
      <c r="G23" s="15">
        <v>300</v>
      </c>
      <c r="H23" s="15">
        <f t="shared" si="0"/>
        <v>21600</v>
      </c>
      <c r="I23" s="32"/>
      <c r="J23" s="29"/>
    </row>
    <row r="24" spans="1:10" ht="22.5" customHeight="1">
      <c r="A24" s="39">
        <v>20</v>
      </c>
      <c r="B24" s="12" t="s">
        <v>268</v>
      </c>
      <c r="C24" s="3" t="s">
        <v>225</v>
      </c>
      <c r="D24" s="3" t="s">
        <v>38</v>
      </c>
      <c r="E24" s="14" t="s">
        <v>195</v>
      </c>
      <c r="F24" s="17">
        <v>36</v>
      </c>
      <c r="G24" s="15">
        <v>1100</v>
      </c>
      <c r="H24" s="15">
        <f t="shared" si="0"/>
        <v>39600</v>
      </c>
      <c r="I24" s="32"/>
      <c r="J24" s="29"/>
    </row>
    <row r="25" spans="1:10" ht="22.5" customHeight="1">
      <c r="A25" s="13">
        <v>21</v>
      </c>
      <c r="B25" s="12" t="s">
        <v>268</v>
      </c>
      <c r="C25" s="3" t="s">
        <v>226</v>
      </c>
      <c r="D25" s="3" t="s">
        <v>39</v>
      </c>
      <c r="E25" s="14" t="s">
        <v>195</v>
      </c>
      <c r="F25" s="17">
        <v>20</v>
      </c>
      <c r="G25" s="15">
        <v>180</v>
      </c>
      <c r="H25" s="15">
        <f t="shared" si="0"/>
        <v>3600</v>
      </c>
      <c r="I25" s="32"/>
      <c r="J25" s="29"/>
    </row>
    <row r="26" spans="1:10" ht="22.5" customHeight="1">
      <c r="A26" s="39">
        <v>22</v>
      </c>
      <c r="B26" s="32">
        <v>2543</v>
      </c>
      <c r="C26" s="3" t="s">
        <v>227</v>
      </c>
      <c r="D26" s="3" t="s">
        <v>196</v>
      </c>
      <c r="E26" s="7" t="s">
        <v>5</v>
      </c>
      <c r="F26" s="14">
        <v>15</v>
      </c>
      <c r="G26" s="15">
        <v>1800</v>
      </c>
      <c r="H26" s="15">
        <f t="shared" si="0"/>
        <v>27000</v>
      </c>
      <c r="I26" s="32"/>
      <c r="J26" s="29"/>
    </row>
    <row r="27" spans="1:10" ht="22.5" customHeight="1">
      <c r="A27" s="13">
        <v>23</v>
      </c>
      <c r="B27" s="32">
        <v>2543</v>
      </c>
      <c r="C27" s="3" t="s">
        <v>228</v>
      </c>
      <c r="D27" s="3" t="s">
        <v>196</v>
      </c>
      <c r="E27" s="14" t="s">
        <v>195</v>
      </c>
      <c r="F27" s="14">
        <v>15</v>
      </c>
      <c r="G27" s="15">
        <v>1800</v>
      </c>
      <c r="H27" s="15">
        <f t="shared" si="0"/>
        <v>27000</v>
      </c>
      <c r="I27" s="32"/>
      <c r="J27" s="29"/>
    </row>
    <row r="28" spans="1:10" ht="22.5" customHeight="1">
      <c r="A28" s="39">
        <v>24</v>
      </c>
      <c r="B28" s="32">
        <v>2543</v>
      </c>
      <c r="C28" s="3" t="s">
        <v>229</v>
      </c>
      <c r="D28" s="1" t="s">
        <v>14</v>
      </c>
      <c r="E28" s="7" t="s">
        <v>5</v>
      </c>
      <c r="F28" s="14">
        <v>45</v>
      </c>
      <c r="G28" s="15">
        <v>580</v>
      </c>
      <c r="H28" s="15">
        <f t="shared" si="0"/>
        <v>26100</v>
      </c>
      <c r="I28" s="32"/>
      <c r="J28" s="29"/>
    </row>
    <row r="29" spans="1:10" ht="22.5" customHeight="1">
      <c r="A29" s="13">
        <v>25</v>
      </c>
      <c r="B29" s="32">
        <v>2543</v>
      </c>
      <c r="C29" s="3" t="s">
        <v>217</v>
      </c>
      <c r="D29" s="1" t="s">
        <v>14</v>
      </c>
      <c r="E29" s="7" t="s">
        <v>5</v>
      </c>
      <c r="F29" s="14">
        <v>80</v>
      </c>
      <c r="G29" s="15">
        <v>580</v>
      </c>
      <c r="H29" s="15">
        <f t="shared" si="0"/>
        <v>46400</v>
      </c>
      <c r="I29" s="32"/>
      <c r="J29" s="29"/>
    </row>
    <row r="30" spans="1:10" ht="22.5" customHeight="1">
      <c r="A30" s="39">
        <v>26</v>
      </c>
      <c r="B30" s="32">
        <v>2543</v>
      </c>
      <c r="C30" s="3" t="s">
        <v>41</v>
      </c>
      <c r="D30" s="1" t="s">
        <v>42</v>
      </c>
      <c r="E30" s="7" t="s">
        <v>5</v>
      </c>
      <c r="F30" s="14">
        <v>1</v>
      </c>
      <c r="G30" s="15">
        <v>5700</v>
      </c>
      <c r="H30" s="15">
        <f t="shared" si="0"/>
        <v>5700</v>
      </c>
      <c r="I30" s="32"/>
      <c r="J30" s="29"/>
    </row>
    <row r="31" spans="1:10" ht="22.5" customHeight="1">
      <c r="A31" s="13">
        <v>27</v>
      </c>
      <c r="B31" s="32">
        <v>2543</v>
      </c>
      <c r="C31" s="3" t="s">
        <v>43</v>
      </c>
      <c r="D31" s="3" t="s">
        <v>23</v>
      </c>
      <c r="E31" s="7" t="s">
        <v>5</v>
      </c>
      <c r="F31" s="14">
        <v>1</v>
      </c>
      <c r="G31" s="15">
        <v>2500</v>
      </c>
      <c r="H31" s="15">
        <f t="shared" si="0"/>
        <v>2500</v>
      </c>
      <c r="I31" s="32"/>
      <c r="J31" s="29"/>
    </row>
    <row r="32" spans="1:10" ht="22.5" customHeight="1">
      <c r="A32" s="39">
        <v>28</v>
      </c>
      <c r="B32" s="32">
        <v>2543</v>
      </c>
      <c r="C32" s="3" t="s">
        <v>44</v>
      </c>
      <c r="D32" s="3" t="s">
        <v>17</v>
      </c>
      <c r="E32" s="14" t="s">
        <v>190</v>
      </c>
      <c r="F32" s="14">
        <v>4</v>
      </c>
      <c r="G32" s="15">
        <v>3000</v>
      </c>
      <c r="H32" s="15">
        <f t="shared" si="0"/>
        <v>12000</v>
      </c>
      <c r="I32" s="32"/>
      <c r="J32" s="29"/>
    </row>
    <row r="33" spans="1:10" ht="22.5" customHeight="1">
      <c r="A33" s="13">
        <v>29</v>
      </c>
      <c r="B33" s="32">
        <v>2543</v>
      </c>
      <c r="C33" s="3" t="s">
        <v>215</v>
      </c>
      <c r="D33" s="3" t="s">
        <v>45</v>
      </c>
      <c r="E33" s="19" t="s">
        <v>5</v>
      </c>
      <c r="F33" s="14">
        <v>2</v>
      </c>
      <c r="G33" s="15">
        <v>3424</v>
      </c>
      <c r="H33" s="15">
        <f t="shared" si="0"/>
        <v>6848</v>
      </c>
      <c r="I33" s="32"/>
      <c r="J33" s="29"/>
    </row>
    <row r="34" spans="1:10" ht="22.5" customHeight="1">
      <c r="A34" s="39">
        <v>30</v>
      </c>
      <c r="B34" s="32">
        <v>2543</v>
      </c>
      <c r="C34" s="3" t="s">
        <v>46</v>
      </c>
      <c r="D34" s="1" t="s">
        <v>47</v>
      </c>
      <c r="E34" s="19" t="s">
        <v>5</v>
      </c>
      <c r="F34" s="14">
        <v>1</v>
      </c>
      <c r="G34" s="15">
        <v>10561</v>
      </c>
      <c r="H34" s="15">
        <f t="shared" si="0"/>
        <v>10561</v>
      </c>
      <c r="I34" s="32"/>
      <c r="J34" s="29"/>
    </row>
    <row r="35" spans="1:10" ht="22.5" customHeight="1">
      <c r="A35" s="13">
        <v>31</v>
      </c>
      <c r="B35" s="32">
        <v>2543</v>
      </c>
      <c r="C35" s="3" t="s">
        <v>48</v>
      </c>
      <c r="D35" s="1" t="s">
        <v>49</v>
      </c>
      <c r="E35" s="14" t="s">
        <v>5</v>
      </c>
      <c r="F35" s="17">
        <v>1</v>
      </c>
      <c r="G35" s="15">
        <v>11535.6</v>
      </c>
      <c r="H35" s="15">
        <f t="shared" si="0"/>
        <v>11535.6</v>
      </c>
      <c r="I35" s="43"/>
      <c r="J35" s="37"/>
    </row>
    <row r="36" spans="1:10" ht="22.5" customHeight="1">
      <c r="A36" s="39">
        <v>32</v>
      </c>
      <c r="B36" s="32">
        <v>2543</v>
      </c>
      <c r="C36" s="3" t="s">
        <v>50</v>
      </c>
      <c r="D36" s="1" t="s">
        <v>51</v>
      </c>
      <c r="E36" s="14" t="s">
        <v>5</v>
      </c>
      <c r="F36" s="17">
        <v>1</v>
      </c>
      <c r="G36" s="15">
        <v>25000</v>
      </c>
      <c r="H36" s="15">
        <f t="shared" si="0"/>
        <v>25000</v>
      </c>
      <c r="I36" s="16"/>
      <c r="J36" s="37"/>
    </row>
    <row r="37" spans="1:10" ht="22.5" customHeight="1">
      <c r="A37" s="13">
        <v>33</v>
      </c>
      <c r="B37" s="4" t="s">
        <v>269</v>
      </c>
      <c r="C37" s="3" t="s">
        <v>216</v>
      </c>
      <c r="D37" s="1" t="s">
        <v>14</v>
      </c>
      <c r="E37" s="14" t="s">
        <v>4</v>
      </c>
      <c r="F37" s="17">
        <v>80</v>
      </c>
      <c r="G37" s="21">
        <v>580</v>
      </c>
      <c r="H37" s="15">
        <f t="shared" si="0"/>
        <v>46400</v>
      </c>
      <c r="I37" s="16"/>
      <c r="J37" s="37"/>
    </row>
    <row r="38" spans="1:10" ht="22.5" customHeight="1">
      <c r="A38" s="39">
        <v>34</v>
      </c>
      <c r="B38" s="4" t="s">
        <v>269</v>
      </c>
      <c r="C38" s="3" t="s">
        <v>52</v>
      </c>
      <c r="D38" s="3" t="s">
        <v>53</v>
      </c>
      <c r="E38" s="14" t="s">
        <v>5</v>
      </c>
      <c r="F38" s="17">
        <v>1</v>
      </c>
      <c r="G38" s="21">
        <v>1400</v>
      </c>
      <c r="H38" s="15">
        <f t="shared" si="0"/>
        <v>1400</v>
      </c>
      <c r="I38" s="16"/>
      <c r="J38" s="37"/>
    </row>
    <row r="39" spans="1:10" ht="22.5" customHeight="1">
      <c r="A39" s="13">
        <v>35</v>
      </c>
      <c r="B39" s="4" t="s">
        <v>269</v>
      </c>
      <c r="C39" s="3" t="s">
        <v>54</v>
      </c>
      <c r="D39" s="1" t="s">
        <v>55</v>
      </c>
      <c r="E39" s="14" t="s">
        <v>5</v>
      </c>
      <c r="F39" s="17">
        <v>1</v>
      </c>
      <c r="G39" s="21">
        <v>2920</v>
      </c>
      <c r="H39" s="15">
        <f t="shared" si="0"/>
        <v>2920</v>
      </c>
      <c r="I39" s="16"/>
      <c r="J39" s="37"/>
    </row>
    <row r="40" spans="1:10" ht="22.5" customHeight="1">
      <c r="A40" s="39">
        <v>36</v>
      </c>
      <c r="B40" s="4" t="s">
        <v>269</v>
      </c>
      <c r="C40" s="3" t="s">
        <v>56</v>
      </c>
      <c r="D40" s="3" t="s">
        <v>57</v>
      </c>
      <c r="E40" s="14" t="s">
        <v>5</v>
      </c>
      <c r="F40" s="17">
        <v>1</v>
      </c>
      <c r="G40" s="21">
        <v>5880</v>
      </c>
      <c r="H40" s="15">
        <f t="shared" si="0"/>
        <v>5880</v>
      </c>
      <c r="I40" s="16"/>
      <c r="J40" s="37"/>
    </row>
    <row r="41" spans="1:10" ht="22.5" customHeight="1">
      <c r="A41" s="13">
        <v>37</v>
      </c>
      <c r="B41" s="4" t="s">
        <v>269</v>
      </c>
      <c r="C41" s="3" t="s">
        <v>58</v>
      </c>
      <c r="D41" s="3" t="s">
        <v>59</v>
      </c>
      <c r="E41" s="14" t="s">
        <v>5</v>
      </c>
      <c r="F41" s="17">
        <v>2</v>
      </c>
      <c r="G41" s="21">
        <v>960</v>
      </c>
      <c r="H41" s="15">
        <f t="shared" si="0"/>
        <v>1920</v>
      </c>
      <c r="I41" s="16"/>
      <c r="J41" s="37"/>
    </row>
    <row r="42" spans="1:10" ht="22.5" customHeight="1">
      <c r="A42" s="39">
        <v>38</v>
      </c>
      <c r="B42" s="4" t="s">
        <v>262</v>
      </c>
      <c r="C42" s="3" t="s">
        <v>60</v>
      </c>
      <c r="D42" s="1" t="s">
        <v>61</v>
      </c>
      <c r="E42" s="14" t="s">
        <v>5</v>
      </c>
      <c r="F42" s="17">
        <v>1</v>
      </c>
      <c r="G42" s="21">
        <v>5280.45</v>
      </c>
      <c r="H42" s="15">
        <f t="shared" si="0"/>
        <v>5280.45</v>
      </c>
      <c r="I42" s="16"/>
      <c r="J42" s="37"/>
    </row>
    <row r="43" spans="1:10" ht="22.5" customHeight="1">
      <c r="A43" s="13">
        <v>39</v>
      </c>
      <c r="B43" s="4" t="s">
        <v>262</v>
      </c>
      <c r="C43" s="3" t="s">
        <v>62</v>
      </c>
      <c r="D43" s="22" t="s">
        <v>63</v>
      </c>
      <c r="E43" s="14" t="s">
        <v>5</v>
      </c>
      <c r="F43" s="17">
        <v>1</v>
      </c>
      <c r="G43" s="15">
        <v>8085.99</v>
      </c>
      <c r="H43" s="15">
        <f t="shared" si="0"/>
        <v>8085.99</v>
      </c>
      <c r="I43" s="23"/>
      <c r="J43" s="44"/>
    </row>
    <row r="44" spans="1:10" ht="22.5" customHeight="1">
      <c r="A44" s="39">
        <v>40</v>
      </c>
      <c r="B44" s="4" t="s">
        <v>262</v>
      </c>
      <c r="C44" s="3" t="s">
        <v>64</v>
      </c>
      <c r="D44" s="3" t="s">
        <v>65</v>
      </c>
      <c r="E44" s="14" t="s">
        <v>5</v>
      </c>
      <c r="F44" s="17">
        <v>1</v>
      </c>
      <c r="G44" s="21">
        <v>3745</v>
      </c>
      <c r="H44" s="15">
        <f t="shared" si="0"/>
        <v>3745</v>
      </c>
      <c r="I44" s="23"/>
      <c r="J44" s="44"/>
    </row>
    <row r="45" spans="1:10" ht="22.5" customHeight="1">
      <c r="A45" s="13">
        <v>41</v>
      </c>
      <c r="B45" s="4" t="s">
        <v>262</v>
      </c>
      <c r="C45" s="3" t="s">
        <v>66</v>
      </c>
      <c r="D45" s="3" t="s">
        <v>67</v>
      </c>
      <c r="E45" s="14" t="s">
        <v>5</v>
      </c>
      <c r="F45" s="17">
        <v>1</v>
      </c>
      <c r="G45" s="21">
        <v>7700</v>
      </c>
      <c r="H45" s="15">
        <f t="shared" si="0"/>
        <v>7700</v>
      </c>
      <c r="I45" s="32"/>
      <c r="J45" s="29"/>
    </row>
    <row r="46" spans="1:10" ht="22.5" customHeight="1">
      <c r="A46" s="39">
        <v>42</v>
      </c>
      <c r="B46" s="18" t="s">
        <v>263</v>
      </c>
      <c r="C46" s="3" t="s">
        <v>230</v>
      </c>
      <c r="D46" s="3" t="s">
        <v>40</v>
      </c>
      <c r="E46" s="14" t="s">
        <v>5</v>
      </c>
      <c r="F46" s="17">
        <v>4</v>
      </c>
      <c r="G46" s="21">
        <v>1600</v>
      </c>
      <c r="H46" s="15">
        <f>SUM(F46*G46)</f>
        <v>6400</v>
      </c>
      <c r="I46" s="32"/>
      <c r="J46" s="69"/>
    </row>
    <row r="47" spans="1:10" ht="22.5" customHeight="1">
      <c r="A47" s="13">
        <v>43</v>
      </c>
      <c r="B47" s="18" t="s">
        <v>263</v>
      </c>
      <c r="C47" s="3" t="s">
        <v>231</v>
      </c>
      <c r="D47" s="1" t="s">
        <v>14</v>
      </c>
      <c r="E47" s="14" t="s">
        <v>5</v>
      </c>
      <c r="F47" s="17">
        <v>80</v>
      </c>
      <c r="G47" s="21">
        <v>460</v>
      </c>
      <c r="H47" s="15">
        <f>SUM(F47*G47)</f>
        <v>36800</v>
      </c>
      <c r="I47" s="32"/>
      <c r="J47" s="69"/>
    </row>
    <row r="48" spans="1:10" ht="22.5" customHeight="1">
      <c r="A48" s="39">
        <v>44</v>
      </c>
      <c r="B48" s="18" t="s">
        <v>263</v>
      </c>
      <c r="C48" s="3" t="s">
        <v>68</v>
      </c>
      <c r="D48" s="3" t="s">
        <v>18</v>
      </c>
      <c r="E48" s="14" t="s">
        <v>5</v>
      </c>
      <c r="F48" s="17">
        <v>2</v>
      </c>
      <c r="G48" s="15">
        <v>2950</v>
      </c>
      <c r="H48" s="15">
        <f>SUM(F48*G48)</f>
        <v>5900</v>
      </c>
      <c r="I48" s="32"/>
      <c r="J48" s="69"/>
    </row>
    <row r="49" spans="1:10" ht="22.5" customHeight="1">
      <c r="A49" s="13">
        <v>45</v>
      </c>
      <c r="B49" s="18" t="s">
        <v>263</v>
      </c>
      <c r="C49" s="3" t="s">
        <v>69</v>
      </c>
      <c r="D49" s="3" t="s">
        <v>20</v>
      </c>
      <c r="E49" s="14" t="s">
        <v>5</v>
      </c>
      <c r="F49" s="17">
        <v>1</v>
      </c>
      <c r="G49" s="15">
        <v>5700</v>
      </c>
      <c r="H49" s="15">
        <f>SUM(F49*G49)</f>
        <v>5700</v>
      </c>
      <c r="I49" s="32"/>
      <c r="J49" s="29"/>
    </row>
    <row r="50" spans="1:10" ht="22.5" customHeight="1">
      <c r="A50" s="74" t="s">
        <v>205</v>
      </c>
      <c r="B50" s="75"/>
      <c r="C50" s="75"/>
      <c r="D50" s="76"/>
      <c r="E50" s="14"/>
      <c r="F50" s="17"/>
      <c r="G50" s="21"/>
      <c r="H50" s="15">
        <f>SUM(H5:H49)</f>
        <v>970156.03999999992</v>
      </c>
      <c r="I50" s="32"/>
      <c r="J50" s="58"/>
    </row>
    <row r="51" spans="1:10" ht="22.5" customHeight="1">
      <c r="A51" s="74" t="s">
        <v>204</v>
      </c>
      <c r="B51" s="75"/>
      <c r="C51" s="75"/>
      <c r="D51" s="76"/>
      <c r="E51" s="14"/>
      <c r="F51" s="17"/>
      <c r="G51" s="21"/>
      <c r="H51" s="15">
        <f>SUM(H50)</f>
        <v>970156.03999999992</v>
      </c>
      <c r="I51" s="32"/>
      <c r="J51" s="58"/>
    </row>
    <row r="52" spans="1:10" ht="22.5" customHeight="1">
      <c r="A52" s="39">
        <v>46</v>
      </c>
      <c r="B52" s="18" t="s">
        <v>263</v>
      </c>
      <c r="C52" s="3" t="s">
        <v>70</v>
      </c>
      <c r="D52" s="3" t="s">
        <v>71</v>
      </c>
      <c r="E52" s="14" t="s">
        <v>5</v>
      </c>
      <c r="F52" s="17">
        <v>1</v>
      </c>
      <c r="G52" s="15">
        <v>19620</v>
      </c>
      <c r="H52" s="15">
        <f t="shared" si="0"/>
        <v>19620</v>
      </c>
      <c r="I52" s="32"/>
      <c r="J52" s="29"/>
    </row>
    <row r="53" spans="1:10" ht="22.5" customHeight="1">
      <c r="A53" s="13">
        <v>47</v>
      </c>
      <c r="B53" s="18" t="s">
        <v>263</v>
      </c>
      <c r="C53" s="3" t="s">
        <v>232</v>
      </c>
      <c r="D53" s="3" t="s">
        <v>53</v>
      </c>
      <c r="E53" s="14" t="s">
        <v>190</v>
      </c>
      <c r="F53" s="17">
        <v>2</v>
      </c>
      <c r="G53" s="21">
        <v>1300</v>
      </c>
      <c r="H53" s="15">
        <f t="shared" si="0"/>
        <v>2600</v>
      </c>
      <c r="I53" s="32"/>
      <c r="J53" s="29"/>
    </row>
    <row r="54" spans="1:10" ht="22.5" customHeight="1">
      <c r="A54" s="39">
        <v>48</v>
      </c>
      <c r="B54" s="18" t="s">
        <v>263</v>
      </c>
      <c r="C54" s="3" t="s">
        <v>72</v>
      </c>
      <c r="D54" s="3" t="s">
        <v>53</v>
      </c>
      <c r="E54" s="14" t="s">
        <v>190</v>
      </c>
      <c r="F54" s="17">
        <v>16</v>
      </c>
      <c r="G54" s="21">
        <v>1000</v>
      </c>
      <c r="H54" s="15">
        <f t="shared" si="0"/>
        <v>16000</v>
      </c>
      <c r="I54" s="32"/>
      <c r="J54" s="29"/>
    </row>
    <row r="55" spans="1:10" ht="22.5" customHeight="1">
      <c r="A55" s="13">
        <v>49</v>
      </c>
      <c r="B55" s="18" t="s">
        <v>263</v>
      </c>
      <c r="C55" s="3" t="s">
        <v>73</v>
      </c>
      <c r="D55" s="3" t="s">
        <v>74</v>
      </c>
      <c r="E55" s="7" t="s">
        <v>5</v>
      </c>
      <c r="F55" s="17">
        <v>1</v>
      </c>
      <c r="G55" s="21">
        <v>7420</v>
      </c>
      <c r="H55" s="15">
        <f t="shared" si="0"/>
        <v>7420</v>
      </c>
      <c r="I55" s="32"/>
      <c r="J55" s="29"/>
    </row>
    <row r="56" spans="1:10" ht="22.5" customHeight="1">
      <c r="A56" s="39">
        <v>50</v>
      </c>
      <c r="B56" s="18" t="s">
        <v>263</v>
      </c>
      <c r="C56" s="3" t="s">
        <v>75</v>
      </c>
      <c r="D56" s="1" t="s">
        <v>76</v>
      </c>
      <c r="E56" s="7" t="s">
        <v>5</v>
      </c>
      <c r="F56" s="17">
        <v>1</v>
      </c>
      <c r="G56" s="21">
        <v>7280</v>
      </c>
      <c r="H56" s="15">
        <f t="shared" si="0"/>
        <v>7280</v>
      </c>
      <c r="I56" s="32"/>
      <c r="J56" s="29"/>
    </row>
    <row r="57" spans="1:10" ht="22.5" customHeight="1">
      <c r="A57" s="13">
        <v>51</v>
      </c>
      <c r="B57" s="18" t="s">
        <v>263</v>
      </c>
      <c r="C57" s="3" t="s">
        <v>77</v>
      </c>
      <c r="D57" s="3" t="s">
        <v>78</v>
      </c>
      <c r="E57" s="7" t="s">
        <v>4</v>
      </c>
      <c r="F57" s="17">
        <v>1</v>
      </c>
      <c r="G57" s="15">
        <v>6000</v>
      </c>
      <c r="H57" s="15">
        <f t="shared" si="0"/>
        <v>6000</v>
      </c>
      <c r="I57" s="32"/>
      <c r="J57" s="29"/>
    </row>
    <row r="58" spans="1:10" ht="22.5" customHeight="1">
      <c r="A58" s="39">
        <v>52</v>
      </c>
      <c r="B58" s="32">
        <v>2547</v>
      </c>
      <c r="C58" s="3" t="s">
        <v>233</v>
      </c>
      <c r="D58" s="3" t="s">
        <v>40</v>
      </c>
      <c r="E58" s="7" t="s">
        <v>5</v>
      </c>
      <c r="F58" s="17">
        <v>3</v>
      </c>
      <c r="G58" s="21">
        <v>1600</v>
      </c>
      <c r="H58" s="15">
        <f t="shared" si="0"/>
        <v>4800</v>
      </c>
      <c r="I58" s="32"/>
      <c r="J58" s="29"/>
    </row>
    <row r="59" spans="1:10" ht="22.5" customHeight="1">
      <c r="A59" s="13">
        <v>53</v>
      </c>
      <c r="B59" s="32">
        <v>2547</v>
      </c>
      <c r="C59" s="3" t="s">
        <v>234</v>
      </c>
      <c r="D59" s="3" t="s">
        <v>40</v>
      </c>
      <c r="E59" s="7" t="s">
        <v>5</v>
      </c>
      <c r="F59" s="17">
        <v>9</v>
      </c>
      <c r="G59" s="21">
        <v>1600</v>
      </c>
      <c r="H59" s="15">
        <f t="shared" si="0"/>
        <v>14400</v>
      </c>
      <c r="I59" s="32"/>
      <c r="J59" s="29"/>
    </row>
    <row r="60" spans="1:10" ht="22.5" customHeight="1">
      <c r="A60" s="39">
        <v>54</v>
      </c>
      <c r="B60" s="32">
        <v>2547</v>
      </c>
      <c r="C60" s="3" t="s">
        <v>235</v>
      </c>
      <c r="D60" s="3" t="s">
        <v>40</v>
      </c>
      <c r="E60" s="7" t="s">
        <v>5</v>
      </c>
      <c r="F60" s="17">
        <v>4</v>
      </c>
      <c r="G60" s="21">
        <v>1600</v>
      </c>
      <c r="H60" s="15">
        <f t="shared" si="0"/>
        <v>6400</v>
      </c>
      <c r="I60" s="32"/>
      <c r="J60" s="29"/>
    </row>
    <row r="61" spans="1:10" ht="22.5" customHeight="1">
      <c r="A61" s="13">
        <v>55</v>
      </c>
      <c r="B61" s="32">
        <v>2547</v>
      </c>
      <c r="C61" s="3" t="s">
        <v>79</v>
      </c>
      <c r="D61" s="1" t="s">
        <v>28</v>
      </c>
      <c r="E61" s="7" t="s">
        <v>5</v>
      </c>
      <c r="F61" s="17">
        <v>1</v>
      </c>
      <c r="G61" s="15">
        <v>38000</v>
      </c>
      <c r="H61" s="15">
        <f t="shared" si="0"/>
        <v>38000</v>
      </c>
      <c r="I61" s="32"/>
      <c r="J61" s="29"/>
    </row>
    <row r="62" spans="1:10" ht="22.5" customHeight="1">
      <c r="A62" s="39">
        <v>56</v>
      </c>
      <c r="B62" s="32">
        <v>2547</v>
      </c>
      <c r="C62" s="3" t="s">
        <v>236</v>
      </c>
      <c r="D62" s="1" t="s">
        <v>28</v>
      </c>
      <c r="E62" s="7" t="s">
        <v>5</v>
      </c>
      <c r="F62" s="17">
        <v>2</v>
      </c>
      <c r="G62" s="15">
        <v>43500</v>
      </c>
      <c r="H62" s="15">
        <f t="shared" si="0"/>
        <v>87000</v>
      </c>
      <c r="I62" s="32"/>
      <c r="J62" s="29"/>
    </row>
    <row r="63" spans="1:10" ht="22.5" customHeight="1">
      <c r="A63" s="13">
        <v>57</v>
      </c>
      <c r="B63" s="32">
        <v>2547</v>
      </c>
      <c r="C63" s="3" t="s">
        <v>237</v>
      </c>
      <c r="D63" s="1" t="s">
        <v>28</v>
      </c>
      <c r="E63" s="7" t="s">
        <v>5</v>
      </c>
      <c r="F63" s="17">
        <v>2</v>
      </c>
      <c r="G63" s="15">
        <v>43500</v>
      </c>
      <c r="H63" s="15">
        <f t="shared" si="0"/>
        <v>87000</v>
      </c>
      <c r="I63" s="32"/>
      <c r="J63" s="29"/>
    </row>
    <row r="64" spans="1:10" ht="22.5" customHeight="1">
      <c r="A64" s="39">
        <v>58</v>
      </c>
      <c r="B64" s="32">
        <v>2547</v>
      </c>
      <c r="C64" s="3" t="s">
        <v>80</v>
      </c>
      <c r="D64" s="1" t="s">
        <v>28</v>
      </c>
      <c r="E64" s="14" t="s">
        <v>190</v>
      </c>
      <c r="F64" s="17">
        <v>1</v>
      </c>
      <c r="G64" s="15">
        <v>38000</v>
      </c>
      <c r="H64" s="15">
        <f t="shared" si="0"/>
        <v>38000</v>
      </c>
      <c r="I64" s="32"/>
      <c r="J64" s="29"/>
    </row>
    <row r="65" spans="1:10" ht="22.5" customHeight="1">
      <c r="A65" s="13">
        <v>59</v>
      </c>
      <c r="B65" s="32">
        <v>2548</v>
      </c>
      <c r="C65" s="3" t="s">
        <v>81</v>
      </c>
      <c r="D65" s="3" t="s">
        <v>40</v>
      </c>
      <c r="E65" s="7" t="s">
        <v>4</v>
      </c>
      <c r="F65" s="17">
        <v>5</v>
      </c>
      <c r="G65" s="21">
        <v>1600</v>
      </c>
      <c r="H65" s="15">
        <f t="shared" si="0"/>
        <v>8000</v>
      </c>
      <c r="I65" s="32"/>
      <c r="J65" s="29"/>
    </row>
    <row r="66" spans="1:10" ht="22.5" customHeight="1">
      <c r="A66" s="39">
        <v>60</v>
      </c>
      <c r="B66" s="32">
        <v>2548</v>
      </c>
      <c r="C66" s="3" t="s">
        <v>82</v>
      </c>
      <c r="D66" s="1" t="s">
        <v>83</v>
      </c>
      <c r="E66" s="14" t="s">
        <v>5</v>
      </c>
      <c r="F66" s="17">
        <v>1</v>
      </c>
      <c r="G66" s="15">
        <v>2312</v>
      </c>
      <c r="H66" s="15">
        <f t="shared" si="0"/>
        <v>2312</v>
      </c>
      <c r="I66" s="43"/>
      <c r="J66" s="37"/>
    </row>
    <row r="67" spans="1:10" ht="22.5" customHeight="1">
      <c r="A67" s="13">
        <v>61</v>
      </c>
      <c r="B67" s="32">
        <v>2548</v>
      </c>
      <c r="C67" s="3" t="s">
        <v>84</v>
      </c>
      <c r="D67" s="1" t="s">
        <v>49</v>
      </c>
      <c r="E67" s="14" t="s">
        <v>5</v>
      </c>
      <c r="F67" s="17">
        <v>1</v>
      </c>
      <c r="G67" s="15">
        <v>8165</v>
      </c>
      <c r="H67" s="15">
        <f t="shared" si="0"/>
        <v>8165</v>
      </c>
      <c r="I67" s="16"/>
      <c r="J67" s="37"/>
    </row>
    <row r="68" spans="1:10" ht="22.5" customHeight="1">
      <c r="A68" s="39">
        <v>62</v>
      </c>
      <c r="B68" s="32">
        <v>2548</v>
      </c>
      <c r="C68" s="3" t="s">
        <v>85</v>
      </c>
      <c r="D68" s="3" t="s">
        <v>86</v>
      </c>
      <c r="E68" s="14" t="s">
        <v>4</v>
      </c>
      <c r="F68" s="17">
        <v>280</v>
      </c>
      <c r="G68" s="15">
        <v>200</v>
      </c>
      <c r="H68" s="15">
        <f t="shared" si="0"/>
        <v>56000</v>
      </c>
      <c r="I68" s="16"/>
      <c r="J68" s="37"/>
    </row>
    <row r="69" spans="1:10" ht="22.5" customHeight="1">
      <c r="A69" s="13">
        <v>63</v>
      </c>
      <c r="B69" s="32">
        <v>2548</v>
      </c>
      <c r="C69" s="3" t="s">
        <v>87</v>
      </c>
      <c r="D69" s="3" t="s">
        <v>88</v>
      </c>
      <c r="E69" s="14" t="s">
        <v>4</v>
      </c>
      <c r="F69" s="17">
        <v>1</v>
      </c>
      <c r="G69" s="15">
        <v>4534</v>
      </c>
      <c r="H69" s="15">
        <f t="shared" si="0"/>
        <v>4534</v>
      </c>
      <c r="I69" s="16"/>
      <c r="J69" s="37"/>
    </row>
    <row r="70" spans="1:10" ht="22.5" customHeight="1">
      <c r="A70" s="39">
        <v>64</v>
      </c>
      <c r="B70" s="32">
        <v>2548</v>
      </c>
      <c r="C70" s="3" t="s">
        <v>89</v>
      </c>
      <c r="D70" s="3" t="s">
        <v>90</v>
      </c>
      <c r="E70" s="14" t="s">
        <v>5</v>
      </c>
      <c r="F70" s="17">
        <v>1</v>
      </c>
      <c r="G70" s="15">
        <v>6440</v>
      </c>
      <c r="H70" s="15">
        <f t="shared" si="0"/>
        <v>6440</v>
      </c>
      <c r="I70" s="16"/>
      <c r="J70" s="37"/>
    </row>
    <row r="71" spans="1:10" ht="22.5" customHeight="1">
      <c r="A71" s="13">
        <v>65</v>
      </c>
      <c r="B71" s="32">
        <v>2548</v>
      </c>
      <c r="C71" s="3" t="s">
        <v>91</v>
      </c>
      <c r="D71" s="3" t="s">
        <v>92</v>
      </c>
      <c r="E71" s="7" t="s">
        <v>5</v>
      </c>
      <c r="F71" s="17">
        <v>1</v>
      </c>
      <c r="G71" s="15">
        <v>11490</v>
      </c>
      <c r="H71" s="15">
        <f t="shared" si="0"/>
        <v>11490</v>
      </c>
      <c r="I71" s="16"/>
      <c r="J71" s="37"/>
    </row>
    <row r="72" spans="1:10" ht="22.5" customHeight="1">
      <c r="A72" s="39">
        <v>66</v>
      </c>
      <c r="B72" s="4" t="s">
        <v>265</v>
      </c>
      <c r="C72" s="3" t="s">
        <v>93</v>
      </c>
      <c r="D72" s="3" t="s">
        <v>40</v>
      </c>
      <c r="E72" s="14" t="s">
        <v>5</v>
      </c>
      <c r="F72" s="17">
        <v>20</v>
      </c>
      <c r="G72" s="21">
        <v>1800</v>
      </c>
      <c r="H72" s="15">
        <f t="shared" ref="H72:H132" si="1">SUM(F72*G72)</f>
        <v>36000</v>
      </c>
      <c r="I72" s="16"/>
      <c r="J72" s="37"/>
    </row>
    <row r="73" spans="1:10" ht="22.5" customHeight="1">
      <c r="A73" s="13">
        <v>67</v>
      </c>
      <c r="B73" s="4" t="s">
        <v>265</v>
      </c>
      <c r="C73" s="3" t="s">
        <v>94</v>
      </c>
      <c r="D73" s="1" t="s">
        <v>14</v>
      </c>
      <c r="E73" s="14" t="s">
        <v>5</v>
      </c>
      <c r="F73" s="17">
        <v>420</v>
      </c>
      <c r="G73" s="21">
        <v>750</v>
      </c>
      <c r="H73" s="15">
        <f t="shared" si="1"/>
        <v>315000</v>
      </c>
      <c r="I73" s="16"/>
      <c r="J73" s="37"/>
    </row>
    <row r="74" spans="1:10" ht="22.5" customHeight="1">
      <c r="A74" s="39">
        <v>68</v>
      </c>
      <c r="B74" s="4" t="s">
        <v>265</v>
      </c>
      <c r="C74" s="3" t="s">
        <v>95</v>
      </c>
      <c r="D74" s="3" t="s">
        <v>96</v>
      </c>
      <c r="E74" s="14" t="s">
        <v>5</v>
      </c>
      <c r="F74" s="17">
        <v>2</v>
      </c>
      <c r="G74" s="15">
        <v>19320</v>
      </c>
      <c r="H74" s="15">
        <f t="shared" si="1"/>
        <v>38640</v>
      </c>
      <c r="I74" s="23"/>
      <c r="J74" s="44"/>
    </row>
    <row r="75" spans="1:10" ht="22.5" customHeight="1">
      <c r="A75" s="13">
        <v>69</v>
      </c>
      <c r="B75" s="4" t="s">
        <v>265</v>
      </c>
      <c r="C75" s="3" t="s">
        <v>97</v>
      </c>
      <c r="D75" s="3" t="s">
        <v>98</v>
      </c>
      <c r="E75" s="14" t="s">
        <v>5</v>
      </c>
      <c r="F75" s="17">
        <v>2</v>
      </c>
      <c r="G75" s="15">
        <v>23000</v>
      </c>
      <c r="H75" s="15">
        <f t="shared" si="1"/>
        <v>46000</v>
      </c>
      <c r="I75" s="23"/>
      <c r="J75" s="44"/>
    </row>
    <row r="76" spans="1:10" ht="22.5" customHeight="1">
      <c r="A76" s="39">
        <v>70</v>
      </c>
      <c r="B76" s="4" t="s">
        <v>265</v>
      </c>
      <c r="C76" s="3" t="s">
        <v>99</v>
      </c>
      <c r="D76" s="3" t="s">
        <v>100</v>
      </c>
      <c r="E76" s="14" t="s">
        <v>5</v>
      </c>
      <c r="F76" s="17">
        <v>1</v>
      </c>
      <c r="G76" s="15">
        <v>6500</v>
      </c>
      <c r="H76" s="15">
        <f t="shared" si="1"/>
        <v>6500</v>
      </c>
      <c r="I76" s="32"/>
      <c r="J76" s="29"/>
    </row>
    <row r="77" spans="1:10" ht="22.5" customHeight="1">
      <c r="A77" s="13">
        <v>71</v>
      </c>
      <c r="B77" s="4" t="s">
        <v>265</v>
      </c>
      <c r="C77" s="3" t="s">
        <v>101</v>
      </c>
      <c r="D77" s="1" t="s">
        <v>28</v>
      </c>
      <c r="E77" s="14" t="s">
        <v>195</v>
      </c>
      <c r="F77" s="17">
        <v>2</v>
      </c>
      <c r="G77" s="15">
        <v>39000</v>
      </c>
      <c r="H77" s="15">
        <f t="shared" si="1"/>
        <v>78000</v>
      </c>
      <c r="I77" s="32"/>
      <c r="J77" s="29"/>
    </row>
    <row r="78" spans="1:10" ht="22.5" customHeight="1">
      <c r="A78" s="39">
        <v>72</v>
      </c>
      <c r="B78" s="18" t="s">
        <v>264</v>
      </c>
      <c r="C78" s="3" t="s">
        <v>102</v>
      </c>
      <c r="D78" s="1" t="s">
        <v>14</v>
      </c>
      <c r="E78" s="14" t="s">
        <v>195</v>
      </c>
      <c r="F78" s="17">
        <v>120</v>
      </c>
      <c r="G78" s="21">
        <v>750</v>
      </c>
      <c r="H78" s="15">
        <f t="shared" si="1"/>
        <v>90000</v>
      </c>
      <c r="I78" s="32"/>
      <c r="J78" s="29"/>
    </row>
    <row r="79" spans="1:10" ht="22.5" customHeight="1">
      <c r="A79" s="13">
        <v>73</v>
      </c>
      <c r="B79" s="18" t="s">
        <v>264</v>
      </c>
      <c r="C79" s="3" t="s">
        <v>103</v>
      </c>
      <c r="D79" s="3" t="s">
        <v>104</v>
      </c>
      <c r="E79" s="14" t="s">
        <v>5</v>
      </c>
      <c r="F79" s="17">
        <v>1</v>
      </c>
      <c r="G79" s="21">
        <v>1980</v>
      </c>
      <c r="H79" s="15">
        <f t="shared" si="1"/>
        <v>1980</v>
      </c>
      <c r="I79" s="32"/>
      <c r="J79" s="29"/>
    </row>
    <row r="80" spans="1:10" ht="22.5" customHeight="1">
      <c r="A80" s="39">
        <v>74</v>
      </c>
      <c r="B80" s="18" t="s">
        <v>264</v>
      </c>
      <c r="C80" s="3" t="s">
        <v>105</v>
      </c>
      <c r="D80" s="3" t="s">
        <v>106</v>
      </c>
      <c r="E80" s="14" t="s">
        <v>5</v>
      </c>
      <c r="F80" s="17">
        <v>2</v>
      </c>
      <c r="G80" s="15">
        <v>2800</v>
      </c>
      <c r="H80" s="15">
        <f t="shared" si="1"/>
        <v>5600</v>
      </c>
      <c r="I80" s="32"/>
      <c r="J80" s="29"/>
    </row>
    <row r="81" spans="1:10" ht="22.5" customHeight="1">
      <c r="A81" s="13">
        <v>75</v>
      </c>
      <c r="B81" s="18" t="s">
        <v>264</v>
      </c>
      <c r="C81" s="3" t="s">
        <v>107</v>
      </c>
      <c r="D81" s="3" t="s">
        <v>6</v>
      </c>
      <c r="E81" s="14" t="s">
        <v>5</v>
      </c>
      <c r="F81" s="17">
        <v>2</v>
      </c>
      <c r="G81" s="15">
        <v>3100</v>
      </c>
      <c r="H81" s="15">
        <f t="shared" si="1"/>
        <v>6200</v>
      </c>
      <c r="I81" s="32"/>
      <c r="J81" s="29"/>
    </row>
    <row r="82" spans="1:10" ht="22.5" customHeight="1">
      <c r="A82" s="39">
        <v>76</v>
      </c>
      <c r="B82" s="18" t="s">
        <v>264</v>
      </c>
      <c r="C82" s="36" t="s">
        <v>108</v>
      </c>
      <c r="D82" s="36" t="s">
        <v>3</v>
      </c>
      <c r="E82" s="14" t="s">
        <v>5</v>
      </c>
      <c r="F82" s="45">
        <v>1</v>
      </c>
      <c r="G82" s="46">
        <v>3000</v>
      </c>
      <c r="H82" s="15">
        <f t="shared" si="1"/>
        <v>3000</v>
      </c>
      <c r="I82" s="32"/>
      <c r="J82" s="29"/>
    </row>
    <row r="83" spans="1:10" ht="22.5" customHeight="1">
      <c r="A83" s="13">
        <v>77</v>
      </c>
      <c r="B83" s="18" t="s">
        <v>264</v>
      </c>
      <c r="C83" s="3" t="s">
        <v>109</v>
      </c>
      <c r="D83" s="3" t="s">
        <v>7</v>
      </c>
      <c r="E83" s="14" t="s">
        <v>5</v>
      </c>
      <c r="F83" s="17">
        <v>1</v>
      </c>
      <c r="G83" s="15">
        <v>17300</v>
      </c>
      <c r="H83" s="15">
        <f t="shared" si="1"/>
        <v>17300</v>
      </c>
      <c r="I83" s="32"/>
      <c r="J83" s="29"/>
    </row>
    <row r="84" spans="1:10" ht="22.5" customHeight="1">
      <c r="A84" s="39">
        <v>78</v>
      </c>
      <c r="B84" s="18" t="s">
        <v>264</v>
      </c>
      <c r="C84" s="3" t="s">
        <v>110</v>
      </c>
      <c r="D84" s="3" t="s">
        <v>111</v>
      </c>
      <c r="E84" s="7" t="s">
        <v>5</v>
      </c>
      <c r="F84" s="17">
        <v>1</v>
      </c>
      <c r="G84" s="42">
        <v>1700</v>
      </c>
      <c r="H84" s="15">
        <f t="shared" si="1"/>
        <v>1700</v>
      </c>
      <c r="I84" s="32"/>
      <c r="J84" s="29"/>
    </row>
    <row r="85" spans="1:10" ht="22.5" customHeight="1">
      <c r="A85" s="13">
        <v>79</v>
      </c>
      <c r="B85" s="32">
        <v>2551</v>
      </c>
      <c r="C85" s="3" t="s">
        <v>112</v>
      </c>
      <c r="D85" s="3" t="s">
        <v>113</v>
      </c>
      <c r="E85" s="7" t="s">
        <v>195</v>
      </c>
      <c r="F85" s="17">
        <v>8</v>
      </c>
      <c r="G85" s="21">
        <v>3000</v>
      </c>
      <c r="H85" s="15">
        <f t="shared" si="1"/>
        <v>24000</v>
      </c>
      <c r="I85" s="32"/>
      <c r="J85" s="29"/>
    </row>
    <row r="86" spans="1:10" ht="22.5" customHeight="1">
      <c r="A86" s="39">
        <v>80</v>
      </c>
      <c r="B86" s="32">
        <v>2551</v>
      </c>
      <c r="C86" s="3" t="s">
        <v>114</v>
      </c>
      <c r="D86" s="1" t="s">
        <v>115</v>
      </c>
      <c r="E86" s="7" t="s">
        <v>5</v>
      </c>
      <c r="F86" s="17">
        <v>1</v>
      </c>
      <c r="G86" s="15">
        <v>5684.5</v>
      </c>
      <c r="H86" s="15">
        <f t="shared" si="1"/>
        <v>5684.5</v>
      </c>
      <c r="I86" s="32"/>
      <c r="J86" s="29"/>
    </row>
    <row r="87" spans="1:10" ht="22.5" customHeight="1">
      <c r="A87" s="13">
        <v>81</v>
      </c>
      <c r="B87" s="32">
        <v>2551</v>
      </c>
      <c r="C87" s="3" t="s">
        <v>116</v>
      </c>
      <c r="D87" s="1" t="s">
        <v>117</v>
      </c>
      <c r="E87" s="7" t="s">
        <v>5</v>
      </c>
      <c r="F87" s="17">
        <v>1</v>
      </c>
      <c r="G87" s="15">
        <v>1006.25</v>
      </c>
      <c r="H87" s="15">
        <f t="shared" si="1"/>
        <v>1006.25</v>
      </c>
      <c r="I87" s="32"/>
      <c r="J87" s="29"/>
    </row>
    <row r="88" spans="1:10" ht="22.5" customHeight="1">
      <c r="A88" s="39">
        <v>82</v>
      </c>
      <c r="B88" s="32">
        <v>2551</v>
      </c>
      <c r="C88" s="3" t="s">
        <v>118</v>
      </c>
      <c r="D88" s="1" t="s">
        <v>119</v>
      </c>
      <c r="E88" s="7" t="s">
        <v>5</v>
      </c>
      <c r="F88" s="17">
        <v>1</v>
      </c>
      <c r="G88" s="15">
        <v>29900</v>
      </c>
      <c r="H88" s="15">
        <f t="shared" si="1"/>
        <v>29900</v>
      </c>
      <c r="I88" s="32"/>
      <c r="J88" s="29"/>
    </row>
    <row r="89" spans="1:10" ht="22.5" customHeight="1">
      <c r="A89" s="13">
        <v>83</v>
      </c>
      <c r="B89" s="32">
        <v>2552</v>
      </c>
      <c r="C89" s="3" t="s">
        <v>120</v>
      </c>
      <c r="D89" s="1" t="s">
        <v>121</v>
      </c>
      <c r="E89" s="7" t="s">
        <v>4</v>
      </c>
      <c r="F89" s="17">
        <v>7</v>
      </c>
      <c r="G89" s="15">
        <v>3500</v>
      </c>
      <c r="H89" s="15">
        <f t="shared" si="1"/>
        <v>24500</v>
      </c>
      <c r="I89" s="32"/>
      <c r="J89" s="29"/>
    </row>
    <row r="90" spans="1:10" ht="22.5" customHeight="1">
      <c r="A90" s="39">
        <v>84</v>
      </c>
      <c r="B90" s="32">
        <v>2552</v>
      </c>
      <c r="C90" s="3" t="s">
        <v>122</v>
      </c>
      <c r="D90" s="24" t="s">
        <v>123</v>
      </c>
      <c r="E90" s="7" t="s">
        <v>4</v>
      </c>
      <c r="F90" s="17">
        <v>1</v>
      </c>
      <c r="G90" s="21">
        <v>17909.32</v>
      </c>
      <c r="H90" s="15">
        <f>SUM(F90*G90)</f>
        <v>17909.32</v>
      </c>
      <c r="I90" s="32"/>
      <c r="J90" s="29"/>
    </row>
    <row r="91" spans="1:10" ht="22.5" customHeight="1">
      <c r="A91" s="13">
        <v>85</v>
      </c>
      <c r="B91" s="32">
        <v>2552</v>
      </c>
      <c r="C91" s="3" t="s">
        <v>124</v>
      </c>
      <c r="D91" s="24" t="s">
        <v>125</v>
      </c>
      <c r="E91" s="7" t="s">
        <v>4</v>
      </c>
      <c r="F91" s="17">
        <v>1</v>
      </c>
      <c r="G91" s="21">
        <v>16800</v>
      </c>
      <c r="H91" s="15">
        <f>SUM(F91*G91)</f>
        <v>16800</v>
      </c>
      <c r="I91" s="32"/>
      <c r="J91" s="29"/>
    </row>
    <row r="92" spans="1:10" ht="22.5" customHeight="1">
      <c r="A92" s="39">
        <v>86</v>
      </c>
      <c r="B92" s="32">
        <v>2553</v>
      </c>
      <c r="C92" s="3" t="s">
        <v>126</v>
      </c>
      <c r="D92" s="24" t="s">
        <v>127</v>
      </c>
      <c r="E92" s="7" t="s">
        <v>4</v>
      </c>
      <c r="F92" s="17">
        <v>1</v>
      </c>
      <c r="G92" s="21">
        <v>3700</v>
      </c>
      <c r="H92" s="15">
        <f t="shared" si="1"/>
        <v>3700</v>
      </c>
      <c r="I92" s="32"/>
      <c r="J92" s="29"/>
    </row>
    <row r="93" spans="1:10" ht="22.5" customHeight="1">
      <c r="A93" s="13">
        <v>87</v>
      </c>
      <c r="B93" s="32">
        <v>2553</v>
      </c>
      <c r="C93" s="3" t="s">
        <v>128</v>
      </c>
      <c r="D93" s="24" t="s">
        <v>129</v>
      </c>
      <c r="E93" s="7" t="s">
        <v>5</v>
      </c>
      <c r="F93" s="17">
        <v>9</v>
      </c>
      <c r="G93" s="21">
        <v>11000</v>
      </c>
      <c r="H93" s="15">
        <f t="shared" si="1"/>
        <v>99000</v>
      </c>
      <c r="I93" s="32"/>
      <c r="J93" s="29"/>
    </row>
    <row r="94" spans="1:10" ht="22.5" customHeight="1">
      <c r="A94" s="39">
        <v>88</v>
      </c>
      <c r="B94" s="32">
        <v>2553</v>
      </c>
      <c r="C94" s="3" t="s">
        <v>130</v>
      </c>
      <c r="D94" s="24" t="s">
        <v>131</v>
      </c>
      <c r="E94" s="7" t="s">
        <v>4</v>
      </c>
      <c r="F94" s="17">
        <v>2</v>
      </c>
      <c r="G94" s="21">
        <v>4000</v>
      </c>
      <c r="H94" s="15">
        <f t="shared" si="1"/>
        <v>8000</v>
      </c>
      <c r="I94" s="32"/>
      <c r="J94" s="29"/>
    </row>
    <row r="95" spans="1:10" ht="22.5" customHeight="1">
      <c r="A95" s="13">
        <v>89</v>
      </c>
      <c r="B95" s="32">
        <v>2553</v>
      </c>
      <c r="C95" s="3" t="s">
        <v>132</v>
      </c>
      <c r="D95" s="24" t="s">
        <v>133</v>
      </c>
      <c r="E95" s="14" t="s">
        <v>4</v>
      </c>
      <c r="F95" s="17">
        <v>2</v>
      </c>
      <c r="G95" s="21">
        <v>4000</v>
      </c>
      <c r="H95" s="15">
        <f t="shared" si="1"/>
        <v>8000</v>
      </c>
      <c r="I95" s="43"/>
      <c r="J95" s="37"/>
    </row>
    <row r="96" spans="1:10" ht="22.5" customHeight="1">
      <c r="A96" s="74" t="s">
        <v>205</v>
      </c>
      <c r="B96" s="75"/>
      <c r="C96" s="75"/>
      <c r="D96" s="76"/>
      <c r="E96" s="14"/>
      <c r="F96" s="17"/>
      <c r="G96" s="21"/>
      <c r="H96" s="15">
        <f>SUM(H51:H95)</f>
        <v>2286037.11</v>
      </c>
      <c r="I96" s="43"/>
      <c r="J96" s="37"/>
    </row>
    <row r="97" spans="1:10" ht="22.5" customHeight="1">
      <c r="A97" s="74" t="s">
        <v>204</v>
      </c>
      <c r="B97" s="75"/>
      <c r="C97" s="75"/>
      <c r="D97" s="76"/>
      <c r="E97" s="14"/>
      <c r="F97" s="17"/>
      <c r="G97" s="21"/>
      <c r="H97" s="15">
        <f>SUM(H96)</f>
        <v>2286037.11</v>
      </c>
      <c r="I97" s="43"/>
      <c r="J97" s="37"/>
    </row>
    <row r="98" spans="1:10" ht="22.5" customHeight="1">
      <c r="A98" s="39">
        <v>90</v>
      </c>
      <c r="B98" s="32">
        <v>2553</v>
      </c>
      <c r="C98" s="3" t="s">
        <v>134</v>
      </c>
      <c r="D98" s="24" t="s">
        <v>135</v>
      </c>
      <c r="E98" s="14" t="s">
        <v>4</v>
      </c>
      <c r="F98" s="17">
        <v>2</v>
      </c>
      <c r="G98" s="21">
        <v>2500</v>
      </c>
      <c r="H98" s="15">
        <f t="shared" si="1"/>
        <v>5000</v>
      </c>
      <c r="I98" s="16"/>
      <c r="J98" s="37"/>
    </row>
    <row r="99" spans="1:10" ht="22.5" customHeight="1">
      <c r="A99" s="13">
        <v>91</v>
      </c>
      <c r="B99" s="32">
        <v>2553</v>
      </c>
      <c r="C99" s="3" t="s">
        <v>136</v>
      </c>
      <c r="D99" s="24" t="s">
        <v>137</v>
      </c>
      <c r="E99" s="14" t="s">
        <v>4</v>
      </c>
      <c r="F99" s="17">
        <v>2</v>
      </c>
      <c r="G99" s="21">
        <v>1000</v>
      </c>
      <c r="H99" s="15">
        <f t="shared" si="1"/>
        <v>2000</v>
      </c>
      <c r="I99" s="16"/>
      <c r="J99" s="37"/>
    </row>
    <row r="100" spans="1:10" ht="22.5" customHeight="1">
      <c r="A100" s="39">
        <v>92</v>
      </c>
      <c r="B100" s="32">
        <v>2553</v>
      </c>
      <c r="C100" s="3" t="s">
        <v>138</v>
      </c>
      <c r="D100" s="24" t="s">
        <v>139</v>
      </c>
      <c r="E100" s="14" t="s">
        <v>4</v>
      </c>
      <c r="F100" s="17">
        <v>2</v>
      </c>
      <c r="G100" s="21">
        <v>4000</v>
      </c>
      <c r="H100" s="15">
        <f t="shared" si="1"/>
        <v>8000</v>
      </c>
      <c r="I100" s="16"/>
      <c r="J100" s="37"/>
    </row>
    <row r="101" spans="1:10" ht="22.5" customHeight="1">
      <c r="A101" s="13">
        <v>93</v>
      </c>
      <c r="B101" s="32">
        <v>2553</v>
      </c>
      <c r="C101" s="3" t="s">
        <v>140</v>
      </c>
      <c r="D101" s="24" t="s">
        <v>141</v>
      </c>
      <c r="E101" s="14" t="s">
        <v>4</v>
      </c>
      <c r="F101" s="17">
        <v>2</v>
      </c>
      <c r="G101" s="21">
        <v>3200</v>
      </c>
      <c r="H101" s="15">
        <f t="shared" si="1"/>
        <v>6400</v>
      </c>
      <c r="I101" s="16"/>
      <c r="J101" s="37"/>
    </row>
    <row r="102" spans="1:10" ht="22.5" customHeight="1">
      <c r="A102" s="39">
        <v>94</v>
      </c>
      <c r="B102" s="32">
        <v>2553</v>
      </c>
      <c r="C102" s="3" t="s">
        <v>142</v>
      </c>
      <c r="D102" s="24" t="s">
        <v>143</v>
      </c>
      <c r="E102" s="14" t="s">
        <v>4</v>
      </c>
      <c r="F102" s="17">
        <v>2</v>
      </c>
      <c r="G102" s="21">
        <v>1300</v>
      </c>
      <c r="H102" s="15">
        <f t="shared" si="1"/>
        <v>2600</v>
      </c>
      <c r="I102" s="16"/>
      <c r="J102" s="37"/>
    </row>
    <row r="103" spans="1:10" ht="22.5" customHeight="1">
      <c r="A103" s="13">
        <v>95</v>
      </c>
      <c r="B103" s="6">
        <v>19517</v>
      </c>
      <c r="C103" s="3" t="s">
        <v>144</v>
      </c>
      <c r="D103" s="24" t="s">
        <v>145</v>
      </c>
      <c r="E103" s="14" t="s">
        <v>5</v>
      </c>
      <c r="F103" s="17">
        <v>1</v>
      </c>
      <c r="G103" s="21">
        <v>1099000</v>
      </c>
      <c r="H103" s="15">
        <f t="shared" si="1"/>
        <v>1099000</v>
      </c>
      <c r="I103" s="16"/>
      <c r="J103" s="37"/>
    </row>
    <row r="104" spans="1:10" ht="22.5" customHeight="1">
      <c r="A104" s="39">
        <v>96</v>
      </c>
      <c r="B104" s="32">
        <v>2553</v>
      </c>
      <c r="C104" s="3" t="s">
        <v>146</v>
      </c>
      <c r="D104" s="24" t="s">
        <v>9</v>
      </c>
      <c r="E104" s="14" t="s">
        <v>4</v>
      </c>
      <c r="F104" s="17">
        <v>1</v>
      </c>
      <c r="G104" s="21">
        <v>3500</v>
      </c>
      <c r="H104" s="15">
        <f t="shared" si="1"/>
        <v>3500</v>
      </c>
      <c r="I104" s="16"/>
      <c r="J104" s="37"/>
    </row>
    <row r="105" spans="1:10" ht="22.5" customHeight="1">
      <c r="A105" s="13">
        <v>97</v>
      </c>
      <c r="B105" s="32">
        <v>2553</v>
      </c>
      <c r="C105" s="3" t="s">
        <v>147</v>
      </c>
      <c r="D105" s="24" t="s">
        <v>148</v>
      </c>
      <c r="E105" s="14" t="s">
        <v>4</v>
      </c>
      <c r="F105" s="17">
        <v>1</v>
      </c>
      <c r="G105" s="21">
        <v>3000</v>
      </c>
      <c r="H105" s="15">
        <f t="shared" si="1"/>
        <v>3000</v>
      </c>
      <c r="I105" s="23"/>
      <c r="J105" s="44"/>
    </row>
    <row r="106" spans="1:10" ht="22.5" customHeight="1">
      <c r="A106" s="39">
        <v>98</v>
      </c>
      <c r="B106" s="32">
        <v>2553</v>
      </c>
      <c r="C106" s="3" t="s">
        <v>12</v>
      </c>
      <c r="D106" s="24" t="s">
        <v>10</v>
      </c>
      <c r="E106" s="14" t="s">
        <v>4</v>
      </c>
      <c r="F106" s="17">
        <v>1</v>
      </c>
      <c r="G106" s="21">
        <v>7900</v>
      </c>
      <c r="H106" s="15">
        <f t="shared" si="1"/>
        <v>7900</v>
      </c>
      <c r="I106" s="23"/>
      <c r="J106" s="44"/>
    </row>
    <row r="107" spans="1:10" ht="22.5" customHeight="1">
      <c r="A107" s="13">
        <v>99</v>
      </c>
      <c r="B107" s="18" t="s">
        <v>266</v>
      </c>
      <c r="C107" s="3" t="s">
        <v>149</v>
      </c>
      <c r="D107" s="24" t="s">
        <v>150</v>
      </c>
      <c r="E107" s="14" t="s">
        <v>4</v>
      </c>
      <c r="F107" s="17">
        <v>2</v>
      </c>
      <c r="G107" s="21">
        <v>49500</v>
      </c>
      <c r="H107" s="15">
        <f t="shared" si="1"/>
        <v>99000</v>
      </c>
      <c r="I107" s="32"/>
      <c r="J107" s="29"/>
    </row>
    <row r="108" spans="1:10" ht="22.5" customHeight="1">
      <c r="A108" s="39">
        <v>100</v>
      </c>
      <c r="B108" s="18" t="s">
        <v>266</v>
      </c>
      <c r="C108" s="3" t="s">
        <v>151</v>
      </c>
      <c r="D108" s="24" t="s">
        <v>152</v>
      </c>
      <c r="E108" s="14" t="s">
        <v>4</v>
      </c>
      <c r="F108" s="17">
        <v>1</v>
      </c>
      <c r="G108" s="21">
        <v>22440</v>
      </c>
      <c r="H108" s="15">
        <f t="shared" si="1"/>
        <v>22440</v>
      </c>
      <c r="I108" s="32"/>
      <c r="J108" s="29"/>
    </row>
    <row r="109" spans="1:10" ht="22.5" customHeight="1">
      <c r="A109" s="13">
        <v>101</v>
      </c>
      <c r="B109" s="18" t="s">
        <v>266</v>
      </c>
      <c r="C109" s="3" t="s">
        <v>238</v>
      </c>
      <c r="D109" s="24" t="s">
        <v>153</v>
      </c>
      <c r="E109" s="14" t="s">
        <v>4</v>
      </c>
      <c r="F109" s="17">
        <v>1</v>
      </c>
      <c r="G109" s="21">
        <v>12000</v>
      </c>
      <c r="H109" s="15">
        <f t="shared" si="1"/>
        <v>12000</v>
      </c>
      <c r="I109" s="32"/>
      <c r="J109" s="29"/>
    </row>
    <row r="110" spans="1:10" ht="22.5" customHeight="1">
      <c r="A110" s="39">
        <v>102</v>
      </c>
      <c r="B110" s="18" t="s">
        <v>266</v>
      </c>
      <c r="C110" s="3" t="s">
        <v>154</v>
      </c>
      <c r="D110" s="24" t="s">
        <v>155</v>
      </c>
      <c r="E110" s="14" t="s">
        <v>4</v>
      </c>
      <c r="F110" s="17">
        <v>2</v>
      </c>
      <c r="G110" s="21">
        <v>2000</v>
      </c>
      <c r="H110" s="15">
        <f t="shared" si="1"/>
        <v>4000</v>
      </c>
      <c r="I110" s="32"/>
      <c r="J110" s="29"/>
    </row>
    <row r="111" spans="1:10" ht="22.5" customHeight="1">
      <c r="A111" s="13">
        <v>103</v>
      </c>
      <c r="B111" s="18" t="s">
        <v>266</v>
      </c>
      <c r="C111" s="3" t="s">
        <v>156</v>
      </c>
      <c r="D111" s="24" t="s">
        <v>157</v>
      </c>
      <c r="E111" s="14" t="s">
        <v>4</v>
      </c>
      <c r="F111" s="17">
        <v>2</v>
      </c>
      <c r="G111" s="21">
        <v>31000</v>
      </c>
      <c r="H111" s="15">
        <f t="shared" si="1"/>
        <v>62000</v>
      </c>
      <c r="I111" s="32"/>
      <c r="J111" s="29"/>
    </row>
    <row r="112" spans="1:10" ht="22.5" customHeight="1">
      <c r="A112" s="39">
        <v>104</v>
      </c>
      <c r="B112" s="12" t="s">
        <v>271</v>
      </c>
      <c r="C112" s="3" t="s">
        <v>158</v>
      </c>
      <c r="D112" s="24" t="s">
        <v>159</v>
      </c>
      <c r="E112" s="14" t="s">
        <v>5</v>
      </c>
      <c r="F112" s="17">
        <v>2</v>
      </c>
      <c r="G112" s="21">
        <v>17500</v>
      </c>
      <c r="H112" s="15">
        <f t="shared" si="1"/>
        <v>35000</v>
      </c>
      <c r="I112" s="32"/>
      <c r="J112" s="29"/>
    </row>
    <row r="113" spans="1:10" ht="22.5" customHeight="1">
      <c r="A113" s="13">
        <v>105</v>
      </c>
      <c r="B113" s="25"/>
      <c r="C113" s="47"/>
      <c r="D113" s="26" t="s">
        <v>160</v>
      </c>
      <c r="E113" s="14" t="s">
        <v>5</v>
      </c>
      <c r="F113" s="19">
        <v>1</v>
      </c>
      <c r="G113" s="21">
        <v>10500</v>
      </c>
      <c r="H113" s="15">
        <f t="shared" si="1"/>
        <v>10500</v>
      </c>
      <c r="I113" s="32"/>
      <c r="J113" s="29"/>
    </row>
    <row r="114" spans="1:10" ht="22.5" customHeight="1">
      <c r="A114" s="39">
        <v>106</v>
      </c>
      <c r="B114" s="6">
        <v>22146</v>
      </c>
      <c r="C114" s="3" t="s">
        <v>161</v>
      </c>
      <c r="D114" s="3" t="s">
        <v>162</v>
      </c>
      <c r="E114" s="7" t="s">
        <v>5</v>
      </c>
      <c r="F114" s="17">
        <v>4</v>
      </c>
      <c r="G114" s="42">
        <v>10000</v>
      </c>
      <c r="H114" s="15">
        <f t="shared" si="1"/>
        <v>40000</v>
      </c>
      <c r="I114" s="32"/>
      <c r="J114" s="29"/>
    </row>
    <row r="115" spans="1:10" ht="22.5" customHeight="1">
      <c r="A115" s="13">
        <v>107</v>
      </c>
      <c r="B115" s="20">
        <v>22715</v>
      </c>
      <c r="C115" s="28" t="s">
        <v>167</v>
      </c>
      <c r="D115" s="10" t="s">
        <v>163</v>
      </c>
      <c r="E115" s="7" t="s">
        <v>5</v>
      </c>
      <c r="F115" s="17">
        <v>3</v>
      </c>
      <c r="G115" s="42">
        <v>15000</v>
      </c>
      <c r="H115" s="15">
        <f t="shared" si="1"/>
        <v>45000</v>
      </c>
      <c r="I115" s="32"/>
      <c r="J115" s="29"/>
    </row>
    <row r="116" spans="1:10" ht="22.5" customHeight="1">
      <c r="A116" s="39">
        <v>108</v>
      </c>
      <c r="B116" s="20">
        <v>22715</v>
      </c>
      <c r="C116" s="28" t="s">
        <v>169</v>
      </c>
      <c r="D116" s="10" t="s">
        <v>168</v>
      </c>
      <c r="E116" s="7" t="s">
        <v>5</v>
      </c>
      <c r="F116" s="17">
        <v>2</v>
      </c>
      <c r="G116" s="42">
        <v>11326</v>
      </c>
      <c r="H116" s="15">
        <f t="shared" si="1"/>
        <v>22652</v>
      </c>
      <c r="I116" s="32"/>
      <c r="J116" s="29"/>
    </row>
    <row r="117" spans="1:10" ht="22.5" customHeight="1">
      <c r="A117" s="13">
        <v>109</v>
      </c>
      <c r="B117" s="20">
        <v>22830</v>
      </c>
      <c r="C117" s="28" t="s">
        <v>170</v>
      </c>
      <c r="D117" s="10" t="s">
        <v>164</v>
      </c>
      <c r="E117" s="7" t="s">
        <v>5</v>
      </c>
      <c r="F117" s="17">
        <v>3</v>
      </c>
      <c r="G117" s="42">
        <v>7590</v>
      </c>
      <c r="H117" s="15">
        <f t="shared" si="1"/>
        <v>22770</v>
      </c>
      <c r="I117" s="32"/>
      <c r="J117" s="29"/>
    </row>
    <row r="118" spans="1:10" ht="22.5" customHeight="1">
      <c r="A118" s="39">
        <v>110</v>
      </c>
      <c r="B118" s="20">
        <v>22830</v>
      </c>
      <c r="C118" s="28" t="s">
        <v>172</v>
      </c>
      <c r="D118" s="10" t="s">
        <v>171</v>
      </c>
      <c r="E118" s="7" t="s">
        <v>5</v>
      </c>
      <c r="F118" s="17">
        <v>1</v>
      </c>
      <c r="G118" s="42">
        <v>5362</v>
      </c>
      <c r="H118" s="15">
        <f t="shared" si="1"/>
        <v>5362</v>
      </c>
      <c r="I118" s="32"/>
      <c r="J118" s="29"/>
    </row>
    <row r="119" spans="1:10" ht="22.5" customHeight="1">
      <c r="A119" s="13">
        <v>111</v>
      </c>
      <c r="B119" s="20">
        <v>22830</v>
      </c>
      <c r="C119" s="28" t="s">
        <v>173</v>
      </c>
      <c r="D119" s="10" t="s">
        <v>165</v>
      </c>
      <c r="E119" s="7" t="s">
        <v>5</v>
      </c>
      <c r="F119" s="17">
        <v>1</v>
      </c>
      <c r="G119" s="15">
        <v>4013</v>
      </c>
      <c r="H119" s="15">
        <f t="shared" si="1"/>
        <v>4013</v>
      </c>
      <c r="I119" s="32"/>
      <c r="J119" s="29"/>
    </row>
    <row r="120" spans="1:10" ht="22.5" customHeight="1">
      <c r="A120" s="39">
        <v>112</v>
      </c>
      <c r="B120" s="20">
        <v>22715</v>
      </c>
      <c r="C120" s="28" t="s">
        <v>174</v>
      </c>
      <c r="D120" s="10" t="s">
        <v>166</v>
      </c>
      <c r="E120" s="7" t="s">
        <v>5</v>
      </c>
      <c r="F120" s="17">
        <v>1</v>
      </c>
      <c r="G120" s="42">
        <v>4302</v>
      </c>
      <c r="H120" s="15">
        <f t="shared" si="1"/>
        <v>4302</v>
      </c>
      <c r="I120" s="32"/>
      <c r="J120" s="29"/>
    </row>
    <row r="121" spans="1:10" ht="22.5" customHeight="1">
      <c r="A121" s="13">
        <v>113</v>
      </c>
      <c r="B121" s="20">
        <v>22830</v>
      </c>
      <c r="C121" s="28" t="s">
        <v>176</v>
      </c>
      <c r="D121" s="10" t="s">
        <v>175</v>
      </c>
      <c r="E121" s="7" t="s">
        <v>5</v>
      </c>
      <c r="F121" s="17">
        <v>5</v>
      </c>
      <c r="G121" s="42">
        <v>4590</v>
      </c>
      <c r="H121" s="15">
        <f t="shared" si="1"/>
        <v>22950</v>
      </c>
      <c r="I121" s="32"/>
      <c r="J121" s="29"/>
    </row>
    <row r="122" spans="1:10" ht="22.5" customHeight="1">
      <c r="A122" s="39">
        <v>114</v>
      </c>
      <c r="B122" s="20">
        <v>22715</v>
      </c>
      <c r="C122" s="28" t="s">
        <v>178</v>
      </c>
      <c r="D122" s="10" t="s">
        <v>177</v>
      </c>
      <c r="E122" s="7" t="s">
        <v>5</v>
      </c>
      <c r="F122" s="17">
        <v>10</v>
      </c>
      <c r="G122" s="42">
        <v>3838.8</v>
      </c>
      <c r="H122" s="15">
        <f t="shared" si="1"/>
        <v>38388</v>
      </c>
      <c r="I122" s="32"/>
      <c r="J122" s="29"/>
    </row>
    <row r="123" spans="1:10" ht="22.5" customHeight="1">
      <c r="A123" s="13">
        <v>115</v>
      </c>
      <c r="B123" s="20">
        <v>22715</v>
      </c>
      <c r="C123" s="28" t="s">
        <v>180</v>
      </c>
      <c r="D123" s="10" t="s">
        <v>179</v>
      </c>
      <c r="E123" s="7" t="s">
        <v>5</v>
      </c>
      <c r="F123" s="17">
        <v>1</v>
      </c>
      <c r="G123" s="42">
        <v>3251</v>
      </c>
      <c r="H123" s="15">
        <f t="shared" si="1"/>
        <v>3251</v>
      </c>
      <c r="I123" s="32"/>
      <c r="J123" s="29"/>
    </row>
    <row r="124" spans="1:10" ht="22.5" customHeight="1">
      <c r="A124" s="39">
        <v>116</v>
      </c>
      <c r="B124" s="20">
        <v>22887</v>
      </c>
      <c r="C124" s="28" t="s">
        <v>181</v>
      </c>
      <c r="D124" s="10" t="s">
        <v>182</v>
      </c>
      <c r="E124" s="7" t="s">
        <v>5</v>
      </c>
      <c r="F124" s="17">
        <v>1</v>
      </c>
      <c r="G124" s="42">
        <v>9965</v>
      </c>
      <c r="H124" s="15">
        <f t="shared" si="1"/>
        <v>9965</v>
      </c>
      <c r="I124" s="32"/>
      <c r="J124" s="29"/>
    </row>
    <row r="125" spans="1:10" ht="22.5" customHeight="1">
      <c r="A125" s="13">
        <v>117</v>
      </c>
      <c r="B125" s="20">
        <v>23342</v>
      </c>
      <c r="C125" s="28" t="s">
        <v>184</v>
      </c>
      <c r="D125" s="10" t="s">
        <v>183</v>
      </c>
      <c r="E125" s="7" t="s">
        <v>5</v>
      </c>
      <c r="F125" s="17">
        <v>1</v>
      </c>
      <c r="G125" s="42">
        <v>1763</v>
      </c>
      <c r="H125" s="15">
        <f t="shared" si="1"/>
        <v>1763</v>
      </c>
      <c r="I125" s="32"/>
      <c r="J125" s="29"/>
    </row>
    <row r="126" spans="1:10" ht="22.5" customHeight="1">
      <c r="A126" s="39">
        <v>118</v>
      </c>
      <c r="B126" s="20">
        <v>23243</v>
      </c>
      <c r="C126" s="28" t="s">
        <v>185</v>
      </c>
      <c r="D126" s="10" t="s">
        <v>186</v>
      </c>
      <c r="E126" s="7" t="s">
        <v>5</v>
      </c>
      <c r="F126" s="17">
        <v>1</v>
      </c>
      <c r="G126" s="42">
        <v>21109</v>
      </c>
      <c r="H126" s="15">
        <f t="shared" si="1"/>
        <v>21109</v>
      </c>
      <c r="I126" s="32"/>
      <c r="J126" s="29"/>
    </row>
    <row r="127" spans="1:10" ht="22.5" customHeight="1">
      <c r="A127" s="13">
        <v>119</v>
      </c>
      <c r="B127" s="20">
        <v>23243</v>
      </c>
      <c r="C127" s="28" t="s">
        <v>187</v>
      </c>
      <c r="D127" s="10" t="s">
        <v>49</v>
      </c>
      <c r="E127" s="7" t="s">
        <v>5</v>
      </c>
      <c r="F127" s="17">
        <v>1</v>
      </c>
      <c r="G127" s="42">
        <v>8212</v>
      </c>
      <c r="H127" s="15">
        <f t="shared" si="1"/>
        <v>8212</v>
      </c>
      <c r="I127" s="32"/>
      <c r="J127" s="29"/>
    </row>
    <row r="128" spans="1:10" ht="22.5" customHeight="1">
      <c r="A128" s="39">
        <v>120</v>
      </c>
      <c r="B128" s="20">
        <v>23243</v>
      </c>
      <c r="C128" s="28" t="s">
        <v>194</v>
      </c>
      <c r="D128" s="10" t="s">
        <v>191</v>
      </c>
      <c r="E128" s="7" t="s">
        <v>5</v>
      </c>
      <c r="F128" s="17">
        <v>30</v>
      </c>
      <c r="G128" s="42">
        <v>845.8</v>
      </c>
      <c r="H128" s="15">
        <f t="shared" si="1"/>
        <v>25374</v>
      </c>
      <c r="I128" s="32"/>
      <c r="J128" s="29"/>
    </row>
    <row r="129" spans="1:10" ht="22.5" customHeight="1">
      <c r="A129" s="13">
        <v>121</v>
      </c>
      <c r="B129" s="20">
        <v>23243</v>
      </c>
      <c r="C129" s="28" t="s">
        <v>193</v>
      </c>
      <c r="D129" s="10" t="s">
        <v>191</v>
      </c>
      <c r="E129" s="7" t="s">
        <v>5</v>
      </c>
      <c r="F129" s="17">
        <v>30</v>
      </c>
      <c r="G129" s="42">
        <v>846.7</v>
      </c>
      <c r="H129" s="15">
        <f t="shared" si="1"/>
        <v>25401</v>
      </c>
      <c r="I129" s="32"/>
      <c r="J129" s="29"/>
    </row>
    <row r="130" spans="1:10" ht="22.5" customHeight="1">
      <c r="A130" s="39">
        <v>122</v>
      </c>
      <c r="B130" s="20">
        <v>23243</v>
      </c>
      <c r="C130" s="28" t="s">
        <v>188</v>
      </c>
      <c r="D130" s="10" t="s">
        <v>192</v>
      </c>
      <c r="E130" s="7" t="s">
        <v>5</v>
      </c>
      <c r="F130" s="17">
        <v>5</v>
      </c>
      <c r="G130" s="42">
        <v>14654</v>
      </c>
      <c r="H130" s="15">
        <f t="shared" si="1"/>
        <v>73270</v>
      </c>
      <c r="I130" s="32"/>
      <c r="J130" s="29"/>
    </row>
    <row r="131" spans="1:10" ht="22.5" customHeight="1">
      <c r="A131" s="13">
        <v>123</v>
      </c>
      <c r="B131" s="20">
        <v>23243</v>
      </c>
      <c r="C131" s="28" t="s">
        <v>189</v>
      </c>
      <c r="D131" s="10" t="s">
        <v>78</v>
      </c>
      <c r="E131" s="7" t="s">
        <v>5</v>
      </c>
      <c r="F131" s="17">
        <v>1</v>
      </c>
      <c r="G131" s="42">
        <v>4358</v>
      </c>
      <c r="H131" s="15">
        <f t="shared" si="1"/>
        <v>4358</v>
      </c>
      <c r="I131" s="32"/>
      <c r="J131" s="29"/>
    </row>
    <row r="132" spans="1:10" ht="22.5" customHeight="1">
      <c r="A132" s="39">
        <v>124</v>
      </c>
      <c r="B132" s="20">
        <v>23340</v>
      </c>
      <c r="C132" s="28" t="s">
        <v>209</v>
      </c>
      <c r="D132" s="10" t="s">
        <v>210</v>
      </c>
      <c r="E132" s="7" t="s">
        <v>5</v>
      </c>
      <c r="F132" s="17">
        <v>1</v>
      </c>
      <c r="G132" s="42">
        <v>12590</v>
      </c>
      <c r="H132" s="15">
        <f t="shared" si="1"/>
        <v>12590</v>
      </c>
      <c r="I132" s="32"/>
      <c r="J132" s="58"/>
    </row>
    <row r="133" spans="1:10" ht="22.5" customHeight="1">
      <c r="A133" s="39">
        <v>125</v>
      </c>
      <c r="B133" s="60">
        <v>23340</v>
      </c>
      <c r="C133" s="61" t="s">
        <v>211</v>
      </c>
      <c r="D133" s="57" t="s">
        <v>214</v>
      </c>
      <c r="E133" s="7" t="s">
        <v>5</v>
      </c>
      <c r="F133" s="17">
        <v>1</v>
      </c>
      <c r="G133" s="42">
        <v>1590</v>
      </c>
      <c r="H133" s="15">
        <f t="shared" ref="H133:H149" si="2">SUM(F133*G133)</f>
        <v>1590</v>
      </c>
      <c r="I133" s="32"/>
      <c r="J133" s="58"/>
    </row>
    <row r="134" spans="1:10" ht="22.5" customHeight="1">
      <c r="A134" s="39">
        <v>126</v>
      </c>
      <c r="B134" s="60">
        <v>23340</v>
      </c>
      <c r="C134" s="61" t="s">
        <v>212</v>
      </c>
      <c r="D134" s="57" t="s">
        <v>213</v>
      </c>
      <c r="E134" s="7" t="s">
        <v>5</v>
      </c>
      <c r="F134" s="17">
        <v>3</v>
      </c>
      <c r="G134" s="42">
        <v>3450</v>
      </c>
      <c r="H134" s="15">
        <f t="shared" si="2"/>
        <v>10350</v>
      </c>
      <c r="I134" s="32"/>
      <c r="J134" s="58"/>
    </row>
    <row r="135" spans="1:10" ht="22.5" customHeight="1">
      <c r="A135" s="39">
        <v>127</v>
      </c>
      <c r="B135" s="60">
        <v>23340</v>
      </c>
      <c r="C135" s="61" t="s">
        <v>239</v>
      </c>
      <c r="D135" s="57" t="s">
        <v>240</v>
      </c>
      <c r="E135" s="7" t="s">
        <v>5</v>
      </c>
      <c r="F135" s="17">
        <v>1</v>
      </c>
      <c r="G135" s="42">
        <v>3990</v>
      </c>
      <c r="H135" s="15">
        <f t="shared" si="2"/>
        <v>3990</v>
      </c>
      <c r="I135" s="32"/>
      <c r="J135" s="58"/>
    </row>
    <row r="136" spans="1:10" ht="22.5" customHeight="1">
      <c r="A136" s="39">
        <v>128</v>
      </c>
      <c r="B136" s="60">
        <v>23365</v>
      </c>
      <c r="C136" s="61" t="s">
        <v>241</v>
      </c>
      <c r="D136" s="57" t="s">
        <v>242</v>
      </c>
      <c r="E136" s="7" t="s">
        <v>5</v>
      </c>
      <c r="F136" s="17">
        <v>1</v>
      </c>
      <c r="G136" s="42">
        <v>13990</v>
      </c>
      <c r="H136" s="15">
        <f t="shared" si="2"/>
        <v>13990</v>
      </c>
      <c r="I136" s="32"/>
      <c r="J136" s="59"/>
    </row>
    <row r="137" spans="1:10" ht="22.5" customHeight="1">
      <c r="A137" s="39">
        <v>129</v>
      </c>
      <c r="B137" s="63">
        <v>23380</v>
      </c>
      <c r="C137" s="61" t="s">
        <v>243</v>
      </c>
      <c r="D137" s="57" t="s">
        <v>244</v>
      </c>
      <c r="E137" s="7" t="s">
        <v>5</v>
      </c>
      <c r="F137" s="17">
        <v>1</v>
      </c>
      <c r="G137" s="42">
        <v>150000</v>
      </c>
      <c r="H137" s="15">
        <f t="shared" si="2"/>
        <v>150000</v>
      </c>
      <c r="I137" s="32"/>
      <c r="J137" s="59"/>
    </row>
    <row r="138" spans="1:10" ht="22.5" customHeight="1">
      <c r="A138" s="39">
        <v>130</v>
      </c>
      <c r="B138" s="63">
        <v>23447</v>
      </c>
      <c r="C138" s="61" t="s">
        <v>245</v>
      </c>
      <c r="D138" s="57" t="s">
        <v>246</v>
      </c>
      <c r="E138" s="7" t="s">
        <v>5</v>
      </c>
      <c r="F138" s="17">
        <v>40</v>
      </c>
      <c r="G138" s="42">
        <v>800</v>
      </c>
      <c r="H138" s="15">
        <f t="shared" si="2"/>
        <v>32000</v>
      </c>
      <c r="I138" s="32"/>
      <c r="J138" s="59"/>
    </row>
    <row r="139" spans="1:10" ht="22.5" customHeight="1">
      <c r="A139" s="39">
        <v>131</v>
      </c>
      <c r="B139" s="63">
        <v>23483</v>
      </c>
      <c r="C139" s="61" t="s">
        <v>247</v>
      </c>
      <c r="D139" s="57" t="s">
        <v>248</v>
      </c>
      <c r="E139" s="7" t="s">
        <v>5</v>
      </c>
      <c r="F139" s="17">
        <v>1</v>
      </c>
      <c r="G139" s="42">
        <v>25700</v>
      </c>
      <c r="H139" s="15">
        <f t="shared" si="2"/>
        <v>25700</v>
      </c>
      <c r="I139" s="32"/>
      <c r="J139" s="59"/>
    </row>
    <row r="140" spans="1:10" ht="22.5" customHeight="1">
      <c r="A140" s="39">
        <v>132</v>
      </c>
      <c r="B140" s="63">
        <v>23483</v>
      </c>
      <c r="C140" s="61" t="s">
        <v>249</v>
      </c>
      <c r="D140" s="57" t="s">
        <v>250</v>
      </c>
      <c r="E140" s="7" t="s">
        <v>5</v>
      </c>
      <c r="F140" s="17">
        <v>1</v>
      </c>
      <c r="G140" s="42">
        <v>29000</v>
      </c>
      <c r="H140" s="15">
        <f t="shared" si="2"/>
        <v>29000</v>
      </c>
      <c r="I140" s="32"/>
      <c r="J140" s="59"/>
    </row>
    <row r="141" spans="1:10" ht="22.5" customHeight="1">
      <c r="A141" s="39">
        <v>133</v>
      </c>
      <c r="B141" s="63">
        <v>23483</v>
      </c>
      <c r="C141" s="61" t="s">
        <v>251</v>
      </c>
      <c r="D141" s="57" t="s">
        <v>250</v>
      </c>
      <c r="E141" s="7" t="s">
        <v>5</v>
      </c>
      <c r="F141" s="17">
        <v>1</v>
      </c>
      <c r="G141" s="42">
        <v>29000</v>
      </c>
      <c r="H141" s="15">
        <f t="shared" si="2"/>
        <v>29000</v>
      </c>
      <c r="I141" s="32"/>
      <c r="J141" s="59"/>
    </row>
    <row r="142" spans="1:10" ht="22.5" customHeight="1">
      <c r="A142" s="74" t="s">
        <v>205</v>
      </c>
      <c r="B142" s="75"/>
      <c r="C142" s="75"/>
      <c r="D142" s="76"/>
      <c r="E142" s="7"/>
      <c r="F142" s="17"/>
      <c r="G142" s="42"/>
      <c r="H142" s="15">
        <f>SUM(H97:H141)</f>
        <v>4354727.1099999994</v>
      </c>
      <c r="I142" s="32"/>
      <c r="J142" s="69"/>
    </row>
    <row r="143" spans="1:10" ht="22.5" customHeight="1">
      <c r="A143" s="74" t="s">
        <v>204</v>
      </c>
      <c r="B143" s="75"/>
      <c r="C143" s="75"/>
      <c r="D143" s="76"/>
      <c r="E143" s="7"/>
      <c r="F143" s="17"/>
      <c r="G143" s="42"/>
      <c r="H143" s="15">
        <f>SUM(H142)</f>
        <v>4354727.1099999994</v>
      </c>
      <c r="I143" s="32"/>
      <c r="J143" s="69"/>
    </row>
    <row r="144" spans="1:10" ht="22.5" customHeight="1">
      <c r="A144" s="39">
        <v>134</v>
      </c>
      <c r="B144" s="63">
        <v>23514</v>
      </c>
      <c r="C144" s="61" t="s">
        <v>252</v>
      </c>
      <c r="D144" s="57" t="s">
        <v>253</v>
      </c>
      <c r="E144" s="7" t="s">
        <v>5</v>
      </c>
      <c r="F144" s="17">
        <v>12</v>
      </c>
      <c r="G144" s="42">
        <v>1550</v>
      </c>
      <c r="H144" s="15">
        <f t="shared" si="2"/>
        <v>18600</v>
      </c>
      <c r="I144" s="32"/>
      <c r="J144" s="62"/>
    </row>
    <row r="145" spans="1:12" ht="22.5" customHeight="1">
      <c r="A145" s="39">
        <v>135</v>
      </c>
      <c r="B145" s="63">
        <v>23536</v>
      </c>
      <c r="C145" s="61" t="s">
        <v>254</v>
      </c>
      <c r="D145" s="57" t="s">
        <v>255</v>
      </c>
      <c r="E145" s="7" t="s">
        <v>5</v>
      </c>
      <c r="F145" s="17">
        <v>4</v>
      </c>
      <c r="G145" s="42">
        <v>5390</v>
      </c>
      <c r="H145" s="15">
        <f t="shared" si="2"/>
        <v>21560</v>
      </c>
      <c r="I145" s="32"/>
      <c r="J145" s="62"/>
    </row>
    <row r="146" spans="1:12" ht="22.5" customHeight="1">
      <c r="A146" s="39">
        <v>136</v>
      </c>
      <c r="B146" s="63">
        <v>23536</v>
      </c>
      <c r="C146" s="61" t="s">
        <v>256</v>
      </c>
      <c r="D146" s="57" t="s">
        <v>257</v>
      </c>
      <c r="E146" s="7" t="s">
        <v>5</v>
      </c>
      <c r="F146" s="17">
        <v>4</v>
      </c>
      <c r="G146" s="42">
        <v>2690</v>
      </c>
      <c r="H146" s="15">
        <f t="shared" si="2"/>
        <v>10760</v>
      </c>
      <c r="I146" s="32"/>
      <c r="J146" s="59"/>
    </row>
    <row r="147" spans="1:12" ht="22.5" customHeight="1">
      <c r="A147" s="39">
        <v>137</v>
      </c>
      <c r="B147" s="63">
        <v>23580</v>
      </c>
      <c r="C147" s="61" t="s">
        <v>258</v>
      </c>
      <c r="D147" s="57" t="s">
        <v>250</v>
      </c>
      <c r="E147" s="7" t="s">
        <v>5</v>
      </c>
      <c r="F147" s="17">
        <v>5</v>
      </c>
      <c r="G147" s="42">
        <v>29000</v>
      </c>
      <c r="H147" s="15">
        <f t="shared" si="2"/>
        <v>145000</v>
      </c>
      <c r="I147" s="32"/>
      <c r="J147" s="59"/>
    </row>
    <row r="148" spans="1:12" ht="22.5" customHeight="1">
      <c r="A148" s="39">
        <v>138</v>
      </c>
      <c r="B148" s="63">
        <v>23608</v>
      </c>
      <c r="C148" s="61" t="s">
        <v>259</v>
      </c>
      <c r="D148" s="57" t="s">
        <v>253</v>
      </c>
      <c r="E148" s="7" t="s">
        <v>5</v>
      </c>
      <c r="F148" s="17">
        <v>26</v>
      </c>
      <c r="G148" s="42">
        <v>2650</v>
      </c>
      <c r="H148" s="15">
        <f t="shared" ref="H148" si="3">SUM(F148*G148)</f>
        <v>68900</v>
      </c>
      <c r="I148" s="32"/>
      <c r="J148" s="68"/>
    </row>
    <row r="149" spans="1:12" ht="22.5" customHeight="1">
      <c r="A149" s="39">
        <v>139</v>
      </c>
      <c r="B149" s="63">
        <v>23615</v>
      </c>
      <c r="C149" s="61" t="s">
        <v>272</v>
      </c>
      <c r="D149" s="57" t="s">
        <v>273</v>
      </c>
      <c r="E149" s="7" t="s">
        <v>190</v>
      </c>
      <c r="F149" s="17">
        <v>1</v>
      </c>
      <c r="G149" s="42">
        <v>0</v>
      </c>
      <c r="H149" s="15">
        <f t="shared" si="2"/>
        <v>0</v>
      </c>
      <c r="I149" s="32"/>
      <c r="J149" s="59"/>
    </row>
    <row r="150" spans="1:12" ht="24" customHeight="1">
      <c r="A150" s="77" t="s">
        <v>202</v>
      </c>
      <c r="B150" s="78"/>
      <c r="C150" s="78"/>
      <c r="D150" s="78"/>
      <c r="E150" s="78"/>
      <c r="F150" s="57"/>
      <c r="G150" s="42"/>
      <c r="H150" s="42">
        <f>SUM(H143:H149)</f>
        <v>4619547.1099999994</v>
      </c>
      <c r="I150" s="32"/>
      <c r="J150" s="29"/>
    </row>
    <row r="151" spans="1:12" ht="24" customHeight="1">
      <c r="A151" s="65"/>
      <c r="B151" s="65"/>
      <c r="C151" s="65"/>
      <c r="D151" s="65"/>
      <c r="E151" s="65"/>
      <c r="F151" s="66"/>
      <c r="G151" s="67"/>
      <c r="H151" s="67"/>
      <c r="I151" s="64"/>
      <c r="J151" s="64"/>
    </row>
    <row r="152" spans="1:12" ht="22.5" customHeight="1">
      <c r="A152" s="30"/>
      <c r="B152" s="30"/>
      <c r="C152" s="30"/>
      <c r="D152" s="30"/>
      <c r="E152" s="48"/>
      <c r="F152" s="49"/>
      <c r="G152" s="50"/>
      <c r="H152" s="50"/>
      <c r="I152" s="29"/>
      <c r="J152" s="50"/>
      <c r="K152" s="51"/>
      <c r="L152" s="51"/>
    </row>
    <row r="153" spans="1:12" ht="22.5" customHeight="1">
      <c r="A153" s="5"/>
      <c r="B153" s="5"/>
      <c r="C153" s="52"/>
      <c r="D153" s="5"/>
      <c r="E153" s="53"/>
      <c r="F153" s="73" t="s">
        <v>206</v>
      </c>
      <c r="G153" s="73"/>
      <c r="H153" s="73"/>
      <c r="I153" s="73"/>
      <c r="J153" s="35"/>
      <c r="K153" s="38"/>
    </row>
    <row r="154" spans="1:12" ht="22.5" customHeight="1">
      <c r="A154" s="5"/>
      <c r="B154" s="5"/>
      <c r="C154" s="52"/>
      <c r="D154" s="5"/>
      <c r="E154" s="53"/>
      <c r="F154" s="73" t="s">
        <v>207</v>
      </c>
      <c r="G154" s="73"/>
      <c r="H154" s="73"/>
      <c r="I154" s="73"/>
      <c r="K154" s="54"/>
    </row>
    <row r="155" spans="1:12" ht="22.5" customHeight="1">
      <c r="A155" s="5"/>
      <c r="B155" s="5"/>
      <c r="C155" s="52"/>
      <c r="D155" s="5"/>
      <c r="E155" s="53"/>
      <c r="F155" s="73" t="s">
        <v>8</v>
      </c>
      <c r="G155" s="73"/>
      <c r="H155" s="73"/>
      <c r="I155" s="73"/>
      <c r="J155" s="29"/>
    </row>
    <row r="156" spans="1:12" ht="22.5" customHeight="1">
      <c r="A156" s="5"/>
      <c r="B156" s="5"/>
      <c r="C156" s="52"/>
      <c r="D156" s="5"/>
      <c r="E156" s="53"/>
      <c r="F156" s="8"/>
      <c r="G156" s="8"/>
      <c r="H156" s="8"/>
      <c r="I156" s="29"/>
      <c r="J156" s="29"/>
    </row>
  </sheetData>
  <mergeCells count="13">
    <mergeCell ref="A1:I1"/>
    <mergeCell ref="A2:I2"/>
    <mergeCell ref="A3:I3"/>
    <mergeCell ref="F155:I155"/>
    <mergeCell ref="F154:I154"/>
    <mergeCell ref="F153:I153"/>
    <mergeCell ref="A50:D50"/>
    <mergeCell ref="A51:D51"/>
    <mergeCell ref="A150:E150"/>
    <mergeCell ref="A96:D96"/>
    <mergeCell ref="A97:D97"/>
    <mergeCell ref="A142:D142"/>
    <mergeCell ref="A143:D143"/>
  </mergeCells>
  <printOptions horizontalCentered="1"/>
  <pageMargins left="0.19685039370078741" right="0" top="0.59055118110236227" bottom="0.19685039370078741" header="0" footer="0"/>
  <pageSetup paperSize="9" scale="70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1</vt:i4>
      </vt:variant>
      <vt:variant>
        <vt:lpstr>ช่วงที่มีชื่อ</vt:lpstr>
      </vt:variant>
      <vt:variant>
        <vt:i4>1</vt:i4>
      </vt:variant>
    </vt:vector>
  </HeadingPairs>
  <TitlesOfParts>
    <vt:vector size="2" baseType="lpstr">
      <vt:lpstr>งานอาคารสถานที่</vt:lpstr>
      <vt:lpstr>งานอาคารสถานที่!Print_Titles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AP2017</dc:creator>
  <cp:lastModifiedBy>Pasdoo</cp:lastModifiedBy>
  <cp:lastPrinted>2022-04-28T08:45:30Z</cp:lastPrinted>
  <dcterms:created xsi:type="dcterms:W3CDTF">2017-11-14T01:32:33Z</dcterms:created>
  <dcterms:modified xsi:type="dcterms:W3CDTF">2022-06-28T03:34:30Z</dcterms:modified>
</cp:coreProperties>
</file>