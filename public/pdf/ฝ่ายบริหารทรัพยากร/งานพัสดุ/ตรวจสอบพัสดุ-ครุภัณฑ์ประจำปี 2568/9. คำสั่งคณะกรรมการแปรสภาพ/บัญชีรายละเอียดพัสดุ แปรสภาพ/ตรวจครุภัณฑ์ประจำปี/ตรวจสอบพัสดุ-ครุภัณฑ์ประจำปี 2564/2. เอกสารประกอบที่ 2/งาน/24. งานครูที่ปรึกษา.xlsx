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ธนพร\ตรวจครุภัณฑ์ประจำปี\ตรวจสอบพัสดุ-ครุภัณฑ์ประจำปี 2564\เอกสารประกอบที่ 2\งาน\"/>
    </mc:Choice>
  </mc:AlternateContent>
  <xr:revisionPtr revIDLastSave="0" documentId="13_ncr:1_{BBA3F32E-BBE7-4E7E-A06E-A180C99056B5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ครูที่ปรึกษา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" i="36" l="1"/>
  <c r="H7" i="36"/>
  <c r="H8" i="36"/>
  <c r="H9" i="36"/>
  <c r="H5" i="36"/>
  <c r="H10" i="36" s="1"/>
</calcChain>
</file>

<file path=xl/sharedStrings.xml><?xml version="1.0" encoding="utf-8"?>
<sst xmlns="http://schemas.openxmlformats.org/spreadsheetml/2006/main" count="36" uniqueCount="30">
  <si>
    <t>รายการ ขนาด ลักษณะ</t>
  </si>
  <si>
    <t>จำนวน</t>
  </si>
  <si>
    <t>หมายเหตุ</t>
  </si>
  <si>
    <t>งปม.</t>
  </si>
  <si>
    <t>บกศ.</t>
  </si>
  <si>
    <t>เครื่องคอมพิวเตอร์พร้อมโต๊ะเก้าอี้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</si>
  <si>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</si>
  <si>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</si>
  <si>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</si>
  <si>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</si>
  <si>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7110-002-0006/531-025</t>
  </si>
  <si>
    <t>ตู้  2  บานเลื่อนกระจก  4  ฟุต</t>
  </si>
  <si>
    <t>7440-001-0001/531-142</t>
  </si>
  <si>
    <t>7110-002-0006/622-039</t>
  </si>
  <si>
    <t>เครื่องปริ้นเตอร์ BROTHER DCP-T310</t>
  </si>
  <si>
    <t>7440-001-0002-622-002</t>
  </si>
  <si>
    <t>เครื่องคอมพิวเตอร์ ALL IN ONE LENOVO 19 นิ้ว</t>
  </si>
  <si>
    <t>7430-003-0002/622-031</t>
  </si>
  <si>
    <t>12 มี.ค. 62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</si>
  <si>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</si>
  <si>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</si>
  <si>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</si>
  <si>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</si>
  <si>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</si>
  <si>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</si>
  <si>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(นางสาวไพรินทร์  ทองกันยา)</t>
  </si>
  <si>
    <t>บัญชีรายการ งานครูที่ปรึกษา  คงเหลือ</t>
  </si>
  <si>
    <t>ประจำปี 2564  ณ วันที่ 30 กันยายน 2564</t>
  </si>
  <si>
    <t>2553</t>
  </si>
  <si>
    <t>2562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</si>
</sst>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1">
    <xf numFmtId="0" fontId="0" fillId="0" borderId="0" xfId="0"/>
    <xf numFmtId="0" fontId="4" fillId="0" borderId="0" xfId="0" applyFont="1"/>
    <xf numFmtId="0" fontId="3" fillId="0" borderId="1" xfId="2" applyFont="1" applyBorder="1" applyAlignment="1">
      <alignment horizontal="center"/>
    </xf>
    <xf numFmtId="43" fontId="3" fillId="0" borderId="1" xfId="1" applyFont="1" applyBorder="1"/>
    <xf numFmtId="49" fontId="3" fillId="0" borderId="1" xfId="0" applyNumberFormat="1" applyFont="1" applyBorder="1" applyAlignment="1">
      <alignment horizontal="center"/>
    </xf>
    <xf numFmtId="0" fontId="4" fillId="0" borderId="0" xfId="0" applyFont="1" applyBorder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43" fontId="3" fillId="0" borderId="1" xfId="12" applyNumberFormat="1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49" fontId="3" fillId="0" borderId="1" xfId="6" applyNumberFormat="1" applyFont="1" applyBorder="1" applyAlignment="1">
      <alignment horizontal="left"/>
    </xf>
    <xf numFmtId="49" fontId="3" fillId="0" borderId="1" xfId="6" applyNumberFormat="1" applyFont="1" applyBorder="1"/>
    <xf numFmtId="0" fontId="3" fillId="0" borderId="1" xfId="6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5" xfId="2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3" fontId="3" fillId="0" borderId="0" xfId="12" applyNumberFormat="1" applyFont="1" applyBorder="1" applyAlignment="1"/>
    <xf numFmtId="43" fontId="4" fillId="0" borderId="1" xfId="0" applyNumberFormat="1" applyFont="1" applyBorder="1" applyAlignment="1"/>
    <xf numFmtId="43" fontId="4" fillId="0" borderId="4" xfId="0" applyNumberFormat="1" applyFont="1" applyBorder="1" applyAlignment="1"/>
    <xf numFmtId="0" fontId="3" fillId="0" borderId="6" xfId="2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971551</xdr:colOff>
      <xdr:row>0</xdr:row>
      <xdr:rowOff>152401</xdr:rowOff>
    </xdr:from>
    <xdr:to>
      <xdr:col>8</xdr:col>
      <xdr:colOff>561976</xdr:colOff>
      <xdr:row>1</xdr:row>
      <xdr:rowOff>152401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 txBox="1"/>
      </xdr:nvSpPr>
      <xdr:spPr>
        <a:xfrm>
          <a:off x="8582026" y="152401"/>
          <a:ext cx="158115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50"/>
  </sheetPr>
  <dimension ref="A1:K14"/>
  <sheetViews>
    <sheetView tabSelected="1" workbookViewId="0">
      <selection activeCell="K7" sqref="K7"/>
    </sheetView>
  </sheetViews>
  <sheetFormatPr defaultColWidth="9" defaultRowHeight="24"/>
  <cols>
    <col min="1" max="1" width="5.28515625" style="1" customWidth="1"/>
    <col min="2" max="2" width="12.5703125" style="1" customWidth="1"/>
    <col min="3" max="3" width="26.7109375" style="1" customWidth="1"/>
    <col min="4" max="4" width="42" style="1" customWidth="1"/>
    <col min="5" max="6" width="6.5703125" style="1" customWidth="1"/>
    <col min="7" max="7" width="13" style="1" customWidth="1"/>
    <col min="8" max="8" width="13.140625" style="1" customWidth="1"/>
    <col min="9" max="9" width="10" style="1" customWidth="1"/>
    <col min="10" max="11" width="11.85546875" style="1" customWidth="1"/>
    <col min="12" max="16384" width="9" style="1"/>
  </cols>
  <sheetData>
    <row r="1" spans="1:11">
      <c r="A1" s="28" t="s">
        <v>9</v>
      </c>
      <c r="B1" s="28"/>
      <c r="C1" s="28"/>
      <c r="D1" s="28"/>
      <c r="E1" s="28"/>
      <c r="F1" s="28"/>
      <c r="G1" s="28"/>
      <c r="H1" s="28"/>
      <c r="I1" s="28"/>
      <c r="J1" s="16"/>
      <c r="K1" s="16"/>
    </row>
    <row r="2" spans="1:11">
      <c r="A2" s="29" t="s">
        <v>26</v>
      </c>
      <c r="B2" s="29"/>
      <c r="C2" s="29"/>
      <c r="D2" s="29"/>
      <c r="E2" s="29"/>
      <c r="F2" s="29"/>
      <c r="G2" s="29"/>
      <c r="H2" s="29"/>
      <c r="I2" s="29"/>
      <c r="J2" s="18"/>
      <c r="K2" s="18"/>
    </row>
    <row r="3" spans="1:11">
      <c r="A3" s="30" t="s">
        <v>27</v>
      </c>
      <c r="B3" s="30"/>
      <c r="C3" s="30"/>
      <c r="D3" s="30"/>
      <c r="E3" s="30"/>
      <c r="F3" s="30"/>
      <c r="G3" s="30"/>
      <c r="H3" s="30"/>
      <c r="I3" s="30"/>
      <c r="J3" s="15"/>
      <c r="K3" s="15"/>
    </row>
    <row r="4" spans="1:11" s="16" customFormat="1" ht="45" customHeight="1">
      <c r="A4" s="13" t="s">
        <v>19</v>
      </c>
      <c r="B4" s="13" t="s">
        <v>22</v>
      </c>
      <c r="C4" s="13" t="s">
        <v>23</v>
      </c>
      <c r="D4" s="6" t="s">
        <v>0</v>
      </c>
      <c r="E4" s="13" t="s">
        <v>20</v>
      </c>
      <c r="F4" s="6" t="s">
        <v>1</v>
      </c>
      <c r="G4" s="13" t="s">
        <v>21</v>
      </c>
      <c r="H4" s="13" t="s">
        <v>24</v>
      </c>
      <c r="I4" s="6" t="s">
        <v>2</v>
      </c>
      <c r="J4" s="17"/>
      <c r="K4" s="17"/>
    </row>
    <row r="5" spans="1:11">
      <c r="A5" s="7">
        <v>1</v>
      </c>
      <c r="B5" s="4" t="s">
        <v>28</v>
      </c>
      <c r="C5" s="10" t="s">
        <v>10</v>
      </c>
      <c r="D5" s="11" t="s">
        <v>11</v>
      </c>
      <c r="E5" s="2" t="s">
        <v>3</v>
      </c>
      <c r="F5" s="12">
        <v>1</v>
      </c>
      <c r="G5" s="3">
        <v>3000</v>
      </c>
      <c r="H5" s="3">
        <f>SUM(F5*G5)</f>
        <v>3000</v>
      </c>
      <c r="I5" s="8"/>
      <c r="J5" s="20"/>
      <c r="K5" s="20"/>
    </row>
    <row r="6" spans="1:11">
      <c r="A6" s="19">
        <v>2</v>
      </c>
      <c r="B6" s="9" t="s">
        <v>28</v>
      </c>
      <c r="C6" s="10" t="s">
        <v>12</v>
      </c>
      <c r="D6" s="11" t="s">
        <v>5</v>
      </c>
      <c r="E6" s="2" t="s">
        <v>3</v>
      </c>
      <c r="F6" s="12">
        <v>1</v>
      </c>
      <c r="G6" s="3">
        <v>17000</v>
      </c>
      <c r="H6" s="3">
        <f t="shared" ref="H6:H9" si="0">SUM(F6*G6)</f>
        <v>17000</v>
      </c>
      <c r="I6" s="8"/>
      <c r="J6" s="20"/>
      <c r="K6" s="20"/>
    </row>
    <row r="7" spans="1:11">
      <c r="A7" s="7">
        <v>3</v>
      </c>
      <c r="B7" s="4" t="s">
        <v>29</v>
      </c>
      <c r="C7" s="10" t="s">
        <v>13</v>
      </c>
      <c r="D7" s="11" t="s">
        <v>11</v>
      </c>
      <c r="E7" s="2" t="s">
        <v>4</v>
      </c>
      <c r="F7" s="12">
        <v>1</v>
      </c>
      <c r="G7" s="3">
        <v>4500</v>
      </c>
      <c r="H7" s="3">
        <f t="shared" si="0"/>
        <v>4500</v>
      </c>
      <c r="I7" s="8"/>
      <c r="J7" s="20"/>
      <c r="K7" s="20"/>
    </row>
    <row r="8" spans="1:11">
      <c r="A8" s="19">
        <v>4</v>
      </c>
      <c r="B8" s="4" t="s">
        <v>18</v>
      </c>
      <c r="C8" s="10" t="s">
        <v>17</v>
      </c>
      <c r="D8" s="11" t="s">
        <v>14</v>
      </c>
      <c r="E8" s="2" t="s">
        <v>4</v>
      </c>
      <c r="F8" s="12">
        <v>1</v>
      </c>
      <c r="G8" s="3">
        <v>4900</v>
      </c>
      <c r="H8" s="3">
        <f t="shared" si="0"/>
        <v>4900</v>
      </c>
      <c r="I8" s="8"/>
      <c r="J8" s="20"/>
      <c r="K8" s="20"/>
    </row>
    <row r="9" spans="1:11">
      <c r="A9" s="7">
        <v>5</v>
      </c>
      <c r="B9" s="4" t="s">
        <v>18</v>
      </c>
      <c r="C9" s="10" t="s">
        <v>15</v>
      </c>
      <c r="D9" s="11" t="s">
        <v>16</v>
      </c>
      <c r="E9" s="2" t="s">
        <v>4</v>
      </c>
      <c r="F9" s="12">
        <v>1</v>
      </c>
      <c r="G9" s="3">
        <v>17900</v>
      </c>
      <c r="H9" s="3">
        <f t="shared" si="0"/>
        <v>17900</v>
      </c>
      <c r="I9" s="8"/>
      <c r="J9" s="20"/>
      <c r="K9" s="20"/>
    </row>
    <row r="10" spans="1:11">
      <c r="A10" s="25" t="s">
        <v>8</v>
      </c>
      <c r="B10" s="26"/>
      <c r="C10" s="26"/>
      <c r="D10" s="26"/>
      <c r="E10" s="27"/>
      <c r="F10" s="14"/>
      <c r="G10" s="21"/>
      <c r="H10" s="21">
        <f>SUM(H5:H9)</f>
        <v>47300</v>
      </c>
      <c r="I10" s="22"/>
      <c r="J10" s="15"/>
      <c r="K10" s="15"/>
    </row>
    <row r="11" spans="1:11" ht="30" customHeight="1">
      <c r="A11" s="5"/>
      <c r="B11" s="5"/>
      <c r="C11" s="5"/>
      <c r="D11" s="5"/>
      <c r="E11" s="5"/>
      <c r="F11" s="23"/>
      <c r="G11" s="5"/>
      <c r="H11" s="5"/>
      <c r="I11" s="5"/>
      <c r="J11" s="5"/>
      <c r="K11" s="5"/>
    </row>
    <row r="12" spans="1:11">
      <c r="A12" s="5"/>
      <c r="B12" s="5"/>
      <c r="C12" s="5"/>
      <c r="D12" s="5"/>
      <c r="E12" s="5"/>
      <c r="F12" s="24" t="s">
        <v>6</v>
      </c>
      <c r="G12" s="24"/>
      <c r="H12" s="24"/>
      <c r="I12" s="24"/>
      <c r="J12" s="15"/>
      <c r="K12" s="15"/>
    </row>
    <row r="13" spans="1:11">
      <c r="A13" s="5"/>
      <c r="B13" s="5"/>
      <c r="C13" s="5"/>
      <c r="D13" s="5"/>
      <c r="E13" s="5"/>
      <c r="F13" s="24" t="s">
        <v>25</v>
      </c>
      <c r="G13" s="24"/>
      <c r="H13" s="24"/>
      <c r="I13" s="24"/>
      <c r="J13" s="15"/>
      <c r="K13" s="15"/>
    </row>
    <row r="14" spans="1:11">
      <c r="A14" s="5"/>
      <c r="B14" s="5"/>
      <c r="C14" s="5"/>
      <c r="D14" s="5"/>
      <c r="E14" s="5"/>
      <c r="F14" s="24" t="s">
        <v>7</v>
      </c>
      <c r="G14" s="24"/>
      <c r="H14" s="24"/>
      <c r="I14" s="24"/>
      <c r="J14" s="15"/>
      <c r="K14" s="15"/>
    </row>
  </sheetData>
  <mergeCells count="7">
    <mergeCell ref="F14:I14"/>
    <mergeCell ref="A10:E10"/>
    <mergeCell ref="F12:I12"/>
    <mergeCell ref="F13:I13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งานครูที่ปรึกษา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2022-04-28T09:01:49Z</cp:lastPrinted>
  <dcterms:created xsi:type="dcterms:W3CDTF">2017-11-14T01:32:33Z</dcterms:created>
  <dcterms:modified xsi:type="dcterms:W3CDTF">2022-04-28T09:01:56Z</dcterms:modified>
</cp:coreProperties>
</file>