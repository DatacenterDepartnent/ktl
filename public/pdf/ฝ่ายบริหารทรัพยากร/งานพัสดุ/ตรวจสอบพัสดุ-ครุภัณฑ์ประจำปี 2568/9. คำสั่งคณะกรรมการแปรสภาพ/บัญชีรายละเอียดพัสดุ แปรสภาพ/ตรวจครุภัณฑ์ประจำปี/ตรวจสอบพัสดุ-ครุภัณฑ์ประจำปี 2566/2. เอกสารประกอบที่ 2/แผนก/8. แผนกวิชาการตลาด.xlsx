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27"/>
  <workbookPr/>
  <mc:AlternateContent xmlns:mc="http://schemas.openxmlformats.org/markup-compatibility/2006">
    <mc:Choice Requires="x15">
      <x15ac:absPath xmlns:x15ac="http://schemas.microsoft.com/office/spreadsheetml/2010/11/ac" url="C:\Users\Pasdoo\Documents\งานพัสดุ ใหม่\ตรวจครุภัณฑ์ประจำปี\ตรวจสอบพัสดุ-ครุภัณฑ์ประจำปี 2566\2. เอกสารประกอบที่ 2\แผนก\"/>
    </mc:Choice>
  </mc:AlternateContent>
  <xr:revisionPtr revIDLastSave="0" documentId="13_ncr:1_{F367D41C-B9B8-4D84-9F3E-03C8D52E134A}" xr6:coauthVersionLast="47" xr6:coauthVersionMax="47" xr10:uidLastSave="{00000000-0000-0000-0000-000000000000}"/>
  <bookViews>
    <workbookView xWindow="-120" yWindow="-120" windowWidth="24240" windowHeight="13140" tabRatio="897" xr2:uid="{00000000-000D-0000-FFFF-FFFF00000000}"/>
  </bookViews>
  <sheets>
    <sheet name="แผนกการตลาด" sheetId="33" r:id="rId1"/>
  </sheets>
  <calcPr calcId="191029"/>
</workbook>
</file>

<file path=xl/calcChain.xml><?xml version="1.0" encoding="utf-8"?>
<calcChain xmlns="http://schemas.openxmlformats.org/spreadsheetml/2006/main">
  <c r="H38" i="33" l="1"/>
  <c r="H37" i="33"/>
  <c r="H36" i="33"/>
  <c r="H35" i="33"/>
  <c r="H34" i="33"/>
  <c r="H33" i="33"/>
  <c r="H6" i="33" l="1"/>
  <c r="H7" i="33"/>
  <c r="H8" i="33"/>
  <c r="H9" i="33"/>
  <c r="H10" i="33"/>
  <c r="H11" i="33"/>
  <c r="H12" i="33"/>
  <c r="H13" i="33"/>
  <c r="H14" i="33"/>
  <c r="H15" i="33"/>
  <c r="H16" i="33"/>
  <c r="H17" i="33"/>
  <c r="H18" i="33"/>
  <c r="H19" i="33"/>
  <c r="H20" i="33"/>
  <c r="H21" i="33"/>
  <c r="H22" i="33"/>
  <c r="H23" i="33"/>
  <c r="H24" i="33"/>
  <c r="H25" i="33"/>
  <c r="H26" i="33"/>
  <c r="H27" i="33"/>
  <c r="H28" i="33"/>
  <c r="H29" i="33"/>
  <c r="H30" i="33"/>
  <c r="H31" i="33"/>
  <c r="H32" i="33"/>
  <c r="H5" i="33"/>
</calcChain>
</file>

<file path=xl/sharedStrings.xml><?xml version="1.0" encoding="utf-8"?>
<sst xmlns="http://schemas.openxmlformats.org/spreadsheetml/2006/main" count="127" uniqueCount="88">
  <si>
    <t>รายการ ขนาด ลักษณะ</t>
  </si>
  <si>
    <t>จำนวน</t>
  </si>
  <si>
    <t>หมายเหตุ</t>
  </si>
  <si>
    <t>โต๊ะพิมพ์ดีด</t>
  </si>
  <si>
    <t>งปม.</t>
  </si>
  <si>
    <t>บกศ.</t>
  </si>
  <si>
    <t>เครื่องสำรองไฟฟ้า</t>
  </si>
  <si>
    <t>เครื่องคอมพิวเตอร์พร้อมโต๊ะเก้าอี้</t>
  </si>
  <si>
    <t>เครื่องคอมพิวเตอร์</t>
  </si>
  <si>
    <t>7430-008-0002/531-020</t>
  </si>
  <si>
    <t>เก้าอี้สำนักงาน  (ขาเหล็ก)</t>
  </si>
  <si>
    <t>....................................................</t>
  </si>
  <si>
    <t>หัวหน้าหน่วยจ่าย/หน่วยเบิก</t>
  </si>
  <si>
    <t>เครื่องโปรเจคเตอร์พร้อมจอรับภาพ</t>
  </si>
  <si>
    <t>โต๊ะเหล็ก  4  ฟุต</t>
  </si>
  <si>
    <t>รวมเป็นเงิน</t>
  </si>
  <si>
    <t xml:space="preserve"> สถานศึกษา วิทยาลัยเทคนิคกันทรลักษ์</t>
  </si>
  <si>
    <t>7430-001-0001/501-026-065</t>
  </si>
  <si>
    <t>เครื่องพิมพ์ดีดภาษาอังกฤษแคร่  15"</t>
  </si>
  <si>
    <t>7430-001-0005/501-028-067</t>
  </si>
  <si>
    <t>เครื่องพิมพ์ดีดแบบธรรมดาภาษาไทย15"</t>
  </si>
  <si>
    <t>7440-008-0001/501-057</t>
  </si>
  <si>
    <t>7110-007-0004/514-001-080</t>
  </si>
  <si>
    <t>7110-006-0006/514-001-080</t>
  </si>
  <si>
    <t>เก้าอี้พิมพ์ดีด</t>
  </si>
  <si>
    <t>7110-002-0006/521-019-020</t>
  </si>
  <si>
    <t>ตู้บานเลื่อนกระจก 4 ฟุต Smart Form</t>
  </si>
  <si>
    <t>7430-008-0002/531-026</t>
  </si>
  <si>
    <t>Printer HP Officejet j4660</t>
  </si>
  <si>
    <t>เครื่องปริ้นเตอร์  Hp Laserjet P1102</t>
  </si>
  <si>
    <t>7110-007-0020/531-001</t>
  </si>
  <si>
    <t>โต๊ะวางโปรเจคเตอร์</t>
  </si>
  <si>
    <t>7110-007-0004/531-012-015</t>
  </si>
  <si>
    <t>7110-006-0006/531-019-022</t>
  </si>
  <si>
    <t>7110-002-0006/531-034-038</t>
  </si>
  <si>
    <t>ตู้เหล็ก  2 บานเลื่อนกระจก</t>
  </si>
  <si>
    <t>6730-001-0003/531-006</t>
  </si>
  <si>
    <t>6130-001-0001/531-001</t>
  </si>
  <si>
    <t>7440-001-0001/531-123</t>
  </si>
  <si>
    <t>7430-001-0001/531-066-075</t>
  </si>
  <si>
    <t>5440-003-0001/531-001-002</t>
  </si>
  <si>
    <t>โต๊ะม้าหินอ่อนพร้อมเก้าอี้</t>
  </si>
  <si>
    <t>5150-002-0001/531-001</t>
  </si>
  <si>
    <t>ซุ้มกาแฟ</t>
  </si>
  <si>
    <t>7320-012-0001/531-001</t>
  </si>
  <si>
    <t>เครื่องปัน panasonic -799N</t>
  </si>
  <si>
    <t>เครื่องทำแซนวิส  Philips -2415</t>
  </si>
  <si>
    <t>7320-007-0001/531-001</t>
  </si>
  <si>
    <t>Saeco Nina Plus White color</t>
  </si>
  <si>
    <t>7320-007-0002/531-001</t>
  </si>
  <si>
    <t>Saeco Grinder MC 2002</t>
  </si>
  <si>
    <t>7730-005-0001/531-001</t>
  </si>
  <si>
    <t>TV LCD 42"  panasonic</t>
  </si>
  <si>
    <t>5815-004-001/531-001</t>
  </si>
  <si>
    <t>เครื่องขยาย  POWER MIX</t>
  </si>
  <si>
    <t>5965-002-0001/531-001-004</t>
  </si>
  <si>
    <t>ตู้ลำโพง</t>
  </si>
  <si>
    <t>5965-001-0001/531-001</t>
  </si>
  <si>
    <t>Microphne (ไมโครโฟน)</t>
  </si>
  <si>
    <t>7430-003-0002/561-001</t>
  </si>
  <si>
    <t>เครื่องถ่ายเอกสารระบบดิจิตอล</t>
  </si>
  <si>
    <t>7440-001-0003/561-001-020</t>
  </si>
  <si>
    <t>(นางนงลักษณ์   ศรีชา)</t>
  </si>
  <si>
    <t>เครื่องคอมพิวเตอร์สำหรับประมวลผล แบบที่ 2
(จอขนาดไม่น้อยกว่า 18 นิ้ว)</t>
  </si>
  <si>
    <t xml:space="preserve"> </t>
  </si>
  <si>
    <t>ลำดับ
ที่</t>
  </si>
  <si>
    <t>ได้มา
โดยวิธี</t>
  </si>
  <si>
    <t>ราคา
หน่วยละ</t>
  </si>
  <si>
    <t>วัน เดือน ปี 
ที่ได้รับ</t>
  </si>
  <si>
    <t xml:space="preserve">หมายเลขประจำ
วัสดุ-ครุภัณฑ์ </t>
  </si>
  <si>
    <t>เป็นเงิน</t>
  </si>
  <si>
    <t>บัญชีรายการ แผนกวิชาการตลาด คงเหลือ</t>
  </si>
  <si>
    <t>7440-010-0002/642-002(13)</t>
  </si>
  <si>
    <t xml:space="preserve"> 8 มิ.ย.64</t>
  </si>
  <si>
    <t>2550</t>
  </si>
  <si>
    <t>2551</t>
  </si>
  <si>
    <t>2552</t>
  </si>
  <si>
    <t>เครื่องพิมพ์เลเซอร์</t>
  </si>
  <si>
    <t>ประจำปี 2566  ณ วันที่ 30 กันยายน 2566</t>
  </si>
  <si>
    <t xml:space="preserve"> 23 มิ.ย.66</t>
  </si>
  <si>
    <t>7440-001-0002/662-006-007</t>
  </si>
  <si>
    <t xml:space="preserve">เครื่องคอมพิวเตอร์ All in one </t>
  </si>
  <si>
    <t>7440-010-0002/662-005-006</t>
  </si>
  <si>
    <t>เครื่องปริ้นเตอร์ Brother DCP-T820DW</t>
  </si>
  <si>
    <t>5850-009-0001/662-001(2)</t>
  </si>
  <si>
    <t>LASER POINTER</t>
  </si>
  <si>
    <t>7110-007-0002/662-001(27)</t>
  </si>
  <si>
    <t>โต๊ะพับเอนกประสงค์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</si>
</sst>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0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4"/>
      <name val="Cordia New"/>
      <family val="2"/>
    </font>
    <font>
      <sz val="16"/>
      <name val="TH SarabunPSK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PSK"/>
      <family val="2"/>
    </font>
    <font>
      <b/>
      <sz val="16"/>
      <name val="TH SarabunPSK"/>
      <family val="2"/>
    </font>
    <font>
      <b/>
      <sz val="14"/>
      <name val="TH SarabunPSK"/>
      <family val="2"/>
    </font>
    <font>
      <sz val="8"/>
      <name val="Calibri"/>
      <family val="2"/>
      <charset val="22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50">
    <xf numFmtId="0" fontId="0" fillId="0" borderId="0" xfId="0"/>
    <xf numFmtId="0" fontId="4" fillId="0" borderId="0" xfId="0" applyFont="1"/>
    <xf numFmtId="0" fontId="4" fillId="0" borderId="0" xfId="0" applyFont="1" applyAlignment="1">
      <alignment horizontal="center"/>
    </xf>
    <xf numFmtId="0" fontId="4" fillId="0" borderId="0" xfId="0" applyFont="1" applyAlignment="1">
      <alignment vertical="top"/>
    </xf>
    <xf numFmtId="43" fontId="4" fillId="0" borderId="0" xfId="0" applyNumberFormat="1" applyFont="1" applyAlignment="1">
      <alignment horizontal="center"/>
    </xf>
    <xf numFmtId="43" fontId="4" fillId="0" borderId="0" xfId="0" applyNumberFormat="1" applyFont="1"/>
    <xf numFmtId="43" fontId="3" fillId="0" borderId="0" xfId="12" applyFont="1" applyBorder="1" applyAlignment="1"/>
    <xf numFmtId="43" fontId="3" fillId="0" borderId="0" xfId="12" applyFont="1" applyBorder="1"/>
    <xf numFmtId="0" fontId="4" fillId="0" borderId="0" xfId="0" applyFont="1" applyAlignment="1">
      <alignment horizontal="center" vertical="center"/>
    </xf>
    <xf numFmtId="0" fontId="3" fillId="0" borderId="0" xfId="9" applyFont="1" applyAlignment="1">
      <alignment horizontal="center" vertical="center"/>
    </xf>
    <xf numFmtId="43" fontId="4" fillId="0" borderId="0" xfId="0" applyNumberFormat="1" applyFont="1" applyAlignment="1">
      <alignment vertical="top"/>
    </xf>
    <xf numFmtId="0" fontId="6" fillId="0" borderId="0" xfId="0" applyFont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9" applyFont="1" applyAlignment="1">
      <alignment horizontal="center" vertical="center"/>
    </xf>
    <xf numFmtId="0" fontId="6" fillId="0" borderId="7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49" fontId="7" fillId="0" borderId="1" xfId="0" applyNumberFormat="1" applyFont="1" applyBorder="1" applyAlignment="1">
      <alignment horizontal="center"/>
    </xf>
    <xf numFmtId="0" fontId="7" fillId="0" borderId="1" xfId="6" applyFont="1" applyBorder="1" applyAlignment="1">
      <alignment horizontal="left"/>
    </xf>
    <xf numFmtId="0" fontId="7" fillId="0" borderId="1" xfId="6" applyFont="1" applyBorder="1"/>
    <xf numFmtId="0" fontId="7" fillId="0" borderId="1" xfId="2" applyFont="1" applyBorder="1" applyAlignment="1">
      <alignment horizontal="center"/>
    </xf>
    <xf numFmtId="0" fontId="7" fillId="0" borderId="1" xfId="6" applyFont="1" applyBorder="1" applyAlignment="1">
      <alignment horizontal="center"/>
    </xf>
    <xf numFmtId="43" fontId="7" fillId="0" borderId="1" xfId="1" applyFont="1" applyFill="1" applyBorder="1" applyAlignment="1">
      <alignment horizontal="center"/>
    </xf>
    <xf numFmtId="43" fontId="7" fillId="0" borderId="1" xfId="12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 vertical="center"/>
    </xf>
    <xf numFmtId="43" fontId="7" fillId="0" borderId="1" xfId="1" applyFont="1" applyFill="1" applyBorder="1"/>
    <xf numFmtId="43" fontId="8" fillId="0" borderId="1" xfId="12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49" fontId="7" fillId="0" borderId="1" xfId="0" applyNumberFormat="1" applyFont="1" applyBorder="1" applyAlignment="1">
      <alignment horizontal="left"/>
    </xf>
    <xf numFmtId="43" fontId="7" fillId="0" borderId="1" xfId="1" applyFont="1" applyBorder="1"/>
    <xf numFmtId="0" fontId="7" fillId="2" borderId="1" xfId="0" applyFont="1" applyFill="1" applyBorder="1" applyAlignment="1">
      <alignment horizontal="center" vertical="top"/>
    </xf>
    <xf numFmtId="0" fontId="6" fillId="0" borderId="1" xfId="0" applyFont="1" applyBorder="1" applyAlignment="1">
      <alignment horizontal="center" vertical="top"/>
    </xf>
    <xf numFmtId="0" fontId="7" fillId="0" borderId="1" xfId="6" applyFont="1" applyBorder="1" applyAlignment="1">
      <alignment horizontal="left" vertical="top"/>
    </xf>
    <xf numFmtId="0" fontId="7" fillId="0" borderId="1" xfId="6" applyFont="1" applyBorder="1" applyAlignment="1">
      <alignment vertical="top" wrapText="1"/>
    </xf>
    <xf numFmtId="0" fontId="7" fillId="0" borderId="1" xfId="6" applyFont="1" applyBorder="1" applyAlignment="1">
      <alignment horizontal="center" vertical="top"/>
    </xf>
    <xf numFmtId="43" fontId="7" fillId="0" borderId="1" xfId="1" applyFont="1" applyBorder="1" applyAlignment="1">
      <alignment vertical="top"/>
    </xf>
    <xf numFmtId="43" fontId="7" fillId="0" borderId="1" xfId="1" applyFont="1" applyFill="1" applyBorder="1" applyAlignment="1">
      <alignment horizontal="center" vertical="top"/>
    </xf>
    <xf numFmtId="0" fontId="7" fillId="0" borderId="5" xfId="6" applyFont="1" applyBorder="1" applyAlignment="1">
      <alignment horizontal="center" vertical="top"/>
    </xf>
    <xf numFmtId="43" fontId="7" fillId="0" borderId="4" xfId="1" applyFont="1" applyFill="1" applyBorder="1" applyAlignment="1">
      <alignment horizontal="center" vertical="top"/>
    </xf>
    <xf numFmtId="0" fontId="6" fillId="0" borderId="4" xfId="0" applyFont="1" applyBorder="1" applyAlignment="1">
      <alignment horizontal="center" vertical="top"/>
    </xf>
    <xf numFmtId="0" fontId="7" fillId="0" borderId="5" xfId="2" applyFont="1" applyBorder="1" applyAlignment="1">
      <alignment horizontal="center"/>
    </xf>
    <xf numFmtId="43" fontId="6" fillId="0" borderId="1" xfId="0" applyNumberFormat="1" applyFont="1" applyBorder="1"/>
    <xf numFmtId="43" fontId="6" fillId="0" borderId="4" xfId="0" applyNumberFormat="1" applyFont="1" applyBorder="1"/>
    <xf numFmtId="0" fontId="6" fillId="0" borderId="0" xfId="0" applyFont="1"/>
    <xf numFmtId="0" fontId="7" fillId="0" borderId="6" xfId="2" applyFont="1" applyBorder="1" applyAlignment="1">
      <alignment horizontal="center"/>
    </xf>
  </cellXfs>
  <cellStyles count="14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mruColors>
      <color rgb="FF993300"/>
      <color rgb="FF0070C0"/>
      <color rgb="FFFF0066"/>
      <color rgb="FF7030A0"/>
      <color rgb="FF2F7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57150</xdr:colOff>
      <xdr:row>0</xdr:row>
      <xdr:rowOff>76200</xdr:rowOff>
    </xdr:from>
    <xdr:to>
      <xdr:col>8</xdr:col>
      <xdr:colOff>723900</xdr:colOff>
      <xdr:row>1</xdr:row>
      <xdr:rowOff>85725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 txBox="1"/>
      </xdr:nvSpPr>
      <xdr:spPr>
        <a:xfrm>
          <a:off x="8991600" y="76200"/>
          <a:ext cx="1752600" cy="3143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2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70C0"/>
  </sheetPr>
  <dimension ref="A1:M42"/>
  <sheetViews>
    <sheetView tabSelected="1" topLeftCell="A10" zoomScaleNormal="100" workbookViewId="0">
      <selection activeCell="F41" sqref="F41:I41"/>
    </sheetView>
  </sheetViews>
  <sheetFormatPr defaultColWidth="9" defaultRowHeight="24"/>
  <cols>
    <col min="1" max="1" width="5.42578125" style="1" customWidth="1"/>
    <col min="2" max="2" width="12.7109375" style="1" customWidth="1"/>
    <col min="3" max="3" width="31" style="1" customWidth="1"/>
    <col min="4" max="4" width="38.28515625" style="1" customWidth="1"/>
    <col min="5" max="5" width="8.42578125" style="1" customWidth="1"/>
    <col min="6" max="6" width="7.28515625" style="1" customWidth="1"/>
    <col min="7" max="7" width="12.7109375" style="1" customWidth="1"/>
    <col min="8" max="8" width="14.28515625" style="1" customWidth="1"/>
    <col min="9" max="9" width="12.140625" style="2" customWidth="1"/>
    <col min="10" max="10" width="18.28515625" style="1" customWidth="1"/>
    <col min="11" max="11" width="12.7109375" style="1" customWidth="1"/>
    <col min="12" max="12" width="9" style="1"/>
    <col min="13" max="13" width="12.42578125" style="1" bestFit="1" customWidth="1"/>
    <col min="14" max="16384" width="9" style="1"/>
  </cols>
  <sheetData>
    <row r="1" spans="1:13">
      <c r="A1" s="13" t="s">
        <v>16</v>
      </c>
      <c r="B1" s="13"/>
      <c r="C1" s="13"/>
      <c r="D1" s="13"/>
      <c r="E1" s="13"/>
      <c r="F1" s="13"/>
      <c r="G1" s="13"/>
      <c r="H1" s="13"/>
      <c r="I1" s="13"/>
      <c r="J1" s="2"/>
    </row>
    <row r="2" spans="1:13">
      <c r="A2" s="14" t="s">
        <v>71</v>
      </c>
      <c r="B2" s="14"/>
      <c r="C2" s="14"/>
      <c r="D2" s="14"/>
      <c r="E2" s="14"/>
      <c r="F2" s="14"/>
      <c r="G2" s="14"/>
      <c r="H2" s="14"/>
      <c r="I2" s="14"/>
      <c r="J2" s="9"/>
    </row>
    <row r="3" spans="1:13">
      <c r="A3" s="15" t="s">
        <v>78</v>
      </c>
      <c r="B3" s="15"/>
      <c r="C3" s="15"/>
      <c r="D3" s="15"/>
      <c r="E3" s="15"/>
      <c r="F3" s="15"/>
      <c r="G3" s="15"/>
      <c r="H3" s="15"/>
      <c r="I3" s="15"/>
      <c r="J3" s="2"/>
    </row>
    <row r="4" spans="1:13" ht="45" customHeight="1">
      <c r="A4" s="19" t="s">
        <v>65</v>
      </c>
      <c r="B4" s="19" t="s">
        <v>68</v>
      </c>
      <c r="C4" s="19" t="s">
        <v>69</v>
      </c>
      <c r="D4" s="20" t="s">
        <v>0</v>
      </c>
      <c r="E4" s="19" t="s">
        <v>66</v>
      </c>
      <c r="F4" s="20" t="s">
        <v>1</v>
      </c>
      <c r="G4" s="19" t="s">
        <v>67</v>
      </c>
      <c r="H4" s="19" t="s">
        <v>70</v>
      </c>
      <c r="I4" s="19" t="s">
        <v>2</v>
      </c>
      <c r="J4" s="8"/>
    </row>
    <row r="5" spans="1:13">
      <c r="A5" s="21">
        <v>1</v>
      </c>
      <c r="B5" s="22" t="s">
        <v>74</v>
      </c>
      <c r="C5" s="23" t="s">
        <v>17</v>
      </c>
      <c r="D5" s="24" t="s">
        <v>18</v>
      </c>
      <c r="E5" s="25" t="s">
        <v>4</v>
      </c>
      <c r="F5" s="26">
        <v>40</v>
      </c>
      <c r="G5" s="27">
        <v>8500</v>
      </c>
      <c r="H5" s="27">
        <f>SUM(F5*G5)</f>
        <v>340000</v>
      </c>
      <c r="I5" s="28"/>
      <c r="J5" s="6"/>
      <c r="K5" s="5"/>
    </row>
    <row r="6" spans="1:13">
      <c r="A6" s="29">
        <v>2</v>
      </c>
      <c r="B6" s="22" t="s">
        <v>74</v>
      </c>
      <c r="C6" s="23" t="s">
        <v>19</v>
      </c>
      <c r="D6" s="24" t="s">
        <v>20</v>
      </c>
      <c r="E6" s="25" t="s">
        <v>4</v>
      </c>
      <c r="F6" s="26">
        <v>40</v>
      </c>
      <c r="G6" s="30">
        <v>8500</v>
      </c>
      <c r="H6" s="27">
        <f t="shared" ref="H6:H37" si="0">SUM(F6*G6)</f>
        <v>340000</v>
      </c>
      <c r="I6" s="28"/>
      <c r="J6" s="6"/>
      <c r="K6" s="5"/>
    </row>
    <row r="7" spans="1:13">
      <c r="A7" s="21">
        <v>3</v>
      </c>
      <c r="B7" s="22" t="s">
        <v>74</v>
      </c>
      <c r="C7" s="23" t="s">
        <v>21</v>
      </c>
      <c r="D7" s="24" t="s">
        <v>8</v>
      </c>
      <c r="E7" s="25" t="s">
        <v>4</v>
      </c>
      <c r="F7" s="26">
        <v>1</v>
      </c>
      <c r="G7" s="27">
        <v>24000</v>
      </c>
      <c r="H7" s="27">
        <f t="shared" si="0"/>
        <v>24000</v>
      </c>
      <c r="I7" s="28"/>
      <c r="J7" s="6"/>
      <c r="K7" s="5"/>
    </row>
    <row r="8" spans="1:13">
      <c r="A8" s="29">
        <v>4</v>
      </c>
      <c r="B8" s="22" t="s">
        <v>75</v>
      </c>
      <c r="C8" s="23" t="s">
        <v>22</v>
      </c>
      <c r="D8" s="24" t="s">
        <v>3</v>
      </c>
      <c r="E8" s="25" t="s">
        <v>5</v>
      </c>
      <c r="F8" s="26">
        <v>80</v>
      </c>
      <c r="G8" s="27">
        <v>800</v>
      </c>
      <c r="H8" s="27">
        <f t="shared" si="0"/>
        <v>64000</v>
      </c>
      <c r="I8" s="31"/>
      <c r="J8" s="6"/>
      <c r="K8" s="5"/>
    </row>
    <row r="9" spans="1:13">
      <c r="A9" s="21">
        <v>5</v>
      </c>
      <c r="B9" s="22" t="s">
        <v>75</v>
      </c>
      <c r="C9" s="23" t="s">
        <v>23</v>
      </c>
      <c r="D9" s="24" t="s">
        <v>24</v>
      </c>
      <c r="E9" s="25" t="s">
        <v>5</v>
      </c>
      <c r="F9" s="26">
        <v>80</v>
      </c>
      <c r="G9" s="27">
        <v>536</v>
      </c>
      <c r="H9" s="27">
        <f t="shared" si="0"/>
        <v>42880</v>
      </c>
      <c r="I9" s="31"/>
      <c r="J9" s="6"/>
      <c r="K9" s="5"/>
      <c r="M9" s="5"/>
    </row>
    <row r="10" spans="1:13">
      <c r="A10" s="29">
        <v>6</v>
      </c>
      <c r="B10" s="22" t="s">
        <v>76</v>
      </c>
      <c r="C10" s="23" t="s">
        <v>25</v>
      </c>
      <c r="D10" s="24" t="s">
        <v>26</v>
      </c>
      <c r="E10" s="25" t="s">
        <v>4</v>
      </c>
      <c r="F10" s="26">
        <v>2</v>
      </c>
      <c r="G10" s="27">
        <v>3000</v>
      </c>
      <c r="H10" s="27">
        <f t="shared" si="0"/>
        <v>6000</v>
      </c>
      <c r="I10" s="28"/>
      <c r="J10" s="6"/>
      <c r="K10" s="5"/>
    </row>
    <row r="11" spans="1:13">
      <c r="A11" s="21">
        <v>7</v>
      </c>
      <c r="B11" s="21">
        <v>2553</v>
      </c>
      <c r="C11" s="23" t="s">
        <v>27</v>
      </c>
      <c r="D11" s="24" t="s">
        <v>28</v>
      </c>
      <c r="E11" s="25" t="s">
        <v>4</v>
      </c>
      <c r="F11" s="26">
        <v>1</v>
      </c>
      <c r="G11" s="27">
        <v>4310</v>
      </c>
      <c r="H11" s="27">
        <f t="shared" si="0"/>
        <v>4310</v>
      </c>
      <c r="I11" s="28"/>
      <c r="J11" s="6"/>
      <c r="K11" s="5"/>
    </row>
    <row r="12" spans="1:13">
      <c r="A12" s="29">
        <v>8</v>
      </c>
      <c r="B12" s="21">
        <v>2553</v>
      </c>
      <c r="C12" s="23" t="s">
        <v>9</v>
      </c>
      <c r="D12" s="24" t="s">
        <v>29</v>
      </c>
      <c r="E12" s="25" t="s">
        <v>4</v>
      </c>
      <c r="F12" s="26">
        <v>1</v>
      </c>
      <c r="G12" s="27">
        <v>3950</v>
      </c>
      <c r="H12" s="27">
        <f t="shared" si="0"/>
        <v>3950</v>
      </c>
      <c r="I12" s="28"/>
      <c r="J12" s="6"/>
      <c r="K12" s="5"/>
    </row>
    <row r="13" spans="1:13">
      <c r="A13" s="21">
        <v>9</v>
      </c>
      <c r="B13" s="21">
        <v>2553</v>
      </c>
      <c r="C13" s="23" t="s">
        <v>30</v>
      </c>
      <c r="D13" s="24" t="s">
        <v>31</v>
      </c>
      <c r="E13" s="25" t="s">
        <v>4</v>
      </c>
      <c r="F13" s="26">
        <v>1</v>
      </c>
      <c r="G13" s="27">
        <v>3500</v>
      </c>
      <c r="H13" s="27">
        <f t="shared" si="0"/>
        <v>3500</v>
      </c>
      <c r="I13" s="28"/>
      <c r="J13" s="6"/>
      <c r="K13" s="5"/>
    </row>
    <row r="14" spans="1:13">
      <c r="A14" s="29">
        <v>10</v>
      </c>
      <c r="B14" s="21">
        <v>2553</v>
      </c>
      <c r="C14" s="23" t="s">
        <v>32</v>
      </c>
      <c r="D14" s="24" t="s">
        <v>14</v>
      </c>
      <c r="E14" s="25" t="s">
        <v>4</v>
      </c>
      <c r="F14" s="26">
        <v>4</v>
      </c>
      <c r="G14" s="27">
        <v>3750</v>
      </c>
      <c r="H14" s="27">
        <f t="shared" si="0"/>
        <v>15000</v>
      </c>
      <c r="I14" s="28"/>
      <c r="J14" s="7"/>
      <c r="K14" s="5"/>
    </row>
    <row r="15" spans="1:13">
      <c r="A15" s="21">
        <v>11</v>
      </c>
      <c r="B15" s="21">
        <v>2553</v>
      </c>
      <c r="C15" s="23" t="s">
        <v>33</v>
      </c>
      <c r="D15" s="24" t="s">
        <v>10</v>
      </c>
      <c r="E15" s="25" t="s">
        <v>4</v>
      </c>
      <c r="F15" s="26">
        <v>4</v>
      </c>
      <c r="G15" s="27">
        <v>1150</v>
      </c>
      <c r="H15" s="27">
        <f t="shared" si="0"/>
        <v>4600</v>
      </c>
      <c r="I15" s="28"/>
      <c r="J15" s="7"/>
      <c r="K15" s="5"/>
    </row>
    <row r="16" spans="1:13">
      <c r="A16" s="29">
        <v>12</v>
      </c>
      <c r="B16" s="21">
        <v>2553</v>
      </c>
      <c r="C16" s="23" t="s">
        <v>34</v>
      </c>
      <c r="D16" s="24" t="s">
        <v>35</v>
      </c>
      <c r="E16" s="25" t="s">
        <v>4</v>
      </c>
      <c r="F16" s="26">
        <v>5</v>
      </c>
      <c r="G16" s="27">
        <v>3000</v>
      </c>
      <c r="H16" s="27">
        <f t="shared" si="0"/>
        <v>15000</v>
      </c>
      <c r="I16" s="32"/>
      <c r="K16" s="5"/>
    </row>
    <row r="17" spans="1:11">
      <c r="A17" s="21">
        <v>13</v>
      </c>
      <c r="B17" s="21">
        <v>2553</v>
      </c>
      <c r="C17" s="23" t="s">
        <v>36</v>
      </c>
      <c r="D17" s="24" t="s">
        <v>13</v>
      </c>
      <c r="E17" s="25" t="s">
        <v>4</v>
      </c>
      <c r="F17" s="26">
        <v>1</v>
      </c>
      <c r="G17" s="27">
        <v>32000</v>
      </c>
      <c r="H17" s="27">
        <f t="shared" si="0"/>
        <v>32000</v>
      </c>
      <c r="I17" s="32"/>
      <c r="K17" s="5"/>
    </row>
    <row r="18" spans="1:11">
      <c r="A18" s="29">
        <v>14</v>
      </c>
      <c r="B18" s="21">
        <v>2553</v>
      </c>
      <c r="C18" s="33" t="s">
        <v>37</v>
      </c>
      <c r="D18" s="33" t="s">
        <v>6</v>
      </c>
      <c r="E18" s="25" t="s">
        <v>4</v>
      </c>
      <c r="F18" s="21">
        <v>1</v>
      </c>
      <c r="G18" s="27">
        <v>2590</v>
      </c>
      <c r="H18" s="27">
        <f t="shared" si="0"/>
        <v>2590</v>
      </c>
      <c r="I18" s="32"/>
      <c r="K18" s="5"/>
    </row>
    <row r="19" spans="1:11">
      <c r="A19" s="21">
        <v>15</v>
      </c>
      <c r="B19" s="21">
        <v>2553</v>
      </c>
      <c r="C19" s="23" t="s">
        <v>38</v>
      </c>
      <c r="D19" s="24" t="s">
        <v>7</v>
      </c>
      <c r="E19" s="25" t="s">
        <v>4</v>
      </c>
      <c r="F19" s="26">
        <v>1</v>
      </c>
      <c r="G19" s="27">
        <v>17000</v>
      </c>
      <c r="H19" s="27">
        <f t="shared" si="0"/>
        <v>17000</v>
      </c>
      <c r="I19" s="32"/>
      <c r="J19" s="5"/>
      <c r="K19" s="5"/>
    </row>
    <row r="20" spans="1:11">
      <c r="A20" s="29">
        <v>16</v>
      </c>
      <c r="B20" s="21">
        <v>2553</v>
      </c>
      <c r="C20" s="23" t="s">
        <v>39</v>
      </c>
      <c r="D20" s="24" t="s">
        <v>18</v>
      </c>
      <c r="E20" s="25" t="s">
        <v>4</v>
      </c>
      <c r="F20" s="26">
        <v>10</v>
      </c>
      <c r="G20" s="27">
        <v>12000</v>
      </c>
      <c r="H20" s="27">
        <f t="shared" si="0"/>
        <v>120000</v>
      </c>
      <c r="I20" s="32"/>
      <c r="J20" s="5"/>
      <c r="K20" s="5"/>
    </row>
    <row r="21" spans="1:11">
      <c r="A21" s="21">
        <v>17</v>
      </c>
      <c r="B21" s="21">
        <v>2553</v>
      </c>
      <c r="C21" s="23" t="s">
        <v>40</v>
      </c>
      <c r="D21" s="24" t="s">
        <v>41</v>
      </c>
      <c r="E21" s="25" t="s">
        <v>4</v>
      </c>
      <c r="F21" s="26">
        <v>2</v>
      </c>
      <c r="G21" s="27">
        <v>2500</v>
      </c>
      <c r="H21" s="27">
        <f t="shared" si="0"/>
        <v>5000</v>
      </c>
      <c r="I21" s="32"/>
      <c r="J21" s="5"/>
      <c r="K21" s="5"/>
    </row>
    <row r="22" spans="1:11">
      <c r="A22" s="29">
        <v>18</v>
      </c>
      <c r="B22" s="21">
        <v>2553</v>
      </c>
      <c r="C22" s="23" t="s">
        <v>42</v>
      </c>
      <c r="D22" s="24" t="s">
        <v>43</v>
      </c>
      <c r="E22" s="25" t="s">
        <v>4</v>
      </c>
      <c r="F22" s="26">
        <v>1</v>
      </c>
      <c r="G22" s="27">
        <v>20000</v>
      </c>
      <c r="H22" s="27">
        <f t="shared" si="0"/>
        <v>20000</v>
      </c>
      <c r="I22" s="32"/>
      <c r="J22" s="5"/>
      <c r="K22" s="5"/>
    </row>
    <row r="23" spans="1:11">
      <c r="A23" s="21">
        <v>19</v>
      </c>
      <c r="B23" s="21">
        <v>2553</v>
      </c>
      <c r="C23" s="23" t="s">
        <v>44</v>
      </c>
      <c r="D23" s="24" t="s">
        <v>45</v>
      </c>
      <c r="E23" s="25" t="s">
        <v>4</v>
      </c>
      <c r="F23" s="26">
        <v>1</v>
      </c>
      <c r="G23" s="27">
        <v>2000</v>
      </c>
      <c r="H23" s="27">
        <f t="shared" si="0"/>
        <v>2000</v>
      </c>
      <c r="I23" s="32"/>
      <c r="J23" s="5"/>
      <c r="K23" s="5"/>
    </row>
    <row r="24" spans="1:11">
      <c r="A24" s="29">
        <v>20</v>
      </c>
      <c r="B24" s="21">
        <v>2553</v>
      </c>
      <c r="C24" s="23" t="s">
        <v>44</v>
      </c>
      <c r="D24" s="24" t="s">
        <v>46</v>
      </c>
      <c r="E24" s="32" t="s">
        <v>4</v>
      </c>
      <c r="F24" s="26">
        <v>1</v>
      </c>
      <c r="G24" s="27">
        <v>500</v>
      </c>
      <c r="H24" s="27">
        <f t="shared" si="0"/>
        <v>500</v>
      </c>
      <c r="I24" s="32"/>
      <c r="J24" s="5"/>
      <c r="K24" s="5"/>
    </row>
    <row r="25" spans="1:11">
      <c r="A25" s="21">
        <v>21</v>
      </c>
      <c r="B25" s="21">
        <v>2553</v>
      </c>
      <c r="C25" s="23" t="s">
        <v>47</v>
      </c>
      <c r="D25" s="24" t="s">
        <v>48</v>
      </c>
      <c r="E25" s="32" t="s">
        <v>4</v>
      </c>
      <c r="F25" s="26">
        <v>1</v>
      </c>
      <c r="G25" s="27">
        <v>11214.95</v>
      </c>
      <c r="H25" s="27">
        <f t="shared" si="0"/>
        <v>11214.95</v>
      </c>
      <c r="I25" s="32"/>
      <c r="J25" s="5"/>
      <c r="K25" s="5"/>
    </row>
    <row r="26" spans="1:11">
      <c r="A26" s="29">
        <v>22</v>
      </c>
      <c r="B26" s="21">
        <v>2553</v>
      </c>
      <c r="C26" s="23" t="s">
        <v>49</v>
      </c>
      <c r="D26" s="24" t="s">
        <v>50</v>
      </c>
      <c r="E26" s="32" t="s">
        <v>4</v>
      </c>
      <c r="F26" s="26">
        <v>1</v>
      </c>
      <c r="G26" s="27">
        <v>7009.35</v>
      </c>
      <c r="H26" s="27">
        <f t="shared" si="0"/>
        <v>7009.35</v>
      </c>
      <c r="I26" s="32"/>
      <c r="J26" s="5"/>
      <c r="K26" s="5"/>
    </row>
    <row r="27" spans="1:11">
      <c r="A27" s="21">
        <v>23</v>
      </c>
      <c r="B27" s="21">
        <v>2553</v>
      </c>
      <c r="C27" s="23" t="s">
        <v>51</v>
      </c>
      <c r="D27" s="24" t="s">
        <v>52</v>
      </c>
      <c r="E27" s="32" t="s">
        <v>4</v>
      </c>
      <c r="F27" s="26">
        <v>1</v>
      </c>
      <c r="G27" s="27">
        <v>34900</v>
      </c>
      <c r="H27" s="27">
        <f t="shared" si="0"/>
        <v>34900</v>
      </c>
      <c r="I27" s="32"/>
      <c r="J27" s="5"/>
      <c r="K27" s="5"/>
    </row>
    <row r="28" spans="1:11">
      <c r="A28" s="29">
        <v>24</v>
      </c>
      <c r="B28" s="21">
        <v>2553</v>
      </c>
      <c r="C28" s="23" t="s">
        <v>53</v>
      </c>
      <c r="D28" s="24" t="s">
        <v>54</v>
      </c>
      <c r="E28" s="32" t="s">
        <v>4</v>
      </c>
      <c r="F28" s="26">
        <v>1</v>
      </c>
      <c r="G28" s="27">
        <v>6500</v>
      </c>
      <c r="H28" s="27">
        <f t="shared" si="0"/>
        <v>6500</v>
      </c>
      <c r="I28" s="32"/>
      <c r="K28" s="5"/>
    </row>
    <row r="29" spans="1:11">
      <c r="A29" s="21">
        <v>25</v>
      </c>
      <c r="B29" s="21">
        <v>2553</v>
      </c>
      <c r="C29" s="23" t="s">
        <v>55</v>
      </c>
      <c r="D29" s="24" t="s">
        <v>56</v>
      </c>
      <c r="E29" s="32" t="s">
        <v>4</v>
      </c>
      <c r="F29" s="26">
        <v>4</v>
      </c>
      <c r="G29" s="27">
        <v>1675</v>
      </c>
      <c r="H29" s="27">
        <f t="shared" si="0"/>
        <v>6700</v>
      </c>
      <c r="I29" s="32"/>
      <c r="K29" s="5"/>
    </row>
    <row r="30" spans="1:11">
      <c r="A30" s="29">
        <v>26</v>
      </c>
      <c r="B30" s="21">
        <v>2553</v>
      </c>
      <c r="C30" s="23" t="s">
        <v>57</v>
      </c>
      <c r="D30" s="24" t="s">
        <v>58</v>
      </c>
      <c r="E30" s="32" t="s">
        <v>4</v>
      </c>
      <c r="F30" s="26">
        <v>1</v>
      </c>
      <c r="G30" s="27">
        <v>1850</v>
      </c>
      <c r="H30" s="27">
        <f t="shared" si="0"/>
        <v>1850</v>
      </c>
      <c r="I30" s="32"/>
      <c r="K30" s="5"/>
    </row>
    <row r="31" spans="1:11">
      <c r="A31" s="21">
        <v>27</v>
      </c>
      <c r="B31" s="32">
        <v>2556</v>
      </c>
      <c r="C31" s="23" t="s">
        <v>59</v>
      </c>
      <c r="D31" s="24" t="s">
        <v>60</v>
      </c>
      <c r="E31" s="32" t="s">
        <v>4</v>
      </c>
      <c r="F31" s="26">
        <v>1</v>
      </c>
      <c r="G31" s="34">
        <v>129000</v>
      </c>
      <c r="H31" s="27">
        <f t="shared" si="0"/>
        <v>129000</v>
      </c>
      <c r="I31" s="32"/>
      <c r="K31" s="5"/>
    </row>
    <row r="32" spans="1:11" s="3" customFormat="1" ht="46.5" customHeight="1">
      <c r="A32" s="35">
        <v>28</v>
      </c>
      <c r="B32" s="36">
        <v>2556</v>
      </c>
      <c r="C32" s="37" t="s">
        <v>61</v>
      </c>
      <c r="D32" s="38" t="s">
        <v>63</v>
      </c>
      <c r="E32" s="36" t="s">
        <v>4</v>
      </c>
      <c r="F32" s="39">
        <v>20</v>
      </c>
      <c r="G32" s="40">
        <v>26450</v>
      </c>
      <c r="H32" s="41">
        <f t="shared" si="0"/>
        <v>529000</v>
      </c>
      <c r="I32" s="36"/>
      <c r="J32" s="10"/>
      <c r="K32" s="10"/>
    </row>
    <row r="33" spans="1:13" s="3" customFormat="1" ht="24" customHeight="1">
      <c r="A33" s="35">
        <v>29</v>
      </c>
      <c r="B33" s="36" t="s">
        <v>73</v>
      </c>
      <c r="C33" s="37" t="s">
        <v>72</v>
      </c>
      <c r="D33" s="38" t="s">
        <v>77</v>
      </c>
      <c r="E33" s="36" t="s">
        <v>5</v>
      </c>
      <c r="F33" s="42">
        <v>1</v>
      </c>
      <c r="G33" s="40">
        <v>2690</v>
      </c>
      <c r="H33" s="43">
        <f t="shared" si="0"/>
        <v>2690</v>
      </c>
      <c r="I33" s="44"/>
      <c r="J33" s="10"/>
      <c r="K33" s="10"/>
    </row>
    <row r="34" spans="1:13" s="3" customFormat="1" ht="24" customHeight="1">
      <c r="A34" s="35">
        <v>30</v>
      </c>
      <c r="B34" s="36" t="s">
        <v>79</v>
      </c>
      <c r="C34" s="37" t="s">
        <v>80</v>
      </c>
      <c r="D34" s="38" t="s">
        <v>81</v>
      </c>
      <c r="E34" s="36" t="s">
        <v>5</v>
      </c>
      <c r="F34" s="39">
        <v>2</v>
      </c>
      <c r="G34" s="40">
        <v>20000</v>
      </c>
      <c r="H34" s="43">
        <f t="shared" si="0"/>
        <v>40000</v>
      </c>
      <c r="I34" s="44"/>
      <c r="J34" s="10"/>
      <c r="K34" s="10"/>
    </row>
    <row r="35" spans="1:13" s="3" customFormat="1" ht="24" customHeight="1">
      <c r="A35" s="35">
        <v>31</v>
      </c>
      <c r="B35" s="36" t="s">
        <v>79</v>
      </c>
      <c r="C35" s="37" t="s">
        <v>82</v>
      </c>
      <c r="D35" s="38" t="s">
        <v>83</v>
      </c>
      <c r="E35" s="36" t="s">
        <v>5</v>
      </c>
      <c r="F35" s="39">
        <v>2</v>
      </c>
      <c r="G35" s="40">
        <v>8000</v>
      </c>
      <c r="H35" s="41">
        <f t="shared" si="0"/>
        <v>16000</v>
      </c>
      <c r="I35" s="44"/>
      <c r="J35" s="10"/>
      <c r="K35" s="10"/>
    </row>
    <row r="36" spans="1:13" s="3" customFormat="1" ht="24" customHeight="1">
      <c r="A36" s="35"/>
      <c r="B36" s="36" t="s">
        <v>79</v>
      </c>
      <c r="C36" s="37" t="s">
        <v>84</v>
      </c>
      <c r="D36" s="38" t="s">
        <v>85</v>
      </c>
      <c r="E36" s="36" t="s">
        <v>5</v>
      </c>
      <c r="F36" s="39">
        <v>2</v>
      </c>
      <c r="G36" s="40">
        <v>3190</v>
      </c>
      <c r="H36" s="41">
        <f t="shared" si="0"/>
        <v>6380</v>
      </c>
      <c r="I36" s="44"/>
      <c r="J36" s="10"/>
      <c r="K36" s="10"/>
    </row>
    <row r="37" spans="1:13" s="3" customFormat="1" ht="24" customHeight="1">
      <c r="A37" s="35"/>
      <c r="B37" s="36" t="s">
        <v>79</v>
      </c>
      <c r="C37" s="37" t="s">
        <v>86</v>
      </c>
      <c r="D37" s="38" t="s">
        <v>87</v>
      </c>
      <c r="E37" s="36" t="s">
        <v>5</v>
      </c>
      <c r="F37" s="39">
        <v>27</v>
      </c>
      <c r="G37" s="40">
        <v>1350</v>
      </c>
      <c r="H37" s="41">
        <f t="shared" si="0"/>
        <v>36450</v>
      </c>
      <c r="I37" s="44"/>
      <c r="J37" s="10"/>
      <c r="K37" s="10"/>
    </row>
    <row r="38" spans="1:13">
      <c r="A38" s="16" t="s">
        <v>15</v>
      </c>
      <c r="B38" s="17"/>
      <c r="C38" s="17"/>
      <c r="D38" s="17"/>
      <c r="E38" s="18"/>
      <c r="F38" s="45"/>
      <c r="G38" s="46" t="s">
        <v>64</v>
      </c>
      <c r="H38" s="47">
        <f>SUM(H5:H37)</f>
        <v>1890024.3</v>
      </c>
      <c r="I38" s="12"/>
      <c r="J38" s="4"/>
      <c r="K38" s="5"/>
      <c r="M38" s="5"/>
    </row>
    <row r="39" spans="1:13" ht="36" customHeight="1">
      <c r="A39" s="48"/>
      <c r="B39" s="48"/>
      <c r="C39" s="48"/>
      <c r="D39" s="48"/>
      <c r="E39" s="48"/>
      <c r="F39" s="49"/>
      <c r="G39" s="48"/>
      <c r="H39" s="48"/>
      <c r="I39" s="11"/>
    </row>
    <row r="40" spans="1:13">
      <c r="A40" s="48"/>
      <c r="B40" s="48"/>
      <c r="C40" s="48"/>
      <c r="D40" s="48"/>
      <c r="E40" s="48"/>
      <c r="F40" s="13" t="s">
        <v>11</v>
      </c>
      <c r="G40" s="13"/>
      <c r="H40" s="13"/>
      <c r="I40" s="13"/>
      <c r="J40" s="2"/>
    </row>
    <row r="41" spans="1:13">
      <c r="A41" s="48"/>
      <c r="B41" s="48"/>
      <c r="C41" s="48"/>
      <c r="D41" s="48"/>
      <c r="E41" s="48"/>
      <c r="F41" s="13" t="s">
        <v>62</v>
      </c>
      <c r="G41" s="13"/>
      <c r="H41" s="13"/>
      <c r="I41" s="13"/>
      <c r="J41" s="2"/>
      <c r="M41" s="5"/>
    </row>
    <row r="42" spans="1:13">
      <c r="A42" s="48"/>
      <c r="B42" s="48"/>
      <c r="C42" s="48"/>
      <c r="D42" s="48"/>
      <c r="E42" s="48"/>
      <c r="F42" s="13" t="s">
        <v>12</v>
      </c>
      <c r="G42" s="13"/>
      <c r="H42" s="13"/>
      <c r="I42" s="13"/>
      <c r="J42" s="2"/>
    </row>
  </sheetData>
  <mergeCells count="7">
    <mergeCell ref="A1:I1"/>
    <mergeCell ref="A2:I2"/>
    <mergeCell ref="A3:I3"/>
    <mergeCell ref="F42:I42"/>
    <mergeCell ref="F41:I41"/>
    <mergeCell ref="A38:E38"/>
    <mergeCell ref="F40:I40"/>
  </mergeCells>
  <phoneticPr fontId="9" type="noConversion"/>
  <printOptions horizontalCentered="1"/>
  <pageMargins left="0.19685039370078741" right="0" top="0.59055118110236227" bottom="0.19685039370078741" header="0" footer="0"/>
  <pageSetup paperSize="9" scale="70"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แผนกการตลาด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Pasdoo</cp:lastModifiedBy>
  <cp:lastPrinted>2022-10-10T04:11:16Z</cp:lastPrinted>
  <dcterms:created xsi:type="dcterms:W3CDTF">2017-11-14T01:32:33Z</dcterms:created>
  <dcterms:modified xsi:type="dcterms:W3CDTF">2023-10-18T06:29:53Z</dcterms:modified>
</cp:coreProperties>
</file>