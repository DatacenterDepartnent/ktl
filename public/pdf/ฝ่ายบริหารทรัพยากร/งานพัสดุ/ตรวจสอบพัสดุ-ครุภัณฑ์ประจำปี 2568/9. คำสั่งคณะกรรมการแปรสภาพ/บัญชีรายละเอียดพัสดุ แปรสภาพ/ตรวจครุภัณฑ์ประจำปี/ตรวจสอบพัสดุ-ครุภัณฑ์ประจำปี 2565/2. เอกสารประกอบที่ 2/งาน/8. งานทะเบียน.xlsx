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2. เอกสารประกอบที่ 2\งาน\"/>
    </mc:Choice>
  </mc:AlternateContent>
  <xr:revisionPtr revIDLastSave="0" documentId="13_ncr:1_{D16E078B-CBFD-47BD-88C9-AAE9E618E7A2}" xr6:coauthVersionLast="47" xr6:coauthVersionMax="47" xr10:uidLastSave="{00000000-0000-0000-0000-000000000000}"/>
  <bookViews>
    <workbookView xWindow="285" yWindow="585" windowWidth="11970" windowHeight="9645" tabRatio="897" xr2:uid="{00000000-000D-0000-FFFF-FFFF00000000}"/>
  </bookViews>
  <sheets>
    <sheet name="งานทะเบียน" sheetId="2" r:id="rId1"/>
  </sheets>
  <calcPr calcId="191029"/>
</workbook>
</file>

<file path=xl/calcChain.xml><?xml version="1.0" encoding="utf-8"?>
<calcChain xmlns="http://schemas.openxmlformats.org/spreadsheetml/2006/main">
  <c r="H6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5" i="2"/>
  <c r="H37" i="2" l="1"/>
</calcChain>
</file>

<file path=xl/sharedStrings.xml><?xml version="1.0" encoding="utf-8"?>
<sst xmlns="http://schemas.openxmlformats.org/spreadsheetml/2006/main" count="112" uniqueCount="76">
  <si>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</si>
  <si>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</si>
  <si>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</si>
  <si>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</si>
  <si>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15 ลิ้นชัก</t>
  </si>
  <si>
    <t>ตู้เหล็ก 2 บานเปิด</t>
  </si>
  <si>
    <t>งปม.</t>
  </si>
  <si>
    <t>บกศ.</t>
  </si>
  <si>
    <t>เครื่องปริ้นเตอร์ CANON LBp 3050</t>
  </si>
  <si>
    <t>เครื่องสำรองไฟฟ้า</t>
  </si>
  <si>
    <t>เครื่องคอมพิวเตอร์พร้อมโต๊ะเก้าอี้</t>
  </si>
  <si>
    <t>7125-002-0002/401-012-013</t>
  </si>
  <si>
    <t>7110-002-0006/401-001</t>
  </si>
  <si>
    <t>7125-002-0002/462-001</t>
  </si>
  <si>
    <t>7440-001-0001/472-030</t>
  </si>
  <si>
    <t>7110-002-0005/492-008</t>
  </si>
  <si>
    <t>7110-002-0002/492-005</t>
  </si>
  <si>
    <t>7125-002-0002/492-004</t>
  </si>
  <si>
    <t>7110-002-0006/492-075</t>
  </si>
  <si>
    <t>7740-004-0002/492-012</t>
  </si>
  <si>
    <t>7440-001-0001/502-052</t>
  </si>
  <si>
    <t>7110-007-0001/502-006</t>
  </si>
  <si>
    <t>7110-002-0002/512-007-010</t>
  </si>
  <si>
    <t>7125-002-0002/512-011</t>
  </si>
  <si>
    <t>6720-005-0002/512-008</t>
  </si>
  <si>
    <t>7430-008-0006/512-017</t>
  </si>
  <si>
    <t>7440-001-0001/512-159</t>
  </si>
  <si>
    <t>7440-001-0004/512-158</t>
  </si>
  <si>
    <t>7490-015-0004/512-001-002</t>
  </si>
  <si>
    <t>7490-015-0003/512-001</t>
  </si>
  <si>
    <t>7110-002-0005/521-019-021</t>
  </si>
  <si>
    <t>7110-002-0002/521-004</t>
  </si>
  <si>
    <t>7125-002-0002/521-018</t>
  </si>
  <si>
    <t>7110-007-0001/531-002</t>
  </si>
  <si>
    <t>7110-006-0006/531-012</t>
  </si>
  <si>
    <t>7430-008-0002/531-022</t>
  </si>
  <si>
    <t>6130-001-0001/531-004</t>
  </si>
  <si>
    <t>7440-001-0001/531-145</t>
  </si>
  <si>
    <t>7440-001-0002/582-001</t>
  </si>
  <si>
    <t>7430-003-0001/582-001</t>
  </si>
  <si>
    <t>7440-001-6001</t>
  </si>
  <si>
    <t>ตู้เหล็ก 4 ลิ้นชัก</t>
  </si>
  <si>
    <t>ตู้เหล็ก 2  บานเลื่อน</t>
  </si>
  <si>
    <t>เครื่องคอมพิวเตอร์</t>
  </si>
  <si>
    <t>ตู้เหล็ก 2  บานเลื่อน 4 ฟุต</t>
  </si>
  <si>
    <t>เครื่องปริ้นเตอร์  HP 1020</t>
  </si>
  <si>
    <t>โต๊ะวางเครื่องคอม + เก้าอี้</t>
  </si>
  <si>
    <t>ตู้เหล็ก 15 ลิ้นชัก STAR</t>
  </si>
  <si>
    <t xml:space="preserve">ตู้เหล็ก 4 ลิ้นชัก STAR </t>
  </si>
  <si>
    <t>เครื่องคอมพิวเตอร์  SVOA</t>
  </si>
  <si>
    <t>ตู้เหล็ก  2 บานเปิด</t>
  </si>
  <si>
    <t>โต๊ะคอมพิวเตอร์ 60*100*75</t>
  </si>
  <si>
    <t>เก้าอี้  (ขาเหล็ก) 5  แฉก</t>
  </si>
  <si>
    <t>เครื่องคอมพิวเตอร์ All in one</t>
  </si>
  <si>
    <t>เครื่องพิมท์บัตรพลาลติก HITI</t>
  </si>
  <si>
    <t xml:space="preserve">server Hpj proliant ml 10 Geng  </t>
  </si>
  <si>
    <t>หัวหน้าหน่วยจ่าย/หน่วยเบิก</t>
  </si>
  <si>
    <t>......................................................</t>
  </si>
  <si>
    <t>เครื่องพิมพ์บัตรพลาสติกพร้อมอุปกรณ์ EVOLIS PEBBLE 4</t>
  </si>
  <si>
    <t>7430-003-0002/622-031</t>
  </si>
  <si>
    <t>เครื่องปริ้นเตอร์ Brother MFC-L2715</t>
  </si>
  <si>
    <t>7110-002-0004/632-001(3)</t>
  </si>
  <si>
    <t>ตู้ 4 ลิ้นชัก</t>
  </si>
  <si>
    <t>กล้องดิจิตอล CANON POWER SHOT A 590 IS</t>
  </si>
  <si>
    <t>เครื่องพิมพ์มัลติฟังชั่น HP LASER M 1120 MFP</t>
  </si>
  <si>
    <t>เครื่องอ่านบาร์โค๊ต TYSSO BMR-R-33 UM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</si>
  <si>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</si>
  <si>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</si>
  <si>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</si>
  <si>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</si>
  <si>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</si>
  <si>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</si>
  <si>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</si>
  <si>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งานทะเบียน  คงเหลือ</t>
  </si>
  <si>
    <t>ประจำปี 2565  ณ วันที่ 30 กันยายน 2565</t>
  </si>
  <si>
    <t>(นายธีระ  ศรีมาบุตร)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</si>
</sst>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;[Red]0.00"/>
  </numFmts>
  <fonts count="1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  <font>
      <sz val="16"/>
      <name val="Calibri"/>
      <family val="2"/>
      <charset val="222"/>
      <scheme val="minor"/>
    </font>
    <font>
      <sz val="16"/>
      <color rgb="FF2F75B5"/>
      <name val="TH SarabunPSK"/>
      <family val="2"/>
    </font>
    <font>
      <sz val="16"/>
      <color rgb="FF2F75B5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87">
    <xf numFmtId="0" fontId="0" fillId="0" borderId="0" xfId="0"/>
    <xf numFmtId="49" fontId="2" fillId="0" borderId="1" xfId="0" applyNumberFormat="1" applyFont="1" applyBorder="1"/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5" applyFont="1" applyBorder="1" applyAlignment="1">
      <alignment horizontal="center"/>
    </xf>
    <xf numFmtId="0" fontId="8" fillId="0" borderId="0" xfId="0" applyFont="1"/>
    <xf numFmtId="43" fontId="4" fillId="0" borderId="1" xfId="1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/>
    <xf numFmtId="43" fontId="4" fillId="0" borderId="1" xfId="5" applyNumberFormat="1" applyFont="1" applyBorder="1"/>
    <xf numFmtId="0" fontId="4" fillId="2" borderId="1" xfId="5" applyFont="1" applyFill="1" applyBorder="1" applyAlignment="1">
      <alignment horizontal="center"/>
    </xf>
    <xf numFmtId="43" fontId="4" fillId="2" borderId="1" xfId="1" applyFont="1" applyFill="1" applyBorder="1"/>
    <xf numFmtId="0" fontId="4" fillId="0" borderId="0" xfId="5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3" fontId="4" fillId="0" borderId="1" xfId="1" applyFont="1" applyBorder="1" applyAlignment="1">
      <alignment horizontal="right"/>
    </xf>
    <xf numFmtId="15" fontId="4" fillId="2" borderId="1" xfId="0" applyNumberFormat="1" applyFont="1" applyFill="1" applyBorder="1" applyAlignment="1">
      <alignment horizontal="center"/>
    </xf>
    <xf numFmtId="15" fontId="5" fillId="2" borderId="1" xfId="0" applyNumberFormat="1" applyFont="1" applyFill="1" applyBorder="1" applyAlignment="1">
      <alignment horizontal="center"/>
    </xf>
    <xf numFmtId="0" fontId="4" fillId="2" borderId="1" xfId="6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1" xfId="5" applyFont="1" applyBorder="1" applyAlignment="1">
      <alignment horizontal="center" vertical="top"/>
    </xf>
    <xf numFmtId="43" fontId="4" fillId="0" borderId="1" xfId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/>
    </xf>
    <xf numFmtId="43" fontId="4" fillId="0" borderId="2" xfId="1" applyFont="1" applyBorder="1" applyAlignment="1">
      <alignment horizontal="right"/>
    </xf>
    <xf numFmtId="49" fontId="4" fillId="0" borderId="2" xfId="0" applyNumberFormat="1" applyFont="1" applyBorder="1"/>
    <xf numFmtId="0" fontId="4" fillId="0" borderId="2" xfId="2" applyFont="1" applyBorder="1" applyAlignment="1">
      <alignment horizontal="center"/>
    </xf>
    <xf numFmtId="0" fontId="4" fillId="0" borderId="2" xfId="5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4" fillId="0" borderId="3" xfId="0" applyNumberFormat="1" applyFont="1" applyBorder="1" applyAlignment="1">
      <alignment horizontal="left"/>
    </xf>
    <xf numFmtId="49" fontId="4" fillId="0" borderId="3" xfId="0" applyNumberFormat="1" applyFont="1" applyBorder="1"/>
    <xf numFmtId="0" fontId="5" fillId="0" borderId="3" xfId="0" applyFont="1" applyBorder="1" applyAlignment="1">
      <alignment horizontal="center"/>
    </xf>
    <xf numFmtId="0" fontId="4" fillId="0" borderId="3" xfId="5" applyFont="1" applyBorder="1" applyAlignment="1">
      <alignment horizontal="center"/>
    </xf>
    <xf numFmtId="43" fontId="4" fillId="0" borderId="3" xfId="1" applyFont="1" applyBorder="1" applyAlignment="1">
      <alignment horizontal="right"/>
    </xf>
    <xf numFmtId="0" fontId="4" fillId="2" borderId="1" xfId="6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43" fontId="4" fillId="0" borderId="0" xfId="5" applyNumberFormat="1" applyFont="1" applyAlignment="1">
      <alignment horizontal="center"/>
    </xf>
    <xf numFmtId="0" fontId="4" fillId="0" borderId="1" xfId="0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9" fillId="0" borderId="0" xfId="0" applyFont="1"/>
    <xf numFmtId="49" fontId="4" fillId="0" borderId="1" xfId="0" applyNumberFormat="1" applyFont="1" applyBorder="1" applyAlignment="1">
      <alignment vertical="top"/>
    </xf>
    <xf numFmtId="43" fontId="4" fillId="0" borderId="1" xfId="1" applyFont="1" applyFill="1" applyBorder="1" applyAlignment="1">
      <alignment horizontal="right" vertical="top"/>
    </xf>
    <xf numFmtId="43" fontId="4" fillId="0" borderId="0" xfId="5" applyNumberFormat="1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top"/>
    </xf>
    <xf numFmtId="49" fontId="10" fillId="0" borderId="1" xfId="0" applyNumberFormat="1" applyFont="1" applyBorder="1" applyAlignment="1">
      <alignment horizontal="left" vertical="top"/>
    </xf>
    <xf numFmtId="0" fontId="10" fillId="0" borderId="1" xfId="2" applyFont="1" applyBorder="1" applyAlignment="1">
      <alignment horizontal="center" vertical="top"/>
    </xf>
    <xf numFmtId="0" fontId="10" fillId="0" borderId="1" xfId="5" applyFont="1" applyBorder="1" applyAlignment="1">
      <alignment horizontal="center" vertical="top"/>
    </xf>
    <xf numFmtId="43" fontId="10" fillId="0" borderId="1" xfId="1" applyFont="1" applyBorder="1" applyAlignment="1">
      <alignment horizontal="right" vertical="top"/>
    </xf>
    <xf numFmtId="0" fontId="10" fillId="0" borderId="1" xfId="0" applyFont="1" applyBorder="1" applyAlignment="1">
      <alignment horizontal="center"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0" fillId="0" borderId="1" xfId="0" applyFont="1" applyBorder="1" applyAlignment="1">
      <alignment horizontal="center"/>
    </xf>
    <xf numFmtId="49" fontId="10" fillId="0" borderId="1" xfId="0" applyNumberFormat="1" applyFont="1" applyBorder="1" applyAlignment="1">
      <alignment horizontal="left" vertical="center"/>
    </xf>
    <xf numFmtId="0" fontId="10" fillId="0" borderId="1" xfId="2" applyFont="1" applyBorder="1" applyAlignment="1">
      <alignment horizontal="center"/>
    </xf>
    <xf numFmtId="0" fontId="10" fillId="0" borderId="1" xfId="5" applyFont="1" applyBorder="1" applyAlignment="1">
      <alignment horizontal="center"/>
    </xf>
    <xf numFmtId="43" fontId="10" fillId="0" borderId="1" xfId="1" applyFont="1" applyBorder="1" applyAlignment="1">
      <alignment horizontal="right"/>
    </xf>
    <xf numFmtId="0" fontId="10" fillId="0" borderId="0" xfId="0" applyFont="1"/>
    <xf numFmtId="0" fontId="11" fillId="0" borderId="0" xfId="0" applyFont="1"/>
    <xf numFmtId="49" fontId="10" fillId="0" borderId="1" xfId="0" applyNumberFormat="1" applyFont="1" applyBorder="1" applyAlignment="1">
      <alignment horizontal="left"/>
    </xf>
    <xf numFmtId="49" fontId="10" fillId="0" borderId="1" xfId="0" applyNumberFormat="1" applyFont="1" applyBorder="1"/>
    <xf numFmtId="164" fontId="10" fillId="0" borderId="1" xfId="0" applyNumberFormat="1" applyFont="1" applyBorder="1" applyAlignment="1">
      <alignment horizontal="left" vertical="top"/>
    </xf>
    <xf numFmtId="164" fontId="10" fillId="0" borderId="1" xfId="0" applyNumberFormat="1" applyFont="1" applyBorder="1" applyAlignment="1">
      <alignment vertical="top"/>
    </xf>
    <xf numFmtId="164" fontId="10" fillId="0" borderId="1" xfId="0" applyNumberFormat="1" applyFont="1" applyBorder="1" applyAlignment="1">
      <alignment horizontal="center" vertical="top"/>
    </xf>
    <xf numFmtId="164" fontId="10" fillId="0" borderId="1" xfId="1" applyNumberFormat="1" applyFont="1" applyBorder="1" applyAlignment="1">
      <alignment horizontal="right" vertical="top"/>
    </xf>
    <xf numFmtId="164" fontId="10" fillId="0" borderId="1" xfId="0" applyNumberFormat="1" applyFont="1" applyBorder="1" applyAlignment="1">
      <alignment horizontal="center" vertical="top" wrapText="1"/>
    </xf>
    <xf numFmtId="164" fontId="10" fillId="0" borderId="0" xfId="0" applyNumberFormat="1" applyFont="1" applyAlignment="1">
      <alignment vertical="top"/>
    </xf>
    <xf numFmtId="164" fontId="11" fillId="0" borderId="0" xfId="0" applyNumberFormat="1" applyFont="1" applyAlignment="1">
      <alignment vertical="top"/>
    </xf>
    <xf numFmtId="49" fontId="10" fillId="0" borderId="2" xfId="0" applyNumberFormat="1" applyFont="1" applyBorder="1" applyAlignment="1">
      <alignment horizontal="left"/>
    </xf>
    <xf numFmtId="43" fontId="10" fillId="0" borderId="2" xfId="1" applyFont="1" applyBorder="1" applyAlignment="1">
      <alignment horizontal="right"/>
    </xf>
    <xf numFmtId="0" fontId="10" fillId="0" borderId="1" xfId="4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657226</xdr:colOff>
      <xdr:row>0</xdr:row>
      <xdr:rowOff>152400</xdr:rowOff>
    </xdr:from>
    <xdr:to>
      <xdr:col>8</xdr:col>
      <xdr:colOff>361951</xdr:colOff>
      <xdr:row>1</xdr:row>
      <xdr:rowOff>171450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296151" y="152400"/>
          <a:ext cx="13430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K44"/>
  <sheetViews>
    <sheetView tabSelected="1" topLeftCell="C13" zoomScaleNormal="100" workbookViewId="0">
      <selection activeCell="G23" sqref="G23"/>
    </sheetView>
  </sheetViews>
  <sheetFormatPr defaultColWidth="9" defaultRowHeight="24"/>
  <cols>
    <col min="1" max="1" width="5.5703125" style="3" customWidth="1"/>
    <col min="2" max="2" width="10.7109375" style="26" customWidth="1"/>
    <col min="3" max="3" width="27.85546875" style="3" customWidth="1"/>
    <col min="4" max="4" width="42" style="3" customWidth="1"/>
    <col min="5" max="5" width="6.85546875" style="3" customWidth="1"/>
    <col min="6" max="6" width="6.5703125" style="3" customWidth="1"/>
    <col min="7" max="7" width="11.140625" style="3" customWidth="1"/>
    <col min="8" max="8" width="13.42578125" style="3" customWidth="1"/>
    <col min="9" max="9" width="9.42578125" style="26" customWidth="1"/>
    <col min="10" max="10" width="18.5703125" style="3" customWidth="1"/>
    <col min="11" max="11" width="12.140625" style="3" customWidth="1"/>
    <col min="12" max="16384" width="9" style="3"/>
  </cols>
  <sheetData>
    <row r="1" spans="1:11">
      <c r="A1" s="57" t="s">
        <v>3</v>
      </c>
      <c r="B1" s="57"/>
      <c r="C1" s="57"/>
      <c r="D1" s="57"/>
      <c r="E1" s="57"/>
      <c r="F1" s="57"/>
      <c r="G1" s="57"/>
      <c r="H1" s="57"/>
      <c r="I1" s="57"/>
    </row>
    <row r="2" spans="1:11">
      <c r="A2" s="57" t="s">
        <v>73</v>
      </c>
      <c r="B2" s="57"/>
      <c r="C2" s="57"/>
      <c r="D2" s="57"/>
      <c r="E2" s="57"/>
      <c r="F2" s="57"/>
      <c r="G2" s="57"/>
      <c r="H2" s="57"/>
      <c r="I2" s="57"/>
    </row>
    <row r="3" spans="1:11">
      <c r="A3" s="58" t="s">
        <v>74</v>
      </c>
      <c r="B3" s="58"/>
      <c r="C3" s="58"/>
      <c r="D3" s="58"/>
      <c r="E3" s="58"/>
      <c r="F3" s="58"/>
      <c r="G3" s="58"/>
      <c r="H3" s="58"/>
      <c r="I3" s="58"/>
    </row>
    <row r="4" spans="1:11" s="28" customFormat="1" ht="44.25" customHeight="1">
      <c r="A4" s="25" t="s">
        <v>66</v>
      </c>
      <c r="B4" s="25" t="s">
        <v>69</v>
      </c>
      <c r="C4" s="25" t="s">
        <v>70</v>
      </c>
      <c r="D4" s="16" t="s">
        <v>0</v>
      </c>
      <c r="E4" s="25" t="s">
        <v>67</v>
      </c>
      <c r="F4" s="16" t="s">
        <v>1</v>
      </c>
      <c r="G4" s="25" t="s">
        <v>68</v>
      </c>
      <c r="H4" s="25" t="s">
        <v>72</v>
      </c>
      <c r="I4" s="16" t="s">
        <v>2</v>
      </c>
    </row>
    <row r="5" spans="1:11" s="67" customFormat="1" ht="24" customHeight="1">
      <c r="A5" s="60">
        <v>1</v>
      </c>
      <c r="B5" s="60">
        <v>2540</v>
      </c>
      <c r="C5" s="61" t="s">
        <v>11</v>
      </c>
      <c r="D5" s="61" t="s">
        <v>41</v>
      </c>
      <c r="E5" s="62" t="s">
        <v>6</v>
      </c>
      <c r="F5" s="63">
        <v>2</v>
      </c>
      <c r="G5" s="64">
        <v>2200</v>
      </c>
      <c r="H5" s="64">
        <f>SUM(F5*G5)</f>
        <v>4400</v>
      </c>
      <c r="I5" s="65"/>
      <c r="J5" s="66"/>
      <c r="K5" s="66"/>
    </row>
    <row r="6" spans="1:11" s="74" customFormat="1">
      <c r="A6" s="68">
        <v>2</v>
      </c>
      <c r="B6" s="68">
        <v>2540</v>
      </c>
      <c r="C6" s="69" t="s">
        <v>12</v>
      </c>
      <c r="D6" s="69" t="s">
        <v>42</v>
      </c>
      <c r="E6" s="70" t="s">
        <v>6</v>
      </c>
      <c r="F6" s="71">
        <v>1</v>
      </c>
      <c r="G6" s="72">
        <v>2250</v>
      </c>
      <c r="H6" s="64">
        <f t="shared" ref="H6:H36" si="0">SUM(F6*G6)</f>
        <v>2250</v>
      </c>
      <c r="I6" s="68"/>
      <c r="J6" s="73"/>
      <c r="K6" s="73"/>
    </row>
    <row r="7" spans="1:11" s="74" customFormat="1">
      <c r="A7" s="60">
        <v>3</v>
      </c>
      <c r="B7" s="68">
        <v>2546</v>
      </c>
      <c r="C7" s="69" t="s">
        <v>13</v>
      </c>
      <c r="D7" s="69" t="s">
        <v>41</v>
      </c>
      <c r="E7" s="70" t="s">
        <v>7</v>
      </c>
      <c r="F7" s="71">
        <v>1</v>
      </c>
      <c r="G7" s="72">
        <v>2600</v>
      </c>
      <c r="H7" s="64">
        <f t="shared" si="0"/>
        <v>2600</v>
      </c>
      <c r="I7" s="68"/>
      <c r="J7" s="73"/>
      <c r="K7" s="73"/>
    </row>
    <row r="8" spans="1:11" s="74" customFormat="1">
      <c r="A8" s="68">
        <v>4</v>
      </c>
      <c r="B8" s="68">
        <v>2547</v>
      </c>
      <c r="C8" s="75" t="s">
        <v>14</v>
      </c>
      <c r="D8" s="76" t="s">
        <v>43</v>
      </c>
      <c r="E8" s="70" t="s">
        <v>7</v>
      </c>
      <c r="F8" s="71">
        <v>1</v>
      </c>
      <c r="G8" s="72">
        <v>24000</v>
      </c>
      <c r="H8" s="64">
        <f t="shared" si="0"/>
        <v>24000</v>
      </c>
      <c r="I8" s="68"/>
      <c r="J8" s="73"/>
      <c r="K8" s="73"/>
    </row>
    <row r="9" spans="1:11" s="7" customFormat="1">
      <c r="A9" s="24">
        <v>5</v>
      </c>
      <c r="B9" s="27">
        <v>2549</v>
      </c>
      <c r="C9" s="10" t="s">
        <v>15</v>
      </c>
      <c r="D9" s="11" t="s">
        <v>5</v>
      </c>
      <c r="E9" s="5" t="s">
        <v>7</v>
      </c>
      <c r="F9" s="6">
        <v>1</v>
      </c>
      <c r="G9" s="18">
        <v>3000</v>
      </c>
      <c r="H9" s="30">
        <f t="shared" si="0"/>
        <v>3000</v>
      </c>
      <c r="I9" s="27"/>
      <c r="J9" s="3"/>
      <c r="K9" s="3"/>
    </row>
    <row r="10" spans="1:11" s="7" customFormat="1">
      <c r="A10" s="27">
        <v>6</v>
      </c>
      <c r="B10" s="27">
        <v>2549</v>
      </c>
      <c r="C10" s="10" t="s">
        <v>16</v>
      </c>
      <c r="D10" s="11" t="s">
        <v>4</v>
      </c>
      <c r="E10" s="5" t="s">
        <v>7</v>
      </c>
      <c r="F10" s="6">
        <v>1</v>
      </c>
      <c r="G10" s="18">
        <v>2900</v>
      </c>
      <c r="H10" s="30">
        <f t="shared" si="0"/>
        <v>2900</v>
      </c>
      <c r="I10" s="27"/>
      <c r="J10" s="3"/>
      <c r="K10" s="3"/>
    </row>
    <row r="11" spans="1:11" s="7" customFormat="1">
      <c r="A11" s="24">
        <v>7</v>
      </c>
      <c r="B11" s="27">
        <v>2549</v>
      </c>
      <c r="C11" s="17" t="s">
        <v>17</v>
      </c>
      <c r="D11" s="17" t="s">
        <v>41</v>
      </c>
      <c r="E11" s="5" t="s">
        <v>7</v>
      </c>
      <c r="F11" s="6">
        <v>1</v>
      </c>
      <c r="G11" s="18">
        <v>3100</v>
      </c>
      <c r="H11" s="30">
        <f t="shared" si="0"/>
        <v>3100</v>
      </c>
      <c r="I11" s="27"/>
      <c r="J11" s="3"/>
      <c r="K11" s="3"/>
    </row>
    <row r="12" spans="1:11" s="7" customFormat="1">
      <c r="A12" s="27">
        <v>8</v>
      </c>
      <c r="B12" s="27">
        <v>2549</v>
      </c>
      <c r="C12" s="17" t="s">
        <v>18</v>
      </c>
      <c r="D12" s="17" t="s">
        <v>44</v>
      </c>
      <c r="E12" s="5" t="s">
        <v>7</v>
      </c>
      <c r="F12" s="6">
        <v>1</v>
      </c>
      <c r="G12" s="18">
        <v>2800</v>
      </c>
      <c r="H12" s="30">
        <f t="shared" si="0"/>
        <v>2800</v>
      </c>
      <c r="I12" s="27"/>
      <c r="J12" s="3"/>
      <c r="K12" s="3"/>
    </row>
    <row r="13" spans="1:11" s="74" customFormat="1">
      <c r="A13" s="60">
        <v>9</v>
      </c>
      <c r="B13" s="68">
        <v>2549</v>
      </c>
      <c r="C13" s="84" t="s">
        <v>19</v>
      </c>
      <c r="D13" s="84" t="s">
        <v>45</v>
      </c>
      <c r="E13" s="70" t="s">
        <v>7</v>
      </c>
      <c r="F13" s="71">
        <v>1</v>
      </c>
      <c r="G13" s="85">
        <v>7000</v>
      </c>
      <c r="H13" s="64">
        <f t="shared" si="0"/>
        <v>7000</v>
      </c>
      <c r="I13" s="68"/>
      <c r="J13" s="73"/>
      <c r="K13" s="73"/>
    </row>
    <row r="14" spans="1:11" s="74" customFormat="1">
      <c r="A14" s="68">
        <v>10</v>
      </c>
      <c r="B14" s="68">
        <v>2550</v>
      </c>
      <c r="C14" s="75" t="s">
        <v>20</v>
      </c>
      <c r="D14" s="76" t="s">
        <v>43</v>
      </c>
      <c r="E14" s="70" t="s">
        <v>7</v>
      </c>
      <c r="F14" s="71">
        <v>1</v>
      </c>
      <c r="G14" s="72">
        <v>17300</v>
      </c>
      <c r="H14" s="64">
        <f t="shared" si="0"/>
        <v>17300</v>
      </c>
      <c r="I14" s="68"/>
      <c r="J14" s="73"/>
      <c r="K14" s="73"/>
    </row>
    <row r="15" spans="1:11" s="74" customFormat="1">
      <c r="A15" s="60">
        <v>11</v>
      </c>
      <c r="B15" s="68">
        <v>2550</v>
      </c>
      <c r="C15" s="75" t="s">
        <v>21</v>
      </c>
      <c r="D15" s="76" t="s">
        <v>46</v>
      </c>
      <c r="E15" s="70" t="s">
        <v>7</v>
      </c>
      <c r="F15" s="71">
        <v>1</v>
      </c>
      <c r="G15" s="72">
        <v>1700</v>
      </c>
      <c r="H15" s="64">
        <f t="shared" si="0"/>
        <v>1700</v>
      </c>
      <c r="I15" s="68"/>
      <c r="J15" s="73"/>
      <c r="K15" s="73"/>
    </row>
    <row r="16" spans="1:11" s="52" customFormat="1">
      <c r="A16" s="50">
        <v>12</v>
      </c>
      <c r="B16" s="50">
        <v>2551</v>
      </c>
      <c r="C16" s="10" t="s">
        <v>22</v>
      </c>
      <c r="D16" s="11" t="s">
        <v>47</v>
      </c>
      <c r="E16" s="5" t="s">
        <v>7</v>
      </c>
      <c r="F16" s="6">
        <v>4</v>
      </c>
      <c r="G16" s="18">
        <v>3200</v>
      </c>
      <c r="H16" s="30">
        <f t="shared" si="0"/>
        <v>12800</v>
      </c>
      <c r="I16" s="50"/>
      <c r="J16" s="51"/>
      <c r="K16" s="51"/>
    </row>
    <row r="17" spans="1:11" s="7" customFormat="1">
      <c r="A17" s="24">
        <v>13</v>
      </c>
      <c r="B17" s="27">
        <v>2551</v>
      </c>
      <c r="C17" s="10" t="s">
        <v>23</v>
      </c>
      <c r="D17" s="11" t="s">
        <v>48</v>
      </c>
      <c r="E17" s="5" t="s">
        <v>7</v>
      </c>
      <c r="F17" s="6">
        <v>1</v>
      </c>
      <c r="G17" s="18">
        <v>3200</v>
      </c>
      <c r="H17" s="30">
        <f t="shared" si="0"/>
        <v>3200</v>
      </c>
      <c r="I17" s="27"/>
      <c r="J17" s="3"/>
      <c r="K17" s="3"/>
    </row>
    <row r="18" spans="1:11" s="7" customFormat="1">
      <c r="A18" s="27">
        <v>14</v>
      </c>
      <c r="B18" s="27">
        <v>2551</v>
      </c>
      <c r="C18" s="31" t="s">
        <v>24</v>
      </c>
      <c r="D18" s="33" t="s">
        <v>63</v>
      </c>
      <c r="E18" s="34" t="s">
        <v>7</v>
      </c>
      <c r="F18" s="35">
        <v>1</v>
      </c>
      <c r="G18" s="32">
        <v>7400</v>
      </c>
      <c r="H18" s="30">
        <f t="shared" si="0"/>
        <v>7400</v>
      </c>
      <c r="I18" s="36"/>
      <c r="J18" s="3"/>
      <c r="K18" s="3"/>
    </row>
    <row r="19" spans="1:11" s="74" customFormat="1">
      <c r="A19" s="60">
        <v>15</v>
      </c>
      <c r="B19" s="68">
        <v>2551</v>
      </c>
      <c r="C19" s="75" t="s">
        <v>25</v>
      </c>
      <c r="D19" s="76" t="s">
        <v>64</v>
      </c>
      <c r="E19" s="86" t="s">
        <v>7</v>
      </c>
      <c r="F19" s="71">
        <v>1</v>
      </c>
      <c r="G19" s="72">
        <v>9800</v>
      </c>
      <c r="H19" s="64">
        <f t="shared" si="0"/>
        <v>9800</v>
      </c>
      <c r="I19" s="68"/>
      <c r="J19" s="73"/>
      <c r="K19" s="73"/>
    </row>
    <row r="20" spans="1:11" s="7" customFormat="1">
      <c r="A20" s="27">
        <v>16</v>
      </c>
      <c r="B20" s="27">
        <v>2551</v>
      </c>
      <c r="C20" s="10" t="s">
        <v>26</v>
      </c>
      <c r="D20" s="11" t="s">
        <v>49</v>
      </c>
      <c r="E20" s="27" t="s">
        <v>7</v>
      </c>
      <c r="F20" s="6">
        <v>1</v>
      </c>
      <c r="G20" s="18">
        <v>22000</v>
      </c>
      <c r="H20" s="30">
        <f t="shared" si="0"/>
        <v>22000</v>
      </c>
      <c r="I20" s="27"/>
      <c r="J20" s="3"/>
      <c r="K20" s="3"/>
    </row>
    <row r="21" spans="1:11" s="7" customFormat="1">
      <c r="A21" s="24">
        <v>17</v>
      </c>
      <c r="B21" s="27">
        <v>2551</v>
      </c>
      <c r="C21" s="37" t="s">
        <v>27</v>
      </c>
      <c r="D21" s="38" t="s">
        <v>49</v>
      </c>
      <c r="E21" s="39" t="s">
        <v>7</v>
      </c>
      <c r="F21" s="40">
        <v>1</v>
      </c>
      <c r="G21" s="41">
        <v>26900</v>
      </c>
      <c r="H21" s="30">
        <f t="shared" si="0"/>
        <v>26900</v>
      </c>
      <c r="I21" s="39"/>
      <c r="J21" s="3"/>
      <c r="K21" s="3"/>
    </row>
    <row r="22" spans="1:11" s="49" customFormat="1">
      <c r="A22" s="45">
        <v>18</v>
      </c>
      <c r="B22" s="50">
        <v>2551</v>
      </c>
      <c r="C22" s="46" t="s">
        <v>28</v>
      </c>
      <c r="D22" s="53" t="s">
        <v>65</v>
      </c>
      <c r="E22" s="45" t="s">
        <v>7</v>
      </c>
      <c r="F22" s="29">
        <v>2</v>
      </c>
      <c r="G22" s="54">
        <v>7000</v>
      </c>
      <c r="H22" s="30">
        <f t="shared" si="0"/>
        <v>14000</v>
      </c>
      <c r="I22" s="47"/>
      <c r="J22" s="48"/>
      <c r="K22" s="48"/>
    </row>
    <row r="23" spans="1:11" s="7" customFormat="1">
      <c r="A23" s="24">
        <v>19</v>
      </c>
      <c r="B23" s="27">
        <v>2551</v>
      </c>
      <c r="C23" s="10" t="s">
        <v>29</v>
      </c>
      <c r="D23" s="1" t="s">
        <v>58</v>
      </c>
      <c r="E23" s="27" t="s">
        <v>7</v>
      </c>
      <c r="F23" s="6">
        <v>1</v>
      </c>
      <c r="G23" s="18">
        <v>93400</v>
      </c>
      <c r="H23" s="30">
        <f t="shared" si="0"/>
        <v>93400</v>
      </c>
      <c r="I23" s="27"/>
      <c r="J23" s="3"/>
      <c r="K23" s="3"/>
    </row>
    <row r="24" spans="1:11" s="83" customFormat="1" ht="24" customHeight="1">
      <c r="A24" s="60">
        <v>20</v>
      </c>
      <c r="B24" s="68">
        <v>2552</v>
      </c>
      <c r="C24" s="77" t="s">
        <v>30</v>
      </c>
      <c r="D24" s="78" t="s">
        <v>50</v>
      </c>
      <c r="E24" s="79" t="s">
        <v>6</v>
      </c>
      <c r="F24" s="63">
        <v>3</v>
      </c>
      <c r="G24" s="80">
        <v>3200</v>
      </c>
      <c r="H24" s="64">
        <f t="shared" si="0"/>
        <v>9600</v>
      </c>
      <c r="I24" s="81"/>
      <c r="J24" s="82"/>
      <c r="K24" s="82"/>
    </row>
    <row r="25" spans="1:11" s="7" customFormat="1">
      <c r="A25" s="24">
        <v>21</v>
      </c>
      <c r="B25" s="27">
        <v>2552</v>
      </c>
      <c r="C25" s="10" t="s">
        <v>31</v>
      </c>
      <c r="D25" s="11" t="s">
        <v>4</v>
      </c>
      <c r="E25" s="27" t="s">
        <v>6</v>
      </c>
      <c r="F25" s="6">
        <v>1</v>
      </c>
      <c r="G25" s="18">
        <v>3000</v>
      </c>
      <c r="H25" s="30">
        <f t="shared" si="0"/>
        <v>3000</v>
      </c>
      <c r="I25" s="27"/>
      <c r="J25" s="3"/>
      <c r="K25" s="3"/>
    </row>
    <row r="26" spans="1:11" s="7" customFormat="1">
      <c r="A26" s="27">
        <v>22</v>
      </c>
      <c r="B26" s="27">
        <v>2553</v>
      </c>
      <c r="C26" s="10" t="s">
        <v>32</v>
      </c>
      <c r="D26" s="11" t="s">
        <v>41</v>
      </c>
      <c r="E26" s="27" t="s">
        <v>6</v>
      </c>
      <c r="F26" s="6">
        <v>5</v>
      </c>
      <c r="G26" s="18">
        <v>3000</v>
      </c>
      <c r="H26" s="30">
        <f t="shared" si="0"/>
        <v>15000</v>
      </c>
      <c r="I26" s="27"/>
      <c r="J26" s="3"/>
      <c r="K26" s="3"/>
    </row>
    <row r="27" spans="1:11" s="7" customFormat="1">
      <c r="A27" s="24">
        <v>23</v>
      </c>
      <c r="B27" s="27">
        <v>2553</v>
      </c>
      <c r="C27" s="10" t="s">
        <v>33</v>
      </c>
      <c r="D27" s="11" t="s">
        <v>51</v>
      </c>
      <c r="E27" s="27" t="s">
        <v>6</v>
      </c>
      <c r="F27" s="6">
        <v>1</v>
      </c>
      <c r="G27" s="18">
        <v>900</v>
      </c>
      <c r="H27" s="30">
        <f t="shared" si="0"/>
        <v>900</v>
      </c>
      <c r="I27" s="27"/>
      <c r="J27" s="3"/>
      <c r="K27" s="3"/>
    </row>
    <row r="28" spans="1:11" s="74" customFormat="1">
      <c r="A28" s="68">
        <v>24</v>
      </c>
      <c r="B28" s="68">
        <v>2553</v>
      </c>
      <c r="C28" s="75" t="s">
        <v>34</v>
      </c>
      <c r="D28" s="76" t="s">
        <v>52</v>
      </c>
      <c r="E28" s="68" t="s">
        <v>6</v>
      </c>
      <c r="F28" s="71">
        <v>1</v>
      </c>
      <c r="G28" s="72">
        <v>1100</v>
      </c>
      <c r="H28" s="64">
        <f t="shared" si="0"/>
        <v>1100</v>
      </c>
      <c r="I28" s="68"/>
      <c r="J28" s="73"/>
      <c r="K28" s="73"/>
    </row>
    <row r="29" spans="1:11" s="7" customFormat="1">
      <c r="A29" s="24">
        <v>25</v>
      </c>
      <c r="B29" s="27">
        <v>2553</v>
      </c>
      <c r="C29" s="4" t="s">
        <v>35</v>
      </c>
      <c r="D29" s="2" t="s">
        <v>8</v>
      </c>
      <c r="E29" s="27" t="s">
        <v>6</v>
      </c>
      <c r="F29" s="6">
        <v>1</v>
      </c>
      <c r="G29" s="9">
        <v>5350</v>
      </c>
      <c r="H29" s="30">
        <f t="shared" si="0"/>
        <v>5350</v>
      </c>
      <c r="I29" s="27"/>
      <c r="J29" s="3"/>
      <c r="K29" s="3"/>
    </row>
    <row r="30" spans="1:11" s="7" customFormat="1">
      <c r="A30" s="27">
        <v>26</v>
      </c>
      <c r="B30" s="27">
        <v>2553</v>
      </c>
      <c r="C30" s="10" t="s">
        <v>36</v>
      </c>
      <c r="D30" s="10" t="s">
        <v>9</v>
      </c>
      <c r="E30" s="27" t="s">
        <v>6</v>
      </c>
      <c r="F30" s="6">
        <v>1</v>
      </c>
      <c r="G30" s="8">
        <v>2590</v>
      </c>
      <c r="H30" s="30">
        <f t="shared" si="0"/>
        <v>2590</v>
      </c>
      <c r="I30" s="27"/>
      <c r="J30" s="3"/>
      <c r="K30" s="3"/>
    </row>
    <row r="31" spans="1:11" s="7" customFormat="1">
      <c r="A31" s="24">
        <v>27</v>
      </c>
      <c r="B31" s="27">
        <v>2553</v>
      </c>
      <c r="C31" s="4" t="s">
        <v>37</v>
      </c>
      <c r="D31" s="2" t="s">
        <v>10</v>
      </c>
      <c r="E31" s="27" t="s">
        <v>6</v>
      </c>
      <c r="F31" s="6">
        <v>1</v>
      </c>
      <c r="G31" s="9">
        <v>17000</v>
      </c>
      <c r="H31" s="30">
        <f t="shared" si="0"/>
        <v>17000</v>
      </c>
      <c r="I31" s="27"/>
      <c r="J31" s="3"/>
      <c r="K31" s="3"/>
    </row>
    <row r="32" spans="1:11" s="7" customFormat="1">
      <c r="A32" s="27">
        <v>28</v>
      </c>
      <c r="B32" s="19">
        <v>21350</v>
      </c>
      <c r="C32" s="4" t="s">
        <v>38</v>
      </c>
      <c r="D32" s="2" t="s">
        <v>53</v>
      </c>
      <c r="E32" s="27" t="s">
        <v>7</v>
      </c>
      <c r="F32" s="6">
        <v>1</v>
      </c>
      <c r="G32" s="9">
        <v>19900</v>
      </c>
      <c r="H32" s="30">
        <f t="shared" si="0"/>
        <v>19900</v>
      </c>
      <c r="I32" s="27"/>
      <c r="J32" s="3"/>
      <c r="K32" s="3"/>
    </row>
    <row r="33" spans="1:11" s="7" customFormat="1">
      <c r="A33" s="24">
        <v>29</v>
      </c>
      <c r="B33" s="19">
        <v>21323</v>
      </c>
      <c r="C33" s="4" t="s">
        <v>39</v>
      </c>
      <c r="D33" s="2" t="s">
        <v>54</v>
      </c>
      <c r="E33" s="27" t="s">
        <v>7</v>
      </c>
      <c r="F33" s="6">
        <v>1</v>
      </c>
      <c r="G33" s="9">
        <v>47800</v>
      </c>
      <c r="H33" s="30">
        <f t="shared" si="0"/>
        <v>47800</v>
      </c>
      <c r="I33" s="27"/>
      <c r="J33" s="3"/>
      <c r="K33" s="3"/>
    </row>
    <row r="34" spans="1:11" s="7" customFormat="1">
      <c r="A34" s="27">
        <v>30</v>
      </c>
      <c r="B34" s="20">
        <v>22057</v>
      </c>
      <c r="C34" s="43" t="s">
        <v>40</v>
      </c>
      <c r="D34" s="23" t="s">
        <v>55</v>
      </c>
      <c r="E34" s="22" t="s">
        <v>7</v>
      </c>
      <c r="F34" s="13">
        <v>1</v>
      </c>
      <c r="G34" s="14">
        <v>29500</v>
      </c>
      <c r="H34" s="30">
        <f t="shared" si="0"/>
        <v>29500</v>
      </c>
      <c r="I34" s="27"/>
      <c r="J34" s="3"/>
      <c r="K34" s="3"/>
    </row>
    <row r="35" spans="1:11" s="7" customFormat="1">
      <c r="A35" s="24">
        <v>31</v>
      </c>
      <c r="B35" s="20">
        <v>22626</v>
      </c>
      <c r="C35" s="42" t="s">
        <v>59</v>
      </c>
      <c r="D35" s="21" t="s">
        <v>60</v>
      </c>
      <c r="E35" s="22" t="s">
        <v>7</v>
      </c>
      <c r="F35" s="13">
        <v>1</v>
      </c>
      <c r="G35" s="14">
        <v>14900</v>
      </c>
      <c r="H35" s="30">
        <f t="shared" si="0"/>
        <v>14900</v>
      </c>
      <c r="I35" s="27"/>
      <c r="J35" s="3"/>
      <c r="K35" s="3"/>
    </row>
    <row r="36" spans="1:11" s="7" customFormat="1">
      <c r="A36" s="27">
        <v>32</v>
      </c>
      <c r="B36" s="20">
        <v>23279</v>
      </c>
      <c r="C36" s="42" t="s">
        <v>61</v>
      </c>
      <c r="D36" s="21" t="s">
        <v>62</v>
      </c>
      <c r="E36" s="22" t="s">
        <v>7</v>
      </c>
      <c r="F36" s="13">
        <v>3</v>
      </c>
      <c r="G36" s="14">
        <v>5240</v>
      </c>
      <c r="H36" s="30">
        <f t="shared" si="0"/>
        <v>15720</v>
      </c>
      <c r="I36" s="27"/>
      <c r="J36" s="3"/>
      <c r="K36" s="3"/>
    </row>
    <row r="37" spans="1:11">
      <c r="A37" s="59" t="s">
        <v>71</v>
      </c>
      <c r="B37" s="59"/>
      <c r="C37" s="59"/>
      <c r="D37" s="59"/>
      <c r="E37" s="59"/>
      <c r="F37" s="12"/>
      <c r="G37" s="12"/>
      <c r="H37" s="12">
        <f>SUM(H5:H36)</f>
        <v>442910</v>
      </c>
      <c r="I37" s="27"/>
    </row>
    <row r="38" spans="1:11">
      <c r="A38" s="26"/>
      <c r="C38" s="26"/>
      <c r="D38" s="26"/>
      <c r="E38" s="26"/>
      <c r="F38" s="55"/>
      <c r="G38" s="55"/>
      <c r="H38" s="55"/>
    </row>
    <row r="39" spans="1:11">
      <c r="A39" s="26"/>
      <c r="C39" s="26"/>
      <c r="D39" s="26"/>
      <c r="E39" s="26"/>
      <c r="F39" s="44"/>
      <c r="G39" s="15"/>
      <c r="H39" s="15"/>
    </row>
    <row r="40" spans="1:11" ht="25.5" customHeight="1">
      <c r="E40" s="56" t="s">
        <v>57</v>
      </c>
      <c r="F40" s="56"/>
      <c r="G40" s="56"/>
      <c r="H40" s="56"/>
      <c r="I40" s="56"/>
      <c r="J40" s="26"/>
      <c r="K40" s="26"/>
    </row>
    <row r="41" spans="1:11" ht="23.25" customHeight="1">
      <c r="E41" s="56" t="s">
        <v>75</v>
      </c>
      <c r="F41" s="56"/>
      <c r="G41" s="56"/>
      <c r="H41" s="56"/>
      <c r="I41" s="56"/>
      <c r="J41" s="26"/>
      <c r="K41" s="26"/>
    </row>
    <row r="42" spans="1:11">
      <c r="E42" s="56" t="s">
        <v>56</v>
      </c>
      <c r="F42" s="56"/>
      <c r="G42" s="56"/>
      <c r="H42" s="56"/>
      <c r="I42" s="56"/>
      <c r="J42" s="26"/>
      <c r="K42" s="26"/>
    </row>
    <row r="43" spans="1:11">
      <c r="F43" s="26"/>
      <c r="G43" s="26"/>
      <c r="H43" s="26"/>
      <c r="J43" s="26"/>
      <c r="K43" s="26"/>
    </row>
    <row r="44" spans="1:11">
      <c r="F44" s="26"/>
      <c r="G44" s="26"/>
      <c r="H44" s="26"/>
      <c r="J44" s="26"/>
      <c r="K44" s="26"/>
    </row>
  </sheetData>
  <mergeCells count="7">
    <mergeCell ref="E40:I40"/>
    <mergeCell ref="E41:I41"/>
    <mergeCell ref="E42:I42"/>
    <mergeCell ref="A1:I1"/>
    <mergeCell ref="A2:I2"/>
    <mergeCell ref="A3:I3"/>
    <mergeCell ref="A37:E37"/>
  </mergeCells>
  <printOptions horizontalCentered="1"/>
  <pageMargins left="0.19685039370078741" right="0.19685039370078741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งานทะเบียน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2022-10-07T07:21:02Z</cp:lastPrinted>
  <dcterms:created xsi:type="dcterms:W3CDTF">2017-11-14T01:32:33Z</dcterms:created>
  <dcterms:modified xsi:type="dcterms:W3CDTF">2023-02-04T08:49:34Z</dcterms:modified>
</cp:coreProperties>
</file>