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ฝ่ายบริหารทรัพยากร\"/>
    </mc:Choice>
  </mc:AlternateContent>
  <xr:revisionPtr revIDLastSave="0" documentId="13_ncr:1_{0F34DD08-892E-4847-B7A0-140D8A52372F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งานบุคลากร" sheetId="46" r:id="rId1"/>
  </sheets>
  <definedNames>
    <definedName name="_xlnm.Print_Titles" localSheetId="0">งานบุคลากร!$2:$5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8" i="46" l="1"/>
  <c r="K9" i="46"/>
  <c r="K10" i="46"/>
  <c r="K11" i="46"/>
  <c r="K12" i="46"/>
  <c r="K7" i="46"/>
  <c r="K20" i="46" s="1"/>
</calcChain>
</file>

<file path=xl/sharedStrings.xml><?xml version="1.0" encoding="utf-8"?>
<sst xmlns="http://schemas.openxmlformats.org/spreadsheetml/2006/main" count="55" uniqueCount="47">
  <si>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</si>
  <si>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</si>
  <si>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</si>
  <si>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</si>
  <si>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</si>
  <si>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</si>
  <si>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</si>
  <si>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</si>
  <si>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</si>
  <si>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</si>
  <si>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</si>
  <si>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</si>
  <si>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</si>
  <si>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</si>
  <si>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</si>
  <si>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</si>
  <si>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</si>
  <si>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</si>
  <si>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</si>
  <si>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</si>
  <si>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</si>
  <si>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</si>
  <si>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ของงานบุคลากร</t>
  </si>
  <si>
    <t>2549</t>
  </si>
  <si>
    <t>7440-001-0001/492-049</t>
  </si>
  <si>
    <t>6310-004-0001/531-001</t>
  </si>
  <si>
    <t>7110-006-0006/531-001</t>
  </si>
  <si>
    <t>6130-001-0001/531-006</t>
  </si>
  <si>
    <t>7440-001-0001/566-001</t>
  </si>
  <si>
    <t>7430-008-0002/566-001</t>
  </si>
  <si>
    <t>เครื่องคอมพิวเตอร์ GVIEW</t>
  </si>
  <si>
    <t>เครื่องสแกนลายนิ้วมือ รุ่น X938</t>
  </si>
  <si>
    <t>เก้าอี้สำนักงาน (ขาเหล็ก)</t>
  </si>
  <si>
    <t>เครื่องสำรองไฟ</t>
  </si>
  <si>
    <t>เครื่องคอมพิวเตอร์พร้อมจอ 20"HP</t>
  </si>
  <si>
    <t>เครื่องปริ้นเตอร์ Inkjet in one Epson 2106</t>
  </si>
  <si>
    <t>บกศ.</t>
  </si>
  <si>
    <t>งปม.</t>
  </si>
  <si>
    <t>อุดหนุน</t>
  </si>
  <si>
    <t>-</t>
  </si>
  <si>
    <t>( นางสาวเพ็ญธิดา  แก้วคำ )</t>
  </si>
  <si>
    <t>เบาะนั่งขาด</t>
  </si>
  <si>
    <t>บอร์ด ชำรุด เปิดเครื่องไม่ติด</t>
  </si>
  <si>
    <t>อะไหล่บอร์ด ชำรุด ไฟไม่เข้า</t>
  </si>
  <si>
    <t>ฮาสดิส ชำรุด จอไม่แสดงภาพ</t>
  </si>
  <si>
    <t>หน้าจอชำรุด เปิดไม่ติด</t>
  </si>
  <si>
    <t>แกนหนุมกระดาษ ไม่ทำงาน สั่งปริ้นไม่ได้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</si>
</sst>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12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TH SarabunPSK"/>
      <family val="2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  <font>
      <sz val="16"/>
      <color theme="1"/>
      <name val="TH SarabunIT๙"/>
      <family val="2"/>
    </font>
    <font>
      <sz val="16"/>
      <color theme="0" tint="-0.89999084444715716"/>
      <name val="TH SarabunIT๙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0" borderId="0"/>
    <xf numFmtId="0" fontId="3" fillId="0" borderId="0"/>
    <xf numFmtId="0" fontId="3" fillId="0" borderId="0"/>
    <xf numFmtId="0" fontId="3" fillId="0" borderId="0"/>
    <xf numFmtId="43" fontId="3" fillId="0" borderId="0" applyFont="0" applyFill="0" applyBorder="0" applyAlignment="0" applyProtection="0"/>
    <xf numFmtId="0" fontId="3" fillId="0" borderId="0"/>
  </cellStyleXfs>
  <cellXfs count="56">
    <xf numFmtId="0" fontId="0" fillId="0" borderId="0" xfId="0"/>
    <xf numFmtId="0" fontId="2" fillId="0" borderId="1" xfId="6" applyFont="1" applyBorder="1" applyAlignment="1">
      <alignment horizontal="left"/>
    </xf>
    <xf numFmtId="0" fontId="4" fillId="0" borderId="1" xfId="6" applyFont="1" applyBorder="1"/>
    <xf numFmtId="0" fontId="5" fillId="0" borderId="0" xfId="0" applyFont="1"/>
    <xf numFmtId="0" fontId="4" fillId="0" borderId="1" xfId="6" applyFont="1" applyBorder="1" applyAlignment="1">
      <alignment horizontal="left"/>
    </xf>
    <xf numFmtId="0" fontId="4" fillId="0" borderId="1" xfId="2" applyFont="1" applyBorder="1" applyAlignment="1">
      <alignment horizontal="center"/>
    </xf>
    <xf numFmtId="0" fontId="4" fillId="0" borderId="1" xfId="6" applyFont="1" applyBorder="1" applyAlignment="1">
      <alignment horizontal="center"/>
    </xf>
    <xf numFmtId="43" fontId="4" fillId="0" borderId="1" xfId="1" applyFont="1" applyBorder="1"/>
    <xf numFmtId="49" fontId="4" fillId="0" borderId="1" xfId="0" applyNumberFormat="1" applyFont="1" applyBorder="1" applyAlignment="1">
      <alignment horizontal="center"/>
    </xf>
    <xf numFmtId="0" fontId="5" fillId="0" borderId="0" xfId="0" applyFont="1" applyBorder="1"/>
    <xf numFmtId="49" fontId="4" fillId="0" borderId="1" xfId="7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43" fontId="4" fillId="0" borderId="1" xfId="12" applyNumberFormat="1" applyFont="1" applyBorder="1" applyAlignment="1">
      <alignment horizontal="center"/>
    </xf>
    <xf numFmtId="49" fontId="4" fillId="3" borderId="1" xfId="0" applyNumberFormat="1" applyFont="1" applyFill="1" applyBorder="1" applyAlignment="1">
      <alignment horizontal="center"/>
    </xf>
    <xf numFmtId="49" fontId="4" fillId="0" borderId="1" xfId="13" applyNumberFormat="1" applyFont="1" applyBorder="1" applyAlignment="1">
      <alignment horizontal="center"/>
    </xf>
    <xf numFmtId="43" fontId="4" fillId="0" borderId="1" xfId="12" applyFont="1" applyBorder="1" applyAlignment="1">
      <alignment horizontal="center"/>
    </xf>
    <xf numFmtId="0" fontId="5" fillId="0" borderId="1" xfId="0" applyFont="1" applyBorder="1" applyAlignment="1">
      <alignment horizontal="center" vertical="top"/>
    </xf>
    <xf numFmtId="0" fontId="5" fillId="0" borderId="1" xfId="0" applyFont="1" applyBorder="1" applyAlignment="1">
      <alignment horizontal="center" vertical="top" wrapText="1"/>
    </xf>
    <xf numFmtId="0" fontId="5" fillId="0" borderId="1" xfId="0" applyFont="1" applyBorder="1" applyAlignment="1">
      <alignment horizontal="center"/>
    </xf>
    <xf numFmtId="0" fontId="4" fillId="3" borderId="1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Border="1" applyAlignment="1"/>
    <xf numFmtId="43" fontId="5" fillId="0" borderId="0" xfId="0" applyNumberFormat="1" applyFont="1" applyBorder="1" applyAlignment="1"/>
    <xf numFmtId="0" fontId="4" fillId="0" borderId="0" xfId="2" applyFont="1" applyBorder="1" applyAlignment="1">
      <alignment horizontal="center"/>
    </xf>
    <xf numFmtId="0" fontId="9" fillId="0" borderId="0" xfId="0" applyFont="1" applyBorder="1" applyAlignment="1">
      <alignment horizontal="center"/>
    </xf>
    <xf numFmtId="15" fontId="5" fillId="0" borderId="6" xfId="0" applyNumberFormat="1" applyFont="1" applyBorder="1" applyAlignment="1">
      <alignment horizontal="center"/>
    </xf>
    <xf numFmtId="0" fontId="4" fillId="2" borderId="6" xfId="6" applyFont="1" applyFill="1" applyBorder="1" applyAlignment="1">
      <alignment horizontal="left"/>
    </xf>
    <xf numFmtId="0" fontId="4" fillId="0" borderId="6" xfId="6" applyFont="1" applyBorder="1"/>
    <xf numFmtId="0" fontId="5" fillId="0" borderId="6" xfId="0" applyFont="1" applyBorder="1" applyAlignment="1">
      <alignment horizontal="center"/>
    </xf>
    <xf numFmtId="0" fontId="4" fillId="0" borderId="6" xfId="6" applyFont="1" applyBorder="1" applyAlignment="1">
      <alignment horizontal="center"/>
    </xf>
    <xf numFmtId="43" fontId="4" fillId="0" borderId="6" xfId="1" applyFont="1" applyBorder="1"/>
    <xf numFmtId="0" fontId="5" fillId="2" borderId="6" xfId="0" applyFont="1" applyFill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0" xfId="0" applyFont="1" applyAlignment="1">
      <alignment horizontal="right"/>
    </xf>
    <xf numFmtId="0" fontId="5" fillId="0" borderId="0" xfId="0" applyFont="1" applyBorder="1" applyAlignment="1">
      <alignment horizontal="center"/>
    </xf>
    <xf numFmtId="0" fontId="5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9" applyFont="1" applyAlignment="1">
      <alignment horizontal="center" vertical="center"/>
    </xf>
    <xf numFmtId="0" fontId="7" fillId="0" borderId="0" xfId="0" applyFont="1" applyBorder="1" applyAlignment="1" applyProtection="1">
      <alignment horizontal="center"/>
      <protection locked="0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top" wrapText="1"/>
    </xf>
    <xf numFmtId="0" fontId="5" fillId="0" borderId="5" xfId="0" applyFont="1" applyBorder="1" applyAlignment="1">
      <alignment horizontal="center" vertical="top" wrapText="1"/>
    </xf>
    <xf numFmtId="43" fontId="4" fillId="0" borderId="1" xfId="12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 vertic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1495425</xdr:colOff>
      <xdr:row>21</xdr:row>
      <xdr:rowOff>0</xdr:rowOff>
    </xdr:from>
    <xdr:to>
      <xdr:col>11</xdr:col>
      <xdr:colOff>1819275</xdr:colOff>
      <xdr:row>26</xdr:row>
      <xdr:rowOff>152400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868025" y="5600700"/>
          <a:ext cx="1676400" cy="3238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27"/>
  <sheetViews>
    <sheetView tabSelected="1" zoomScaleNormal="100" workbookViewId="0">
      <selection activeCell="K12" sqref="K12"/>
    </sheetView>
  </sheetViews>
  <sheetFormatPr defaultColWidth="9" defaultRowHeight="24" x14ac:dyDescent="0.55000000000000004"/>
  <cols>
    <col min="1" max="1" width="5.25" style="3" customWidth="1"/>
    <col min="2" max="2" width="11.375" style="36" customWidth="1"/>
    <col min="3" max="3" width="26.625" style="21" customWidth="1"/>
    <col min="4" max="4" width="38.25" style="3" customWidth="1"/>
    <col min="5" max="5" width="7.625" style="3" customWidth="1"/>
    <col min="6" max="6" width="8.625" style="3" customWidth="1"/>
    <col min="7" max="7" width="6.625" style="3" customWidth="1"/>
    <col min="8" max="9" width="7.625" style="3" customWidth="1"/>
    <col min="10" max="10" width="11.25" style="3" customWidth="1"/>
    <col min="11" max="11" width="11.375" style="3" customWidth="1"/>
    <col min="12" max="12" width="34.25" style="36" customWidth="1"/>
    <col min="13" max="16384" width="9" style="3"/>
  </cols>
  <sheetData>
    <row r="1" spans="1:12" x14ac:dyDescent="0.55000000000000004">
      <c r="L1" s="34" t="s">
        <v>20</v>
      </c>
    </row>
    <row r="2" spans="1:12" x14ac:dyDescent="0.55000000000000004">
      <c r="A2" s="46" t="s">
        <v>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x14ac:dyDescent="0.55000000000000004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55000000000000004">
      <c r="A4" s="48" t="s">
        <v>22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28.5" customHeight="1" x14ac:dyDescent="0.55000000000000004">
      <c r="A5" s="41" t="s">
        <v>8</v>
      </c>
      <c r="B5" s="41" t="s">
        <v>19</v>
      </c>
      <c r="C5" s="41" t="s">
        <v>16</v>
      </c>
      <c r="D5" s="49" t="s">
        <v>0</v>
      </c>
      <c r="E5" s="41" t="s">
        <v>11</v>
      </c>
      <c r="F5" s="41" t="s">
        <v>10</v>
      </c>
      <c r="G5" s="51" t="s">
        <v>12</v>
      </c>
      <c r="H5" s="39" t="s">
        <v>1</v>
      </c>
      <c r="I5" s="40"/>
      <c r="J5" s="41" t="s">
        <v>15</v>
      </c>
      <c r="K5" s="41" t="s">
        <v>9</v>
      </c>
      <c r="L5" s="41" t="s">
        <v>14</v>
      </c>
    </row>
    <row r="6" spans="1:12" ht="45" customHeight="1" x14ac:dyDescent="0.55000000000000004">
      <c r="A6" s="42"/>
      <c r="B6" s="42"/>
      <c r="C6" s="42"/>
      <c r="D6" s="50"/>
      <c r="E6" s="42"/>
      <c r="F6" s="42"/>
      <c r="G6" s="52"/>
      <c r="H6" s="17" t="s">
        <v>13</v>
      </c>
      <c r="I6" s="16" t="s">
        <v>3</v>
      </c>
      <c r="J6" s="42"/>
      <c r="K6" s="42"/>
      <c r="L6" s="42"/>
    </row>
    <row r="7" spans="1:12" x14ac:dyDescent="0.55000000000000004">
      <c r="A7" s="19">
        <v>1</v>
      </c>
      <c r="B7" s="13" t="s">
        <v>23</v>
      </c>
      <c r="C7" s="4" t="s">
        <v>24</v>
      </c>
      <c r="D7" s="2" t="s">
        <v>30</v>
      </c>
      <c r="E7" s="5" t="s">
        <v>36</v>
      </c>
      <c r="F7" s="5">
        <v>15</v>
      </c>
      <c r="G7" s="5" t="s">
        <v>39</v>
      </c>
      <c r="H7" s="5">
        <v>1</v>
      </c>
      <c r="I7" s="6">
        <v>1</v>
      </c>
      <c r="J7" s="7">
        <v>19088.8</v>
      </c>
      <c r="K7" s="7">
        <f>J7</f>
        <v>19088.8</v>
      </c>
      <c r="L7" s="53" t="s">
        <v>44</v>
      </c>
    </row>
    <row r="8" spans="1:12" x14ac:dyDescent="0.55000000000000004">
      <c r="A8" s="19">
        <v>2</v>
      </c>
      <c r="B8" s="11">
        <v>2553</v>
      </c>
      <c r="C8" s="4" t="s">
        <v>25</v>
      </c>
      <c r="D8" s="2" t="s">
        <v>31</v>
      </c>
      <c r="E8" s="5" t="s">
        <v>37</v>
      </c>
      <c r="F8" s="5">
        <v>11</v>
      </c>
      <c r="G8" s="5" t="s">
        <v>39</v>
      </c>
      <c r="H8" s="5">
        <v>1</v>
      </c>
      <c r="I8" s="6">
        <v>1</v>
      </c>
      <c r="J8" s="7">
        <v>18000</v>
      </c>
      <c r="K8" s="7">
        <f t="shared" ref="K8:K12" si="0">J8</f>
        <v>18000</v>
      </c>
      <c r="L8" s="54" t="s">
        <v>42</v>
      </c>
    </row>
    <row r="9" spans="1:12" x14ac:dyDescent="0.55000000000000004">
      <c r="A9" s="19">
        <v>3</v>
      </c>
      <c r="B9" s="11">
        <v>2553</v>
      </c>
      <c r="C9" s="4" t="s">
        <v>26</v>
      </c>
      <c r="D9" s="2" t="s">
        <v>32</v>
      </c>
      <c r="E9" s="5" t="s">
        <v>37</v>
      </c>
      <c r="F9" s="5">
        <v>11</v>
      </c>
      <c r="G9" s="5" t="s">
        <v>39</v>
      </c>
      <c r="H9" s="5">
        <v>1</v>
      </c>
      <c r="I9" s="6">
        <v>1</v>
      </c>
      <c r="J9" s="7">
        <v>1150</v>
      </c>
      <c r="K9" s="7">
        <f t="shared" si="0"/>
        <v>1150</v>
      </c>
      <c r="L9" s="53" t="s">
        <v>41</v>
      </c>
    </row>
    <row r="10" spans="1:12" x14ac:dyDescent="0.55000000000000004">
      <c r="A10" s="19">
        <v>4</v>
      </c>
      <c r="B10" s="11">
        <v>2553</v>
      </c>
      <c r="C10" s="4" t="s">
        <v>27</v>
      </c>
      <c r="D10" s="2" t="s">
        <v>33</v>
      </c>
      <c r="E10" s="5" t="s">
        <v>37</v>
      </c>
      <c r="F10" s="5">
        <v>11</v>
      </c>
      <c r="G10" s="5" t="s">
        <v>39</v>
      </c>
      <c r="H10" s="5">
        <v>1</v>
      </c>
      <c r="I10" s="6">
        <v>1</v>
      </c>
      <c r="J10" s="7">
        <v>2590</v>
      </c>
      <c r="K10" s="7">
        <f t="shared" si="0"/>
        <v>2590</v>
      </c>
      <c r="L10" s="55" t="s">
        <v>43</v>
      </c>
    </row>
    <row r="11" spans="1:12" x14ac:dyDescent="0.55000000000000004">
      <c r="A11" s="19">
        <v>5</v>
      </c>
      <c r="B11" s="11">
        <v>2556</v>
      </c>
      <c r="C11" s="4" t="s">
        <v>28</v>
      </c>
      <c r="D11" s="2" t="s">
        <v>34</v>
      </c>
      <c r="E11" s="5" t="s">
        <v>38</v>
      </c>
      <c r="F11" s="5">
        <v>8</v>
      </c>
      <c r="G11" s="5" t="s">
        <v>39</v>
      </c>
      <c r="H11" s="5">
        <v>2</v>
      </c>
      <c r="I11" s="6">
        <v>1</v>
      </c>
      <c r="J11" s="7">
        <v>22649</v>
      </c>
      <c r="K11" s="7">
        <f t="shared" si="0"/>
        <v>22649</v>
      </c>
      <c r="L11" s="53" t="s">
        <v>45</v>
      </c>
    </row>
    <row r="12" spans="1:12" x14ac:dyDescent="0.55000000000000004">
      <c r="A12" s="19">
        <v>6</v>
      </c>
      <c r="B12" s="11">
        <v>2556</v>
      </c>
      <c r="C12" s="4" t="s">
        <v>29</v>
      </c>
      <c r="D12" s="2" t="s">
        <v>35</v>
      </c>
      <c r="E12" s="5" t="s">
        <v>38</v>
      </c>
      <c r="F12" s="5">
        <v>8</v>
      </c>
      <c r="G12" s="5" t="s">
        <v>39</v>
      </c>
      <c r="H12" s="5">
        <v>2</v>
      </c>
      <c r="I12" s="6">
        <v>1</v>
      </c>
      <c r="J12" s="7">
        <v>7337</v>
      </c>
      <c r="K12" s="7">
        <f t="shared" si="0"/>
        <v>7337</v>
      </c>
      <c r="L12" s="53" t="s">
        <v>46</v>
      </c>
    </row>
    <row r="13" spans="1:12" x14ac:dyDescent="0.55000000000000004">
      <c r="A13" s="19"/>
      <c r="B13" s="11"/>
      <c r="C13" s="4"/>
      <c r="D13" s="2"/>
      <c r="E13" s="5"/>
      <c r="F13" s="5"/>
      <c r="G13" s="5"/>
      <c r="H13" s="5"/>
      <c r="I13" s="6"/>
      <c r="J13" s="7"/>
      <c r="K13" s="7"/>
      <c r="L13" s="12"/>
    </row>
    <row r="14" spans="1:12" x14ac:dyDescent="0.55000000000000004">
      <c r="A14" s="19"/>
      <c r="B14" s="11"/>
      <c r="C14" s="4"/>
      <c r="D14" s="2"/>
      <c r="E14" s="5"/>
      <c r="F14" s="5"/>
      <c r="G14" s="5"/>
      <c r="H14" s="5"/>
      <c r="I14" s="6"/>
      <c r="J14" s="7"/>
      <c r="K14" s="7"/>
      <c r="L14" s="12"/>
    </row>
    <row r="15" spans="1:12" x14ac:dyDescent="0.55000000000000004">
      <c r="A15" s="19"/>
      <c r="B15" s="8"/>
      <c r="C15" s="4"/>
      <c r="D15" s="2"/>
      <c r="E15" s="5"/>
      <c r="F15" s="5"/>
      <c r="G15" s="5"/>
      <c r="H15" s="5"/>
      <c r="I15" s="6"/>
      <c r="J15" s="7"/>
      <c r="K15" s="7"/>
      <c r="L15" s="12"/>
    </row>
    <row r="16" spans="1:12" x14ac:dyDescent="0.55000000000000004">
      <c r="A16" s="19"/>
      <c r="B16" s="10"/>
      <c r="C16" s="4"/>
      <c r="D16" s="1"/>
      <c r="E16" s="5"/>
      <c r="F16" s="5"/>
      <c r="G16" s="5"/>
      <c r="H16" s="5"/>
      <c r="I16" s="6"/>
      <c r="J16" s="7"/>
      <c r="K16" s="7"/>
      <c r="L16" s="18"/>
    </row>
    <row r="17" spans="1:12" x14ac:dyDescent="0.55000000000000004">
      <c r="A17" s="19"/>
      <c r="B17" s="8"/>
      <c r="C17" s="4"/>
      <c r="D17" s="2"/>
      <c r="E17" s="5"/>
      <c r="F17" s="5"/>
      <c r="G17" s="5"/>
      <c r="H17" s="5"/>
      <c r="I17" s="6"/>
      <c r="J17" s="7"/>
      <c r="K17" s="7"/>
      <c r="L17" s="12"/>
    </row>
    <row r="18" spans="1:12" x14ac:dyDescent="0.55000000000000004">
      <c r="A18" s="19"/>
      <c r="B18" s="14"/>
      <c r="C18" s="4"/>
      <c r="D18" s="2"/>
      <c r="E18" s="5"/>
      <c r="F18" s="5"/>
      <c r="G18" s="5"/>
      <c r="H18" s="5"/>
      <c r="I18" s="6"/>
      <c r="J18" s="7"/>
      <c r="K18" s="7"/>
      <c r="L18" s="15"/>
    </row>
    <row r="19" spans="1:12" ht="24.75" thickBot="1" x14ac:dyDescent="0.6">
      <c r="A19" s="19"/>
      <c r="B19" s="26"/>
      <c r="C19" s="27"/>
      <c r="D19" s="28"/>
      <c r="E19" s="29"/>
      <c r="F19" s="29"/>
      <c r="G19" s="5"/>
      <c r="H19" s="29"/>
      <c r="I19" s="30"/>
      <c r="J19" s="31"/>
      <c r="K19" s="31"/>
      <c r="L19" s="32"/>
    </row>
    <row r="20" spans="1:12" ht="24.75" thickBot="1" x14ac:dyDescent="0.6">
      <c r="A20" s="43" t="s">
        <v>5</v>
      </c>
      <c r="B20" s="44"/>
      <c r="C20" s="44"/>
      <c r="D20" s="44"/>
      <c r="E20" s="44"/>
      <c r="F20" s="44"/>
      <c r="G20" s="44"/>
      <c r="H20" s="44"/>
      <c r="I20" s="44"/>
      <c r="J20" s="45"/>
      <c r="K20" s="31">
        <f>SUM(K7:K19)</f>
        <v>70814.8</v>
      </c>
      <c r="L20" s="33"/>
    </row>
    <row r="21" spans="1:12" ht="24.75" thickTop="1" x14ac:dyDescent="0.55000000000000004">
      <c r="A21" s="37"/>
      <c r="B21" s="37"/>
      <c r="C21" s="37"/>
      <c r="D21" s="37"/>
      <c r="E21" s="37"/>
      <c r="F21" s="37"/>
      <c r="G21" s="37"/>
      <c r="H21" s="37"/>
      <c r="I21" s="24"/>
      <c r="J21" s="23"/>
      <c r="K21" s="23"/>
      <c r="L21" s="35"/>
    </row>
    <row r="22" spans="1:12" x14ac:dyDescent="0.55000000000000004">
      <c r="A22" s="9"/>
      <c r="B22" s="25" t="s">
        <v>2</v>
      </c>
      <c r="C22" s="20" t="s">
        <v>17</v>
      </c>
      <c r="D22" s="9"/>
      <c r="E22" s="9"/>
      <c r="F22" s="9"/>
      <c r="G22" s="9"/>
      <c r="H22" s="9"/>
      <c r="I22" s="24"/>
      <c r="J22" s="9"/>
      <c r="K22" s="9"/>
      <c r="L22" s="35"/>
    </row>
    <row r="23" spans="1:12" x14ac:dyDescent="0.55000000000000004">
      <c r="A23" s="9"/>
      <c r="B23" s="35"/>
      <c r="C23" s="20" t="s">
        <v>18</v>
      </c>
      <c r="D23" s="9"/>
      <c r="E23" s="9"/>
      <c r="F23" s="9"/>
      <c r="G23" s="9"/>
      <c r="H23" s="22"/>
      <c r="I23" s="22"/>
      <c r="J23" s="22"/>
      <c r="K23" s="22"/>
      <c r="L23" s="22"/>
    </row>
    <row r="24" spans="1:12" x14ac:dyDescent="0.55000000000000004">
      <c r="A24" s="9"/>
      <c r="B24" s="35"/>
      <c r="C24" s="20"/>
      <c r="D24" s="9"/>
      <c r="E24" s="9"/>
      <c r="F24" s="9"/>
      <c r="G24" s="9"/>
      <c r="H24" s="22"/>
      <c r="I24" s="22"/>
      <c r="J24" s="22"/>
      <c r="K24" s="22"/>
      <c r="L24" s="22"/>
    </row>
    <row r="25" spans="1:12" x14ac:dyDescent="0.55000000000000004">
      <c r="A25" s="9"/>
      <c r="B25" s="35"/>
      <c r="C25" s="20"/>
      <c r="D25" s="9"/>
      <c r="E25" s="9"/>
      <c r="F25" s="9"/>
      <c r="G25" s="9"/>
      <c r="H25" s="38" t="s">
        <v>21</v>
      </c>
      <c r="I25" s="38"/>
      <c r="J25" s="38"/>
      <c r="K25" s="38"/>
      <c r="L25" s="22"/>
    </row>
    <row r="26" spans="1:12" x14ac:dyDescent="0.55000000000000004">
      <c r="H26" s="38" t="s">
        <v>40</v>
      </c>
      <c r="I26" s="38"/>
      <c r="J26" s="38"/>
      <c r="K26" s="38"/>
    </row>
    <row r="27" spans="1:12" x14ac:dyDescent="0.55000000000000004">
      <c r="H27" s="38" t="s">
        <v>4</v>
      </c>
      <c r="I27" s="38"/>
      <c r="J27" s="38"/>
      <c r="K27" s="38"/>
    </row>
  </sheetData>
  <mergeCells count="18">
    <mergeCell ref="L5:L6"/>
    <mergeCell ref="A20:J20"/>
    <mergeCell ref="H25:K25"/>
    <mergeCell ref="A2:L2"/>
    <mergeCell ref="A3:L3"/>
    <mergeCell ref="A4:L4"/>
    <mergeCell ref="A5:A6"/>
    <mergeCell ref="B5:B6"/>
    <mergeCell ref="C5:C6"/>
    <mergeCell ref="D5:D6"/>
    <mergeCell ref="E5:E6"/>
    <mergeCell ref="F5:F6"/>
    <mergeCell ref="G5:G6"/>
    <mergeCell ref="H27:K27"/>
    <mergeCell ref="H26:K26"/>
    <mergeCell ref="H5:I5"/>
    <mergeCell ref="J5:J6"/>
    <mergeCell ref="K5:K6"/>
  </mergeCells>
  <printOptions horizontalCentered="1"/>
  <pageMargins left="0.19685039370078741" right="0" top="0.59055118110236227" bottom="0.19685039370078741" header="0" footer="0"/>
  <pageSetup paperSize="9" scale="80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งานบุคลากร</vt:lpstr>
      <vt:lpstr>งานบุคลากร!Print_Titles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2021-10-12T02:55:11Z</cp:lastPrinted>
  <dcterms:created xsi:type="dcterms:W3CDTF">2017-11-14T01:32:33Z</dcterms:created>
  <dcterms:modified xsi:type="dcterms:W3CDTF">2022-02-28T04:40:05Z</dcterms:modified>
</cp:coreProperties>
</file>