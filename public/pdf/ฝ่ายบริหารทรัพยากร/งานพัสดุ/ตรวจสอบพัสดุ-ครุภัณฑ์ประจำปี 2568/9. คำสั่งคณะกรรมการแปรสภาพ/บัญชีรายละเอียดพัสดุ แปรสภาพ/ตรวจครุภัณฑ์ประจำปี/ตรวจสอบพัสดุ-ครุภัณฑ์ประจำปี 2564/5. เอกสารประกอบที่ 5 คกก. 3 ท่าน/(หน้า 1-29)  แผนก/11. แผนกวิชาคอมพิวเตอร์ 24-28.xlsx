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CAC41E06-D50F-42A4-AD93-D1AF2EDA696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วิชาคอมพิวเตอร์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5" i="33" l="1"/>
  <c r="K126" i="33"/>
  <c r="K127" i="33"/>
  <c r="K128" i="33"/>
  <c r="K129" i="33"/>
  <c r="K124" i="33"/>
  <c r="K96" i="33"/>
  <c r="K97" i="33"/>
  <c r="K98" i="33"/>
  <c r="K99" i="33"/>
  <c r="K100" i="33"/>
  <c r="K101" i="33"/>
  <c r="K102" i="33"/>
  <c r="K103" i="33"/>
  <c r="K104" i="33"/>
  <c r="K95" i="33"/>
  <c r="K67" i="33"/>
  <c r="K68" i="33"/>
  <c r="K69" i="33"/>
  <c r="K70" i="33"/>
  <c r="K71" i="33"/>
  <c r="K72" i="33"/>
  <c r="K73" i="33"/>
  <c r="K74" i="33"/>
  <c r="K75" i="33"/>
  <c r="K66" i="33"/>
  <c r="K38" i="33"/>
  <c r="K39" i="33"/>
  <c r="K40" i="33"/>
  <c r="K41" i="33"/>
  <c r="K42" i="33"/>
  <c r="K43" i="33"/>
  <c r="K44" i="33"/>
  <c r="K45" i="33"/>
  <c r="K46" i="33"/>
  <c r="K37" i="33"/>
  <c r="K8" i="33"/>
  <c r="K9" i="33"/>
  <c r="K10" i="33"/>
  <c r="K11" i="33"/>
  <c r="K12" i="33"/>
  <c r="K13" i="33"/>
  <c r="K14" i="33"/>
  <c r="K15" i="33"/>
  <c r="K16" i="33"/>
  <c r="K7" i="33"/>
  <c r="K17" i="33" l="1"/>
  <c r="K36" i="33" s="1"/>
  <c r="K47" i="33" s="1"/>
  <c r="K65" i="33" s="1"/>
  <c r="K76" i="33" s="1"/>
  <c r="K94" i="33" s="1"/>
  <c r="K105" i="33" s="1"/>
  <c r="K123" i="33" s="1"/>
  <c r="K130" i="33" s="1"/>
</calcChain>
</file>

<file path=xl/sharedStrings.xml><?xml version="1.0" encoding="utf-8"?>
<sst xmlns="http://schemas.openxmlformats.org/spreadsheetml/2006/main" count="421" uniqueCount="136">
  <si>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</si>
  <si>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</si>
  <si>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</si>
  <si>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</si>
  <si>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</si>
  <si>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</si>
  <si>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</si>
  <si>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</si>
  <si>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</si>
  <si>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</si>
  <si>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</si>
  <si>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</si>
  <si>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</si>
  <si>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</si>
  <si>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</si>
  <si>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</si>
  <si>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</si>
  <si>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</si>
  <si>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</si>
  <si>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2540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</si>
  <si>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</si>
  <si>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</si>
  <si>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</si>
  <si>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</si>
  <si>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7110-007-0002/401-002-401-005</t>
  </si>
  <si>
    <t>โต๊ะวางเครื่องปริ้น</t>
  </si>
  <si>
    <t>7110-007-0001/401-003-401-022</t>
  </si>
  <si>
    <t>โต๊ะวางเครื่องคอมพิวเตอร์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</si>
  <si>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</si>
  <si>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</si>
  <si>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</si>
  <si>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</si>
  <si>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</si>
  <si>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</si>
  <si>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</si>
  <si>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7110-007-0002/421-007-421-008</t>
  </si>
  <si>
    <t>7110-007-0001/421-023-421-032</t>
  </si>
  <si>
    <t>7110-006-0002/421-021-421-040</t>
  </si>
  <si>
    <t>2543</t>
  </si>
  <si>
    <t>7440-001-0001/431-036-431-040</t>
  </si>
  <si>
    <t>7440-010-0001/431-002</t>
  </si>
  <si>
    <t>7430-008-0001/431-009</t>
  </si>
  <si>
    <t>เครื่องปริ้นเตอร์ 2080I</t>
  </si>
  <si>
    <t>งปม.</t>
  </si>
  <si>
    <t>7430-008-0001/431-010</t>
  </si>
  <si>
    <t>เครื่องปริ้นเตอร์เลซอร์ PD12</t>
  </si>
  <si>
    <t>7110-007-0002/431-009-431-010</t>
  </si>
  <si>
    <t>7110-007-0001/431-033-431-037</t>
  </si>
  <si>
    <t>7110-006-0002/431-041-431-045</t>
  </si>
  <si>
    <t>-</t>
  </si>
  <si>
    <t>5825-020-0001/442-024</t>
  </si>
  <si>
    <t>โทรทัศน์สี 29"</t>
  </si>
  <si>
    <t>บกศ.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</si>
  <si>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</si>
  <si>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</si>
  <si>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</si>
  <si>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</si>
  <si>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</si>
  <si>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</si>
  <si>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</si>
  <si>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</si>
  <si>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</si>
  <si>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</si>
  <si>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</si>
  <si>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</si>
  <si>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</si>
  <si>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พัดลมติดผนัง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</si>
  <si>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</si>
  <si>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</si>
  <si>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</si>
  <si>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</si>
  <si>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</si>
  <si>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</si>
  <si>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เครื่องไม่อ่านแผ่น</t>
  </si>
  <si>
    <t>7440-001-0001/482-046</t>
  </si>
  <si>
    <t>เครื่องคอมพิวเตอร์ GVIEW</t>
  </si>
  <si>
    <t>2549</t>
  </si>
  <si>
    <t>7440-001-0001/493-007-016</t>
  </si>
  <si>
    <t>บริจาค</t>
  </si>
  <si>
    <t>7440-001-0001/493-017-026</t>
  </si>
  <si>
    <t>7440-009-0001/492-003</t>
  </si>
  <si>
    <t>FLASH DRIVE 512 MB</t>
  </si>
  <si>
    <t>2550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</si>
  <si>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</si>
  <si>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</si>
  <si>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</si>
  <si>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</si>
  <si>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</si>
  <si>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</si>
  <si>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</si>
  <si>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</si>
  <si>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2551</t>
  </si>
  <si>
    <t>7440-001-0001/512-060-108</t>
  </si>
  <si>
    <t>เครื่องไมโครคอมพิวเตอร์ SVOA จอแบน</t>
  </si>
  <si>
    <t>7440-001-0001/512-109-157</t>
  </si>
  <si>
    <t>7110-006-0007/512-006</t>
  </si>
  <si>
    <t>เก้าอี้สำนักงาน  S -35  หนัง</t>
  </si>
  <si>
    <t>7440-010-0013/531-001-004</t>
  </si>
  <si>
    <t>เครื่องแปลงสัญญาณอินเตอร์เน็ต Switching Hub</t>
  </si>
  <si>
    <t>6730-001-0003/531-009-012</t>
  </si>
  <si>
    <t>เครื่องโปรเจคเตอร์พร้อมจอรับภาพ</t>
  </si>
  <si>
    <t>7110-006-0009/531-001-160</t>
  </si>
  <si>
    <t>เก้าอี้เบาะชุดโครเมี่ยม</t>
  </si>
  <si>
    <t>หลอดภาพเสียหาย</t>
  </si>
  <si>
    <t>เมนบอร์ด  ฮาร์ดดิส  แรม เสียชำรุด</t>
  </si>
  <si>
    <t>พัง หัก แกนไม่ดึงกระดาษ</t>
  </si>
  <si>
    <t>โต๊ะขาหัก</t>
  </si>
  <si>
    <t>ไม้อัดผุพัง ขาหัก</t>
  </si>
  <si>
    <t xml:space="preserve">ขาหัก เบาะขาด </t>
  </si>
  <si>
    <t>ชำรุดไม่อ่านแผ่น</t>
  </si>
  <si>
    <t>ขาหัก เบาะขาด</t>
  </si>
  <si>
    <t xml:space="preserve">พัง หัก แกนไม่ดึงกระดาษ </t>
  </si>
  <si>
    <t>พัง หัก แกนไม่ดึงกระดาษ ไม่มี</t>
  </si>
  <si>
    <t xml:space="preserve">โต๊ะขาหัก </t>
  </si>
  <si>
    <t xml:space="preserve">หลอดภาพเสีย </t>
  </si>
  <si>
    <t xml:space="preserve">ใบพัดหัก </t>
  </si>
  <si>
    <t>ไม่อ่านข้อมูล</t>
  </si>
  <si>
    <t xml:space="preserve">ไฟกระชาก ช๊อต </t>
  </si>
  <si>
    <t>ไฟกระชาก ช๊อต</t>
  </si>
  <si>
    <t>ประจำปี 2564 สิ้นงวดเมื่อวันที่ 30 กันยายน 2564 ของแผนกวิชาคอมพิวเตอร์ธุรกิจ</t>
  </si>
  <si>
    <t>เอกสารหมายเลข 24</t>
  </si>
  <si>
    <t>เอกสารหมายเลข 25</t>
  </si>
  <si>
    <t>เอกสารหมายเลข 26</t>
  </si>
  <si>
    <t>เอกสารหมายเลข 27</t>
  </si>
  <si>
    <t>เอกสารหมายเลข 28</t>
  </si>
  <si>
    <t>ลงชื่อ</t>
  </si>
  <si>
    <t>...........................................................</t>
  </si>
  <si>
    <t xml:space="preserve">ประธานกรรมการ  </t>
  </si>
  <si>
    <t xml:space="preserve">กรรมการ  </t>
  </si>
  <si>
    <t xml:space="preserve">กรรมการและเลขานุการ  </t>
  </si>
  <si>
    <t>ยอดยกไป</t>
  </si>
  <si>
    <t>(นายสุวรรณ  บุษภาค)</t>
  </si>
  <si>
    <t>(นายสิริปัญญ์  เสริมสิริพิพัฒน์)</t>
  </si>
  <si>
    <t>(นายณรงค์  นิตนอก)</t>
  </si>
  <si>
    <t>ยอดยกมา</t>
  </si>
  <si>
    <t>ยอกยกมา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</si>
</sst>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43" fontId="3" fillId="0" borderId="1" xfId="1" applyFont="1" applyBorder="1" applyAlignment="1">
      <alignment vertical="top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43" fontId="3" fillId="0" borderId="0" xfId="12" applyNumberFormat="1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3" fillId="0" borderId="0" xfId="12" applyNumberFormat="1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43" fontId="3" fillId="0" borderId="1" xfId="1" applyFont="1" applyFill="1" applyBorder="1"/>
    <xf numFmtId="49" fontId="3" fillId="0" borderId="1" xfId="0" applyNumberFormat="1" applyFont="1" applyBorder="1" applyAlignment="1">
      <alignment horizontal="center"/>
    </xf>
    <xf numFmtId="43" fontId="3" fillId="0" borderId="1" xfId="6" applyNumberFormat="1" applyFont="1" applyBorder="1"/>
    <xf numFmtId="43" fontId="3" fillId="0" borderId="4" xfId="1" applyFont="1" applyFill="1" applyBorder="1"/>
    <xf numFmtId="0" fontId="4" fillId="0" borderId="0" xfId="0" applyFont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6" applyFont="1" applyFill="1" applyBorder="1" applyAlignment="1">
      <alignment horizontal="left"/>
    </xf>
    <xf numFmtId="0" fontId="3" fillId="0" borderId="0" xfId="6" applyFont="1" applyFill="1" applyBorder="1"/>
    <xf numFmtId="0" fontId="3" fillId="0" borderId="0" xfId="2" applyFont="1" applyBorder="1" applyAlignment="1">
      <alignment horizontal="center"/>
    </xf>
    <xf numFmtId="0" fontId="3" fillId="0" borderId="0" xfId="6" applyFont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3" fillId="0" borderId="0" xfId="12" applyNumberFormat="1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6" applyFont="1" applyFill="1" applyBorder="1" applyAlignment="1">
      <alignment horizontal="left"/>
    </xf>
    <xf numFmtId="0" fontId="3" fillId="0" borderId="6" xfId="6" applyFont="1" applyFill="1" applyBorder="1"/>
    <xf numFmtId="0" fontId="3" fillId="0" borderId="6" xfId="2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43" fontId="3" fillId="0" borderId="6" xfId="12" applyNumberFormat="1" applyFont="1" applyFill="1" applyBorder="1" applyAlignment="1">
      <alignment horizontal="left"/>
    </xf>
    <xf numFmtId="0" fontId="3" fillId="0" borderId="0" xfId="6" applyFont="1" applyBorder="1" applyAlignment="1">
      <alignment horizontal="left"/>
    </xf>
    <xf numFmtId="43" fontId="3" fillId="0" borderId="0" xfId="1" applyFont="1" applyFill="1" applyBorder="1"/>
    <xf numFmtId="0" fontId="3" fillId="0" borderId="6" xfId="6" applyFont="1" applyBorder="1" applyAlignment="1">
      <alignment horizontal="left"/>
    </xf>
    <xf numFmtId="0" fontId="3" fillId="0" borderId="0" xfId="6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3" fillId="0" borderId="6" xfId="6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43" fontId="7" fillId="0" borderId="6" xfId="1" applyFont="1" applyFill="1" applyBorder="1" applyAlignment="1">
      <alignment horizontal="center"/>
    </xf>
    <xf numFmtId="0" fontId="3" fillId="0" borderId="0" xfId="2" applyFont="1" applyBorder="1" applyAlignment="1">
      <alignment horizontal="right"/>
    </xf>
    <xf numFmtId="43" fontId="3" fillId="0" borderId="0" xfId="1" applyFont="1" applyFill="1" applyBorder="1" applyAlignment="1">
      <alignment horizontal="left"/>
    </xf>
    <xf numFmtId="43" fontId="7" fillId="0" borderId="1" xfId="1" applyFont="1" applyFill="1" applyBorder="1" applyAlignment="1">
      <alignment horizontal="center"/>
    </xf>
    <xf numFmtId="43" fontId="7" fillId="0" borderId="6" xfId="1" applyFont="1" applyFill="1" applyBorder="1"/>
    <xf numFmtId="43" fontId="3" fillId="0" borderId="0" xfId="1" applyFont="1" applyFill="1" applyBorder="1" applyAlignment="1"/>
    <xf numFmtId="43" fontId="7" fillId="0" borderId="4" xfId="1" applyFont="1" applyFill="1" applyBorder="1" applyAlignment="1">
      <alignment horizontal="center"/>
    </xf>
    <xf numFmtId="0" fontId="4" fillId="0" borderId="6" xfId="0" applyFont="1" applyBorder="1"/>
    <xf numFmtId="0" fontId="6" fillId="0" borderId="6" xfId="0" applyFont="1" applyBorder="1" applyAlignment="1"/>
    <xf numFmtId="43" fontId="6" fillId="0" borderId="6" xfId="0" applyNumberFormat="1" applyFont="1" applyBorder="1" applyAlignment="1"/>
    <xf numFmtId="0" fontId="6" fillId="0" borderId="6" xfId="0" applyFont="1" applyBorder="1" applyAlignment="1">
      <alignment horizontal="center"/>
    </xf>
    <xf numFmtId="0" fontId="3" fillId="0" borderId="0" xfId="6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1676399</xdr:colOff>
      <xdr:row>130</xdr:row>
      <xdr:rowOff>295278</xdr:rowOff>
    </xdr:from>
    <xdr:to>
      <xdr:col>11</xdr:col>
      <xdr:colOff>2009774</xdr:colOff>
      <xdr:row>135</xdr:row>
      <xdr:rowOff>152401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11691938" y="44667489"/>
          <a:ext cx="1543048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1733550</xdr:colOff>
      <xdr:row>18</xdr:row>
      <xdr:rowOff>19051</xdr:rowOff>
    </xdr:from>
    <xdr:to>
      <xdr:col>11</xdr:col>
      <xdr:colOff>2066925</xdr:colOff>
      <xdr:row>22</xdr:row>
      <xdr:rowOff>266701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1787188" y="6396038"/>
          <a:ext cx="14668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1685925</xdr:colOff>
      <xdr:row>48</xdr:row>
      <xdr:rowOff>9527</xdr:rowOff>
    </xdr:from>
    <xdr:to>
      <xdr:col>11</xdr:col>
      <xdr:colOff>2019300</xdr:colOff>
      <xdr:row>52</xdr:row>
      <xdr:rowOff>257177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1053763" y="16244889"/>
          <a:ext cx="16002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1733550</xdr:colOff>
      <xdr:row>77</xdr:row>
      <xdr:rowOff>19051</xdr:rowOff>
    </xdr:from>
    <xdr:to>
      <xdr:col>11</xdr:col>
      <xdr:colOff>2066925</xdr:colOff>
      <xdr:row>81</xdr:row>
      <xdr:rowOff>266701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5400000">
          <a:off x="11720513" y="16559213"/>
          <a:ext cx="16002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1733550</xdr:colOff>
      <xdr:row>105</xdr:row>
      <xdr:rowOff>295277</xdr:rowOff>
    </xdr:from>
    <xdr:to>
      <xdr:col>11</xdr:col>
      <xdr:colOff>2066925</xdr:colOff>
      <xdr:row>110</xdr:row>
      <xdr:rowOff>238127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5400000">
          <a:off x="11720513" y="36114039"/>
          <a:ext cx="16002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139"/>
  <sheetViews>
    <sheetView tabSelected="1" topLeftCell="A64" zoomScaleNormal="100" workbookViewId="0">
      <selection activeCell="M74" sqref="M74"/>
    </sheetView>
  </sheetViews>
  <sheetFormatPr defaultColWidth="9" defaultRowHeight="24" customHeight="1"/>
  <cols>
    <col min="1" max="1" width="5.42578125" style="2" customWidth="1"/>
    <col min="2" max="2" width="12.85546875" style="2" customWidth="1"/>
    <col min="3" max="3" width="32.140625" style="2" customWidth="1"/>
    <col min="4" max="4" width="32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3.7109375" style="2" customWidth="1"/>
    <col min="11" max="11" width="15.42578125" style="2" customWidth="1"/>
    <col min="12" max="12" width="31.140625" style="38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22" t="s">
        <v>120</v>
      </c>
    </row>
    <row r="2" spans="1:14" ht="24" customHeight="1">
      <c r="A2" s="72" t="s">
        <v>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22"/>
    </row>
    <row r="3" spans="1:14" ht="24" customHeight="1">
      <c r="A3" s="73" t="s">
        <v>18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23"/>
    </row>
    <row r="4" spans="1:14" ht="24" customHeight="1">
      <c r="A4" s="74" t="s">
        <v>119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20"/>
    </row>
    <row r="5" spans="1:14" s="25" customFormat="1" ht="27" customHeight="1">
      <c r="A5" s="75" t="s">
        <v>6</v>
      </c>
      <c r="B5" s="75" t="s">
        <v>17</v>
      </c>
      <c r="C5" s="75" t="s">
        <v>14</v>
      </c>
      <c r="D5" s="77" t="s">
        <v>0</v>
      </c>
      <c r="E5" s="75" t="s">
        <v>9</v>
      </c>
      <c r="F5" s="75" t="s">
        <v>8</v>
      </c>
      <c r="G5" s="75" t="s">
        <v>10</v>
      </c>
      <c r="H5" s="79" t="s">
        <v>1</v>
      </c>
      <c r="I5" s="80"/>
      <c r="J5" s="75" t="s">
        <v>13</v>
      </c>
      <c r="K5" s="75" t="s">
        <v>7</v>
      </c>
      <c r="L5" s="75" t="s">
        <v>12</v>
      </c>
      <c r="M5" s="21"/>
    </row>
    <row r="6" spans="1:14" s="25" customFormat="1" ht="46.5" customHeight="1">
      <c r="A6" s="76"/>
      <c r="B6" s="76"/>
      <c r="C6" s="76"/>
      <c r="D6" s="78"/>
      <c r="E6" s="76"/>
      <c r="F6" s="76"/>
      <c r="G6" s="76"/>
      <c r="H6" s="26" t="s">
        <v>11</v>
      </c>
      <c r="I6" s="27" t="s">
        <v>3</v>
      </c>
      <c r="J6" s="76"/>
      <c r="K6" s="76"/>
      <c r="L6" s="76"/>
      <c r="M6" s="28"/>
      <c r="N6" s="29"/>
    </row>
    <row r="7" spans="1:14" ht="24" customHeight="1">
      <c r="A7" s="7">
        <v>1</v>
      </c>
      <c r="B7" s="15" t="s">
        <v>19</v>
      </c>
      <c r="C7" s="19" t="s">
        <v>20</v>
      </c>
      <c r="D7" s="11" t="s">
        <v>21</v>
      </c>
      <c r="E7" s="4" t="s">
        <v>43</v>
      </c>
      <c r="F7" s="4">
        <v>24</v>
      </c>
      <c r="G7" s="4" t="s">
        <v>49</v>
      </c>
      <c r="H7" s="5">
        <v>2</v>
      </c>
      <c r="I7" s="5">
        <v>2</v>
      </c>
      <c r="J7" s="8">
        <v>35000</v>
      </c>
      <c r="K7" s="8">
        <f>SUM(I7*J7)</f>
        <v>70000</v>
      </c>
      <c r="L7" s="36" t="s">
        <v>104</v>
      </c>
      <c r="M7" s="17"/>
      <c r="N7" s="16"/>
    </row>
    <row r="8" spans="1:14" ht="24" customHeight="1">
      <c r="A8" s="7">
        <v>2</v>
      </c>
      <c r="B8" s="15" t="s">
        <v>19</v>
      </c>
      <c r="C8" s="19" t="s">
        <v>22</v>
      </c>
      <c r="D8" s="11" t="s">
        <v>23</v>
      </c>
      <c r="E8" s="4" t="s">
        <v>43</v>
      </c>
      <c r="F8" s="4">
        <v>24</v>
      </c>
      <c r="G8" s="4" t="s">
        <v>49</v>
      </c>
      <c r="H8" s="5">
        <v>2</v>
      </c>
      <c r="I8" s="5">
        <v>2</v>
      </c>
      <c r="J8" s="8">
        <v>17500</v>
      </c>
      <c r="K8" s="8">
        <f t="shared" ref="K8:K16" si="0">SUM(I8*J8)</f>
        <v>35000</v>
      </c>
      <c r="L8" s="36" t="s">
        <v>105</v>
      </c>
      <c r="M8" s="17"/>
      <c r="N8" s="16"/>
    </row>
    <row r="9" spans="1:14" ht="24" customHeight="1">
      <c r="A9" s="7">
        <v>3</v>
      </c>
      <c r="B9" s="15" t="s">
        <v>19</v>
      </c>
      <c r="C9" s="19" t="s">
        <v>24</v>
      </c>
      <c r="D9" s="11" t="s">
        <v>25</v>
      </c>
      <c r="E9" s="4" t="s">
        <v>43</v>
      </c>
      <c r="F9" s="4">
        <v>24</v>
      </c>
      <c r="G9" s="4" t="s">
        <v>49</v>
      </c>
      <c r="H9" s="5">
        <v>4</v>
      </c>
      <c r="I9" s="5">
        <v>4</v>
      </c>
      <c r="J9" s="8">
        <v>2500</v>
      </c>
      <c r="K9" s="8">
        <f t="shared" si="0"/>
        <v>10000</v>
      </c>
      <c r="L9" s="36" t="s">
        <v>106</v>
      </c>
      <c r="M9" s="17"/>
      <c r="N9" s="16"/>
    </row>
    <row r="10" spans="1:14" ht="24" customHeight="1">
      <c r="A10" s="7">
        <v>4</v>
      </c>
      <c r="B10" s="15" t="s">
        <v>19</v>
      </c>
      <c r="C10" s="19" t="s">
        <v>26</v>
      </c>
      <c r="D10" s="11" t="s">
        <v>27</v>
      </c>
      <c r="E10" s="4" t="s">
        <v>43</v>
      </c>
      <c r="F10" s="4">
        <v>24</v>
      </c>
      <c r="G10" s="4" t="s">
        <v>49</v>
      </c>
      <c r="H10" s="5">
        <v>20</v>
      </c>
      <c r="I10" s="5">
        <v>20</v>
      </c>
      <c r="J10" s="8">
        <v>2600</v>
      </c>
      <c r="K10" s="8">
        <f t="shared" si="0"/>
        <v>52000</v>
      </c>
      <c r="L10" s="36" t="s">
        <v>107</v>
      </c>
      <c r="M10" s="17"/>
      <c r="N10" s="16"/>
    </row>
    <row r="11" spans="1:14" ht="24" customHeight="1">
      <c r="A11" s="7">
        <v>5</v>
      </c>
      <c r="B11" s="15" t="s">
        <v>19</v>
      </c>
      <c r="C11" s="3" t="s">
        <v>28</v>
      </c>
      <c r="D11" s="1" t="s">
        <v>29</v>
      </c>
      <c r="E11" s="4" t="s">
        <v>43</v>
      </c>
      <c r="F11" s="4">
        <v>24</v>
      </c>
      <c r="G11" s="4" t="s">
        <v>49</v>
      </c>
      <c r="H11" s="5">
        <v>20</v>
      </c>
      <c r="I11" s="5">
        <v>20</v>
      </c>
      <c r="J11" s="8">
        <v>1200</v>
      </c>
      <c r="K11" s="8">
        <f t="shared" si="0"/>
        <v>24000</v>
      </c>
      <c r="L11" s="37" t="s">
        <v>108</v>
      </c>
      <c r="M11" s="18"/>
      <c r="N11" s="16"/>
    </row>
    <row r="12" spans="1:14" ht="24" customHeight="1">
      <c r="A12" s="7">
        <v>6</v>
      </c>
      <c r="B12" s="15">
        <v>2542</v>
      </c>
      <c r="C12" s="19" t="s">
        <v>30</v>
      </c>
      <c r="D12" s="11" t="s">
        <v>31</v>
      </c>
      <c r="E12" s="4" t="s">
        <v>43</v>
      </c>
      <c r="F12" s="4">
        <v>22</v>
      </c>
      <c r="G12" s="4" t="s">
        <v>49</v>
      </c>
      <c r="H12" s="5">
        <v>1</v>
      </c>
      <c r="I12" s="5">
        <v>1</v>
      </c>
      <c r="J12" s="8">
        <v>12500</v>
      </c>
      <c r="K12" s="8">
        <f t="shared" si="0"/>
        <v>12500</v>
      </c>
      <c r="L12" s="37" t="s">
        <v>109</v>
      </c>
      <c r="M12" s="18"/>
      <c r="N12" s="16"/>
    </row>
    <row r="13" spans="1:14" ht="24" customHeight="1">
      <c r="A13" s="7">
        <v>7</v>
      </c>
      <c r="B13" s="15">
        <v>2542</v>
      </c>
      <c r="C13" s="19" t="s">
        <v>32</v>
      </c>
      <c r="D13" s="11" t="s">
        <v>21</v>
      </c>
      <c r="E13" s="4" t="s">
        <v>43</v>
      </c>
      <c r="F13" s="4">
        <v>22</v>
      </c>
      <c r="G13" s="4" t="s">
        <v>49</v>
      </c>
      <c r="H13" s="5">
        <v>10</v>
      </c>
      <c r="I13" s="5">
        <v>10</v>
      </c>
      <c r="J13" s="8">
        <v>34500</v>
      </c>
      <c r="K13" s="8">
        <f t="shared" si="0"/>
        <v>345000</v>
      </c>
      <c r="L13" s="36" t="s">
        <v>104</v>
      </c>
      <c r="M13" s="18"/>
      <c r="N13" s="16"/>
    </row>
    <row r="14" spans="1:14" ht="24" customHeight="1">
      <c r="A14" s="7">
        <v>8</v>
      </c>
      <c r="B14" s="15">
        <v>2542</v>
      </c>
      <c r="C14" s="19" t="s">
        <v>33</v>
      </c>
      <c r="D14" s="11" t="s">
        <v>34</v>
      </c>
      <c r="E14" s="4" t="s">
        <v>43</v>
      </c>
      <c r="F14" s="4">
        <v>22</v>
      </c>
      <c r="G14" s="4" t="s">
        <v>49</v>
      </c>
      <c r="H14" s="5">
        <v>2</v>
      </c>
      <c r="I14" s="5">
        <v>2</v>
      </c>
      <c r="J14" s="8">
        <v>9000</v>
      </c>
      <c r="K14" s="8">
        <f t="shared" si="0"/>
        <v>18000</v>
      </c>
      <c r="L14" s="36" t="s">
        <v>105</v>
      </c>
      <c r="M14" s="18"/>
      <c r="N14" s="16"/>
    </row>
    <row r="15" spans="1:14" ht="24" customHeight="1">
      <c r="A15" s="7">
        <v>9</v>
      </c>
      <c r="B15" s="15">
        <v>2542</v>
      </c>
      <c r="C15" s="19" t="s">
        <v>35</v>
      </c>
      <c r="D15" s="11" t="s">
        <v>25</v>
      </c>
      <c r="E15" s="4" t="s">
        <v>43</v>
      </c>
      <c r="F15" s="4">
        <v>22</v>
      </c>
      <c r="G15" s="4" t="s">
        <v>49</v>
      </c>
      <c r="H15" s="5">
        <v>2</v>
      </c>
      <c r="I15" s="5">
        <v>2</v>
      </c>
      <c r="J15" s="8">
        <v>2500</v>
      </c>
      <c r="K15" s="8">
        <f t="shared" si="0"/>
        <v>5000</v>
      </c>
      <c r="L15" s="36" t="s">
        <v>106</v>
      </c>
      <c r="M15" s="18"/>
      <c r="N15" s="16"/>
    </row>
    <row r="16" spans="1:14" ht="24" customHeight="1">
      <c r="A16" s="7">
        <v>10</v>
      </c>
      <c r="B16" s="15">
        <v>2542</v>
      </c>
      <c r="C16" s="19" t="s">
        <v>36</v>
      </c>
      <c r="D16" s="11" t="s">
        <v>27</v>
      </c>
      <c r="E16" s="4" t="s">
        <v>43</v>
      </c>
      <c r="F16" s="4">
        <v>22</v>
      </c>
      <c r="G16" s="4" t="s">
        <v>49</v>
      </c>
      <c r="H16" s="5">
        <v>10</v>
      </c>
      <c r="I16" s="5">
        <v>10</v>
      </c>
      <c r="J16" s="8">
        <v>2500</v>
      </c>
      <c r="K16" s="8">
        <f t="shared" si="0"/>
        <v>25000</v>
      </c>
      <c r="L16" s="36" t="s">
        <v>106</v>
      </c>
      <c r="M16" s="18"/>
      <c r="N16" s="16"/>
    </row>
    <row r="17" spans="1:14" ht="24" customHeight="1" thickBot="1">
      <c r="A17" s="46"/>
      <c r="B17" s="47"/>
      <c r="C17" s="48"/>
      <c r="D17" s="49"/>
      <c r="E17" s="50"/>
      <c r="F17" s="50"/>
      <c r="G17" s="50"/>
      <c r="H17" s="51"/>
      <c r="I17" s="51"/>
      <c r="J17" s="60" t="s">
        <v>130</v>
      </c>
      <c r="K17" s="60">
        <f>SUM(K7:K16)</f>
        <v>596500</v>
      </c>
      <c r="L17" s="52"/>
      <c r="M17" s="18"/>
      <c r="N17" s="16"/>
    </row>
    <row r="18" spans="1:14" s="6" customFormat="1" ht="24" customHeight="1" thickTop="1">
      <c r="A18" s="39"/>
      <c r="B18" s="35" t="s">
        <v>2</v>
      </c>
      <c r="C18" s="40" t="s">
        <v>15</v>
      </c>
      <c r="D18" s="41"/>
      <c r="E18" s="42"/>
      <c r="F18" s="42"/>
      <c r="G18" s="42"/>
      <c r="H18" s="43"/>
      <c r="I18" s="43"/>
      <c r="J18" s="44"/>
      <c r="K18" s="44"/>
      <c r="L18" s="45"/>
      <c r="M18" s="18"/>
      <c r="N18" s="18"/>
    </row>
    <row r="19" spans="1:14" s="6" customFormat="1" ht="24" customHeight="1">
      <c r="A19" s="39"/>
      <c r="B19" s="35"/>
      <c r="C19" s="40" t="s">
        <v>16</v>
      </c>
      <c r="D19" s="41"/>
      <c r="E19" s="42"/>
      <c r="F19" s="42"/>
      <c r="G19" s="42"/>
      <c r="H19" s="43"/>
      <c r="I19" s="43"/>
      <c r="J19" s="44"/>
      <c r="K19" s="44"/>
      <c r="L19" s="45"/>
      <c r="M19" s="18"/>
      <c r="N19" s="18"/>
    </row>
    <row r="20" spans="1:14" s="6" customFormat="1" ht="24" customHeight="1">
      <c r="A20" s="39"/>
      <c r="B20" s="35"/>
      <c r="C20" s="40"/>
      <c r="D20" s="41"/>
      <c r="E20" s="42"/>
      <c r="F20" s="42"/>
      <c r="G20" s="61" t="s">
        <v>125</v>
      </c>
      <c r="H20" s="71" t="s">
        <v>126</v>
      </c>
      <c r="I20" s="71"/>
      <c r="J20" s="71"/>
      <c r="K20" s="62" t="s">
        <v>127</v>
      </c>
      <c r="L20" s="45"/>
      <c r="M20" s="18"/>
      <c r="N20" s="18"/>
    </row>
    <row r="21" spans="1:14" s="6" customFormat="1" ht="24" customHeight="1">
      <c r="A21" s="39"/>
      <c r="B21" s="35"/>
      <c r="C21" s="40"/>
      <c r="D21" s="41"/>
      <c r="E21" s="42"/>
      <c r="F21" s="42"/>
      <c r="G21" s="61"/>
      <c r="H21" s="71" t="s">
        <v>131</v>
      </c>
      <c r="I21" s="71"/>
      <c r="J21" s="71"/>
      <c r="K21" s="62"/>
      <c r="L21" s="45"/>
      <c r="M21" s="18"/>
      <c r="N21" s="18"/>
    </row>
    <row r="22" spans="1:14" s="6" customFormat="1" ht="36" customHeight="1">
      <c r="A22" s="39"/>
      <c r="B22" s="35"/>
      <c r="C22" s="40"/>
      <c r="D22" s="41"/>
      <c r="E22" s="42"/>
      <c r="F22" s="42"/>
      <c r="G22" s="61" t="s">
        <v>125</v>
      </c>
      <c r="H22" s="71" t="s">
        <v>126</v>
      </c>
      <c r="I22" s="71"/>
      <c r="J22" s="71"/>
      <c r="K22" s="62" t="s">
        <v>128</v>
      </c>
      <c r="L22" s="45"/>
      <c r="M22" s="18"/>
      <c r="N22" s="18"/>
    </row>
    <row r="23" spans="1:14" s="6" customFormat="1" ht="24" customHeight="1">
      <c r="A23" s="39"/>
      <c r="B23" s="35"/>
      <c r="C23" s="40"/>
      <c r="D23" s="41"/>
      <c r="E23" s="42"/>
      <c r="F23" s="42"/>
      <c r="G23" s="61"/>
      <c r="H23" s="71" t="s">
        <v>132</v>
      </c>
      <c r="I23" s="71"/>
      <c r="J23" s="71"/>
      <c r="K23" s="62"/>
      <c r="L23" s="45"/>
      <c r="M23" s="18"/>
      <c r="N23" s="18"/>
    </row>
    <row r="24" spans="1:14" s="6" customFormat="1" ht="41.25" customHeight="1">
      <c r="A24" s="39"/>
      <c r="B24" s="35"/>
      <c r="C24" s="40"/>
      <c r="D24" s="41"/>
      <c r="E24" s="42"/>
      <c r="F24" s="42"/>
      <c r="G24" s="61" t="s">
        <v>125</v>
      </c>
      <c r="H24" s="71" t="s">
        <v>126</v>
      </c>
      <c r="I24" s="71"/>
      <c r="J24" s="71"/>
      <c r="K24" s="62" t="s">
        <v>129</v>
      </c>
      <c r="L24" s="45"/>
      <c r="M24" s="18"/>
      <c r="N24" s="18"/>
    </row>
    <row r="25" spans="1:14" s="6" customFormat="1" ht="24" customHeight="1">
      <c r="A25" s="39"/>
      <c r="B25" s="35"/>
      <c r="C25" s="40"/>
      <c r="D25" s="41"/>
      <c r="E25" s="42"/>
      <c r="F25" s="42"/>
      <c r="G25" s="42"/>
      <c r="H25" s="71" t="s">
        <v>133</v>
      </c>
      <c r="I25" s="71"/>
      <c r="J25" s="71"/>
      <c r="K25" s="44"/>
      <c r="L25" s="45"/>
      <c r="M25" s="18"/>
      <c r="N25" s="18"/>
    </row>
    <row r="26" spans="1:14" s="6" customFormat="1" ht="24" customHeight="1">
      <c r="A26" s="39"/>
      <c r="B26" s="35"/>
      <c r="C26" s="40"/>
      <c r="D26" s="41"/>
      <c r="E26" s="42"/>
      <c r="F26" s="42"/>
      <c r="G26" s="42"/>
      <c r="H26" s="43"/>
      <c r="I26" s="43"/>
      <c r="J26" s="44"/>
      <c r="K26" s="44"/>
      <c r="L26" s="45"/>
      <c r="M26" s="18"/>
      <c r="N26" s="18"/>
    </row>
    <row r="27" spans="1:14" s="6" customFormat="1" ht="24" customHeight="1">
      <c r="A27" s="39"/>
      <c r="B27" s="35"/>
      <c r="C27" s="40"/>
      <c r="D27" s="41"/>
      <c r="E27" s="42"/>
      <c r="F27" s="42"/>
      <c r="G27" s="42"/>
      <c r="H27" s="43"/>
      <c r="I27" s="43"/>
      <c r="J27" s="44"/>
      <c r="K27" s="44"/>
      <c r="L27" s="45"/>
      <c r="M27" s="18"/>
      <c r="N27" s="18"/>
    </row>
    <row r="28" spans="1:14" s="6" customFormat="1" ht="24" customHeight="1">
      <c r="A28" s="39"/>
      <c r="B28" s="35"/>
      <c r="C28" s="40"/>
      <c r="D28" s="41"/>
      <c r="E28" s="42"/>
      <c r="F28" s="42"/>
      <c r="G28" s="42"/>
      <c r="H28" s="43"/>
      <c r="I28" s="43"/>
      <c r="J28" s="44"/>
      <c r="K28" s="44"/>
      <c r="L28" s="45"/>
      <c r="M28" s="18"/>
      <c r="N28" s="18"/>
    </row>
    <row r="29" spans="1:14" s="6" customFormat="1" ht="24" customHeight="1">
      <c r="A29" s="39"/>
      <c r="B29" s="35"/>
      <c r="C29" s="40"/>
      <c r="D29" s="41"/>
      <c r="E29" s="42"/>
      <c r="F29" s="42"/>
      <c r="G29" s="42"/>
      <c r="H29" s="43"/>
      <c r="I29" s="43"/>
      <c r="J29" s="44"/>
      <c r="K29" s="44"/>
      <c r="L29" s="45"/>
      <c r="M29" s="18"/>
      <c r="N29" s="18"/>
    </row>
    <row r="30" spans="1:14" ht="24" customHeight="1">
      <c r="L30" s="22" t="s">
        <v>121</v>
      </c>
      <c r="M30" s="18"/>
      <c r="N30" s="16"/>
    </row>
    <row r="31" spans="1:14" ht="24" customHeight="1">
      <c r="A31" s="72" t="s">
        <v>5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18"/>
      <c r="N31" s="16"/>
    </row>
    <row r="32" spans="1:14" ht="24" customHeight="1">
      <c r="A32" s="73" t="s">
        <v>18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18"/>
      <c r="N32" s="16"/>
    </row>
    <row r="33" spans="1:14" ht="24" customHeight="1">
      <c r="A33" s="74" t="s">
        <v>119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18"/>
      <c r="N33" s="16"/>
    </row>
    <row r="34" spans="1:14" ht="24" customHeight="1">
      <c r="A34" s="75" t="s">
        <v>6</v>
      </c>
      <c r="B34" s="75" t="s">
        <v>17</v>
      </c>
      <c r="C34" s="75" t="s">
        <v>14</v>
      </c>
      <c r="D34" s="77" t="s">
        <v>0</v>
      </c>
      <c r="E34" s="75" t="s">
        <v>9</v>
      </c>
      <c r="F34" s="75" t="s">
        <v>8</v>
      </c>
      <c r="G34" s="75" t="s">
        <v>10</v>
      </c>
      <c r="H34" s="79" t="s">
        <v>1</v>
      </c>
      <c r="I34" s="80"/>
      <c r="J34" s="75" t="s">
        <v>13</v>
      </c>
      <c r="K34" s="75" t="s">
        <v>7</v>
      </c>
      <c r="L34" s="75" t="s">
        <v>12</v>
      </c>
      <c r="M34" s="18"/>
      <c r="N34" s="16"/>
    </row>
    <row r="35" spans="1:14" ht="45.75" customHeight="1">
      <c r="A35" s="76"/>
      <c r="B35" s="76"/>
      <c r="C35" s="76"/>
      <c r="D35" s="78"/>
      <c r="E35" s="76"/>
      <c r="F35" s="76"/>
      <c r="G35" s="76"/>
      <c r="H35" s="26" t="s">
        <v>11</v>
      </c>
      <c r="I35" s="27" t="s">
        <v>3</v>
      </c>
      <c r="J35" s="76"/>
      <c r="K35" s="76"/>
      <c r="L35" s="76"/>
      <c r="M35" s="18"/>
      <c r="N35" s="16"/>
    </row>
    <row r="36" spans="1:14" ht="24" customHeight="1">
      <c r="A36" s="7"/>
      <c r="B36" s="15"/>
      <c r="C36" s="19"/>
      <c r="D36" s="11"/>
      <c r="E36" s="4"/>
      <c r="F36" s="4"/>
      <c r="G36" s="4"/>
      <c r="H36" s="5"/>
      <c r="I36" s="5"/>
      <c r="J36" s="63" t="s">
        <v>134</v>
      </c>
      <c r="K36" s="63">
        <f>SUM(K17)</f>
        <v>596500</v>
      </c>
      <c r="L36" s="36"/>
      <c r="M36" s="18"/>
      <c r="N36" s="16"/>
    </row>
    <row r="37" spans="1:14" ht="24" customHeight="1">
      <c r="A37" s="7">
        <v>11</v>
      </c>
      <c r="B37" s="15">
        <v>2542</v>
      </c>
      <c r="C37" s="19" t="s">
        <v>37</v>
      </c>
      <c r="D37" s="11" t="s">
        <v>29</v>
      </c>
      <c r="E37" s="4" t="s">
        <v>43</v>
      </c>
      <c r="F37" s="4">
        <v>22</v>
      </c>
      <c r="G37" s="4" t="s">
        <v>49</v>
      </c>
      <c r="H37" s="5">
        <v>20</v>
      </c>
      <c r="I37" s="5">
        <v>20</v>
      </c>
      <c r="J37" s="8">
        <v>1200</v>
      </c>
      <c r="K37" s="8">
        <f>SUM(I37*J37)</f>
        <v>24000</v>
      </c>
      <c r="L37" s="37" t="s">
        <v>108</v>
      </c>
      <c r="M37" s="18"/>
      <c r="N37" s="16"/>
    </row>
    <row r="38" spans="1:14" ht="24" customHeight="1">
      <c r="A38" s="7">
        <v>12</v>
      </c>
      <c r="B38" s="15" t="s">
        <v>38</v>
      </c>
      <c r="C38" s="19" t="s">
        <v>39</v>
      </c>
      <c r="D38" s="11" t="s">
        <v>21</v>
      </c>
      <c r="E38" s="4" t="s">
        <v>43</v>
      </c>
      <c r="F38" s="4">
        <v>21</v>
      </c>
      <c r="G38" s="4" t="s">
        <v>49</v>
      </c>
      <c r="H38" s="5">
        <v>5</v>
      </c>
      <c r="I38" s="5">
        <v>5</v>
      </c>
      <c r="J38" s="8">
        <v>38900</v>
      </c>
      <c r="K38" s="8">
        <f t="shared" ref="K38:K46" si="1">SUM(I38*J38)</f>
        <v>194500</v>
      </c>
      <c r="L38" s="36" t="s">
        <v>104</v>
      </c>
      <c r="M38" s="18"/>
      <c r="N38" s="16"/>
    </row>
    <row r="39" spans="1:14" ht="24" customHeight="1">
      <c r="A39" s="7">
        <v>13</v>
      </c>
      <c r="B39" s="15" t="s">
        <v>38</v>
      </c>
      <c r="C39" s="19" t="s">
        <v>40</v>
      </c>
      <c r="D39" s="11" t="s">
        <v>31</v>
      </c>
      <c r="E39" s="4" t="s">
        <v>43</v>
      </c>
      <c r="F39" s="4">
        <v>21</v>
      </c>
      <c r="G39" s="4" t="s">
        <v>49</v>
      </c>
      <c r="H39" s="5">
        <v>1</v>
      </c>
      <c r="I39" s="5">
        <v>1</v>
      </c>
      <c r="J39" s="8">
        <v>20000</v>
      </c>
      <c r="K39" s="8">
        <f t="shared" si="1"/>
        <v>20000</v>
      </c>
      <c r="L39" s="37" t="s">
        <v>109</v>
      </c>
      <c r="M39" s="18"/>
      <c r="N39" s="16"/>
    </row>
    <row r="40" spans="1:14" ht="24" customHeight="1">
      <c r="A40" s="7">
        <v>14</v>
      </c>
      <c r="B40" s="15" t="s">
        <v>38</v>
      </c>
      <c r="C40" s="19" t="s">
        <v>41</v>
      </c>
      <c r="D40" s="11" t="s">
        <v>42</v>
      </c>
      <c r="E40" s="15" t="s">
        <v>43</v>
      </c>
      <c r="F40" s="4">
        <v>21</v>
      </c>
      <c r="G40" s="4" t="s">
        <v>49</v>
      </c>
      <c r="H40" s="5">
        <v>1</v>
      </c>
      <c r="I40" s="5">
        <v>1</v>
      </c>
      <c r="J40" s="8">
        <v>20000</v>
      </c>
      <c r="K40" s="8">
        <f t="shared" si="1"/>
        <v>20000</v>
      </c>
      <c r="L40" s="36" t="s">
        <v>111</v>
      </c>
      <c r="M40" s="18"/>
      <c r="N40" s="16"/>
    </row>
    <row r="41" spans="1:14" ht="24" customHeight="1">
      <c r="A41" s="7">
        <v>15</v>
      </c>
      <c r="B41" s="15" t="s">
        <v>38</v>
      </c>
      <c r="C41" s="19" t="s">
        <v>44</v>
      </c>
      <c r="D41" s="11" t="s">
        <v>45</v>
      </c>
      <c r="E41" s="15" t="s">
        <v>43</v>
      </c>
      <c r="F41" s="4">
        <v>21</v>
      </c>
      <c r="G41" s="4" t="s">
        <v>49</v>
      </c>
      <c r="H41" s="5">
        <v>1</v>
      </c>
      <c r="I41" s="5">
        <v>1</v>
      </c>
      <c r="J41" s="8">
        <v>31500</v>
      </c>
      <c r="K41" s="8">
        <f t="shared" si="1"/>
        <v>31500</v>
      </c>
      <c r="L41" s="36" t="s">
        <v>112</v>
      </c>
      <c r="M41" s="18"/>
      <c r="N41" s="16"/>
    </row>
    <row r="42" spans="1:14" ht="24" customHeight="1">
      <c r="A42" s="7">
        <v>16</v>
      </c>
      <c r="B42" s="15" t="s">
        <v>38</v>
      </c>
      <c r="C42" s="19" t="s">
        <v>46</v>
      </c>
      <c r="D42" s="11" t="s">
        <v>25</v>
      </c>
      <c r="E42" s="15" t="s">
        <v>43</v>
      </c>
      <c r="F42" s="4">
        <v>21</v>
      </c>
      <c r="G42" s="4" t="s">
        <v>49</v>
      </c>
      <c r="H42" s="5">
        <v>2</v>
      </c>
      <c r="I42" s="5">
        <v>2</v>
      </c>
      <c r="J42" s="8">
        <v>2500</v>
      </c>
      <c r="K42" s="8">
        <f t="shared" si="1"/>
        <v>5000</v>
      </c>
      <c r="L42" s="36" t="s">
        <v>113</v>
      </c>
      <c r="M42" s="6"/>
      <c r="N42" s="16"/>
    </row>
    <row r="43" spans="1:14" ht="24" customHeight="1">
      <c r="A43" s="7">
        <v>17</v>
      </c>
      <c r="B43" s="15" t="s">
        <v>38</v>
      </c>
      <c r="C43" s="19" t="s">
        <v>47</v>
      </c>
      <c r="D43" s="11" t="s">
        <v>27</v>
      </c>
      <c r="E43" s="15" t="s">
        <v>43</v>
      </c>
      <c r="F43" s="4">
        <v>21</v>
      </c>
      <c r="G43" s="4" t="s">
        <v>49</v>
      </c>
      <c r="H43" s="5">
        <v>5</v>
      </c>
      <c r="I43" s="5">
        <v>5</v>
      </c>
      <c r="J43" s="8">
        <v>2500</v>
      </c>
      <c r="K43" s="8">
        <f t="shared" si="1"/>
        <v>12500</v>
      </c>
      <c r="L43" s="36" t="s">
        <v>113</v>
      </c>
      <c r="M43" s="6"/>
      <c r="N43" s="16"/>
    </row>
    <row r="44" spans="1:14" ht="24" customHeight="1">
      <c r="A44" s="7">
        <v>18</v>
      </c>
      <c r="B44" s="24" t="s">
        <v>38</v>
      </c>
      <c r="C44" s="13" t="s">
        <v>48</v>
      </c>
      <c r="D44" s="12" t="s">
        <v>29</v>
      </c>
      <c r="E44" s="10" t="s">
        <v>43</v>
      </c>
      <c r="F44" s="4">
        <v>21</v>
      </c>
      <c r="G44" s="4" t="s">
        <v>49</v>
      </c>
      <c r="H44" s="5">
        <v>5</v>
      </c>
      <c r="I44" s="5">
        <v>5</v>
      </c>
      <c r="J44" s="14">
        <v>1200</v>
      </c>
      <c r="K44" s="8">
        <f t="shared" si="1"/>
        <v>6000</v>
      </c>
      <c r="L44" s="37" t="s">
        <v>108</v>
      </c>
      <c r="M44" s="6"/>
    </row>
    <row r="45" spans="1:14" ht="24" customHeight="1">
      <c r="A45" s="7">
        <v>19</v>
      </c>
      <c r="B45" s="15">
        <v>2544</v>
      </c>
      <c r="C45" s="3" t="s">
        <v>50</v>
      </c>
      <c r="D45" s="3" t="s">
        <v>51</v>
      </c>
      <c r="E45" s="15" t="s">
        <v>52</v>
      </c>
      <c r="F45" s="4">
        <v>20</v>
      </c>
      <c r="G45" s="4" t="s">
        <v>49</v>
      </c>
      <c r="H45" s="5">
        <v>1</v>
      </c>
      <c r="I45" s="5">
        <v>1</v>
      </c>
      <c r="J45" s="31">
        <v>31850</v>
      </c>
      <c r="K45" s="8">
        <f t="shared" si="1"/>
        <v>31850</v>
      </c>
      <c r="L45" s="37" t="s">
        <v>114</v>
      </c>
    </row>
    <row r="46" spans="1:14" ht="24" customHeight="1">
      <c r="A46" s="7">
        <v>20</v>
      </c>
      <c r="B46" s="15">
        <v>2546</v>
      </c>
      <c r="C46" s="3" t="s">
        <v>53</v>
      </c>
      <c r="D46" s="3" t="s">
        <v>21</v>
      </c>
      <c r="E46" s="15" t="s">
        <v>52</v>
      </c>
      <c r="F46" s="4">
        <v>18</v>
      </c>
      <c r="G46" s="4" t="s">
        <v>49</v>
      </c>
      <c r="H46" s="5">
        <v>21</v>
      </c>
      <c r="I46" s="5">
        <v>21</v>
      </c>
      <c r="J46" s="31">
        <v>24285.71</v>
      </c>
      <c r="K46" s="8">
        <f t="shared" si="1"/>
        <v>509999.91</v>
      </c>
      <c r="L46" s="36" t="s">
        <v>104</v>
      </c>
    </row>
    <row r="47" spans="1:14" ht="24" customHeight="1" thickBot="1">
      <c r="A47" s="46"/>
      <c r="B47" s="47"/>
      <c r="C47" s="55"/>
      <c r="D47" s="55"/>
      <c r="E47" s="47"/>
      <c r="F47" s="50"/>
      <c r="G47" s="50"/>
      <c r="H47" s="51"/>
      <c r="I47" s="51"/>
      <c r="J47" s="60" t="s">
        <v>130</v>
      </c>
      <c r="K47" s="64">
        <f>SUM(K36:K46)</f>
        <v>1451849.91</v>
      </c>
      <c r="L47" s="52"/>
    </row>
    <row r="48" spans="1:14" s="6" customFormat="1" ht="24" customHeight="1" thickTop="1">
      <c r="A48" s="39"/>
      <c r="B48" s="35" t="s">
        <v>2</v>
      </c>
      <c r="C48" s="40" t="s">
        <v>15</v>
      </c>
      <c r="D48" s="41"/>
      <c r="E48" s="42"/>
      <c r="F48" s="42"/>
      <c r="G48" s="42"/>
      <c r="H48" s="43"/>
      <c r="I48" s="43"/>
      <c r="J48" s="44"/>
      <c r="K48" s="44"/>
      <c r="L48" s="45"/>
    </row>
    <row r="49" spans="1:12" s="6" customFormat="1" ht="24" customHeight="1">
      <c r="A49" s="39"/>
      <c r="B49" s="35"/>
      <c r="C49" s="40" t="s">
        <v>16</v>
      </c>
      <c r="D49" s="41"/>
      <c r="E49" s="42"/>
      <c r="F49" s="42"/>
      <c r="G49" s="42"/>
      <c r="H49" s="43"/>
      <c r="I49" s="43"/>
      <c r="J49" s="44"/>
      <c r="K49" s="44"/>
      <c r="L49" s="45"/>
    </row>
    <row r="50" spans="1:12" s="6" customFormat="1" ht="24" customHeight="1">
      <c r="A50" s="39"/>
      <c r="B50" s="35"/>
      <c r="C50" s="40"/>
      <c r="D50" s="41"/>
      <c r="E50" s="42"/>
      <c r="F50" s="42"/>
      <c r="G50" s="61" t="s">
        <v>125</v>
      </c>
      <c r="H50" s="71" t="s">
        <v>126</v>
      </c>
      <c r="I50" s="71"/>
      <c r="J50" s="71"/>
      <c r="K50" s="65" t="s">
        <v>127</v>
      </c>
      <c r="L50" s="45"/>
    </row>
    <row r="51" spans="1:12" s="6" customFormat="1" ht="24" customHeight="1">
      <c r="A51" s="39"/>
      <c r="B51" s="35"/>
      <c r="C51" s="40"/>
      <c r="D51" s="41"/>
      <c r="E51" s="42"/>
      <c r="F51" s="42"/>
      <c r="G51" s="61"/>
      <c r="H51" s="71" t="s">
        <v>131</v>
      </c>
      <c r="I51" s="71"/>
      <c r="J51" s="71"/>
      <c r="K51" s="65"/>
      <c r="L51" s="45"/>
    </row>
    <row r="52" spans="1:12" s="6" customFormat="1" ht="34.5" customHeight="1">
      <c r="A52" s="39"/>
      <c r="B52" s="35"/>
      <c r="C52" s="40"/>
      <c r="D52" s="41"/>
      <c r="E52" s="42"/>
      <c r="F52" s="42"/>
      <c r="G52" s="61" t="s">
        <v>125</v>
      </c>
      <c r="H52" s="71" t="s">
        <v>126</v>
      </c>
      <c r="I52" s="71"/>
      <c r="J52" s="71"/>
      <c r="K52" s="65" t="s">
        <v>128</v>
      </c>
      <c r="L52" s="45"/>
    </row>
    <row r="53" spans="1:12" s="6" customFormat="1" ht="24" customHeight="1">
      <c r="A53" s="39"/>
      <c r="B53" s="35"/>
      <c r="C53" s="40"/>
      <c r="D53" s="41"/>
      <c r="E53" s="42"/>
      <c r="F53" s="42"/>
      <c r="G53" s="61"/>
      <c r="H53" s="71" t="s">
        <v>132</v>
      </c>
      <c r="I53" s="71"/>
      <c r="J53" s="71"/>
      <c r="K53" s="65"/>
      <c r="L53" s="45"/>
    </row>
    <row r="54" spans="1:12" s="6" customFormat="1" ht="40.5" customHeight="1">
      <c r="A54" s="39"/>
      <c r="B54" s="35"/>
      <c r="C54" s="40"/>
      <c r="D54" s="41"/>
      <c r="E54" s="42"/>
      <c r="F54" s="42"/>
      <c r="G54" s="61" t="s">
        <v>125</v>
      </c>
      <c r="H54" s="71" t="s">
        <v>126</v>
      </c>
      <c r="I54" s="71"/>
      <c r="J54" s="71"/>
      <c r="K54" s="65" t="s">
        <v>129</v>
      </c>
      <c r="L54" s="45"/>
    </row>
    <row r="55" spans="1:12" s="6" customFormat="1" ht="24" customHeight="1">
      <c r="A55" s="39"/>
      <c r="B55" s="35"/>
      <c r="C55" s="40"/>
      <c r="D55" s="41"/>
      <c r="E55" s="42"/>
      <c r="F55" s="42"/>
      <c r="G55" s="42"/>
      <c r="H55" s="71" t="s">
        <v>133</v>
      </c>
      <c r="I55" s="71"/>
      <c r="J55" s="71"/>
      <c r="K55" s="44"/>
      <c r="L55" s="45"/>
    </row>
    <row r="56" spans="1:12" s="6" customFormat="1" ht="24" customHeight="1">
      <c r="A56" s="39"/>
      <c r="B56" s="35"/>
      <c r="C56" s="53"/>
      <c r="D56" s="53"/>
      <c r="E56" s="35"/>
      <c r="F56" s="42"/>
      <c r="G56" s="42"/>
      <c r="H56" s="43"/>
      <c r="I56" s="43"/>
      <c r="J56" s="54"/>
      <c r="K56" s="54"/>
      <c r="L56" s="45"/>
    </row>
    <row r="57" spans="1:12" s="6" customFormat="1" ht="24" customHeight="1">
      <c r="A57" s="39"/>
      <c r="B57" s="35"/>
      <c r="C57" s="53"/>
      <c r="D57" s="53"/>
      <c r="E57" s="35"/>
      <c r="F57" s="42"/>
      <c r="G57" s="42"/>
      <c r="H57" s="43"/>
      <c r="I57" s="43"/>
      <c r="J57" s="54"/>
      <c r="K57" s="54"/>
      <c r="L57" s="45"/>
    </row>
    <row r="58" spans="1:12" s="6" customFormat="1" ht="24" customHeight="1">
      <c r="A58" s="39"/>
      <c r="B58" s="35"/>
      <c r="C58" s="53"/>
      <c r="D58" s="53"/>
      <c r="E58" s="35"/>
      <c r="F58" s="42"/>
      <c r="G58" s="42"/>
      <c r="H58" s="43"/>
      <c r="I58" s="43"/>
      <c r="J58" s="54"/>
      <c r="K58" s="54"/>
      <c r="L58" s="45"/>
    </row>
    <row r="59" spans="1:12" ht="24" customHeight="1">
      <c r="L59" s="22" t="s">
        <v>122</v>
      </c>
    </row>
    <row r="60" spans="1:12" ht="24" customHeight="1">
      <c r="A60" s="72" t="s">
        <v>5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1:12" ht="24" customHeight="1">
      <c r="A61" s="73" t="s">
        <v>18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</row>
    <row r="62" spans="1:12" ht="24" customHeight="1">
      <c r="A62" s="74" t="s">
        <v>119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</row>
    <row r="63" spans="1:12" ht="24" customHeight="1">
      <c r="A63" s="75" t="s">
        <v>6</v>
      </c>
      <c r="B63" s="75" t="s">
        <v>17</v>
      </c>
      <c r="C63" s="75" t="s">
        <v>14</v>
      </c>
      <c r="D63" s="77" t="s">
        <v>0</v>
      </c>
      <c r="E63" s="75" t="s">
        <v>9</v>
      </c>
      <c r="F63" s="75" t="s">
        <v>8</v>
      </c>
      <c r="G63" s="75" t="s">
        <v>10</v>
      </c>
      <c r="H63" s="79" t="s">
        <v>1</v>
      </c>
      <c r="I63" s="80"/>
      <c r="J63" s="75" t="s">
        <v>13</v>
      </c>
      <c r="K63" s="75" t="s">
        <v>7</v>
      </c>
      <c r="L63" s="75" t="s">
        <v>12</v>
      </c>
    </row>
    <row r="64" spans="1:12" ht="47.25" customHeight="1">
      <c r="A64" s="76"/>
      <c r="B64" s="76"/>
      <c r="C64" s="76"/>
      <c r="D64" s="78"/>
      <c r="E64" s="76"/>
      <c r="F64" s="76"/>
      <c r="G64" s="76"/>
      <c r="H64" s="26" t="s">
        <v>11</v>
      </c>
      <c r="I64" s="27" t="s">
        <v>3</v>
      </c>
      <c r="J64" s="76"/>
      <c r="K64" s="76"/>
      <c r="L64" s="76"/>
    </row>
    <row r="65" spans="1:12" ht="24" customHeight="1">
      <c r="A65" s="7"/>
      <c r="B65" s="15"/>
      <c r="C65" s="3"/>
      <c r="D65" s="3"/>
      <c r="E65" s="15"/>
      <c r="F65" s="4"/>
      <c r="G65" s="4"/>
      <c r="H65" s="5"/>
      <c r="I65" s="5"/>
      <c r="J65" s="63" t="s">
        <v>135</v>
      </c>
      <c r="K65" s="63">
        <f>SUM(K47)</f>
        <v>1451849.91</v>
      </c>
      <c r="L65" s="36"/>
    </row>
    <row r="66" spans="1:12" ht="24" customHeight="1">
      <c r="A66" s="7">
        <v>21</v>
      </c>
      <c r="B66" s="15">
        <v>2546</v>
      </c>
      <c r="C66" s="3" t="s">
        <v>54</v>
      </c>
      <c r="D66" s="3" t="s">
        <v>21</v>
      </c>
      <c r="E66" s="15" t="s">
        <v>43</v>
      </c>
      <c r="F66" s="4">
        <v>18</v>
      </c>
      <c r="G66" s="4" t="s">
        <v>49</v>
      </c>
      <c r="H66" s="5">
        <v>7</v>
      </c>
      <c r="I66" s="5">
        <v>7</v>
      </c>
      <c r="J66" s="31">
        <v>11862.85</v>
      </c>
      <c r="K66" s="31">
        <f>SUM(I66*J66)</f>
        <v>83039.95</v>
      </c>
      <c r="L66" s="36" t="s">
        <v>104</v>
      </c>
    </row>
    <row r="67" spans="1:12" ht="24" customHeight="1">
      <c r="A67" s="7">
        <v>22</v>
      </c>
      <c r="B67" s="15">
        <v>2546</v>
      </c>
      <c r="C67" s="3" t="s">
        <v>55</v>
      </c>
      <c r="D67" s="3" t="s">
        <v>21</v>
      </c>
      <c r="E67" s="15" t="s">
        <v>43</v>
      </c>
      <c r="F67" s="4">
        <v>18</v>
      </c>
      <c r="G67" s="4" t="s">
        <v>49</v>
      </c>
      <c r="H67" s="5">
        <v>7</v>
      </c>
      <c r="I67" s="5">
        <v>7</v>
      </c>
      <c r="J67" s="31">
        <v>15500</v>
      </c>
      <c r="K67" s="31">
        <f t="shared" ref="K67:K75" si="2">SUM(I67*J67)</f>
        <v>108500</v>
      </c>
      <c r="L67" s="36" t="s">
        <v>104</v>
      </c>
    </row>
    <row r="68" spans="1:12" ht="24" customHeight="1">
      <c r="A68" s="7">
        <v>23</v>
      </c>
      <c r="B68" s="15">
        <v>2546</v>
      </c>
      <c r="C68" s="3" t="s">
        <v>56</v>
      </c>
      <c r="D68" s="3" t="s">
        <v>57</v>
      </c>
      <c r="E68" s="15" t="s">
        <v>52</v>
      </c>
      <c r="F68" s="4">
        <v>18</v>
      </c>
      <c r="G68" s="4" t="s">
        <v>49</v>
      </c>
      <c r="H68" s="5">
        <v>1</v>
      </c>
      <c r="I68" s="5">
        <v>1</v>
      </c>
      <c r="J68" s="31">
        <v>9900</v>
      </c>
      <c r="K68" s="31">
        <f t="shared" si="2"/>
        <v>9900</v>
      </c>
      <c r="L68" s="36" t="s">
        <v>111</v>
      </c>
    </row>
    <row r="69" spans="1:12" ht="24" customHeight="1">
      <c r="A69" s="7">
        <v>24</v>
      </c>
      <c r="B69" s="15">
        <v>2548</v>
      </c>
      <c r="C69" s="3" t="s">
        <v>58</v>
      </c>
      <c r="D69" s="3" t="s">
        <v>21</v>
      </c>
      <c r="E69" s="15" t="s">
        <v>52</v>
      </c>
      <c r="F69" s="4">
        <v>16</v>
      </c>
      <c r="G69" s="4" t="s">
        <v>49</v>
      </c>
      <c r="H69" s="5">
        <v>5</v>
      </c>
      <c r="I69" s="5">
        <v>5</v>
      </c>
      <c r="J69" s="31">
        <v>16000</v>
      </c>
      <c r="K69" s="31">
        <f t="shared" si="2"/>
        <v>80000</v>
      </c>
      <c r="L69" s="36" t="s">
        <v>104</v>
      </c>
    </row>
    <row r="70" spans="1:12" ht="24" customHeight="1">
      <c r="A70" s="7">
        <v>25</v>
      </c>
      <c r="B70" s="15">
        <v>2548</v>
      </c>
      <c r="C70" s="3" t="s">
        <v>59</v>
      </c>
      <c r="D70" s="3" t="s">
        <v>21</v>
      </c>
      <c r="E70" s="15" t="s">
        <v>52</v>
      </c>
      <c r="F70" s="4">
        <v>16</v>
      </c>
      <c r="G70" s="4" t="s">
        <v>49</v>
      </c>
      <c r="H70" s="5">
        <v>4</v>
      </c>
      <c r="I70" s="5">
        <v>4</v>
      </c>
      <c r="J70" s="31">
        <v>16000</v>
      </c>
      <c r="K70" s="31">
        <f t="shared" si="2"/>
        <v>64000</v>
      </c>
      <c r="L70" s="36" t="s">
        <v>104</v>
      </c>
    </row>
    <row r="71" spans="1:12" ht="24" customHeight="1">
      <c r="A71" s="7">
        <v>26</v>
      </c>
      <c r="B71" s="15">
        <v>2548</v>
      </c>
      <c r="C71" s="3" t="s">
        <v>60</v>
      </c>
      <c r="D71" s="3" t="s">
        <v>21</v>
      </c>
      <c r="E71" s="15" t="s">
        <v>52</v>
      </c>
      <c r="F71" s="4">
        <v>16</v>
      </c>
      <c r="G71" s="4" t="s">
        <v>49</v>
      </c>
      <c r="H71" s="5">
        <v>4</v>
      </c>
      <c r="I71" s="5">
        <v>4</v>
      </c>
      <c r="J71" s="31">
        <v>16000</v>
      </c>
      <c r="K71" s="31">
        <f t="shared" si="2"/>
        <v>64000</v>
      </c>
      <c r="L71" s="36" t="s">
        <v>104</v>
      </c>
    </row>
    <row r="72" spans="1:12" ht="24" customHeight="1">
      <c r="A72" s="7">
        <v>27</v>
      </c>
      <c r="B72" s="15">
        <v>2548</v>
      </c>
      <c r="C72" s="3" t="s">
        <v>61</v>
      </c>
      <c r="D72" s="3" t="s">
        <v>62</v>
      </c>
      <c r="E72" s="15" t="s">
        <v>52</v>
      </c>
      <c r="F72" s="4">
        <v>16</v>
      </c>
      <c r="G72" s="4" t="s">
        <v>49</v>
      </c>
      <c r="H72" s="5">
        <v>1</v>
      </c>
      <c r="I72" s="5">
        <v>1</v>
      </c>
      <c r="J72" s="31">
        <v>6600</v>
      </c>
      <c r="K72" s="31">
        <f t="shared" si="2"/>
        <v>6600</v>
      </c>
      <c r="L72" s="36" t="s">
        <v>111</v>
      </c>
    </row>
    <row r="73" spans="1:12" ht="24" customHeight="1">
      <c r="A73" s="7">
        <v>28</v>
      </c>
      <c r="B73" s="15">
        <v>2548</v>
      </c>
      <c r="C73" s="3" t="s">
        <v>63</v>
      </c>
      <c r="D73" s="3" t="s">
        <v>64</v>
      </c>
      <c r="E73" s="15" t="s">
        <v>52</v>
      </c>
      <c r="F73" s="4">
        <v>16</v>
      </c>
      <c r="G73" s="4" t="s">
        <v>49</v>
      </c>
      <c r="H73" s="5">
        <v>3</v>
      </c>
      <c r="I73" s="5">
        <v>3</v>
      </c>
      <c r="J73" s="31">
        <v>1100</v>
      </c>
      <c r="K73" s="31">
        <f t="shared" si="2"/>
        <v>3300</v>
      </c>
      <c r="L73" s="37" t="s">
        <v>73</v>
      </c>
    </row>
    <row r="74" spans="1:12" ht="24" customHeight="1">
      <c r="A74" s="7">
        <v>29</v>
      </c>
      <c r="B74" s="15">
        <v>2548</v>
      </c>
      <c r="C74" s="3" t="s">
        <v>65</v>
      </c>
      <c r="D74" s="30" t="s">
        <v>66</v>
      </c>
      <c r="E74" s="15" t="s">
        <v>52</v>
      </c>
      <c r="F74" s="4">
        <v>16</v>
      </c>
      <c r="G74" s="4" t="s">
        <v>49</v>
      </c>
      <c r="H74" s="5">
        <v>6</v>
      </c>
      <c r="I74" s="5">
        <v>6</v>
      </c>
      <c r="J74" s="8">
        <v>1200</v>
      </c>
      <c r="K74" s="31">
        <f t="shared" si="2"/>
        <v>7200</v>
      </c>
      <c r="L74" s="37" t="s">
        <v>115</v>
      </c>
    </row>
    <row r="75" spans="1:12" ht="24" customHeight="1">
      <c r="A75" s="7">
        <v>30</v>
      </c>
      <c r="B75" s="15">
        <v>2548</v>
      </c>
      <c r="C75" s="3" t="s">
        <v>67</v>
      </c>
      <c r="D75" s="3" t="s">
        <v>68</v>
      </c>
      <c r="E75" s="15" t="s">
        <v>52</v>
      </c>
      <c r="F75" s="4">
        <v>16</v>
      </c>
      <c r="G75" s="4" t="s">
        <v>49</v>
      </c>
      <c r="H75" s="5">
        <v>1</v>
      </c>
      <c r="I75" s="5">
        <v>1</v>
      </c>
      <c r="J75" s="31">
        <v>79000</v>
      </c>
      <c r="K75" s="31">
        <f t="shared" si="2"/>
        <v>79000</v>
      </c>
      <c r="L75" s="36" t="s">
        <v>104</v>
      </c>
    </row>
    <row r="76" spans="1:12" ht="24" customHeight="1" thickBot="1">
      <c r="A76" s="46"/>
      <c r="B76" s="47"/>
      <c r="C76" s="55"/>
      <c r="D76" s="55"/>
      <c r="E76" s="47"/>
      <c r="F76" s="50"/>
      <c r="G76" s="50"/>
      <c r="H76" s="51"/>
      <c r="I76" s="51"/>
      <c r="J76" s="60" t="s">
        <v>130</v>
      </c>
      <c r="K76" s="64">
        <f>SUM(K65:K75)</f>
        <v>1957389.8599999999</v>
      </c>
      <c r="L76" s="52"/>
    </row>
    <row r="77" spans="1:12" s="6" customFormat="1" ht="24" customHeight="1" thickTop="1">
      <c r="A77" s="39"/>
      <c r="B77" s="35" t="s">
        <v>2</v>
      </c>
      <c r="C77" s="40" t="s">
        <v>15</v>
      </c>
      <c r="D77" s="41"/>
      <c r="E77" s="42"/>
      <c r="F77" s="42"/>
      <c r="G77" s="42"/>
      <c r="H77" s="43"/>
      <c r="I77" s="43"/>
      <c r="J77" s="44"/>
      <c r="K77" s="44"/>
      <c r="L77" s="45"/>
    </row>
    <row r="78" spans="1:12" s="6" customFormat="1" ht="24" customHeight="1">
      <c r="A78" s="39"/>
      <c r="B78" s="35"/>
      <c r="C78" s="40" t="s">
        <v>16</v>
      </c>
      <c r="D78" s="41"/>
      <c r="E78" s="42"/>
      <c r="F78" s="42"/>
      <c r="G78" s="42"/>
      <c r="H78" s="43"/>
      <c r="I78" s="43"/>
      <c r="J78" s="44"/>
      <c r="K78" s="44"/>
      <c r="L78" s="45"/>
    </row>
    <row r="79" spans="1:12" s="6" customFormat="1" ht="24" customHeight="1">
      <c r="A79" s="39"/>
      <c r="B79" s="35"/>
      <c r="C79" s="40"/>
      <c r="D79" s="41"/>
      <c r="E79" s="42"/>
      <c r="F79" s="42"/>
      <c r="G79" s="61" t="s">
        <v>125</v>
      </c>
      <c r="H79" s="71" t="s">
        <v>126</v>
      </c>
      <c r="I79" s="71"/>
      <c r="J79" s="71"/>
      <c r="K79" s="62" t="s">
        <v>127</v>
      </c>
      <c r="L79" s="45"/>
    </row>
    <row r="80" spans="1:12" s="6" customFormat="1" ht="24" customHeight="1">
      <c r="A80" s="39"/>
      <c r="B80" s="35"/>
      <c r="C80" s="40"/>
      <c r="D80" s="41"/>
      <c r="E80" s="42"/>
      <c r="F80" s="42"/>
      <c r="G80" s="61"/>
      <c r="H80" s="71" t="s">
        <v>131</v>
      </c>
      <c r="I80" s="71"/>
      <c r="J80" s="71"/>
      <c r="K80" s="62"/>
      <c r="L80" s="45"/>
    </row>
    <row r="81" spans="1:12" s="6" customFormat="1" ht="38.25" customHeight="1">
      <c r="A81" s="39"/>
      <c r="B81" s="35"/>
      <c r="C81" s="40"/>
      <c r="D81" s="41"/>
      <c r="E81" s="42"/>
      <c r="F81" s="42"/>
      <c r="G81" s="61" t="s">
        <v>125</v>
      </c>
      <c r="H81" s="71" t="s">
        <v>126</v>
      </c>
      <c r="I81" s="71"/>
      <c r="J81" s="71"/>
      <c r="K81" s="62" t="s">
        <v>128</v>
      </c>
      <c r="L81" s="45"/>
    </row>
    <row r="82" spans="1:12" s="6" customFormat="1" ht="24" customHeight="1">
      <c r="A82" s="39"/>
      <c r="B82" s="35"/>
      <c r="C82" s="40"/>
      <c r="D82" s="41"/>
      <c r="E82" s="42"/>
      <c r="F82" s="42"/>
      <c r="G82" s="61"/>
      <c r="H82" s="71" t="s">
        <v>132</v>
      </c>
      <c r="I82" s="71"/>
      <c r="J82" s="71"/>
      <c r="K82" s="62"/>
      <c r="L82" s="45"/>
    </row>
    <row r="83" spans="1:12" s="6" customFormat="1" ht="37.5" customHeight="1">
      <c r="A83" s="39"/>
      <c r="B83" s="35"/>
      <c r="C83" s="40"/>
      <c r="D83" s="41"/>
      <c r="E83" s="42"/>
      <c r="F83" s="42"/>
      <c r="G83" s="61" t="s">
        <v>125</v>
      </c>
      <c r="H83" s="71" t="s">
        <v>126</v>
      </c>
      <c r="I83" s="71"/>
      <c r="J83" s="71"/>
      <c r="K83" s="62" t="s">
        <v>129</v>
      </c>
      <c r="L83" s="45"/>
    </row>
    <row r="84" spans="1:12" s="6" customFormat="1" ht="24" customHeight="1">
      <c r="A84" s="39"/>
      <c r="B84" s="35"/>
      <c r="C84" s="40"/>
      <c r="D84" s="41"/>
      <c r="E84" s="42"/>
      <c r="F84" s="42"/>
      <c r="G84" s="42"/>
      <c r="H84" s="71" t="s">
        <v>133</v>
      </c>
      <c r="I84" s="71"/>
      <c r="J84" s="71"/>
      <c r="K84" s="44"/>
      <c r="L84" s="45"/>
    </row>
    <row r="85" spans="1:12" s="6" customFormat="1" ht="24" customHeight="1">
      <c r="A85" s="39"/>
      <c r="B85" s="35"/>
      <c r="C85" s="53"/>
      <c r="D85" s="53"/>
      <c r="E85" s="35"/>
      <c r="F85" s="42"/>
      <c r="G85" s="42"/>
      <c r="H85" s="43"/>
      <c r="I85" s="43"/>
      <c r="J85" s="54"/>
      <c r="K85" s="54"/>
      <c r="L85" s="45"/>
    </row>
    <row r="86" spans="1:12" s="6" customFormat="1" ht="24" customHeight="1">
      <c r="A86" s="39"/>
      <c r="B86" s="35"/>
      <c r="C86" s="53"/>
      <c r="D86" s="53"/>
      <c r="E86" s="35"/>
      <c r="F86" s="42"/>
      <c r="G86" s="42"/>
      <c r="H86" s="43"/>
      <c r="I86" s="43"/>
      <c r="J86" s="54"/>
      <c r="K86" s="54"/>
      <c r="L86" s="45"/>
    </row>
    <row r="87" spans="1:12" s="6" customFormat="1" ht="24" customHeight="1">
      <c r="A87" s="39"/>
      <c r="B87" s="35"/>
      <c r="C87" s="53"/>
      <c r="D87" s="53"/>
      <c r="E87" s="35"/>
      <c r="F87" s="42"/>
      <c r="G87" s="42"/>
      <c r="H87" s="43"/>
      <c r="I87" s="43"/>
      <c r="J87" s="54"/>
      <c r="K87" s="54"/>
      <c r="L87" s="45"/>
    </row>
    <row r="88" spans="1:12" ht="24" customHeight="1">
      <c r="L88" s="22" t="s">
        <v>123</v>
      </c>
    </row>
    <row r="89" spans="1:12" ht="24" customHeight="1">
      <c r="A89" s="72" t="s">
        <v>5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1:12" ht="24" customHeight="1">
      <c r="A90" s="73" t="s">
        <v>18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1:12" ht="24" customHeight="1">
      <c r="A91" s="74" t="s">
        <v>119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</row>
    <row r="92" spans="1:12" ht="24" customHeight="1">
      <c r="A92" s="75" t="s">
        <v>6</v>
      </c>
      <c r="B92" s="75" t="s">
        <v>17</v>
      </c>
      <c r="C92" s="75" t="s">
        <v>14</v>
      </c>
      <c r="D92" s="77" t="s">
        <v>0</v>
      </c>
      <c r="E92" s="75" t="s">
        <v>9</v>
      </c>
      <c r="F92" s="75" t="s">
        <v>8</v>
      </c>
      <c r="G92" s="75" t="s">
        <v>10</v>
      </c>
      <c r="H92" s="79" t="s">
        <v>1</v>
      </c>
      <c r="I92" s="80"/>
      <c r="J92" s="75" t="s">
        <v>13</v>
      </c>
      <c r="K92" s="75" t="s">
        <v>7</v>
      </c>
      <c r="L92" s="75" t="s">
        <v>12</v>
      </c>
    </row>
    <row r="93" spans="1:12" ht="48" customHeight="1">
      <c r="A93" s="76"/>
      <c r="B93" s="76"/>
      <c r="C93" s="76"/>
      <c r="D93" s="78"/>
      <c r="E93" s="76"/>
      <c r="F93" s="76"/>
      <c r="G93" s="76"/>
      <c r="H93" s="26" t="s">
        <v>11</v>
      </c>
      <c r="I93" s="27" t="s">
        <v>3</v>
      </c>
      <c r="J93" s="76"/>
      <c r="K93" s="76"/>
      <c r="L93" s="76"/>
    </row>
    <row r="94" spans="1:12" ht="24" customHeight="1">
      <c r="A94" s="7"/>
      <c r="B94" s="15"/>
      <c r="C94" s="3"/>
      <c r="D94" s="3"/>
      <c r="E94" s="15"/>
      <c r="F94" s="4"/>
      <c r="G94" s="4"/>
      <c r="H94" s="5"/>
      <c r="I94" s="5"/>
      <c r="J94" s="63" t="s">
        <v>134</v>
      </c>
      <c r="K94" s="63">
        <f>SUM(K76)</f>
        <v>1957389.8599999999</v>
      </c>
      <c r="L94" s="36"/>
    </row>
    <row r="95" spans="1:12" ht="24" customHeight="1">
      <c r="A95" s="7">
        <v>31</v>
      </c>
      <c r="B95" s="15">
        <v>2548</v>
      </c>
      <c r="C95" s="3" t="s">
        <v>69</v>
      </c>
      <c r="D95" s="3" t="s">
        <v>70</v>
      </c>
      <c r="E95" s="15" t="s">
        <v>52</v>
      </c>
      <c r="F95" s="4">
        <v>16</v>
      </c>
      <c r="G95" s="4" t="s">
        <v>49</v>
      </c>
      <c r="H95" s="5">
        <v>1</v>
      </c>
      <c r="I95" s="5">
        <v>1</v>
      </c>
      <c r="J95" s="31">
        <v>9200</v>
      </c>
      <c r="K95" s="31">
        <f>SUM(I95*J95)</f>
        <v>9200</v>
      </c>
      <c r="L95" s="36" t="s">
        <v>105</v>
      </c>
    </row>
    <row r="96" spans="1:12" ht="24" customHeight="1">
      <c r="A96" s="7">
        <v>32</v>
      </c>
      <c r="B96" s="15">
        <v>2548</v>
      </c>
      <c r="C96" s="3" t="s">
        <v>71</v>
      </c>
      <c r="D96" s="3" t="s">
        <v>72</v>
      </c>
      <c r="E96" s="15" t="s">
        <v>52</v>
      </c>
      <c r="F96" s="4">
        <v>16</v>
      </c>
      <c r="G96" s="4" t="s">
        <v>49</v>
      </c>
      <c r="H96" s="5">
        <v>1</v>
      </c>
      <c r="I96" s="5">
        <v>1</v>
      </c>
      <c r="J96" s="31">
        <v>5900</v>
      </c>
      <c r="K96" s="31">
        <f t="shared" ref="K96:K104" si="3">SUM(I96*J96)</f>
        <v>5900</v>
      </c>
      <c r="L96" s="36" t="s">
        <v>105</v>
      </c>
    </row>
    <row r="97" spans="1:12" ht="24" customHeight="1">
      <c r="A97" s="7">
        <v>33</v>
      </c>
      <c r="B97" s="15">
        <v>2548</v>
      </c>
      <c r="C97" s="3" t="s">
        <v>74</v>
      </c>
      <c r="D97" s="3" t="s">
        <v>75</v>
      </c>
      <c r="E97" s="15" t="s">
        <v>52</v>
      </c>
      <c r="F97" s="5">
        <v>16</v>
      </c>
      <c r="G97" s="4" t="s">
        <v>49</v>
      </c>
      <c r="H97" s="5">
        <v>1</v>
      </c>
      <c r="I97" s="5">
        <v>1</v>
      </c>
      <c r="J97" s="33">
        <v>40700</v>
      </c>
      <c r="K97" s="31">
        <f t="shared" si="3"/>
        <v>40700</v>
      </c>
      <c r="L97" s="36" t="s">
        <v>104</v>
      </c>
    </row>
    <row r="98" spans="1:12" ht="24" customHeight="1">
      <c r="A98" s="7">
        <v>34</v>
      </c>
      <c r="B98" s="32" t="s">
        <v>76</v>
      </c>
      <c r="C98" s="3" t="s">
        <v>77</v>
      </c>
      <c r="D98" s="3" t="s">
        <v>21</v>
      </c>
      <c r="E98" s="4" t="s">
        <v>78</v>
      </c>
      <c r="F98" s="5">
        <v>15</v>
      </c>
      <c r="G98" s="4" t="s">
        <v>49</v>
      </c>
      <c r="H98" s="5">
        <v>10</v>
      </c>
      <c r="I98" s="5">
        <v>10</v>
      </c>
      <c r="J98" s="31">
        <v>11730</v>
      </c>
      <c r="K98" s="31">
        <f t="shared" si="3"/>
        <v>117300</v>
      </c>
      <c r="L98" s="36" t="s">
        <v>104</v>
      </c>
    </row>
    <row r="99" spans="1:12" ht="24" customHeight="1">
      <c r="A99" s="7">
        <v>35</v>
      </c>
      <c r="B99" s="32" t="s">
        <v>76</v>
      </c>
      <c r="C99" s="3" t="s">
        <v>79</v>
      </c>
      <c r="D99" s="3" t="s">
        <v>21</v>
      </c>
      <c r="E99" s="4" t="s">
        <v>78</v>
      </c>
      <c r="F99" s="5">
        <v>15</v>
      </c>
      <c r="G99" s="4" t="s">
        <v>49</v>
      </c>
      <c r="H99" s="5">
        <v>10</v>
      </c>
      <c r="I99" s="5">
        <v>10</v>
      </c>
      <c r="J99" s="31">
        <v>11730</v>
      </c>
      <c r="K99" s="31">
        <f t="shared" si="3"/>
        <v>117300</v>
      </c>
      <c r="L99" s="36" t="s">
        <v>104</v>
      </c>
    </row>
    <row r="100" spans="1:12" ht="24" customHeight="1">
      <c r="A100" s="7">
        <v>36</v>
      </c>
      <c r="B100" s="15" t="s">
        <v>76</v>
      </c>
      <c r="C100" s="19" t="s">
        <v>80</v>
      </c>
      <c r="D100" s="11" t="s">
        <v>81</v>
      </c>
      <c r="E100" s="4" t="s">
        <v>52</v>
      </c>
      <c r="F100" s="4">
        <v>15</v>
      </c>
      <c r="G100" s="4" t="s">
        <v>49</v>
      </c>
      <c r="H100" s="9">
        <v>1</v>
      </c>
      <c r="I100" s="9">
        <v>1</v>
      </c>
      <c r="J100" s="31">
        <v>695.5</v>
      </c>
      <c r="K100" s="31">
        <f t="shared" si="3"/>
        <v>695.5</v>
      </c>
      <c r="L100" s="36" t="s">
        <v>116</v>
      </c>
    </row>
    <row r="101" spans="1:12" ht="24" customHeight="1">
      <c r="A101" s="7">
        <v>37</v>
      </c>
      <c r="B101" s="15" t="s">
        <v>82</v>
      </c>
      <c r="C101" s="19" t="s">
        <v>83</v>
      </c>
      <c r="D101" s="11" t="s">
        <v>84</v>
      </c>
      <c r="E101" s="4" t="s">
        <v>52</v>
      </c>
      <c r="F101" s="4">
        <v>14</v>
      </c>
      <c r="G101" s="4" t="s">
        <v>49</v>
      </c>
      <c r="H101" s="9">
        <v>1</v>
      </c>
      <c r="I101" s="9">
        <v>1</v>
      </c>
      <c r="J101" s="31">
        <v>14800</v>
      </c>
      <c r="K101" s="31">
        <f t="shared" si="3"/>
        <v>14800</v>
      </c>
      <c r="L101" s="36" t="s">
        <v>105</v>
      </c>
    </row>
    <row r="102" spans="1:12" ht="24" customHeight="1">
      <c r="A102" s="7">
        <v>38</v>
      </c>
      <c r="B102" s="15" t="s">
        <v>82</v>
      </c>
      <c r="C102" s="19" t="s">
        <v>85</v>
      </c>
      <c r="D102" s="11" t="s">
        <v>86</v>
      </c>
      <c r="E102" s="4" t="s">
        <v>52</v>
      </c>
      <c r="F102" s="4">
        <v>14</v>
      </c>
      <c r="G102" s="4" t="s">
        <v>49</v>
      </c>
      <c r="H102" s="9">
        <v>1</v>
      </c>
      <c r="I102" s="9">
        <v>1</v>
      </c>
      <c r="J102" s="31">
        <v>3600</v>
      </c>
      <c r="K102" s="31">
        <f t="shared" si="3"/>
        <v>3600</v>
      </c>
      <c r="L102" s="37" t="s">
        <v>73</v>
      </c>
    </row>
    <row r="103" spans="1:12" ht="24" customHeight="1">
      <c r="A103" s="7">
        <v>39</v>
      </c>
      <c r="B103" s="15" t="s">
        <v>82</v>
      </c>
      <c r="C103" s="3" t="s">
        <v>87</v>
      </c>
      <c r="D103" s="1" t="s">
        <v>88</v>
      </c>
      <c r="E103" s="4" t="s">
        <v>43</v>
      </c>
      <c r="F103" s="4">
        <v>14</v>
      </c>
      <c r="G103" s="4" t="s">
        <v>49</v>
      </c>
      <c r="H103" s="5">
        <v>3</v>
      </c>
      <c r="I103" s="5">
        <v>3</v>
      </c>
      <c r="J103" s="31">
        <v>3400</v>
      </c>
      <c r="K103" s="31">
        <f t="shared" si="3"/>
        <v>10200</v>
      </c>
      <c r="L103" s="37" t="s">
        <v>117</v>
      </c>
    </row>
    <row r="104" spans="1:12" ht="24" customHeight="1">
      <c r="A104" s="7">
        <v>40</v>
      </c>
      <c r="B104" s="15" t="s">
        <v>82</v>
      </c>
      <c r="C104" s="19" t="s">
        <v>89</v>
      </c>
      <c r="D104" s="11" t="s">
        <v>90</v>
      </c>
      <c r="E104" s="4" t="s">
        <v>43</v>
      </c>
      <c r="F104" s="4">
        <v>14</v>
      </c>
      <c r="G104" s="4" t="s">
        <v>49</v>
      </c>
      <c r="H104" s="9">
        <v>2</v>
      </c>
      <c r="I104" s="9">
        <v>2</v>
      </c>
      <c r="J104" s="34">
        <v>2200</v>
      </c>
      <c r="K104" s="31">
        <f t="shared" si="3"/>
        <v>4400</v>
      </c>
      <c r="L104" s="37" t="s">
        <v>117</v>
      </c>
    </row>
    <row r="105" spans="1:12" ht="24" customHeight="1" thickBot="1">
      <c r="A105" s="46"/>
      <c r="B105" s="47"/>
      <c r="C105" s="48"/>
      <c r="D105" s="49"/>
      <c r="E105" s="50"/>
      <c r="F105" s="50"/>
      <c r="G105" s="50"/>
      <c r="H105" s="58"/>
      <c r="I105" s="58"/>
      <c r="J105" s="60" t="s">
        <v>130</v>
      </c>
      <c r="K105" s="60">
        <f>SUM(K94:K104)</f>
        <v>2281485.36</v>
      </c>
      <c r="L105" s="59"/>
    </row>
    <row r="106" spans="1:12" s="6" customFormat="1" ht="24" customHeight="1" thickTop="1">
      <c r="A106" s="39"/>
      <c r="B106" s="35" t="s">
        <v>2</v>
      </c>
      <c r="C106" s="40" t="s">
        <v>15</v>
      </c>
      <c r="D106" s="41"/>
      <c r="E106" s="42"/>
      <c r="F106" s="42"/>
      <c r="G106" s="42"/>
      <c r="H106" s="43"/>
      <c r="I106" s="43"/>
      <c r="J106" s="44"/>
      <c r="K106" s="44"/>
      <c r="L106" s="45"/>
    </row>
    <row r="107" spans="1:12" s="6" customFormat="1" ht="24" customHeight="1">
      <c r="A107" s="39"/>
      <c r="B107" s="35"/>
      <c r="C107" s="40" t="s">
        <v>16</v>
      </c>
      <c r="D107" s="41"/>
      <c r="E107" s="42"/>
      <c r="F107" s="42"/>
      <c r="G107" s="42"/>
      <c r="H107" s="43"/>
      <c r="I107" s="43"/>
      <c r="J107" s="44"/>
      <c r="K107" s="44"/>
      <c r="L107" s="45"/>
    </row>
    <row r="108" spans="1:12" s="6" customFormat="1" ht="24" customHeight="1">
      <c r="A108" s="39"/>
      <c r="B108" s="35"/>
      <c r="C108" s="40"/>
      <c r="D108" s="41"/>
      <c r="E108" s="42"/>
      <c r="F108" s="42"/>
      <c r="G108" s="61" t="s">
        <v>125</v>
      </c>
      <c r="H108" s="71" t="s">
        <v>126</v>
      </c>
      <c r="I108" s="71"/>
      <c r="J108" s="71"/>
      <c r="K108" s="65" t="s">
        <v>127</v>
      </c>
      <c r="L108" s="45"/>
    </row>
    <row r="109" spans="1:12" s="6" customFormat="1" ht="24" customHeight="1">
      <c r="A109" s="39"/>
      <c r="B109" s="35"/>
      <c r="C109" s="40"/>
      <c r="D109" s="41"/>
      <c r="E109" s="42"/>
      <c r="F109" s="42"/>
      <c r="G109" s="61"/>
      <c r="H109" s="71" t="s">
        <v>131</v>
      </c>
      <c r="I109" s="71"/>
      <c r="J109" s="71"/>
      <c r="K109" s="65"/>
      <c r="L109" s="45"/>
    </row>
    <row r="110" spans="1:12" s="6" customFormat="1" ht="34.5" customHeight="1">
      <c r="A110" s="39"/>
      <c r="B110" s="35"/>
      <c r="C110" s="40"/>
      <c r="D110" s="41"/>
      <c r="E110" s="42"/>
      <c r="F110" s="42"/>
      <c r="G110" s="61" t="s">
        <v>125</v>
      </c>
      <c r="H110" s="71" t="s">
        <v>126</v>
      </c>
      <c r="I110" s="71"/>
      <c r="J110" s="71"/>
      <c r="K110" s="65" t="s">
        <v>128</v>
      </c>
      <c r="L110" s="45"/>
    </row>
    <row r="111" spans="1:12" s="6" customFormat="1" ht="24" customHeight="1">
      <c r="A111" s="39"/>
      <c r="B111" s="35"/>
      <c r="C111" s="40"/>
      <c r="D111" s="41"/>
      <c r="E111" s="42"/>
      <c r="F111" s="42"/>
      <c r="G111" s="61"/>
      <c r="H111" s="71" t="s">
        <v>132</v>
      </c>
      <c r="I111" s="71"/>
      <c r="J111" s="71"/>
      <c r="K111" s="65"/>
      <c r="L111" s="45"/>
    </row>
    <row r="112" spans="1:12" s="6" customFormat="1" ht="39.75" customHeight="1">
      <c r="A112" s="39"/>
      <c r="B112" s="35"/>
      <c r="C112" s="40"/>
      <c r="D112" s="41"/>
      <c r="E112" s="42"/>
      <c r="F112" s="42"/>
      <c r="G112" s="61" t="s">
        <v>125</v>
      </c>
      <c r="H112" s="71" t="s">
        <v>126</v>
      </c>
      <c r="I112" s="71"/>
      <c r="J112" s="71"/>
      <c r="K112" s="65" t="s">
        <v>129</v>
      </c>
      <c r="L112" s="45"/>
    </row>
    <row r="113" spans="1:12" s="6" customFormat="1" ht="24" customHeight="1">
      <c r="A113" s="39"/>
      <c r="B113" s="35"/>
      <c r="C113" s="40"/>
      <c r="D113" s="41"/>
      <c r="E113" s="42"/>
      <c r="F113" s="42"/>
      <c r="G113" s="42"/>
      <c r="H113" s="71" t="s">
        <v>133</v>
      </c>
      <c r="I113" s="71"/>
      <c r="J113" s="71"/>
      <c r="K113" s="44"/>
      <c r="L113" s="45"/>
    </row>
    <row r="114" spans="1:12" s="6" customFormat="1" ht="24" customHeight="1">
      <c r="A114" s="39"/>
      <c r="B114" s="35"/>
      <c r="C114" s="40"/>
      <c r="D114" s="41"/>
      <c r="E114" s="42"/>
      <c r="F114" s="42"/>
      <c r="G114" s="42"/>
      <c r="H114" s="56"/>
      <c r="I114" s="56"/>
      <c r="J114" s="54"/>
      <c r="K114" s="44"/>
      <c r="L114" s="57"/>
    </row>
    <row r="115" spans="1:12" s="6" customFormat="1" ht="24" customHeight="1">
      <c r="A115" s="39"/>
      <c r="B115" s="35"/>
      <c r="C115" s="40"/>
      <c r="D115" s="41"/>
      <c r="E115" s="42"/>
      <c r="F115" s="42"/>
      <c r="G115" s="42"/>
      <c r="H115" s="56"/>
      <c r="I115" s="56"/>
      <c r="J115" s="54"/>
      <c r="K115" s="44"/>
      <c r="L115" s="57"/>
    </row>
    <row r="116" spans="1:12" s="6" customFormat="1" ht="24" customHeight="1">
      <c r="A116" s="39"/>
      <c r="B116" s="35"/>
      <c r="C116" s="40"/>
      <c r="D116" s="41"/>
      <c r="E116" s="42"/>
      <c r="F116" s="42"/>
      <c r="G116" s="42"/>
      <c r="H116" s="56"/>
      <c r="I116" s="56"/>
      <c r="J116" s="54"/>
      <c r="K116" s="44"/>
      <c r="L116" s="57"/>
    </row>
    <row r="117" spans="1:12" ht="24" customHeight="1">
      <c r="L117" s="22" t="s">
        <v>124</v>
      </c>
    </row>
    <row r="118" spans="1:12" ht="24" customHeight="1">
      <c r="A118" s="72" t="s">
        <v>5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</row>
    <row r="119" spans="1:12" ht="24" customHeight="1">
      <c r="A119" s="73" t="s">
        <v>18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</row>
    <row r="120" spans="1:12" ht="24" customHeight="1">
      <c r="A120" s="74" t="s">
        <v>119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</row>
    <row r="121" spans="1:12" ht="24" customHeight="1">
      <c r="A121" s="75" t="s">
        <v>6</v>
      </c>
      <c r="B121" s="75" t="s">
        <v>17</v>
      </c>
      <c r="C121" s="75" t="s">
        <v>14</v>
      </c>
      <c r="D121" s="77" t="s">
        <v>0</v>
      </c>
      <c r="E121" s="75" t="s">
        <v>9</v>
      </c>
      <c r="F121" s="75" t="s">
        <v>8</v>
      </c>
      <c r="G121" s="75" t="s">
        <v>10</v>
      </c>
      <c r="H121" s="79" t="s">
        <v>1</v>
      </c>
      <c r="I121" s="80"/>
      <c r="J121" s="75" t="s">
        <v>13</v>
      </c>
      <c r="K121" s="75" t="s">
        <v>7</v>
      </c>
      <c r="L121" s="75" t="s">
        <v>12</v>
      </c>
    </row>
    <row r="122" spans="1:12" ht="49.5" customHeight="1">
      <c r="A122" s="76"/>
      <c r="B122" s="76"/>
      <c r="C122" s="76"/>
      <c r="D122" s="78"/>
      <c r="E122" s="76"/>
      <c r="F122" s="76"/>
      <c r="G122" s="76"/>
      <c r="H122" s="26" t="s">
        <v>11</v>
      </c>
      <c r="I122" s="27" t="s">
        <v>3</v>
      </c>
      <c r="J122" s="76"/>
      <c r="K122" s="76"/>
      <c r="L122" s="76"/>
    </row>
    <row r="123" spans="1:12" ht="24" customHeight="1">
      <c r="A123" s="7"/>
      <c r="B123" s="15"/>
      <c r="C123" s="19"/>
      <c r="D123" s="11"/>
      <c r="E123" s="4"/>
      <c r="F123" s="4"/>
      <c r="G123" s="4"/>
      <c r="H123" s="9"/>
      <c r="I123" s="9"/>
      <c r="J123" s="66" t="s">
        <v>130</v>
      </c>
      <c r="K123" s="63">
        <f>SUM(K105)</f>
        <v>2281485.36</v>
      </c>
      <c r="L123" s="37"/>
    </row>
    <row r="124" spans="1:12" ht="24" customHeight="1">
      <c r="A124" s="7">
        <v>41</v>
      </c>
      <c r="B124" s="15" t="s">
        <v>91</v>
      </c>
      <c r="C124" s="19" t="s">
        <v>92</v>
      </c>
      <c r="D124" s="11" t="s">
        <v>93</v>
      </c>
      <c r="E124" s="4" t="s">
        <v>52</v>
      </c>
      <c r="F124" s="4">
        <v>13</v>
      </c>
      <c r="G124" s="4" t="s">
        <v>49</v>
      </c>
      <c r="H124" s="9">
        <v>49</v>
      </c>
      <c r="I124" s="9">
        <v>49</v>
      </c>
      <c r="J124" s="31">
        <v>14000</v>
      </c>
      <c r="K124" s="8">
        <f>SUM(I124*J124)</f>
        <v>686000</v>
      </c>
      <c r="L124" s="36" t="s">
        <v>104</v>
      </c>
    </row>
    <row r="125" spans="1:12" ht="24" customHeight="1">
      <c r="A125" s="7">
        <v>42</v>
      </c>
      <c r="B125" s="15" t="s">
        <v>91</v>
      </c>
      <c r="C125" s="19" t="s">
        <v>94</v>
      </c>
      <c r="D125" s="11" t="s">
        <v>21</v>
      </c>
      <c r="E125" s="4" t="s">
        <v>52</v>
      </c>
      <c r="F125" s="4">
        <v>13</v>
      </c>
      <c r="G125" s="4" t="s">
        <v>49</v>
      </c>
      <c r="H125" s="9">
        <v>49</v>
      </c>
      <c r="I125" s="9">
        <v>49</v>
      </c>
      <c r="J125" s="31">
        <v>13979.59</v>
      </c>
      <c r="K125" s="8">
        <f t="shared" ref="K125:K129" si="4">SUM(I125*J125)</f>
        <v>684999.91</v>
      </c>
      <c r="L125" s="36" t="s">
        <v>104</v>
      </c>
    </row>
    <row r="126" spans="1:12" ht="24" customHeight="1">
      <c r="A126" s="7">
        <v>43</v>
      </c>
      <c r="B126" s="15" t="s">
        <v>91</v>
      </c>
      <c r="C126" s="19" t="s">
        <v>95</v>
      </c>
      <c r="D126" s="11" t="s">
        <v>96</v>
      </c>
      <c r="E126" s="4" t="s">
        <v>52</v>
      </c>
      <c r="F126" s="4">
        <v>13</v>
      </c>
      <c r="G126" s="4" t="s">
        <v>49</v>
      </c>
      <c r="H126" s="9">
        <v>1</v>
      </c>
      <c r="I126" s="9">
        <v>1</v>
      </c>
      <c r="J126" s="31">
        <v>1006.25</v>
      </c>
      <c r="K126" s="8">
        <f t="shared" si="4"/>
        <v>1006.25</v>
      </c>
      <c r="L126" s="37" t="s">
        <v>108</v>
      </c>
    </row>
    <row r="127" spans="1:12" ht="24" customHeight="1">
      <c r="A127" s="7">
        <v>44</v>
      </c>
      <c r="B127" s="15">
        <v>2553</v>
      </c>
      <c r="C127" s="19" t="s">
        <v>97</v>
      </c>
      <c r="D127" s="11" t="s">
        <v>98</v>
      </c>
      <c r="E127" s="4" t="s">
        <v>43</v>
      </c>
      <c r="F127" s="4">
        <v>11</v>
      </c>
      <c r="G127" s="4" t="s">
        <v>49</v>
      </c>
      <c r="H127" s="9">
        <v>4</v>
      </c>
      <c r="I127" s="9">
        <v>4</v>
      </c>
      <c r="J127" s="31">
        <v>3000</v>
      </c>
      <c r="K127" s="8">
        <f t="shared" si="4"/>
        <v>12000</v>
      </c>
      <c r="L127" s="37" t="s">
        <v>118</v>
      </c>
    </row>
    <row r="128" spans="1:12" ht="24" customHeight="1">
      <c r="A128" s="7">
        <v>45</v>
      </c>
      <c r="B128" s="15">
        <v>2553</v>
      </c>
      <c r="C128" s="19" t="s">
        <v>99</v>
      </c>
      <c r="D128" s="11" t="s">
        <v>100</v>
      </c>
      <c r="E128" s="4" t="s">
        <v>43</v>
      </c>
      <c r="F128" s="4">
        <v>11</v>
      </c>
      <c r="G128" s="4" t="s">
        <v>49</v>
      </c>
      <c r="H128" s="9">
        <v>4</v>
      </c>
      <c r="I128" s="9">
        <v>4</v>
      </c>
      <c r="J128" s="31">
        <v>32000</v>
      </c>
      <c r="K128" s="8">
        <f t="shared" si="4"/>
        <v>128000</v>
      </c>
      <c r="L128" s="37" t="s">
        <v>103</v>
      </c>
    </row>
    <row r="129" spans="1:12" ht="24" customHeight="1">
      <c r="A129" s="7">
        <v>46</v>
      </c>
      <c r="B129" s="15">
        <v>2553</v>
      </c>
      <c r="C129" s="19" t="s">
        <v>101</v>
      </c>
      <c r="D129" s="11" t="s">
        <v>102</v>
      </c>
      <c r="E129" s="4" t="s">
        <v>43</v>
      </c>
      <c r="F129" s="4">
        <v>11</v>
      </c>
      <c r="G129" s="4" t="s">
        <v>49</v>
      </c>
      <c r="H129" s="9">
        <v>160</v>
      </c>
      <c r="I129" s="9">
        <v>160</v>
      </c>
      <c r="J129" s="31">
        <v>400</v>
      </c>
      <c r="K129" s="8">
        <f t="shared" si="4"/>
        <v>64000</v>
      </c>
      <c r="L129" s="37" t="s">
        <v>110</v>
      </c>
    </row>
    <row r="130" spans="1:12" ht="24" customHeight="1" thickBot="1">
      <c r="A130" s="67"/>
      <c r="B130" s="68"/>
      <c r="C130" s="68"/>
      <c r="D130" s="68"/>
      <c r="E130" s="68"/>
      <c r="F130" s="68"/>
      <c r="G130" s="68"/>
      <c r="H130" s="68"/>
      <c r="I130" s="68"/>
      <c r="J130" s="70" t="s">
        <v>4</v>
      </c>
      <c r="K130" s="69">
        <f>SUM(K123:K129)</f>
        <v>3857491.52</v>
      </c>
      <c r="L130" s="59"/>
    </row>
    <row r="131" spans="1:12" ht="24" customHeight="1" thickTop="1">
      <c r="A131" s="6"/>
      <c r="B131" s="35" t="s">
        <v>2</v>
      </c>
      <c r="C131" s="40" t="s">
        <v>15</v>
      </c>
      <c r="D131" s="41"/>
      <c r="E131" s="42"/>
      <c r="F131" s="42"/>
      <c r="G131" s="42"/>
      <c r="H131" s="43"/>
      <c r="I131" s="43"/>
      <c r="J131" s="44"/>
      <c r="K131" s="44"/>
      <c r="L131" s="45"/>
    </row>
    <row r="132" spans="1:12" ht="24" customHeight="1">
      <c r="A132" s="6"/>
      <c r="B132" s="35"/>
      <c r="C132" s="40" t="s">
        <v>16</v>
      </c>
      <c r="D132" s="41"/>
      <c r="E132" s="42"/>
      <c r="F132" s="42"/>
      <c r="G132" s="42"/>
      <c r="H132" s="43"/>
      <c r="I132" s="43"/>
      <c r="J132" s="44"/>
      <c r="K132" s="44"/>
      <c r="L132" s="45"/>
    </row>
    <row r="133" spans="1:12" ht="24" customHeight="1">
      <c r="A133" s="6"/>
      <c r="B133" s="35"/>
      <c r="C133" s="40"/>
      <c r="D133" s="41"/>
      <c r="E133" s="42"/>
      <c r="F133" s="42"/>
      <c r="G133" s="61" t="s">
        <v>125</v>
      </c>
      <c r="H133" s="71" t="s">
        <v>126</v>
      </c>
      <c r="I133" s="71"/>
      <c r="J133" s="71"/>
      <c r="K133" s="65" t="s">
        <v>127</v>
      </c>
      <c r="L133" s="45"/>
    </row>
    <row r="134" spans="1:12" ht="24" customHeight="1">
      <c r="B134" s="35"/>
      <c r="C134" s="40"/>
      <c r="D134" s="41"/>
      <c r="E134" s="42"/>
      <c r="F134" s="42"/>
      <c r="G134" s="61"/>
      <c r="H134" s="71" t="s">
        <v>131</v>
      </c>
      <c r="I134" s="71"/>
      <c r="J134" s="71"/>
      <c r="K134" s="65"/>
      <c r="L134" s="45"/>
    </row>
    <row r="135" spans="1:12" ht="36.75" customHeight="1">
      <c r="B135" s="35"/>
      <c r="C135" s="40"/>
      <c r="D135" s="41"/>
      <c r="E135" s="42"/>
      <c r="F135" s="42"/>
      <c r="G135" s="61" t="s">
        <v>125</v>
      </c>
      <c r="H135" s="71" t="s">
        <v>126</v>
      </c>
      <c r="I135" s="71"/>
      <c r="J135" s="71"/>
      <c r="K135" s="65" t="s">
        <v>128</v>
      </c>
      <c r="L135" s="45"/>
    </row>
    <row r="136" spans="1:12" ht="24" customHeight="1">
      <c r="B136" s="35"/>
      <c r="C136" s="40"/>
      <c r="D136" s="41"/>
      <c r="E136" s="42"/>
      <c r="F136" s="42"/>
      <c r="G136" s="61"/>
      <c r="H136" s="71" t="s">
        <v>132</v>
      </c>
      <c r="I136" s="71"/>
      <c r="J136" s="71"/>
      <c r="K136" s="65"/>
      <c r="L136" s="45"/>
    </row>
    <row r="137" spans="1:12" ht="42.75" customHeight="1">
      <c r="B137" s="35"/>
      <c r="C137" s="40"/>
      <c r="D137" s="41"/>
      <c r="E137" s="42"/>
      <c r="F137" s="42"/>
      <c r="G137" s="61" t="s">
        <v>125</v>
      </c>
      <c r="H137" s="71" t="s">
        <v>126</v>
      </c>
      <c r="I137" s="71"/>
      <c r="J137" s="71"/>
      <c r="K137" s="65" t="s">
        <v>129</v>
      </c>
      <c r="L137" s="45"/>
    </row>
    <row r="138" spans="1:12" ht="24" customHeight="1">
      <c r="B138" s="35"/>
      <c r="C138" s="40"/>
      <c r="D138" s="41"/>
      <c r="E138" s="42"/>
      <c r="F138" s="42"/>
      <c r="G138" s="42"/>
      <c r="H138" s="71" t="s">
        <v>133</v>
      </c>
      <c r="I138" s="71"/>
      <c r="J138" s="71"/>
      <c r="K138" s="44"/>
      <c r="L138" s="45"/>
    </row>
    <row r="139" spans="1:12" ht="24" customHeight="1">
      <c r="B139" s="35"/>
      <c r="C139" s="40"/>
      <c r="D139" s="41"/>
      <c r="E139" s="42"/>
      <c r="F139" s="42"/>
      <c r="G139" s="42"/>
      <c r="H139" s="56"/>
      <c r="I139" s="56"/>
      <c r="J139" s="54"/>
      <c r="K139" s="44"/>
      <c r="L139" s="57"/>
    </row>
  </sheetData>
  <mergeCells count="100">
    <mergeCell ref="J34:J35"/>
    <mergeCell ref="K34:K35"/>
    <mergeCell ref="L34:L3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L92:L93"/>
    <mergeCell ref="A60:L60"/>
    <mergeCell ref="A61:L61"/>
    <mergeCell ref="A62:L62"/>
    <mergeCell ref="A63:A64"/>
    <mergeCell ref="B63:B64"/>
    <mergeCell ref="C63:C64"/>
    <mergeCell ref="D63:D64"/>
    <mergeCell ref="E63:E64"/>
    <mergeCell ref="F63:F64"/>
    <mergeCell ref="G63:G64"/>
    <mergeCell ref="H63:I63"/>
    <mergeCell ref="J63:J64"/>
    <mergeCell ref="K63:K64"/>
    <mergeCell ref="L63:L64"/>
    <mergeCell ref="J121:J122"/>
    <mergeCell ref="K121:K122"/>
    <mergeCell ref="L121:L122"/>
    <mergeCell ref="A89:L89"/>
    <mergeCell ref="A90:L90"/>
    <mergeCell ref="A91:L91"/>
    <mergeCell ref="A92:A93"/>
    <mergeCell ref="B92:B93"/>
    <mergeCell ref="C92:C93"/>
    <mergeCell ref="D92:D93"/>
    <mergeCell ref="E92:E93"/>
    <mergeCell ref="F92:F93"/>
    <mergeCell ref="G92:G93"/>
    <mergeCell ref="H92:I92"/>
    <mergeCell ref="J92:J93"/>
    <mergeCell ref="K92:K93"/>
    <mergeCell ref="H20:J20"/>
    <mergeCell ref="H21:J21"/>
    <mergeCell ref="H22:J22"/>
    <mergeCell ref="H23:J23"/>
    <mergeCell ref="H24:J24"/>
    <mergeCell ref="H25:J25"/>
    <mergeCell ref="H50:J50"/>
    <mergeCell ref="H51:J51"/>
    <mergeCell ref="H52:J52"/>
    <mergeCell ref="H53:J53"/>
    <mergeCell ref="A31:L31"/>
    <mergeCell ref="A32:L32"/>
    <mergeCell ref="A33:L33"/>
    <mergeCell ref="A34:A35"/>
    <mergeCell ref="B34:B35"/>
    <mergeCell ref="C34:C35"/>
    <mergeCell ref="D34:D35"/>
    <mergeCell ref="E34:E35"/>
    <mergeCell ref="F34:F35"/>
    <mergeCell ref="G34:G35"/>
    <mergeCell ref="H34:I34"/>
    <mergeCell ref="H54:J54"/>
    <mergeCell ref="H55:J55"/>
    <mergeCell ref="H79:J79"/>
    <mergeCell ref="H80:J80"/>
    <mergeCell ref="H81:J81"/>
    <mergeCell ref="H82:J82"/>
    <mergeCell ref="H83:J83"/>
    <mergeCell ref="H84:J84"/>
    <mergeCell ref="H108:J108"/>
    <mergeCell ref="H109:J109"/>
    <mergeCell ref="H110:J110"/>
    <mergeCell ref="H111:J111"/>
    <mergeCell ref="H112:J112"/>
    <mergeCell ref="H113:J113"/>
    <mergeCell ref="H133:J133"/>
    <mergeCell ref="A118:L118"/>
    <mergeCell ref="A119:L119"/>
    <mergeCell ref="A120:L120"/>
    <mergeCell ref="A121:A122"/>
    <mergeCell ref="B121:B122"/>
    <mergeCell ref="C121:C122"/>
    <mergeCell ref="D121:D122"/>
    <mergeCell ref="E121:E122"/>
    <mergeCell ref="F121:F122"/>
    <mergeCell ref="G121:G122"/>
    <mergeCell ref="H121:I121"/>
    <mergeCell ref="H134:J134"/>
    <mergeCell ref="H135:J135"/>
    <mergeCell ref="H136:J136"/>
    <mergeCell ref="H137:J137"/>
    <mergeCell ref="H138:J138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แผนกวิชาคอมพิวเตอร์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2022-03-16T04:32:08Z</cp:lastPrinted>
  <dcterms:created xsi:type="dcterms:W3CDTF">2017-11-14T01:32:33Z</dcterms:created>
  <dcterms:modified xsi:type="dcterms:W3CDTF">2022-05-23T11:01:42Z</dcterms:modified>
</cp:coreProperties>
</file>