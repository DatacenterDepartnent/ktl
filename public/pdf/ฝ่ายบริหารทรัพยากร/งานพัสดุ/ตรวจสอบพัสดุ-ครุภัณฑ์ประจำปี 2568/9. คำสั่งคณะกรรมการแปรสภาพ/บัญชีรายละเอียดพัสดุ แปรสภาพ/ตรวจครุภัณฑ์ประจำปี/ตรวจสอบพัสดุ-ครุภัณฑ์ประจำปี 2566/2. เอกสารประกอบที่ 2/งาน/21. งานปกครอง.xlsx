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56FB823A-8159-4548-8BC1-5BAF00013DD9}" xr6:coauthVersionLast="47" xr6:coauthVersionMax="47" xr10:uidLastSave="{00000000-0000-0000-0000-000000000000}"/>
  <bookViews>
    <workbookView xWindow="-75" yWindow="480" windowWidth="11970" windowHeight="9645" tabRatio="897" xr2:uid="{00000000-000D-0000-FFFF-FFFF00000000}"/>
  </bookViews>
  <sheets>
    <sheet name="งานปกครอง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7" l="1"/>
  <c r="H7" i="7"/>
  <c r="H8" i="7"/>
  <c r="H9" i="7"/>
  <c r="H10" i="7"/>
  <c r="H11" i="7"/>
  <c r="H12" i="7"/>
  <c r="H13" i="7"/>
  <c r="H14" i="7"/>
  <c r="H15" i="7"/>
  <c r="H5" i="7"/>
  <c r="H16" i="7" l="1"/>
</calcChain>
</file>

<file path=xl/sharedStrings.xml><?xml version="1.0" encoding="utf-8"?>
<sst xmlns="http://schemas.openxmlformats.org/spreadsheetml/2006/main" count="50" uniqueCount="41">
  <si>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</si>
  <si>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</si>
  <si>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</si>
  <si>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</si>
  <si>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โต๊ะวางเครื่องคอมพิวเตอร์ +เก้าอี้</t>
  </si>
  <si>
    <t>ตู้เหล็ก 15 ลิ้นชัก</t>
  </si>
  <si>
    <t>งปม.</t>
  </si>
  <si>
    <t>บกศ.</t>
  </si>
  <si>
    <t>ตู้เหล็ก 4 ลิ้นชัก</t>
  </si>
  <si>
    <t>เครื่องปริ้นเตอร์ HP 1020</t>
  </si>
  <si>
    <t>หัวหน้าหน่วยจ่าย/หน่วยเบิก</t>
  </si>
  <si>
    <t>ตู้บานเลื่อนกระจก 4 ฟุต</t>
  </si>
  <si>
    <t>7110-002-0002/492-006</t>
  </si>
  <si>
    <t>7125-002-0002/492-005</t>
  </si>
  <si>
    <t>7110-002-0006/492-076</t>
  </si>
  <si>
    <t>7430-008-0002/493-003</t>
  </si>
  <si>
    <t>7430-008-0002/492-010</t>
  </si>
  <si>
    <t>7440-010-0005/502-001</t>
  </si>
  <si>
    <t>7215-001-0001/521-001</t>
  </si>
  <si>
    <t>7110-007-0004/521-001-002</t>
  </si>
  <si>
    <t>7110-007-0006/521-001</t>
  </si>
  <si>
    <t>6710-004-0001/531-001</t>
  </si>
  <si>
    <t>6710-004-0001/531-02</t>
  </si>
  <si>
    <t>จอคอมพิวเตอร์ SVOA 17 นิ้ว</t>
  </si>
  <si>
    <t>ตู้เก็บแฟ้ม 20 ช่อง  SMART FORM</t>
  </si>
  <si>
    <t>โต๊ะเหล็ก ขนาด 4 ฟุต SMART FORM+เก้าอี้</t>
  </si>
  <si>
    <t>กล้องวงจรปิด</t>
  </si>
  <si>
    <t>กล้องถ่ายภาพเคลื่อนไหว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</si>
  <si>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</si>
  <si>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</si>
  <si>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</si>
  <si>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</si>
  <si>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</si>
  <si>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</si>
  <si>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</si>
  <si>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</si>
  <si>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งานปกครอง  คงเหลือ</t>
  </si>
  <si>
    <t>2553</t>
  </si>
  <si>
    <t>ประจำปี 2565  ณ วันที่ 30 กันยายน 2565</t>
  </si>
  <si>
    <t xml:space="preserve"> .........................................................</t>
  </si>
  <si>
    <t>(นายสมาน  คำขาว)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</si>
</sst>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1" applyFont="1" applyBorder="1"/>
    <xf numFmtId="49" fontId="3" fillId="0" borderId="1" xfId="0" applyNumberFormat="1" applyFont="1" applyBorder="1" applyAlignment="1">
      <alignment horizontal="center"/>
    </xf>
    <xf numFmtId="43" fontId="3" fillId="0" borderId="1" xfId="5" applyNumberFormat="1" applyFont="1" applyBorder="1"/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1" xfId="5" applyFont="1" applyBorder="1"/>
    <xf numFmtId="43" fontId="3" fillId="0" borderId="2" xfId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2" xfId="1" applyFont="1" applyBorder="1"/>
    <xf numFmtId="0" fontId="7" fillId="0" borderId="0" xfId="0" applyFont="1"/>
    <xf numFmtId="49" fontId="7" fillId="0" borderId="1" xfId="6" applyNumberFormat="1" applyFont="1" applyBorder="1" applyAlignment="1">
      <alignment horizontal="left"/>
    </xf>
    <xf numFmtId="43" fontId="7" fillId="0" borderId="2" xfId="1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47626</xdr:colOff>
      <xdr:row>0</xdr:row>
      <xdr:rowOff>95250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8572501" y="95250"/>
          <a:ext cx="1638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K21"/>
  <sheetViews>
    <sheetView tabSelected="1" topLeftCell="C4" zoomScaleNormal="100" workbookViewId="0">
      <selection activeCell="F8" sqref="F8:G9"/>
    </sheetView>
  </sheetViews>
  <sheetFormatPr defaultColWidth="9" defaultRowHeight="24"/>
  <cols>
    <col min="1" max="1" width="5.5703125" style="2" customWidth="1"/>
    <col min="2" max="2" width="11.28515625" style="2" customWidth="1"/>
    <col min="3" max="3" width="28.85546875" style="2" customWidth="1"/>
    <col min="4" max="4" width="38.5703125" style="2" customWidth="1"/>
    <col min="5" max="5" width="7" style="2" customWidth="1"/>
    <col min="6" max="6" width="7.42578125" style="2" customWidth="1"/>
    <col min="7" max="7" width="13.140625" style="2" customWidth="1"/>
    <col min="8" max="8" width="13.42578125" style="2" customWidth="1"/>
    <col min="9" max="9" width="10.5703125" style="14" customWidth="1"/>
    <col min="10" max="10" width="21.140625" style="2" customWidth="1"/>
    <col min="11" max="11" width="9.7109375" style="2" customWidth="1"/>
    <col min="12" max="16384" width="9" style="2"/>
  </cols>
  <sheetData>
    <row r="1" spans="1:11">
      <c r="A1" s="24" t="s">
        <v>3</v>
      </c>
      <c r="B1" s="24"/>
      <c r="C1" s="24"/>
      <c r="D1" s="24"/>
      <c r="E1" s="24"/>
      <c r="F1" s="24"/>
      <c r="G1" s="24"/>
      <c r="H1" s="24"/>
      <c r="I1" s="24"/>
    </row>
    <row r="2" spans="1:11">
      <c r="A2" s="24" t="s">
        <v>36</v>
      </c>
      <c r="B2" s="24"/>
      <c r="C2" s="24"/>
      <c r="D2" s="24"/>
      <c r="E2" s="24"/>
      <c r="F2" s="24"/>
      <c r="G2" s="24"/>
      <c r="H2" s="24"/>
      <c r="I2" s="24"/>
    </row>
    <row r="3" spans="1:11">
      <c r="A3" s="25" t="s">
        <v>38</v>
      </c>
      <c r="B3" s="25"/>
      <c r="C3" s="25"/>
      <c r="D3" s="25"/>
      <c r="E3" s="25"/>
      <c r="F3" s="25"/>
      <c r="G3" s="25"/>
      <c r="H3" s="25"/>
      <c r="I3" s="25"/>
    </row>
    <row r="4" spans="1:11" ht="41.25" customHeight="1">
      <c r="A4" s="13" t="s">
        <v>29</v>
      </c>
      <c r="B4" s="13" t="s">
        <v>32</v>
      </c>
      <c r="C4" s="13" t="s">
        <v>33</v>
      </c>
      <c r="D4" s="10" t="s">
        <v>0</v>
      </c>
      <c r="E4" s="13" t="s">
        <v>30</v>
      </c>
      <c r="F4" s="10" t="s">
        <v>1</v>
      </c>
      <c r="G4" s="13" t="s">
        <v>31</v>
      </c>
      <c r="H4" s="13" t="s">
        <v>35</v>
      </c>
      <c r="I4" s="10" t="s">
        <v>2</v>
      </c>
      <c r="J4" s="9"/>
      <c r="K4" s="9"/>
    </row>
    <row r="5" spans="1:11">
      <c r="A5" s="15">
        <v>1</v>
      </c>
      <c r="B5" s="15">
        <v>2549</v>
      </c>
      <c r="C5" s="3" t="s">
        <v>12</v>
      </c>
      <c r="D5" s="1" t="s">
        <v>5</v>
      </c>
      <c r="E5" s="4" t="s">
        <v>7</v>
      </c>
      <c r="F5" s="5">
        <v>1</v>
      </c>
      <c r="G5" s="6">
        <v>2900</v>
      </c>
      <c r="H5" s="6">
        <f>SUM(F5*G5)</f>
        <v>2900</v>
      </c>
      <c r="I5" s="15"/>
    </row>
    <row r="6" spans="1:11" s="32" customFormat="1">
      <c r="A6" s="26">
        <v>2</v>
      </c>
      <c r="B6" s="26">
        <v>2549</v>
      </c>
      <c r="C6" s="27" t="s">
        <v>13</v>
      </c>
      <c r="D6" s="28" t="s">
        <v>8</v>
      </c>
      <c r="E6" s="29" t="s">
        <v>7</v>
      </c>
      <c r="F6" s="30">
        <v>1</v>
      </c>
      <c r="G6" s="31">
        <v>3100</v>
      </c>
      <c r="H6" s="31">
        <f t="shared" ref="H6:H15" si="0">SUM(F6*G6)</f>
        <v>3100</v>
      </c>
      <c r="I6" s="26"/>
    </row>
    <row r="7" spans="1:11">
      <c r="A7" s="15">
        <v>3</v>
      </c>
      <c r="B7" s="15">
        <v>2549</v>
      </c>
      <c r="C7" s="3" t="s">
        <v>14</v>
      </c>
      <c r="D7" s="12" t="s">
        <v>11</v>
      </c>
      <c r="E7" s="4" t="s">
        <v>7</v>
      </c>
      <c r="F7" s="5">
        <v>1</v>
      </c>
      <c r="G7" s="19">
        <v>2800</v>
      </c>
      <c r="H7" s="6">
        <f t="shared" si="0"/>
        <v>2800</v>
      </c>
      <c r="I7" s="15"/>
    </row>
    <row r="8" spans="1:11" s="32" customFormat="1">
      <c r="A8" s="26">
        <v>4</v>
      </c>
      <c r="B8" s="26">
        <v>2549</v>
      </c>
      <c r="C8" s="27" t="s">
        <v>15</v>
      </c>
      <c r="D8" s="33" t="s">
        <v>9</v>
      </c>
      <c r="E8" s="29" t="s">
        <v>28</v>
      </c>
      <c r="F8" s="30">
        <v>1</v>
      </c>
      <c r="G8" s="34">
        <v>5500</v>
      </c>
      <c r="H8" s="31">
        <f t="shared" si="0"/>
        <v>5500</v>
      </c>
      <c r="I8" s="26"/>
    </row>
    <row r="9" spans="1:11" s="32" customFormat="1">
      <c r="A9" s="26">
        <v>5</v>
      </c>
      <c r="B9" s="26">
        <v>2549</v>
      </c>
      <c r="C9" s="27" t="s">
        <v>16</v>
      </c>
      <c r="D9" s="33" t="s">
        <v>9</v>
      </c>
      <c r="E9" s="29" t="s">
        <v>7</v>
      </c>
      <c r="F9" s="30">
        <v>1</v>
      </c>
      <c r="G9" s="34">
        <v>5296.5</v>
      </c>
      <c r="H9" s="31">
        <f t="shared" si="0"/>
        <v>5296.5</v>
      </c>
      <c r="I9" s="26"/>
    </row>
    <row r="10" spans="1:11">
      <c r="A10" s="15">
        <v>6</v>
      </c>
      <c r="B10" s="15">
        <v>2550</v>
      </c>
      <c r="C10" s="3" t="s">
        <v>17</v>
      </c>
      <c r="D10" s="12" t="s">
        <v>23</v>
      </c>
      <c r="E10" s="4" t="s">
        <v>7</v>
      </c>
      <c r="F10" s="5">
        <v>1</v>
      </c>
      <c r="G10" s="19">
        <v>3500</v>
      </c>
      <c r="H10" s="6">
        <f t="shared" si="0"/>
        <v>3500</v>
      </c>
      <c r="I10" s="15"/>
    </row>
    <row r="11" spans="1:11">
      <c r="A11" s="15">
        <v>7</v>
      </c>
      <c r="B11" s="15">
        <v>2552</v>
      </c>
      <c r="C11" s="3" t="s">
        <v>18</v>
      </c>
      <c r="D11" s="12" t="s">
        <v>24</v>
      </c>
      <c r="E11" s="4" t="s">
        <v>6</v>
      </c>
      <c r="F11" s="5">
        <v>1</v>
      </c>
      <c r="G11" s="11">
        <v>2500</v>
      </c>
      <c r="H11" s="6">
        <f t="shared" si="0"/>
        <v>2500</v>
      </c>
      <c r="I11" s="15"/>
    </row>
    <row r="12" spans="1:11">
      <c r="A12" s="15">
        <v>8</v>
      </c>
      <c r="B12" s="15">
        <v>2552</v>
      </c>
      <c r="C12" s="3" t="s">
        <v>19</v>
      </c>
      <c r="D12" s="12" t="s">
        <v>25</v>
      </c>
      <c r="E12" s="4" t="s">
        <v>6</v>
      </c>
      <c r="F12" s="5">
        <v>2</v>
      </c>
      <c r="G12" s="11">
        <v>3900</v>
      </c>
      <c r="H12" s="6">
        <f t="shared" si="0"/>
        <v>7800</v>
      </c>
      <c r="I12" s="15"/>
    </row>
    <row r="13" spans="1:11">
      <c r="A13" s="15">
        <v>9</v>
      </c>
      <c r="B13" s="15">
        <v>2552</v>
      </c>
      <c r="C13" s="3" t="s">
        <v>20</v>
      </c>
      <c r="D13" s="12" t="s">
        <v>4</v>
      </c>
      <c r="E13" s="4" t="s">
        <v>6</v>
      </c>
      <c r="F13" s="5">
        <v>1</v>
      </c>
      <c r="G13" s="11">
        <v>1850</v>
      </c>
      <c r="H13" s="6">
        <f t="shared" si="0"/>
        <v>1850</v>
      </c>
      <c r="I13" s="15"/>
    </row>
    <row r="14" spans="1:11">
      <c r="A14" s="15">
        <v>10</v>
      </c>
      <c r="B14" s="15">
        <v>2553</v>
      </c>
      <c r="C14" s="3" t="s">
        <v>21</v>
      </c>
      <c r="D14" s="12" t="s">
        <v>26</v>
      </c>
      <c r="E14" s="4" t="s">
        <v>6</v>
      </c>
      <c r="F14" s="5">
        <v>1</v>
      </c>
      <c r="G14" s="11">
        <v>19000</v>
      </c>
      <c r="H14" s="6">
        <f t="shared" si="0"/>
        <v>19000</v>
      </c>
      <c r="I14" s="15"/>
    </row>
    <row r="15" spans="1:11">
      <c r="A15" s="15">
        <v>11</v>
      </c>
      <c r="B15" s="7" t="s">
        <v>37</v>
      </c>
      <c r="C15" s="3" t="s">
        <v>22</v>
      </c>
      <c r="D15" s="12" t="s">
        <v>27</v>
      </c>
      <c r="E15" s="16" t="s">
        <v>6</v>
      </c>
      <c r="F15" s="5">
        <v>1</v>
      </c>
      <c r="G15" s="11">
        <v>22000</v>
      </c>
      <c r="H15" s="6">
        <f t="shared" si="0"/>
        <v>22000</v>
      </c>
      <c r="I15" s="15"/>
    </row>
    <row r="16" spans="1:11">
      <c r="A16" s="21" t="s">
        <v>34</v>
      </c>
      <c r="B16" s="22"/>
      <c r="C16" s="22"/>
      <c r="D16" s="22"/>
      <c r="E16" s="23"/>
      <c r="F16" s="8"/>
      <c r="G16" s="18"/>
      <c r="H16" s="17">
        <f>SUM(H5:H15)</f>
        <v>76246.5</v>
      </c>
      <c r="I16" s="15"/>
    </row>
    <row r="19" spans="6:11">
      <c r="F19" s="20" t="s">
        <v>39</v>
      </c>
      <c r="G19" s="20"/>
      <c r="H19" s="20"/>
      <c r="I19" s="20"/>
      <c r="J19" s="14"/>
      <c r="K19" s="14"/>
    </row>
    <row r="20" spans="6:11">
      <c r="F20" s="20" t="s">
        <v>40</v>
      </c>
      <c r="G20" s="20"/>
      <c r="H20" s="20"/>
      <c r="I20" s="20"/>
      <c r="J20" s="14"/>
      <c r="K20" s="14"/>
    </row>
    <row r="21" spans="6:11">
      <c r="F21" s="20" t="s">
        <v>10</v>
      </c>
      <c r="G21" s="20"/>
      <c r="H21" s="20"/>
      <c r="I21" s="20"/>
      <c r="J21" s="14"/>
      <c r="K21" s="14"/>
    </row>
  </sheetData>
  <mergeCells count="7">
    <mergeCell ref="F21:I21"/>
    <mergeCell ref="A16:E16"/>
    <mergeCell ref="A1:I1"/>
    <mergeCell ref="A2:I2"/>
    <mergeCell ref="A3:I3"/>
    <mergeCell ref="F19:I19"/>
    <mergeCell ref="F20:I20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2022-10-07T07:49:00Z</cp:lastPrinted>
  <dcterms:created xsi:type="dcterms:W3CDTF">2017-11-14T01:32:33Z</dcterms:created>
  <dcterms:modified xsi:type="dcterms:W3CDTF">2023-02-07T02:36:17Z</dcterms:modified>
</cp:coreProperties>
</file>