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ใหม่\ตรวจครุภัณฑ์ประจำปี\ตรวจสอบพัสดุ-ครุภัณฑ์ประจำปี 2566\2. เอกสารประกอบที่ 2\งาน\"/>
    </mc:Choice>
  </mc:AlternateContent>
  <xr:revisionPtr revIDLastSave="0" documentId="13_ncr:1_{8DDC1BA6-877A-4C9B-8146-4E02976A3B0B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งานประชาสัมพันธ์" sheetId="3" r:id="rId1"/>
  </sheets>
  <calcPr calcId="191029"/>
</workbook>
</file>

<file path=xl/calcChain.xml><?xml version="1.0" encoding="utf-8"?>
<calcChain xmlns="http://schemas.openxmlformats.org/spreadsheetml/2006/main">
  <c r="H30" i="3" l="1"/>
  <c r="H29" i="3"/>
  <c r="H28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5" i="3"/>
</calcChain>
</file>

<file path=xl/sharedStrings.xml><?xml version="1.0" encoding="utf-8"?>
<sst xmlns="http://schemas.openxmlformats.org/spreadsheetml/2006/main" count="91" uniqueCount="65">
  <si>
    <t>รายการ ขนาด ลักษณะ</t>
  </si>
  <si>
    <t>จำนวน</t>
  </si>
  <si>
    <t>หมายเหตุ</t>
  </si>
  <si>
    <t>สถานศึกษา วิทยาลัยเทคนิคกันทรลักษ์</t>
  </si>
  <si>
    <t>ตู้เหล็ก 15 ลิ้นชัก</t>
  </si>
  <si>
    <t>กล้องดิจิตอล</t>
  </si>
  <si>
    <t>งปม.</t>
  </si>
  <si>
    <t>บกศ.</t>
  </si>
  <si>
    <t>เครื่องปริ้นเตอร์ CANON LBp 3050</t>
  </si>
  <si>
    <t>เครื่องคอมพิวเตอร์พร้อมโต๊ะเก้าอี้</t>
  </si>
  <si>
    <t>7430-008-0002/492-006</t>
  </si>
  <si>
    <t>7110-002-0002/492-004</t>
  </si>
  <si>
    <t>7110-002-0006/492-069</t>
  </si>
  <si>
    <t>7440-010-0001/492-001</t>
  </si>
  <si>
    <t>7440-010-0002/492-007</t>
  </si>
  <si>
    <t>7440-010-0003/492-001</t>
  </si>
  <si>
    <t>7440-010-0004/492-001</t>
  </si>
  <si>
    <t>5965-003-0001/492-001</t>
  </si>
  <si>
    <t>8350-001-0001/491-001-006</t>
  </si>
  <si>
    <t>8350-001-0001/491-001</t>
  </si>
  <si>
    <t>7110-007-0001/531-003</t>
  </si>
  <si>
    <t>7110-006-0006/531-010</t>
  </si>
  <si>
    <t>7110-007-0004/531-005</t>
  </si>
  <si>
    <t>7430-008-0002/531-020</t>
  </si>
  <si>
    <t>7440-001-0001/531-148</t>
  </si>
  <si>
    <t>เครื่องปริ้นเตอร์ HP PSC 1315</t>
  </si>
  <si>
    <t>ตู้ 2 บานเลื่อนกระจก 4 ฟุต</t>
  </si>
  <si>
    <t>ซาวด์การ์ด</t>
  </si>
  <si>
    <t>เครื่องไรท์ ซีดี</t>
  </si>
  <si>
    <t>ฮาร์ดดิส 80</t>
  </si>
  <si>
    <t>ลำโพง</t>
  </si>
  <si>
    <t>หูฟังพร้อมไมค์</t>
  </si>
  <si>
    <t>ผ้าม่าน ขนาด 0.8 * 2 เมตร</t>
  </si>
  <si>
    <t>ผ้าม่าน ขนาด 1 * 1.35 เมตร</t>
  </si>
  <si>
    <t>ผ้าม่าน ขนาด 0.9 * .45 เมตร</t>
  </si>
  <si>
    <t>โต๊ะคอมพิวเตอร์  60*100*75</t>
  </si>
  <si>
    <t>เก้าอี้(ขาเหล็ก)  5  แฉก</t>
  </si>
  <si>
    <t>โต๊ะทำงานเหล็ก  4  ฟุต</t>
  </si>
  <si>
    <t>เลนส์ 24-105 mm f/41 is ef usm af</t>
  </si>
  <si>
    <t>แฟลต speedlite yn 568ex 2</t>
  </si>
  <si>
    <t>เครื่องคอมพิวเตอร์ ALL IN ONE</t>
  </si>
  <si>
    <t>ขาตั้งกล้อง</t>
  </si>
  <si>
    <t>....................................................</t>
  </si>
  <si>
    <t>หัวหน้าหน่วยจ่าย/หน่วยเบิก</t>
  </si>
  <si>
    <t>6720-0702-6001</t>
  </si>
  <si>
    <t>6760-0802-6001</t>
  </si>
  <si>
    <t>6760-0802-6002</t>
  </si>
  <si>
    <t>7440-001-6003</t>
  </si>
  <si>
    <t>6760-0802-6003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</si>
  <si>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</si>
  <si>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</si>
  <si>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</si>
  <si>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</si>
  <si>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</si>
  <si>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 xml:space="preserve">รวมเป็นเงิน </t>
  </si>
  <si>
    <t>เป็นเงิน</t>
  </si>
  <si>
    <t>บัญชีรายการ  งานประชาสัมพันธ์  คงเหลือ</t>
  </si>
  <si>
    <t>ผ้าม่าน ขนาด 0.7 * 1.8 เมตร</t>
  </si>
  <si>
    <t>ผ้าม่าน ขนาด 0.9 * 1.85 เมตร</t>
  </si>
  <si>
    <t>(นายชินาธิป  พรมชา)</t>
  </si>
  <si>
    <t>ประจำปี 2566  ณ วันที่ 30 กันยายน 2566</t>
  </si>
  <si>
    <t>6720-005-0004/662-001</t>
  </si>
  <si>
    <t>กล้องถ่ายภาพ Canon</t>
  </si>
  <si>
    <t>6760-016-0001/662-001</t>
  </si>
  <si>
    <t xml:space="preserve">เลนส์ขยายภาพ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</si>
</sst>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0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sz val="16"/>
      <color rgb="FF2F75B5"/>
      <name val="TH SarabunPSK"/>
      <family val="2"/>
    </font>
    <font>
      <b/>
      <sz val="16"/>
      <color rgb="FF2F75B5"/>
      <name val="TH SarabunPSK"/>
      <family val="2"/>
    </font>
    <font>
      <b/>
      <sz val="16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49">
    <xf numFmtId="0" fontId="0" fillId="0" borderId="0" xfId="0"/>
    <xf numFmtId="0" fontId="4" fillId="0" borderId="0" xfId="0" applyFont="1"/>
    <xf numFmtId="0" fontId="6" fillId="0" borderId="0" xfId="0" applyFont="1" applyAlignment="1">
      <alignment horizontal="center" vertical="center"/>
    </xf>
    <xf numFmtId="43" fontId="3" fillId="0" borderId="0" xfId="5" applyNumberFormat="1" applyFont="1"/>
    <xf numFmtId="0" fontId="4" fillId="0" borderId="0" xfId="0" applyFont="1" applyAlignment="1">
      <alignment horizontal="center"/>
    </xf>
    <xf numFmtId="43" fontId="4" fillId="0" borderId="0" xfId="0" applyNumberFormat="1" applyFont="1"/>
    <xf numFmtId="43" fontId="3" fillId="0" borderId="0" xfId="1" applyFont="1" applyBorder="1" applyAlignment="1"/>
    <xf numFmtId="0" fontId="3" fillId="0" borderId="0" xfId="0" applyFont="1"/>
    <xf numFmtId="43" fontId="3" fillId="0" borderId="0" xfId="0" applyNumberFormat="1" applyFont="1"/>
    <xf numFmtId="0" fontId="7" fillId="0" borderId="0" xfId="0" applyFont="1"/>
    <xf numFmtId="43" fontId="7" fillId="0" borderId="0" xfId="0" applyNumberFormat="1" applyFont="1"/>
    <xf numFmtId="0" fontId="6" fillId="0" borderId="0" xfId="0" applyFont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8" fillId="0" borderId="1" xfId="6" applyFont="1" applyBorder="1" applyAlignment="1">
      <alignment horizontal="left"/>
    </xf>
    <xf numFmtId="0" fontId="8" fillId="0" borderId="1" xfId="6" applyFont="1" applyBorder="1"/>
    <xf numFmtId="0" fontId="8" fillId="0" borderId="1" xfId="2" applyFont="1" applyBorder="1" applyAlignment="1">
      <alignment horizontal="center"/>
    </xf>
    <xf numFmtId="0" fontId="8" fillId="0" borderId="1" xfId="5" applyFont="1" applyBorder="1" applyAlignment="1">
      <alignment horizontal="center"/>
    </xf>
    <xf numFmtId="43" fontId="8" fillId="0" borderId="1" xfId="1" applyFont="1" applyBorder="1"/>
    <xf numFmtId="0" fontId="6" fillId="0" borderId="1" xfId="0" applyFont="1" applyBorder="1" applyAlignment="1">
      <alignment horizontal="center"/>
    </xf>
    <xf numFmtId="0" fontId="9" fillId="0" borderId="1" xfId="6" applyFont="1" applyBorder="1" applyAlignment="1">
      <alignment horizontal="left"/>
    </xf>
    <xf numFmtId="0" fontId="9" fillId="0" borderId="1" xfId="6" applyFont="1" applyBorder="1"/>
    <xf numFmtId="0" fontId="9" fillId="0" borderId="1" xfId="2" applyFont="1" applyBorder="1" applyAlignment="1">
      <alignment horizontal="center"/>
    </xf>
    <xf numFmtId="0" fontId="9" fillId="0" borderId="1" xfId="5" applyFont="1" applyBorder="1" applyAlignment="1">
      <alignment horizontal="center"/>
    </xf>
    <xf numFmtId="43" fontId="9" fillId="0" borderId="1" xfId="1" applyFont="1" applyBorder="1"/>
    <xf numFmtId="0" fontId="9" fillId="0" borderId="1" xfId="0" applyFont="1" applyBorder="1" applyAlignment="1">
      <alignment horizontal="center"/>
    </xf>
    <xf numFmtId="49" fontId="9" fillId="0" borderId="1" xfId="6" applyNumberFormat="1" applyFont="1" applyBorder="1" applyAlignment="1">
      <alignment horizontal="left"/>
    </xf>
    <xf numFmtId="43" fontId="9" fillId="0" borderId="1" xfId="1" applyFont="1" applyBorder="1" applyAlignment="1">
      <alignment horizontal="right"/>
    </xf>
    <xf numFmtId="49" fontId="8" fillId="0" borderId="1" xfId="6" applyNumberFormat="1" applyFont="1" applyBorder="1" applyAlignment="1">
      <alignment horizontal="left"/>
    </xf>
    <xf numFmtId="43" fontId="8" fillId="0" borderId="1" xfId="1" applyFont="1" applyBorder="1" applyAlignment="1">
      <alignment horizontal="right"/>
    </xf>
    <xf numFmtId="43" fontId="8" fillId="0" borderId="1" xfId="1" applyFont="1" applyBorder="1" applyAlignment="1">
      <alignment horizontal="center"/>
    </xf>
    <xf numFmtId="0" fontId="9" fillId="0" borderId="5" xfId="6" applyFont="1" applyBorder="1" applyAlignment="1">
      <alignment horizontal="left"/>
    </xf>
    <xf numFmtId="0" fontId="9" fillId="0" borderId="5" xfId="6" applyFont="1" applyBorder="1"/>
    <xf numFmtId="43" fontId="9" fillId="0" borderId="5" xfId="1" applyFont="1" applyBorder="1"/>
    <xf numFmtId="15" fontId="6" fillId="0" borderId="1" xfId="0" applyNumberFormat="1" applyFont="1" applyBorder="1" applyAlignment="1">
      <alignment horizontal="center"/>
    </xf>
    <xf numFmtId="49" fontId="9" fillId="2" borderId="1" xfId="0" applyNumberFormat="1" applyFont="1" applyFill="1" applyBorder="1" applyAlignment="1">
      <alignment horizontal="left"/>
    </xf>
    <xf numFmtId="0" fontId="9" fillId="0" borderId="1" xfId="0" applyFont="1" applyBorder="1" applyAlignment="1">
      <alignment horizontal="left" vertical="center"/>
    </xf>
    <xf numFmtId="43" fontId="9" fillId="0" borderId="1" xfId="1" applyFont="1" applyBorder="1" applyAlignment="1">
      <alignment horizontal="center"/>
    </xf>
    <xf numFmtId="15" fontId="8" fillId="0" borderId="1" xfId="0" applyNumberFormat="1" applyFont="1" applyBorder="1" applyAlignment="1">
      <alignment horizontal="center"/>
    </xf>
    <xf numFmtId="49" fontId="8" fillId="2" borderId="1" xfId="0" applyNumberFormat="1" applyFont="1" applyFill="1" applyBorder="1" applyAlignment="1">
      <alignment horizontal="left"/>
    </xf>
    <xf numFmtId="0" fontId="8" fillId="0" borderId="1" xfId="0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43" fontId="9" fillId="0" borderId="1" xfId="5" applyNumberFormat="1" applyFont="1" applyBorder="1"/>
    <xf numFmtId="43" fontId="9" fillId="0" borderId="1" xfId="1" applyFont="1" applyBorder="1" applyAlignment="1"/>
    <xf numFmtId="0" fontId="6" fillId="0" borderId="1" xfId="0" applyFont="1" applyBorder="1"/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2F75B5"/>
      <color rgb="FF993300"/>
      <color rgb="FF0070C0"/>
      <color rgb="FFFF0066"/>
      <color rgb="FF7030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76200</xdr:colOff>
      <xdr:row>0</xdr:row>
      <xdr:rowOff>114299</xdr:rowOff>
    </xdr:from>
    <xdr:to>
      <xdr:col>8</xdr:col>
      <xdr:colOff>676275</xdr:colOff>
      <xdr:row>1</xdr:row>
      <xdr:rowOff>142874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SpPr txBox="1"/>
      </xdr:nvSpPr>
      <xdr:spPr>
        <a:xfrm>
          <a:off x="8524875" y="114299"/>
          <a:ext cx="1695450" cy="333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7030A0"/>
  </sheetPr>
  <dimension ref="A1:K35"/>
  <sheetViews>
    <sheetView tabSelected="1" topLeftCell="A31" zoomScaleNormal="100" workbookViewId="0">
      <selection activeCell="D29" sqref="D29"/>
    </sheetView>
  </sheetViews>
  <sheetFormatPr defaultColWidth="9" defaultRowHeight="24"/>
  <cols>
    <col min="1" max="1" width="5.5703125" style="1" customWidth="1"/>
    <col min="2" max="2" width="13.7109375" style="4" customWidth="1"/>
    <col min="3" max="3" width="28.5703125" style="4" customWidth="1"/>
    <col min="4" max="4" width="35" style="1" customWidth="1"/>
    <col min="5" max="5" width="7.42578125" style="1" customWidth="1"/>
    <col min="6" max="6" width="7.28515625" style="1" customWidth="1"/>
    <col min="7" max="7" width="13.28515625" style="1" customWidth="1"/>
    <col min="8" max="8" width="14.42578125" style="1" customWidth="1"/>
    <col min="9" max="9" width="10.7109375" style="1" customWidth="1"/>
    <col min="10" max="10" width="16" style="1" customWidth="1"/>
    <col min="11" max="11" width="12" style="1" customWidth="1"/>
    <col min="12" max="16384" width="9" style="1"/>
  </cols>
  <sheetData>
    <row r="1" spans="1:11">
      <c r="A1" s="11" t="s">
        <v>3</v>
      </c>
      <c r="B1" s="11"/>
      <c r="C1" s="11"/>
      <c r="D1" s="11"/>
      <c r="E1" s="11"/>
      <c r="F1" s="11"/>
      <c r="G1" s="11"/>
      <c r="H1" s="11"/>
      <c r="I1" s="11"/>
    </row>
    <row r="2" spans="1:11">
      <c r="A2" s="11" t="s">
        <v>56</v>
      </c>
      <c r="B2" s="11"/>
      <c r="C2" s="11"/>
      <c r="D2" s="11"/>
      <c r="E2" s="11"/>
      <c r="F2" s="11"/>
      <c r="G2" s="11"/>
      <c r="H2" s="11"/>
      <c r="I2" s="11"/>
    </row>
    <row r="3" spans="1:11">
      <c r="A3" s="12" t="s">
        <v>60</v>
      </c>
      <c r="B3" s="12"/>
      <c r="C3" s="12"/>
      <c r="D3" s="12"/>
      <c r="E3" s="12"/>
      <c r="F3" s="12"/>
      <c r="G3" s="12"/>
      <c r="H3" s="12"/>
      <c r="I3" s="12"/>
    </row>
    <row r="4" spans="1:11" s="2" customFormat="1" ht="44.25" customHeight="1">
      <c r="A4" s="13" t="s">
        <v>49</v>
      </c>
      <c r="B4" s="13" t="s">
        <v>52</v>
      </c>
      <c r="C4" s="13" t="s">
        <v>53</v>
      </c>
      <c r="D4" s="14" t="s">
        <v>0</v>
      </c>
      <c r="E4" s="13" t="s">
        <v>50</v>
      </c>
      <c r="F4" s="14" t="s">
        <v>1</v>
      </c>
      <c r="G4" s="13" t="s">
        <v>51</v>
      </c>
      <c r="H4" s="13" t="s">
        <v>55</v>
      </c>
      <c r="I4" s="14" t="s">
        <v>2</v>
      </c>
    </row>
    <row r="5" spans="1:11" s="9" customFormat="1">
      <c r="A5" s="15">
        <v>1</v>
      </c>
      <c r="B5" s="15">
        <v>2549</v>
      </c>
      <c r="C5" s="16" t="s">
        <v>10</v>
      </c>
      <c r="D5" s="17" t="s">
        <v>25</v>
      </c>
      <c r="E5" s="18" t="s">
        <v>7</v>
      </c>
      <c r="F5" s="19">
        <v>1</v>
      </c>
      <c r="G5" s="20">
        <v>5900</v>
      </c>
      <c r="H5" s="20">
        <f>SUM(F5*G5)</f>
        <v>5900</v>
      </c>
      <c r="I5" s="15"/>
      <c r="K5" s="10"/>
    </row>
    <row r="6" spans="1:11">
      <c r="A6" s="21">
        <v>2</v>
      </c>
      <c r="B6" s="21">
        <v>2549</v>
      </c>
      <c r="C6" s="22" t="s">
        <v>11</v>
      </c>
      <c r="D6" s="23" t="s">
        <v>4</v>
      </c>
      <c r="E6" s="24" t="s">
        <v>7</v>
      </c>
      <c r="F6" s="25">
        <v>1</v>
      </c>
      <c r="G6" s="26">
        <v>2900</v>
      </c>
      <c r="H6" s="26">
        <f t="shared" ref="H6:H29" si="0">SUM(F6*G6)</f>
        <v>2900</v>
      </c>
      <c r="I6" s="21"/>
      <c r="K6" s="5"/>
    </row>
    <row r="7" spans="1:11" s="7" customFormat="1">
      <c r="A7" s="27">
        <v>3</v>
      </c>
      <c r="B7" s="27">
        <v>2549</v>
      </c>
      <c r="C7" s="22" t="s">
        <v>12</v>
      </c>
      <c r="D7" s="28" t="s">
        <v>26</v>
      </c>
      <c r="E7" s="24" t="s">
        <v>7</v>
      </c>
      <c r="F7" s="25">
        <v>1</v>
      </c>
      <c r="G7" s="29">
        <v>2800</v>
      </c>
      <c r="H7" s="26">
        <f t="shared" si="0"/>
        <v>2800</v>
      </c>
      <c r="I7" s="27"/>
      <c r="K7" s="8"/>
    </row>
    <row r="8" spans="1:11" s="9" customFormat="1">
      <c r="A8" s="15">
        <v>4</v>
      </c>
      <c r="B8" s="15">
        <v>2549</v>
      </c>
      <c r="C8" s="16" t="s">
        <v>13</v>
      </c>
      <c r="D8" s="30" t="s">
        <v>27</v>
      </c>
      <c r="E8" s="18" t="s">
        <v>7</v>
      </c>
      <c r="F8" s="19">
        <v>1</v>
      </c>
      <c r="G8" s="31">
        <v>900</v>
      </c>
      <c r="H8" s="20">
        <f t="shared" si="0"/>
        <v>900</v>
      </c>
      <c r="I8" s="15"/>
      <c r="K8" s="10"/>
    </row>
    <row r="9" spans="1:11" s="9" customFormat="1">
      <c r="A9" s="15">
        <v>5</v>
      </c>
      <c r="B9" s="15">
        <v>2549</v>
      </c>
      <c r="C9" s="16" t="s">
        <v>14</v>
      </c>
      <c r="D9" s="30" t="s">
        <v>28</v>
      </c>
      <c r="E9" s="18" t="s">
        <v>7</v>
      </c>
      <c r="F9" s="19">
        <v>1</v>
      </c>
      <c r="G9" s="31">
        <v>1200</v>
      </c>
      <c r="H9" s="20">
        <f t="shared" si="0"/>
        <v>1200</v>
      </c>
      <c r="I9" s="15"/>
      <c r="K9" s="10"/>
    </row>
    <row r="10" spans="1:11" s="9" customFormat="1">
      <c r="A10" s="15">
        <v>6</v>
      </c>
      <c r="B10" s="15">
        <v>2549</v>
      </c>
      <c r="C10" s="16" t="s">
        <v>15</v>
      </c>
      <c r="D10" s="30" t="s">
        <v>29</v>
      </c>
      <c r="E10" s="18" t="s">
        <v>7</v>
      </c>
      <c r="F10" s="19">
        <v>1</v>
      </c>
      <c r="G10" s="31">
        <v>2900</v>
      </c>
      <c r="H10" s="20">
        <f t="shared" si="0"/>
        <v>2900</v>
      </c>
      <c r="I10" s="15"/>
      <c r="K10" s="10"/>
    </row>
    <row r="11" spans="1:11" s="9" customFormat="1">
      <c r="A11" s="15">
        <v>7</v>
      </c>
      <c r="B11" s="15">
        <v>2549</v>
      </c>
      <c r="C11" s="16" t="s">
        <v>16</v>
      </c>
      <c r="D11" s="30" t="s">
        <v>30</v>
      </c>
      <c r="E11" s="18" t="s">
        <v>7</v>
      </c>
      <c r="F11" s="19">
        <v>1</v>
      </c>
      <c r="G11" s="31">
        <v>1200</v>
      </c>
      <c r="H11" s="20">
        <f t="shared" si="0"/>
        <v>1200</v>
      </c>
      <c r="I11" s="15"/>
      <c r="K11" s="10"/>
    </row>
    <row r="12" spans="1:11">
      <c r="A12" s="21">
        <v>8</v>
      </c>
      <c r="B12" s="21">
        <v>2549</v>
      </c>
      <c r="C12" s="22" t="s">
        <v>17</v>
      </c>
      <c r="D12" s="28" t="s">
        <v>31</v>
      </c>
      <c r="E12" s="24" t="s">
        <v>7</v>
      </c>
      <c r="F12" s="25">
        <v>1</v>
      </c>
      <c r="G12" s="29">
        <v>250</v>
      </c>
      <c r="H12" s="26">
        <f t="shared" si="0"/>
        <v>250</v>
      </c>
      <c r="I12" s="21"/>
      <c r="K12" s="5"/>
    </row>
    <row r="13" spans="1:11" s="9" customFormat="1">
      <c r="A13" s="15">
        <v>9</v>
      </c>
      <c r="B13" s="15">
        <v>2549</v>
      </c>
      <c r="C13" s="16" t="s">
        <v>18</v>
      </c>
      <c r="D13" s="17" t="s">
        <v>32</v>
      </c>
      <c r="E13" s="18" t="s">
        <v>6</v>
      </c>
      <c r="F13" s="19">
        <v>6</v>
      </c>
      <c r="G13" s="20">
        <v>500</v>
      </c>
      <c r="H13" s="20">
        <f t="shared" si="0"/>
        <v>3000</v>
      </c>
      <c r="I13" s="15"/>
      <c r="K13" s="10"/>
    </row>
    <row r="14" spans="1:11" s="9" customFormat="1">
      <c r="A14" s="15">
        <v>10</v>
      </c>
      <c r="B14" s="15">
        <v>2549</v>
      </c>
      <c r="C14" s="16" t="s">
        <v>19</v>
      </c>
      <c r="D14" s="17" t="s">
        <v>58</v>
      </c>
      <c r="E14" s="18" t="s">
        <v>6</v>
      </c>
      <c r="F14" s="19">
        <v>1</v>
      </c>
      <c r="G14" s="20">
        <v>600</v>
      </c>
      <c r="H14" s="20">
        <f t="shared" si="0"/>
        <v>600</v>
      </c>
      <c r="I14" s="15"/>
      <c r="K14" s="10"/>
    </row>
    <row r="15" spans="1:11" s="9" customFormat="1">
      <c r="A15" s="15">
        <v>11</v>
      </c>
      <c r="B15" s="15">
        <v>2549</v>
      </c>
      <c r="C15" s="16" t="s">
        <v>19</v>
      </c>
      <c r="D15" s="17" t="s">
        <v>57</v>
      </c>
      <c r="E15" s="18" t="s">
        <v>6</v>
      </c>
      <c r="F15" s="19">
        <v>1</v>
      </c>
      <c r="G15" s="20">
        <v>500</v>
      </c>
      <c r="H15" s="20">
        <f t="shared" si="0"/>
        <v>500</v>
      </c>
      <c r="I15" s="15"/>
      <c r="K15" s="10"/>
    </row>
    <row r="16" spans="1:11" s="9" customFormat="1">
      <c r="A16" s="15">
        <v>12</v>
      </c>
      <c r="B16" s="15">
        <v>2549</v>
      </c>
      <c r="C16" s="16" t="s">
        <v>19</v>
      </c>
      <c r="D16" s="17" t="s">
        <v>33</v>
      </c>
      <c r="E16" s="18" t="s">
        <v>6</v>
      </c>
      <c r="F16" s="19">
        <v>1</v>
      </c>
      <c r="G16" s="32">
        <v>500</v>
      </c>
      <c r="H16" s="20">
        <f t="shared" si="0"/>
        <v>500</v>
      </c>
      <c r="I16" s="15"/>
      <c r="K16" s="10"/>
    </row>
    <row r="17" spans="1:11" s="9" customFormat="1">
      <c r="A17" s="15">
        <v>13</v>
      </c>
      <c r="B17" s="15">
        <v>2549</v>
      </c>
      <c r="C17" s="16" t="s">
        <v>19</v>
      </c>
      <c r="D17" s="17" t="s">
        <v>34</v>
      </c>
      <c r="E17" s="18" t="s">
        <v>6</v>
      </c>
      <c r="F17" s="19">
        <v>1</v>
      </c>
      <c r="G17" s="20">
        <v>400</v>
      </c>
      <c r="H17" s="20">
        <f t="shared" si="0"/>
        <v>400</v>
      </c>
      <c r="I17" s="15"/>
      <c r="K17" s="10"/>
    </row>
    <row r="18" spans="1:11">
      <c r="A18" s="21">
        <v>14</v>
      </c>
      <c r="B18" s="21">
        <v>2553</v>
      </c>
      <c r="C18" s="33" t="s">
        <v>20</v>
      </c>
      <c r="D18" s="34" t="s">
        <v>35</v>
      </c>
      <c r="E18" s="24" t="s">
        <v>6</v>
      </c>
      <c r="F18" s="25">
        <v>1</v>
      </c>
      <c r="G18" s="35">
        <v>900</v>
      </c>
      <c r="H18" s="26">
        <f t="shared" si="0"/>
        <v>900</v>
      </c>
      <c r="I18" s="21"/>
      <c r="K18" s="5"/>
    </row>
    <row r="19" spans="1:11">
      <c r="A19" s="21">
        <v>15</v>
      </c>
      <c r="B19" s="21">
        <v>2553</v>
      </c>
      <c r="C19" s="22" t="s">
        <v>21</v>
      </c>
      <c r="D19" s="23" t="s">
        <v>36</v>
      </c>
      <c r="E19" s="24" t="s">
        <v>6</v>
      </c>
      <c r="F19" s="25">
        <v>1</v>
      </c>
      <c r="G19" s="26">
        <v>1100</v>
      </c>
      <c r="H19" s="26">
        <f t="shared" si="0"/>
        <v>1100</v>
      </c>
      <c r="I19" s="21"/>
      <c r="K19" s="5"/>
    </row>
    <row r="20" spans="1:11">
      <c r="A20" s="21">
        <v>16</v>
      </c>
      <c r="B20" s="21">
        <v>2553</v>
      </c>
      <c r="C20" s="22" t="s">
        <v>22</v>
      </c>
      <c r="D20" s="23" t="s">
        <v>37</v>
      </c>
      <c r="E20" s="24" t="s">
        <v>6</v>
      </c>
      <c r="F20" s="25">
        <v>1</v>
      </c>
      <c r="G20" s="26">
        <v>3750</v>
      </c>
      <c r="H20" s="26">
        <f t="shared" si="0"/>
        <v>3750</v>
      </c>
      <c r="I20" s="21"/>
      <c r="K20" s="5"/>
    </row>
    <row r="21" spans="1:11" s="9" customFormat="1">
      <c r="A21" s="15">
        <v>17</v>
      </c>
      <c r="B21" s="15">
        <v>2553</v>
      </c>
      <c r="C21" s="16" t="s">
        <v>23</v>
      </c>
      <c r="D21" s="17" t="s">
        <v>8</v>
      </c>
      <c r="E21" s="18" t="s">
        <v>6</v>
      </c>
      <c r="F21" s="19">
        <v>1</v>
      </c>
      <c r="G21" s="20">
        <v>5350</v>
      </c>
      <c r="H21" s="20">
        <f t="shared" si="0"/>
        <v>5350</v>
      </c>
      <c r="I21" s="15"/>
      <c r="K21" s="10"/>
    </row>
    <row r="22" spans="1:11" s="9" customFormat="1">
      <c r="A22" s="15">
        <v>18</v>
      </c>
      <c r="B22" s="15">
        <v>2553</v>
      </c>
      <c r="C22" s="16" t="s">
        <v>24</v>
      </c>
      <c r="D22" s="17" t="s">
        <v>9</v>
      </c>
      <c r="E22" s="18" t="s">
        <v>6</v>
      </c>
      <c r="F22" s="19">
        <v>1</v>
      </c>
      <c r="G22" s="20">
        <v>17000</v>
      </c>
      <c r="H22" s="20">
        <f t="shared" si="0"/>
        <v>17000</v>
      </c>
      <c r="I22" s="15"/>
      <c r="K22" s="10"/>
    </row>
    <row r="23" spans="1:11">
      <c r="A23" s="21">
        <v>19</v>
      </c>
      <c r="B23" s="36">
        <v>22128</v>
      </c>
      <c r="C23" s="37" t="s">
        <v>44</v>
      </c>
      <c r="D23" s="38" t="s">
        <v>5</v>
      </c>
      <c r="E23" s="21" t="s">
        <v>7</v>
      </c>
      <c r="F23" s="25">
        <v>1</v>
      </c>
      <c r="G23" s="39">
        <v>45900</v>
      </c>
      <c r="H23" s="26">
        <f t="shared" si="0"/>
        <v>45900</v>
      </c>
      <c r="I23" s="21"/>
      <c r="K23" s="5"/>
    </row>
    <row r="24" spans="1:11">
      <c r="A24" s="21">
        <v>20</v>
      </c>
      <c r="B24" s="36">
        <v>22128</v>
      </c>
      <c r="C24" s="37" t="s">
        <v>45</v>
      </c>
      <c r="D24" s="38" t="s">
        <v>38</v>
      </c>
      <c r="E24" s="21" t="s">
        <v>7</v>
      </c>
      <c r="F24" s="25">
        <v>1</v>
      </c>
      <c r="G24" s="39">
        <v>15700</v>
      </c>
      <c r="H24" s="26">
        <f t="shared" si="0"/>
        <v>15700</v>
      </c>
      <c r="I24" s="21"/>
      <c r="K24" s="5"/>
    </row>
    <row r="25" spans="1:11" s="9" customFormat="1">
      <c r="A25" s="15">
        <v>21</v>
      </c>
      <c r="B25" s="40">
        <v>22128</v>
      </c>
      <c r="C25" s="41" t="s">
        <v>46</v>
      </c>
      <c r="D25" s="42" t="s">
        <v>39</v>
      </c>
      <c r="E25" s="15" t="s">
        <v>7</v>
      </c>
      <c r="F25" s="19">
        <v>1</v>
      </c>
      <c r="G25" s="32">
        <v>5900</v>
      </c>
      <c r="H25" s="20">
        <f t="shared" si="0"/>
        <v>5900</v>
      </c>
      <c r="I25" s="15"/>
      <c r="K25" s="10"/>
    </row>
    <row r="26" spans="1:11">
      <c r="A26" s="21">
        <v>22</v>
      </c>
      <c r="B26" s="36">
        <v>22128</v>
      </c>
      <c r="C26" s="37" t="s">
        <v>47</v>
      </c>
      <c r="D26" s="38" t="s">
        <v>40</v>
      </c>
      <c r="E26" s="21" t="s">
        <v>7</v>
      </c>
      <c r="F26" s="25">
        <v>1</v>
      </c>
      <c r="G26" s="39">
        <v>19900</v>
      </c>
      <c r="H26" s="26">
        <f t="shared" si="0"/>
        <v>19900</v>
      </c>
      <c r="I26" s="21"/>
      <c r="K26" s="5"/>
    </row>
    <row r="27" spans="1:11">
      <c r="A27" s="21">
        <v>23</v>
      </c>
      <c r="B27" s="36">
        <v>22128</v>
      </c>
      <c r="C27" s="37" t="s">
        <v>48</v>
      </c>
      <c r="D27" s="38" t="s">
        <v>41</v>
      </c>
      <c r="E27" s="21" t="s">
        <v>7</v>
      </c>
      <c r="F27" s="25">
        <v>1</v>
      </c>
      <c r="G27" s="26">
        <v>3900</v>
      </c>
      <c r="H27" s="26">
        <f t="shared" si="0"/>
        <v>3900</v>
      </c>
      <c r="I27" s="21"/>
      <c r="K27" s="5"/>
    </row>
    <row r="28" spans="1:11">
      <c r="A28" s="21">
        <v>24</v>
      </c>
      <c r="B28" s="36">
        <v>243350</v>
      </c>
      <c r="C28" s="37" t="s">
        <v>61</v>
      </c>
      <c r="D28" s="38" t="s">
        <v>62</v>
      </c>
      <c r="E28" s="21" t="s">
        <v>7</v>
      </c>
      <c r="F28" s="25">
        <v>1</v>
      </c>
      <c r="G28" s="26">
        <v>44100</v>
      </c>
      <c r="H28" s="26">
        <f t="shared" si="0"/>
        <v>44100</v>
      </c>
      <c r="I28" s="21"/>
      <c r="K28" s="5"/>
    </row>
    <row r="29" spans="1:11">
      <c r="A29" s="21">
        <v>25</v>
      </c>
      <c r="B29" s="36">
        <v>243350</v>
      </c>
      <c r="C29" s="37" t="s">
        <v>63</v>
      </c>
      <c r="D29" s="38" t="s">
        <v>64</v>
      </c>
      <c r="E29" s="21" t="s">
        <v>7</v>
      </c>
      <c r="F29" s="25">
        <v>1</v>
      </c>
      <c r="G29" s="26">
        <v>15900</v>
      </c>
      <c r="H29" s="26">
        <f t="shared" si="0"/>
        <v>15900</v>
      </c>
      <c r="I29" s="21"/>
      <c r="K29" s="5"/>
    </row>
    <row r="30" spans="1:11">
      <c r="A30" s="43" t="s">
        <v>54</v>
      </c>
      <c r="B30" s="44"/>
      <c r="C30" s="44"/>
      <c r="D30" s="44"/>
      <c r="E30" s="45"/>
      <c r="F30" s="46"/>
      <c r="G30" s="47"/>
      <c r="H30" s="47">
        <f>SUM(H5:H29)</f>
        <v>202450</v>
      </c>
      <c r="I30" s="48"/>
    </row>
    <row r="31" spans="1:11">
      <c r="A31" s="4"/>
      <c r="D31" s="4"/>
      <c r="E31" s="4"/>
      <c r="F31" s="3"/>
      <c r="G31" s="6"/>
      <c r="H31" s="6"/>
    </row>
    <row r="32" spans="1:11">
      <c r="A32" s="4"/>
      <c r="D32" s="4"/>
      <c r="E32" s="4"/>
      <c r="F32" s="3"/>
      <c r="G32" s="6"/>
      <c r="H32" s="6"/>
    </row>
    <row r="33" spans="6:10" ht="27.75" customHeight="1">
      <c r="F33" s="11" t="s">
        <v>42</v>
      </c>
      <c r="G33" s="11"/>
      <c r="H33" s="11"/>
      <c r="I33" s="11"/>
      <c r="J33" s="4"/>
    </row>
    <row r="34" spans="6:10">
      <c r="F34" s="11" t="s">
        <v>59</v>
      </c>
      <c r="G34" s="11"/>
      <c r="H34" s="11"/>
      <c r="I34" s="11"/>
      <c r="J34" s="4"/>
    </row>
    <row r="35" spans="6:10">
      <c r="F35" s="11" t="s">
        <v>43</v>
      </c>
      <c r="G35" s="11"/>
      <c r="H35" s="11"/>
      <c r="I35" s="11"/>
      <c r="J35" s="4"/>
    </row>
  </sheetData>
  <mergeCells count="7">
    <mergeCell ref="F33:I33"/>
    <mergeCell ref="F34:I34"/>
    <mergeCell ref="F35:I35"/>
    <mergeCell ref="A1:I1"/>
    <mergeCell ref="A2:I2"/>
    <mergeCell ref="A3:I3"/>
    <mergeCell ref="A30:E30"/>
  </mergeCells>
  <printOptions horizontalCentered="1"/>
  <pageMargins left="0.19685039370078741" right="0" top="0.59055118110236227" bottom="0.19685039370078741" header="0" footer="0"/>
  <pageSetup paperSize="9" scale="75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งานประชาสัมพันธ์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2022-10-07T07:00:03Z</cp:lastPrinted>
  <dcterms:created xsi:type="dcterms:W3CDTF">2017-11-14T01:32:33Z</dcterms:created>
  <dcterms:modified xsi:type="dcterms:W3CDTF">2023-10-18T03:06:34Z</dcterms:modified>
</cp:coreProperties>
</file>