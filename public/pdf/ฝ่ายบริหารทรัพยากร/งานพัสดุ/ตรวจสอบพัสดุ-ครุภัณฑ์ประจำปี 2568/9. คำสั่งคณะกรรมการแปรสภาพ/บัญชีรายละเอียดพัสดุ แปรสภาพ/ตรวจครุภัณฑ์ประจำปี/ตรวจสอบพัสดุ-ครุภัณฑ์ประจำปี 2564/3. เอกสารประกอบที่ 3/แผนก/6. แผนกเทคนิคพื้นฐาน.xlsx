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4\เอกสารประกอบที่ 3\แผนก\"/>
    </mc:Choice>
  </mc:AlternateContent>
  <xr:revisionPtr revIDLastSave="0" documentId="13_ncr:1_{BA918C5D-E478-4894-A764-837B566A436A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เทคนิคพื้นฐาน" sheetId="46" r:id="rId1"/>
  </sheets>
  <definedNames>
    <definedName name="_xlnm.Print_Titles" localSheetId="0">เทคนิคพื้นฐาน!$2:$5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8" i="46" l="1"/>
  <c r="K9" i="46"/>
  <c r="K10" i="46"/>
  <c r="K11" i="46"/>
  <c r="K12" i="46"/>
  <c r="K13" i="46"/>
  <c r="K14" i="46"/>
  <c r="K15" i="46"/>
  <c r="K16" i="46"/>
  <c r="K17" i="46"/>
  <c r="K18" i="46"/>
  <c r="K19" i="46" s="1"/>
  <c r="K7" i="46"/>
</calcChain>
</file>

<file path=xl/sharedStrings.xml><?xml version="1.0" encoding="utf-8"?>
<sst xmlns="http://schemas.openxmlformats.org/spreadsheetml/2006/main" count="88" uniqueCount="62">
  <si>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</si>
  <si>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</si>
  <si>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</si>
  <si>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</si>
  <si>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</si>
  <si>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</si>
  <si>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</si>
  <si>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</si>
  <si>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</si>
  <si>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</si>
  <si>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</si>
  <si>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</si>
  <si>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</si>
  <si>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</si>
  <si>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</si>
  <si>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</si>
  <si>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</si>
  <si>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</si>
  <si>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</si>
  <si>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</si>
  <si>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</si>
  <si>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>งปม.</t>
  </si>
  <si>
    <t>-</t>
  </si>
  <si>
    <t>3446-005-0001/391-001-004</t>
  </si>
  <si>
    <t>5110-001-0001/391-001</t>
  </si>
  <si>
    <t>เครื่องตัดเจาะระบบไฮดรอลิก</t>
  </si>
  <si>
    <t>6910-001-0002/391-001</t>
  </si>
  <si>
    <t>เครื่องมือและอุปกรณ์ทั่วไปประจำวิชางานฝึกฝีมือ</t>
  </si>
  <si>
    <t>7110-001-0001/391-001</t>
  </si>
  <si>
    <t>ตู้เหล็ก 2 บาน (PRERIDENT)</t>
  </si>
  <si>
    <t>บกศ.</t>
  </si>
  <si>
    <t>3416-001-0001/463-001</t>
  </si>
  <si>
    <t>เครื่องกลึงขนาดยันศูนย์เหนือแท่น 125 มม.</t>
  </si>
  <si>
    <t>บริจาค</t>
  </si>
  <si>
    <t>3416-001-0001/463-002</t>
  </si>
  <si>
    <t>2548</t>
  </si>
  <si>
    <t>5210-016-0001/482-001-006</t>
  </si>
  <si>
    <t>บรรทัดเส้นผม</t>
  </si>
  <si>
    <t>5210-016-0002/482-001-006</t>
  </si>
  <si>
    <t>ฉากเส้นผม</t>
  </si>
  <si>
    <t>4140-001-0002/482-004-0007</t>
  </si>
  <si>
    <t>พัดลมโรงงาน  18 นิ้ว</t>
  </si>
  <si>
    <t>2550</t>
  </si>
  <si>
    <t>7430-008-0001-502-015</t>
  </si>
  <si>
    <t>เครื่องปริ้นเตอร์ 1020</t>
  </si>
  <si>
    <t>7440-001-0001/502-508</t>
  </si>
  <si>
    <t>เครื่องคอมพิวเตอร์ HP</t>
  </si>
  <si>
    <t>ครุภัณฑ์ปฏิบัติการสาขางานเครื่องมือทั่วไป</t>
  </si>
  <si>
    <t>ประจำปี 2564 สิ้นงวดเมื่อวันที่ 30 กันยายน 2564 ของแผนกวิชาเทคนิคพื้นฐาน</t>
  </si>
  <si>
    <t>ฮาร์ตดิสก์ไหม้,การ์ดขยายไหม้</t>
  </si>
  <si>
    <t>หัวอ่านชำรุด,ตัวเครื่องแตก</t>
  </si>
  <si>
    <t>ทั่งตีเหล็กขนาด 50 กก.</t>
  </si>
  <si>
    <t>แตกเสียหาย,รูทั่งไม่เป็นรูป</t>
  </si>
  <si>
    <t>ว่าที่ร้อยเอก..........................................................</t>
  </si>
  <si>
    <t>(ว่าที่ร้อยเอกสายชล  ทองแป)</t>
  </si>
  <si>
    <t>แตกหัก</t>
  </si>
  <si>
    <t>ประตูพัง เป็นสนิม</t>
  </si>
  <si>
    <t>อุปกรณ์แตกหัก</t>
  </si>
  <si>
    <t>แตก ไม่มีคม</t>
  </si>
  <si>
    <t>ใบฉากไม่มีคม</t>
  </si>
  <si>
    <t xml:space="preserve">ใบพัดหัก,มอเตอร์ชำรุด เป็นสนิม  </t>
  </si>
  <si>
    <t>3419-0070001/551-001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</si>
</sst>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TH SarabunPSK"/>
      <family val="2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  <font>
      <sz val="14"/>
      <color theme="1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</cellStyleXfs>
  <cellXfs count="56">
    <xf numFmtId="0" fontId="0" fillId="0" borderId="0" xfId="0"/>
    <xf numFmtId="0" fontId="2" fillId="0" borderId="1" xfId="6" applyFont="1" applyBorder="1" applyAlignment="1">
      <alignment horizontal="left"/>
    </xf>
    <xf numFmtId="0" fontId="4" fillId="0" borderId="1" xfId="6" applyFont="1" applyBorder="1"/>
    <xf numFmtId="0" fontId="5" fillId="0" borderId="0" xfId="0" applyFont="1"/>
    <xf numFmtId="0" fontId="4" fillId="0" borderId="1" xfId="6" applyFont="1" applyBorder="1" applyAlignment="1">
      <alignment horizontal="left"/>
    </xf>
    <xf numFmtId="0" fontId="4" fillId="0" borderId="1" xfId="2" applyFont="1" applyBorder="1" applyAlignment="1">
      <alignment horizontal="center"/>
    </xf>
    <xf numFmtId="0" fontId="4" fillId="0" borderId="1" xfId="6" applyFont="1" applyBorder="1" applyAlignment="1">
      <alignment horizontal="center"/>
    </xf>
    <xf numFmtId="43" fontId="4" fillId="0" borderId="1" xfId="1" applyFont="1" applyBorder="1"/>
    <xf numFmtId="49" fontId="4" fillId="0" borderId="1" xfId="0" applyNumberFormat="1" applyFont="1" applyBorder="1" applyAlignment="1">
      <alignment horizontal="center"/>
    </xf>
    <xf numFmtId="0" fontId="5" fillId="0" borderId="0" xfId="0" applyFont="1" applyBorder="1"/>
    <xf numFmtId="49" fontId="4" fillId="0" borderId="1" xfId="7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49" fontId="4" fillId="0" borderId="1" xfId="13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Border="1" applyAlignment="1"/>
    <xf numFmtId="43" fontId="5" fillId="0" borderId="0" xfId="0" applyNumberFormat="1" applyFont="1" applyBorder="1" applyAlignment="1"/>
    <xf numFmtId="0" fontId="4" fillId="0" borderId="0" xfId="2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43" fontId="5" fillId="0" borderId="6" xfId="0" applyNumberFormat="1" applyFont="1" applyBorder="1" applyAlignment="1"/>
    <xf numFmtId="0" fontId="5" fillId="0" borderId="6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5" fillId="0" borderId="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0" fontId="4" fillId="0" borderId="1" xfId="2" quotePrefix="1" applyFont="1" applyBorder="1" applyAlignment="1">
      <alignment horizontal="center"/>
    </xf>
    <xf numFmtId="43" fontId="2" fillId="0" borderId="1" xfId="12" applyNumberFormat="1" applyFont="1" applyBorder="1" applyAlignment="1">
      <alignment horizontal="left"/>
    </xf>
    <xf numFmtId="43" fontId="2" fillId="0" borderId="1" xfId="12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4" fillId="0" borderId="5" xfId="6" applyFont="1" applyBorder="1" applyAlignment="1">
      <alignment horizontal="left"/>
    </xf>
    <xf numFmtId="0" fontId="4" fillId="0" borderId="5" xfId="6" applyFont="1" applyBorder="1"/>
    <xf numFmtId="0" fontId="4" fillId="0" borderId="5" xfId="2" applyFont="1" applyBorder="1" applyAlignment="1">
      <alignment horizontal="center"/>
    </xf>
    <xf numFmtId="0" fontId="4" fillId="0" borderId="5" xfId="6" applyFont="1" applyBorder="1" applyAlignment="1">
      <alignment horizontal="center"/>
    </xf>
    <xf numFmtId="43" fontId="4" fillId="0" borderId="5" xfId="1" applyFont="1" applyBorder="1"/>
    <xf numFmtId="43" fontId="2" fillId="0" borderId="5" xfId="12" applyNumberFormat="1" applyFont="1" applyBorder="1" applyAlignment="1">
      <alignment horizontal="left"/>
    </xf>
    <xf numFmtId="15" fontId="5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10" fillId="2" borderId="1" xfId="0" applyFont="1" applyFill="1" applyBorder="1" applyAlignment="1">
      <alignment horizontal="left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9" applyFont="1" applyAlignment="1">
      <alignment horizontal="center" vertical="center"/>
    </xf>
    <xf numFmtId="0" fontId="7" fillId="0" borderId="0" xfId="0" applyFont="1" applyBorder="1" applyAlignment="1" applyProtection="1">
      <alignment horizontal="center"/>
      <protection locked="0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1600200</xdr:colOff>
      <xdr:row>19</xdr:row>
      <xdr:rowOff>123826</xdr:rowOff>
    </xdr:from>
    <xdr:to>
      <xdr:col>11</xdr:col>
      <xdr:colOff>1905000</xdr:colOff>
      <xdr:row>24</xdr:row>
      <xdr:rowOff>66676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1710987" y="6853239"/>
          <a:ext cx="1476375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26"/>
  <sheetViews>
    <sheetView tabSelected="1" topLeftCell="A10" zoomScaleNormal="100" zoomScaleSheetLayoutView="98" workbookViewId="0">
      <selection activeCell="D23" sqref="D23"/>
    </sheetView>
  </sheetViews>
  <sheetFormatPr defaultColWidth="9" defaultRowHeight="24"/>
  <cols>
    <col min="1" max="1" width="6.42578125" style="3" customWidth="1"/>
    <col min="2" max="2" width="10.42578125" style="26" customWidth="1"/>
    <col min="3" max="3" width="31.42578125" style="17" customWidth="1"/>
    <col min="4" max="4" width="41.5703125" style="3" customWidth="1"/>
    <col min="5" max="5" width="8.42578125" style="3" customWidth="1"/>
    <col min="6" max="6" width="10.140625" style="3" customWidth="1"/>
    <col min="7" max="7" width="7.42578125" style="3" customWidth="1"/>
    <col min="8" max="9" width="8" style="3" customWidth="1"/>
    <col min="10" max="11" width="14.140625" style="3" customWidth="1"/>
    <col min="12" max="12" width="32.140625" style="26" customWidth="1"/>
    <col min="13" max="16384" width="9" style="3"/>
  </cols>
  <sheetData>
    <row r="1" spans="1:12">
      <c r="L1" s="24" t="s">
        <v>20</v>
      </c>
    </row>
    <row r="2" spans="1:12">
      <c r="A2" s="47" t="s">
        <v>6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spans="1:12">
      <c r="A3" s="48" t="s">
        <v>7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</row>
    <row r="4" spans="1:12">
      <c r="A4" s="49" t="s">
        <v>48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</row>
    <row r="5" spans="1:12" ht="28.5" customHeight="1">
      <c r="A5" s="41" t="s">
        <v>8</v>
      </c>
      <c r="B5" s="41" t="s">
        <v>19</v>
      </c>
      <c r="C5" s="41" t="s">
        <v>16</v>
      </c>
      <c r="D5" s="50" t="s">
        <v>0</v>
      </c>
      <c r="E5" s="41" t="s">
        <v>11</v>
      </c>
      <c r="F5" s="41" t="s">
        <v>10</v>
      </c>
      <c r="G5" s="52" t="s">
        <v>12</v>
      </c>
      <c r="H5" s="54" t="s">
        <v>1</v>
      </c>
      <c r="I5" s="55"/>
      <c r="J5" s="41" t="s">
        <v>15</v>
      </c>
      <c r="K5" s="41" t="s">
        <v>9</v>
      </c>
      <c r="L5" s="41" t="s">
        <v>14</v>
      </c>
    </row>
    <row r="6" spans="1:12" ht="45" customHeight="1">
      <c r="A6" s="42"/>
      <c r="B6" s="42"/>
      <c r="C6" s="42"/>
      <c r="D6" s="51"/>
      <c r="E6" s="42"/>
      <c r="F6" s="42"/>
      <c r="G6" s="53"/>
      <c r="H6" s="14" t="s">
        <v>13</v>
      </c>
      <c r="I6" s="13" t="s">
        <v>3</v>
      </c>
      <c r="J6" s="42"/>
      <c r="K6" s="42"/>
      <c r="L6" s="42"/>
    </row>
    <row r="7" spans="1:12">
      <c r="A7" s="15">
        <v>1</v>
      </c>
      <c r="B7" s="11">
        <v>2539</v>
      </c>
      <c r="C7" s="4" t="s">
        <v>23</v>
      </c>
      <c r="D7" s="2" t="s">
        <v>51</v>
      </c>
      <c r="E7" s="5" t="s">
        <v>21</v>
      </c>
      <c r="F7" s="5">
        <v>25</v>
      </c>
      <c r="G7" s="5" t="s">
        <v>22</v>
      </c>
      <c r="H7" s="5">
        <v>4</v>
      </c>
      <c r="I7" s="6">
        <v>2</v>
      </c>
      <c r="J7" s="7">
        <v>3000</v>
      </c>
      <c r="K7" s="7">
        <f>SUM(I7*J7)</f>
        <v>6000</v>
      </c>
      <c r="L7" s="29" t="s">
        <v>52</v>
      </c>
    </row>
    <row r="8" spans="1:12">
      <c r="A8" s="15">
        <v>2</v>
      </c>
      <c r="B8" s="11">
        <v>2539</v>
      </c>
      <c r="C8" s="4" t="s">
        <v>24</v>
      </c>
      <c r="D8" s="2" t="s">
        <v>25</v>
      </c>
      <c r="E8" s="5" t="s">
        <v>21</v>
      </c>
      <c r="F8" s="5">
        <v>25</v>
      </c>
      <c r="G8" s="5" t="s">
        <v>22</v>
      </c>
      <c r="H8" s="5">
        <v>1</v>
      </c>
      <c r="I8" s="6">
        <v>1</v>
      </c>
      <c r="J8" s="7">
        <v>99900</v>
      </c>
      <c r="K8" s="7">
        <f t="shared" ref="K8:K18" si="0">SUM(I8*J8)</f>
        <v>99900</v>
      </c>
      <c r="L8" s="29" t="s">
        <v>55</v>
      </c>
    </row>
    <row r="9" spans="1:12">
      <c r="A9" s="15">
        <v>3</v>
      </c>
      <c r="B9" s="11">
        <v>2539</v>
      </c>
      <c r="C9" s="4" t="s">
        <v>26</v>
      </c>
      <c r="D9" s="2" t="s">
        <v>27</v>
      </c>
      <c r="E9" s="5" t="s">
        <v>21</v>
      </c>
      <c r="F9" s="5">
        <v>25</v>
      </c>
      <c r="G9" s="5" t="s">
        <v>22</v>
      </c>
      <c r="H9" s="5">
        <v>1</v>
      </c>
      <c r="I9" s="6">
        <v>1</v>
      </c>
      <c r="J9" s="7">
        <v>69800</v>
      </c>
      <c r="K9" s="7">
        <f t="shared" si="0"/>
        <v>69800</v>
      </c>
      <c r="L9" s="29" t="s">
        <v>55</v>
      </c>
    </row>
    <row r="10" spans="1:12">
      <c r="A10" s="15">
        <v>4</v>
      </c>
      <c r="B10" s="11">
        <v>2539</v>
      </c>
      <c r="C10" s="4" t="s">
        <v>28</v>
      </c>
      <c r="D10" s="2" t="s">
        <v>29</v>
      </c>
      <c r="E10" s="28" t="s">
        <v>21</v>
      </c>
      <c r="F10" s="5">
        <v>25</v>
      </c>
      <c r="G10" s="5" t="s">
        <v>22</v>
      </c>
      <c r="H10" s="5">
        <v>1</v>
      </c>
      <c r="I10" s="6">
        <v>1</v>
      </c>
      <c r="J10" s="7">
        <v>2300</v>
      </c>
      <c r="K10" s="7">
        <f t="shared" si="0"/>
        <v>2300</v>
      </c>
      <c r="L10" s="29" t="s">
        <v>56</v>
      </c>
    </row>
    <row r="11" spans="1:12">
      <c r="A11" s="15">
        <v>5</v>
      </c>
      <c r="B11" s="11">
        <v>2546</v>
      </c>
      <c r="C11" s="4" t="s">
        <v>31</v>
      </c>
      <c r="D11" s="2" t="s">
        <v>32</v>
      </c>
      <c r="E11" s="5" t="s">
        <v>33</v>
      </c>
      <c r="F11" s="5">
        <v>18</v>
      </c>
      <c r="G11" s="5" t="s">
        <v>22</v>
      </c>
      <c r="H11" s="5">
        <v>1</v>
      </c>
      <c r="I11" s="6">
        <v>1</v>
      </c>
      <c r="J11" s="7">
        <v>69950</v>
      </c>
      <c r="K11" s="7">
        <f t="shared" si="0"/>
        <v>69950</v>
      </c>
      <c r="L11" s="29" t="s">
        <v>57</v>
      </c>
    </row>
    <row r="12" spans="1:12">
      <c r="A12" s="15">
        <v>6</v>
      </c>
      <c r="B12" s="11">
        <v>2546</v>
      </c>
      <c r="C12" s="4" t="s">
        <v>34</v>
      </c>
      <c r="D12" s="2" t="s">
        <v>32</v>
      </c>
      <c r="E12" s="5" t="s">
        <v>33</v>
      </c>
      <c r="F12" s="5">
        <v>18</v>
      </c>
      <c r="G12" s="5" t="s">
        <v>22</v>
      </c>
      <c r="H12" s="5">
        <v>1</v>
      </c>
      <c r="I12" s="6">
        <v>1</v>
      </c>
      <c r="J12" s="7">
        <v>86000</v>
      </c>
      <c r="K12" s="7">
        <f t="shared" si="0"/>
        <v>86000</v>
      </c>
      <c r="L12" s="29" t="s">
        <v>57</v>
      </c>
    </row>
    <row r="13" spans="1:12">
      <c r="A13" s="15">
        <v>7</v>
      </c>
      <c r="B13" s="8" t="s">
        <v>35</v>
      </c>
      <c r="C13" s="4" t="s">
        <v>36</v>
      </c>
      <c r="D13" s="2" t="s">
        <v>37</v>
      </c>
      <c r="E13" s="5" t="s">
        <v>30</v>
      </c>
      <c r="F13" s="5">
        <v>16</v>
      </c>
      <c r="G13" s="5" t="s">
        <v>22</v>
      </c>
      <c r="H13" s="5">
        <v>6</v>
      </c>
      <c r="I13" s="6">
        <v>6</v>
      </c>
      <c r="J13" s="7">
        <v>1448.6</v>
      </c>
      <c r="K13" s="7">
        <f t="shared" si="0"/>
        <v>8691.5999999999985</v>
      </c>
      <c r="L13" s="29" t="s">
        <v>58</v>
      </c>
    </row>
    <row r="14" spans="1:12">
      <c r="A14" s="15">
        <v>8</v>
      </c>
      <c r="B14" s="10" t="s">
        <v>35</v>
      </c>
      <c r="C14" s="4" t="s">
        <v>38</v>
      </c>
      <c r="D14" s="1" t="s">
        <v>39</v>
      </c>
      <c r="E14" s="5" t="s">
        <v>30</v>
      </c>
      <c r="F14" s="5">
        <v>16</v>
      </c>
      <c r="G14" s="5" t="s">
        <v>22</v>
      </c>
      <c r="H14" s="5">
        <v>6</v>
      </c>
      <c r="I14" s="6">
        <v>6</v>
      </c>
      <c r="J14" s="7">
        <v>1635.51</v>
      </c>
      <c r="K14" s="7">
        <f t="shared" si="0"/>
        <v>9813.06</v>
      </c>
      <c r="L14" s="31" t="s">
        <v>59</v>
      </c>
    </row>
    <row r="15" spans="1:12">
      <c r="A15" s="15">
        <v>9</v>
      </c>
      <c r="B15" s="8" t="s">
        <v>35</v>
      </c>
      <c r="C15" s="4" t="s">
        <v>40</v>
      </c>
      <c r="D15" s="2" t="s">
        <v>41</v>
      </c>
      <c r="E15" s="5" t="s">
        <v>30</v>
      </c>
      <c r="F15" s="5">
        <v>16</v>
      </c>
      <c r="G15" s="5" t="s">
        <v>22</v>
      </c>
      <c r="H15" s="5">
        <v>4</v>
      </c>
      <c r="I15" s="6">
        <v>4</v>
      </c>
      <c r="J15" s="7">
        <v>1722</v>
      </c>
      <c r="K15" s="7">
        <f t="shared" si="0"/>
        <v>6888</v>
      </c>
      <c r="L15" s="29" t="s">
        <v>60</v>
      </c>
    </row>
    <row r="16" spans="1:12">
      <c r="A16" s="15">
        <v>10</v>
      </c>
      <c r="B16" s="12" t="s">
        <v>42</v>
      </c>
      <c r="C16" s="4" t="s">
        <v>43</v>
      </c>
      <c r="D16" s="2" t="s">
        <v>44</v>
      </c>
      <c r="E16" s="5" t="s">
        <v>30</v>
      </c>
      <c r="F16" s="5">
        <v>14</v>
      </c>
      <c r="G16" s="5" t="s">
        <v>22</v>
      </c>
      <c r="H16" s="5">
        <v>1</v>
      </c>
      <c r="I16" s="6">
        <v>1</v>
      </c>
      <c r="J16" s="7">
        <v>6000</v>
      </c>
      <c r="K16" s="7">
        <f t="shared" si="0"/>
        <v>6000</v>
      </c>
      <c r="L16" s="30" t="s">
        <v>50</v>
      </c>
    </row>
    <row r="17" spans="1:12">
      <c r="A17" s="15">
        <v>11</v>
      </c>
      <c r="B17" s="26">
        <v>2550</v>
      </c>
      <c r="C17" s="38" t="s">
        <v>45</v>
      </c>
      <c r="D17" s="2" t="s">
        <v>46</v>
      </c>
      <c r="E17" s="39" t="s">
        <v>30</v>
      </c>
      <c r="F17" s="39">
        <v>14</v>
      </c>
      <c r="G17" s="5" t="s">
        <v>22</v>
      </c>
      <c r="H17" s="39">
        <v>1</v>
      </c>
      <c r="I17" s="6">
        <v>1</v>
      </c>
      <c r="J17" s="7">
        <v>20000</v>
      </c>
      <c r="K17" s="7">
        <f t="shared" si="0"/>
        <v>20000</v>
      </c>
      <c r="L17" s="40" t="s">
        <v>49</v>
      </c>
    </row>
    <row r="18" spans="1:12" ht="24.75" thickBot="1">
      <c r="A18" s="15">
        <v>12</v>
      </c>
      <c r="B18" s="11">
        <v>2555</v>
      </c>
      <c r="C18" s="32" t="s">
        <v>61</v>
      </c>
      <c r="D18" s="33" t="s">
        <v>47</v>
      </c>
      <c r="E18" s="34" t="s">
        <v>21</v>
      </c>
      <c r="F18" s="34">
        <v>9</v>
      </c>
      <c r="G18" s="34" t="s">
        <v>22</v>
      </c>
      <c r="H18" s="34">
        <v>1</v>
      </c>
      <c r="I18" s="35">
        <v>1</v>
      </c>
      <c r="J18" s="36">
        <v>222453</v>
      </c>
      <c r="K18" s="7">
        <f t="shared" si="0"/>
        <v>222453</v>
      </c>
      <c r="L18" s="37" t="s">
        <v>55</v>
      </c>
    </row>
    <row r="19" spans="1:12" ht="24.75" thickBot="1">
      <c r="A19" s="43" t="s">
        <v>5</v>
      </c>
      <c r="B19" s="44"/>
      <c r="C19" s="44"/>
      <c r="D19" s="44"/>
      <c r="E19" s="44"/>
      <c r="F19" s="44"/>
      <c r="G19" s="44"/>
      <c r="H19" s="44"/>
      <c r="I19" s="44"/>
      <c r="J19" s="45"/>
      <c r="K19" s="22">
        <f>SUM(K7:K18)</f>
        <v>607795.65999999992</v>
      </c>
      <c r="L19" s="23"/>
    </row>
    <row r="20" spans="1:12" ht="24.75" thickTop="1">
      <c r="A20" s="27"/>
      <c r="B20" s="27"/>
      <c r="C20" s="27"/>
      <c r="D20" s="27"/>
      <c r="E20" s="27"/>
      <c r="F20" s="27"/>
      <c r="G20" s="27"/>
      <c r="H20" s="27"/>
      <c r="I20" s="20"/>
      <c r="J20" s="19"/>
      <c r="K20" s="19"/>
      <c r="L20" s="25"/>
    </row>
    <row r="21" spans="1:12">
      <c r="A21" s="9"/>
      <c r="B21" s="21" t="s">
        <v>2</v>
      </c>
      <c r="C21" s="16" t="s">
        <v>17</v>
      </c>
      <c r="D21" s="9"/>
      <c r="E21" s="9"/>
      <c r="F21" s="9"/>
      <c r="G21" s="9"/>
      <c r="H21" s="9"/>
      <c r="I21" s="20"/>
      <c r="J21" s="9"/>
      <c r="K21" s="9"/>
      <c r="L21" s="25"/>
    </row>
    <row r="22" spans="1:12">
      <c r="A22" s="9"/>
      <c r="B22" s="25"/>
      <c r="C22" s="16" t="s">
        <v>18</v>
      </c>
      <c r="D22" s="9"/>
      <c r="E22" s="9"/>
      <c r="F22" s="9"/>
      <c r="G22" s="9"/>
      <c r="H22" s="18"/>
      <c r="I22" s="18"/>
      <c r="J22" s="18"/>
      <c r="K22" s="18"/>
      <c r="L22" s="18"/>
    </row>
    <row r="23" spans="1:12">
      <c r="A23" s="9"/>
      <c r="B23" s="25"/>
      <c r="C23" s="16"/>
      <c r="D23" s="9"/>
      <c r="E23" s="9"/>
      <c r="F23" s="9"/>
      <c r="G23" s="9"/>
      <c r="H23" s="18"/>
      <c r="I23" s="18"/>
      <c r="J23" s="18"/>
      <c r="K23" s="18"/>
      <c r="L23" s="18"/>
    </row>
    <row r="24" spans="1:12">
      <c r="A24" s="9"/>
      <c r="B24" s="25"/>
      <c r="C24" s="16"/>
      <c r="D24" s="9"/>
      <c r="E24" s="9"/>
      <c r="F24" s="9"/>
      <c r="G24" s="9"/>
      <c r="H24" s="46" t="s">
        <v>53</v>
      </c>
      <c r="I24" s="46"/>
      <c r="J24" s="46"/>
      <c r="K24" s="46"/>
      <c r="L24" s="18"/>
    </row>
    <row r="25" spans="1:12">
      <c r="H25" s="46" t="s">
        <v>54</v>
      </c>
      <c r="I25" s="46"/>
      <c r="J25" s="46"/>
      <c r="K25" s="46"/>
    </row>
    <row r="26" spans="1:12">
      <c r="H26" s="46" t="s">
        <v>4</v>
      </c>
      <c r="I26" s="46"/>
      <c r="J26" s="46"/>
      <c r="K26" s="46"/>
    </row>
  </sheetData>
  <mergeCells count="18"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5:I5"/>
    <mergeCell ref="J5:J6"/>
    <mergeCell ref="K5:K6"/>
    <mergeCell ref="L5:L6"/>
    <mergeCell ref="A19:J19"/>
    <mergeCell ref="H24:K24"/>
    <mergeCell ref="H26:K26"/>
    <mergeCell ref="H25:K25"/>
  </mergeCells>
  <printOptions horizontalCentered="1"/>
  <pageMargins left="0.19685039370078741" right="0" top="0.59055118110236227" bottom="0.19685039370078741" header="0" footer="0"/>
  <pageSetup paperSize="9" scale="7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เทคนิคพื้นฐาน</vt:lpstr>
      <vt:lpstr>เทคนิคพื้นฐาน!Print_Titles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2021-10-26T03:46:41Z</cp:lastPrinted>
  <dcterms:created xsi:type="dcterms:W3CDTF">2017-11-14T01:32:33Z</dcterms:created>
  <dcterms:modified xsi:type="dcterms:W3CDTF">2022-06-07T03:06:41Z</dcterms:modified>
</cp:coreProperties>
</file>