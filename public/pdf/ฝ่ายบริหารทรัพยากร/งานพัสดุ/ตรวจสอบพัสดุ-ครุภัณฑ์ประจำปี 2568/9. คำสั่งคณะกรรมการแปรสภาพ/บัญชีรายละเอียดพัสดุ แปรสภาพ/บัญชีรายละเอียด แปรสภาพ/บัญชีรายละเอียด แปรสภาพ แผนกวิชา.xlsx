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9. คำสั่งคณะกรรมการแปรสภาพ\บัญชีรายละเอียดพัสดุ แปรสภาพ\บัญชีรายละเอียด แปรสภาพ\"/>
    </mc:Choice>
  </mc:AlternateContent>
  <xr:revisionPtr revIDLastSave="0" documentId="13_ncr:1_{D753040C-D923-437E-A069-3BAD9D1FE150}" xr6:coauthVersionLast="46" xr6:coauthVersionMax="47" xr10:uidLastSave="{00000000-0000-0000-0000-000000000000}"/>
  <bookViews>
    <workbookView xWindow="-120" yWindow="-120" windowWidth="20730" windowHeight="11310" activeTab="2" xr2:uid="{CF0E813D-18DF-4A2E-9ED1-C0D71ADF5846}"/>
  </bookViews>
  <sheets>
    <sheet name="ช่างเชื่อม" sheetId="9" r:id="rId1"/>
    <sheet name="การตลาด" sheetId="11" r:id="rId2"/>
    <sheet name="บัญชี" sheetId="12" r:id="rId3"/>
    <sheet name="สามัญ" sheetId="1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1" l="1"/>
  <c r="E10" i="9"/>
  <c r="E7" i="13"/>
  <c r="E8" i="13"/>
  <c r="E6" i="13"/>
  <c r="E9" i="13" s="1"/>
  <c r="E7" i="12"/>
  <c r="E6" i="12"/>
  <c r="E8" i="12" s="1"/>
  <c r="E7" i="11"/>
  <c r="E8" i="11"/>
  <c r="E9" i="11"/>
  <c r="E10" i="11"/>
  <c r="E11" i="11"/>
  <c r="E6" i="11"/>
  <c r="E7" i="9"/>
  <c r="E8" i="9"/>
  <c r="E6" i="9"/>
</calcChain>
</file>

<file path=xl/sharedStrings.xml><?xml version="1.0" encoding="utf-8"?>
<sst xmlns="http://schemas.openxmlformats.org/spreadsheetml/2006/main" count="99" uniqueCount="45">
  <si>
    <t>ลำดับ
ที่</t>
  </si>
  <si>
    <t>จำนวน</t>
  </si>
  <si>
    <t>หมายเหตุ</t>
  </si>
  <si>
    <t xml:space="preserve">  วิทยาลัยเทคนิคกันทรลักษ์</t>
  </si>
  <si>
    <t>รายการ</t>
  </si>
  <si>
    <t>พัสดุที่ขอจำหน่าย</t>
  </si>
  <si>
    <t>ราคาต่อหน่วย</t>
  </si>
  <si>
    <t>ราคาซื้อ/ได้มา</t>
  </si>
  <si>
    <t>รวมเป็นเงินทั้งสิ้น</t>
  </si>
  <si>
    <t xml:space="preserve">    </t>
  </si>
  <si>
    <t xml:space="preserve">  </t>
  </si>
  <si>
    <t xml:space="preserve">      </t>
  </si>
  <si>
    <t xml:space="preserve">          </t>
  </si>
  <si>
    <t>แผนกวิชาช่างเชื่อมโลหะ</t>
  </si>
  <si>
    <t>แผนกวิชาการตลาด</t>
  </si>
  <si>
    <t>แผนกวิชาการบัญชี</t>
  </si>
  <si>
    <t xml:space="preserve">                                            (นายสมาน  คำขาว)</t>
  </si>
  <si>
    <t xml:space="preserve">                               (นายอาทร  ศรีมะณี)</t>
  </si>
  <si>
    <t xml:space="preserve">                                            (นางศิริรัตน์  คำเพราะ)</t>
  </si>
  <si>
    <t>บัญชีรายละเอียดพัสดุที่ขอจำหน่ายโดยวิธีแปรสภาพ ประจำปี 2568</t>
  </si>
  <si>
    <t>ชุดเชื่อมแก๊สแบบเคลื่อนที่พร้อมอุปกรณ์</t>
  </si>
  <si>
    <t>ชุดท่อบรรจุแก๊ส ออกซิเจนขนาด 40 ลิตร</t>
  </si>
  <si>
    <t>เครื่องไฟเบอร์ตัดเหล็ก winner แผ่นตัด 16'</t>
  </si>
  <si>
    <t>พร้อมมอเตอร์ฮิตาชิ ระบบไฟ 220 v2 เฟส</t>
  </si>
  <si>
    <t xml:space="preserve">                                                 (นายจักรกฤษณ์  พันธ์ศรี)</t>
  </si>
  <si>
    <t xml:space="preserve">                                                                      ลงชื่อ...........................................ประธานกรรมการ</t>
  </si>
  <si>
    <t xml:space="preserve">                                                               ลงชื่อ............................................กรรมการ</t>
  </si>
  <si>
    <t>เก้าอี้สำนักงาน (ขาเหล็ก)</t>
  </si>
  <si>
    <t>เครื่องโปรเจคเตอร์พร้อมจอรับภาพ</t>
  </si>
  <si>
    <t>Microphne (ไมโครโฟน)</t>
  </si>
  <si>
    <t>เครื่องพิมพ์เลเซอร์</t>
  </si>
  <si>
    <t>เครื่องคอมพิวเตอร์ All in one</t>
  </si>
  <si>
    <t>โต๊ะพับเอนกประสงค์</t>
  </si>
  <si>
    <t xml:space="preserve">                                                 (นางนงลักษณ์  ศรีชา)</t>
  </si>
  <si>
    <t xml:space="preserve">                                     (นางสาวฐิติชญา  ภิบาลวงษ์)</t>
  </si>
  <si>
    <t xml:space="preserve">                            (นายอาทร  ศรีมะณี)</t>
  </si>
  <si>
    <t>เก้าอี้สำนักงาน S-35 หนัง</t>
  </si>
  <si>
    <t>เครื่องพิมพ์ดีดไฟฟ้า</t>
  </si>
  <si>
    <t xml:space="preserve">                                                 (นางสาวเพ็ญธิดา  แก้วคำ)</t>
  </si>
  <si>
    <t>แป้นบาสพลาสติกทึบพร้อมห่วงตาข่าย</t>
  </si>
  <si>
    <t>Tv29w Lg</t>
  </si>
  <si>
    <t>ชุดปฏิบัติการทางภาษา</t>
  </si>
  <si>
    <t xml:space="preserve">                                                     (นางวีนัส สุวรรณ)</t>
  </si>
  <si>
    <t xml:space="preserve">                                          (นายบุญแต่ง  ป้อมหิน)</t>
  </si>
  <si>
    <t>แผนกวิชาสามัญสัมพันธ์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</si>
</sst>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b/>
      <sz val="14"/>
      <color theme="1"/>
      <name val="TH SarabunPSK"/>
      <family val="2"/>
    </font>
    <font>
      <b/>
      <sz val="14"/>
      <name val="TH SarabunPSK"/>
      <family val="2"/>
    </font>
    <font>
      <b/>
      <sz val="16"/>
      <color rgb="FFFF0000"/>
      <name val="TH SarabunPSK"/>
      <family val="2"/>
    </font>
    <font>
      <sz val="10"/>
      <name val="Arial"/>
      <family val="2"/>
    </font>
    <font>
      <sz val="16"/>
      <color theme="1"/>
      <name val="TH SarabunIT๙"/>
      <family val="2"/>
    </font>
    <font>
      <sz val="14"/>
      <name val="TH SarabunPSK"/>
      <family val="2"/>
    </font>
    <font>
      <b/>
      <sz val="14"/>
      <color theme="1"/>
      <name val="TH Sarabun New"/>
      <family val="2"/>
    </font>
    <font>
      <b/>
      <sz val="14"/>
      <name val="TH Sarabun New"/>
      <family val="2"/>
    </font>
    <font>
      <sz val="14"/>
      <color theme="1"/>
      <name val="TH Sarabun New"/>
      <family val="2"/>
    </font>
    <font>
      <sz val="14"/>
      <name val="TH Sarabun New"/>
      <family val="2"/>
    </font>
    <font>
      <sz val="14"/>
      <color rgb="FFFF0000"/>
      <name val="TH Sarabun New"/>
      <family val="2"/>
    </font>
    <font>
      <sz val="16"/>
      <color theme="1"/>
      <name val="TH SarabunIT๙"/>
      <family val="2"/>
      <charset val="222"/>
    </font>
    <font>
      <sz val="14"/>
      <color theme="1"/>
      <name val="TH SarabunPSK"/>
      <family val="2"/>
    </font>
    <font>
      <sz val="14"/>
      <color rgb="FFFF000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6" fillId="0" borderId="0"/>
  </cellStyleXfs>
  <cellXfs count="87">
    <xf numFmtId="0" fontId="0" fillId="0" borderId="0" xfId="0"/>
    <xf numFmtId="43" fontId="3" fillId="0" borderId="0" xfId="1" applyFont="1" applyBorder="1"/>
    <xf numFmtId="0" fontId="7" fillId="0" borderId="0" xfId="0" applyFont="1" applyAlignment="1">
      <alignment vertical="center"/>
    </xf>
    <xf numFmtId="0" fontId="7" fillId="0" borderId="0" xfId="0" applyFont="1"/>
    <xf numFmtId="0" fontId="4" fillId="2" borderId="0" xfId="0" applyFont="1" applyFill="1" applyAlignment="1">
      <alignment horizontal="center" vertical="center"/>
    </xf>
    <xf numFmtId="0" fontId="3" fillId="0" borderId="0" xfId="3" applyFont="1" applyAlignment="1">
      <alignment horizontal="right"/>
    </xf>
    <xf numFmtId="0" fontId="3" fillId="0" borderId="0" xfId="4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43" fontId="8" fillId="0" borderId="2" xfId="1" applyFont="1" applyBorder="1"/>
    <xf numFmtId="0" fontId="11" fillId="0" borderId="2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12" fillId="0" borderId="1" xfId="3" applyFont="1" applyBorder="1"/>
    <xf numFmtId="0" fontId="12" fillId="0" borderId="1" xfId="3" applyFont="1" applyBorder="1" applyAlignment="1">
      <alignment horizontal="center"/>
    </xf>
    <xf numFmtId="43" fontId="12" fillId="0" borderId="1" xfId="1" applyFont="1" applyBorder="1"/>
    <xf numFmtId="43" fontId="12" fillId="0" borderId="2" xfId="1" applyFont="1" applyBorder="1"/>
    <xf numFmtId="43" fontId="12" fillId="0" borderId="2" xfId="5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3" fontId="12" fillId="0" borderId="1" xfId="5" applyFont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11" fillId="0" borderId="1" xfId="3" applyFont="1" applyBorder="1" applyAlignment="1">
      <alignment horizontal="right"/>
    </xf>
    <xf numFmtId="0" fontId="11" fillId="0" borderId="1" xfId="4" applyFont="1" applyBorder="1" applyAlignment="1">
      <alignment horizontal="center"/>
    </xf>
    <xf numFmtId="43" fontId="11" fillId="0" borderId="1" xfId="1" applyFont="1" applyBorder="1"/>
    <xf numFmtId="0" fontId="13" fillId="0" borderId="1" xfId="0" applyFont="1" applyBorder="1" applyAlignment="1">
      <alignment horizontal="center"/>
    </xf>
    <xf numFmtId="0" fontId="14" fillId="0" borderId="0" xfId="0" applyFont="1" applyAlignment="1">
      <alignment horizontal="right" wrapText="1"/>
    </xf>
    <xf numFmtId="0" fontId="12" fillId="2" borderId="0" xfId="0" applyFont="1" applyFill="1" applyAlignment="1">
      <alignment horizontal="center" vertical="center"/>
    </xf>
    <xf numFmtId="0" fontId="11" fillId="0" borderId="0" xfId="3" applyFont="1" applyAlignment="1">
      <alignment horizontal="right"/>
    </xf>
    <xf numFmtId="0" fontId="11" fillId="0" borderId="0" xfId="4" applyFont="1" applyAlignment="1">
      <alignment horizontal="center"/>
    </xf>
    <xf numFmtId="43" fontId="11" fillId="0" borderId="0" xfId="1" applyFont="1" applyBorder="1"/>
    <xf numFmtId="0" fontId="13" fillId="0" borderId="0" xfId="0" applyFont="1" applyAlignment="1">
      <alignment horizontal="center"/>
    </xf>
    <xf numFmtId="43" fontId="12" fillId="0" borderId="1" xfId="1" applyFont="1" applyFill="1" applyBorder="1" applyAlignment="1">
      <alignment horizontal="center"/>
    </xf>
    <xf numFmtId="43" fontId="13" fillId="0" borderId="1" xfId="5" applyFont="1" applyBorder="1" applyAlignment="1">
      <alignment horizontal="center"/>
    </xf>
    <xf numFmtId="0" fontId="15" fillId="0" borderId="2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top"/>
    </xf>
    <xf numFmtId="43" fontId="15" fillId="0" borderId="2" xfId="1" applyFont="1" applyBorder="1" applyAlignment="1">
      <alignment horizontal="center" vertical="center" wrapText="1"/>
    </xf>
    <xf numFmtId="0" fontId="8" fillId="0" borderId="1" xfId="3" applyFont="1" applyBorder="1" applyAlignment="1">
      <alignment horizontal="left"/>
    </xf>
    <xf numFmtId="0" fontId="8" fillId="0" borderId="1" xfId="3" applyFont="1" applyBorder="1" applyAlignment="1">
      <alignment horizontal="center"/>
    </xf>
    <xf numFmtId="43" fontId="8" fillId="0" borderId="1" xfId="1" applyFont="1" applyBorder="1"/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43" fontId="8" fillId="0" borderId="2" xfId="5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3" fontId="8" fillId="0" borderId="1" xfId="5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15" fillId="0" borderId="1" xfId="3" applyFont="1" applyBorder="1" applyAlignment="1">
      <alignment horizontal="right"/>
    </xf>
    <xf numFmtId="0" fontId="15" fillId="0" borderId="1" xfId="4" applyFont="1" applyBorder="1" applyAlignment="1">
      <alignment horizontal="center"/>
    </xf>
    <xf numFmtId="43" fontId="15" fillId="0" borderId="1" xfId="1" applyFont="1" applyBorder="1"/>
    <xf numFmtId="0" fontId="16" fillId="0" borderId="1" xfId="0" applyFont="1" applyBorder="1" applyAlignment="1">
      <alignment horizontal="center"/>
    </xf>
    <xf numFmtId="43" fontId="11" fillId="0" borderId="8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/>
    </xf>
    <xf numFmtId="43" fontId="11" fillId="0" borderId="2" xfId="1" applyFont="1" applyBorder="1" applyAlignment="1">
      <alignment horizontal="center" vertical="center" wrapText="1"/>
    </xf>
    <xf numFmtId="0" fontId="12" fillId="0" borderId="1" xfId="3" applyFont="1" applyBorder="1" applyAlignment="1">
      <alignment horizontal="left"/>
    </xf>
    <xf numFmtId="43" fontId="12" fillId="0" borderId="1" xfId="1" applyFont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15" fillId="0" borderId="0" xfId="3" applyFont="1" applyAlignment="1">
      <alignment horizontal="right"/>
    </xf>
    <xf numFmtId="0" fontId="15" fillId="0" borderId="0" xfId="4" applyFont="1" applyAlignment="1">
      <alignment horizontal="center"/>
    </xf>
    <xf numFmtId="43" fontId="15" fillId="0" borderId="0" xfId="1" applyFont="1" applyBorder="1"/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left" wrapText="1" indent="17"/>
    </xf>
    <xf numFmtId="0" fontId="9" fillId="0" borderId="0" xfId="0" applyFont="1" applyAlignment="1">
      <alignment horizontal="center"/>
    </xf>
    <xf numFmtId="0" fontId="10" fillId="0" borderId="0" xfId="2" applyFont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3" xfId="0" applyFont="1" applyBorder="1" applyAlignment="1" applyProtection="1">
      <alignment horizontal="center"/>
      <protection locked="0"/>
    </xf>
    <xf numFmtId="0" fontId="11" fillId="0" borderId="5" xfId="0" applyFont="1" applyBorder="1" applyAlignment="1" applyProtection="1">
      <alignment horizontal="center"/>
      <protection locked="0"/>
    </xf>
    <xf numFmtId="0" fontId="11" fillId="0" borderId="4" xfId="0" applyFont="1" applyBorder="1" applyAlignment="1" applyProtection="1">
      <alignment horizontal="center"/>
      <protection locked="0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wrapText="1" indent="22"/>
    </xf>
    <xf numFmtId="0" fontId="14" fillId="0" borderId="0" xfId="0" applyFont="1" applyAlignment="1">
      <alignment horizontal="left" indent="14"/>
    </xf>
    <xf numFmtId="0" fontId="7" fillId="0" borderId="0" xfId="0" applyFont="1" applyAlignment="1">
      <alignment horizontal="left" wrapText="1" indent="17"/>
    </xf>
    <xf numFmtId="0" fontId="3" fillId="0" borderId="0" xfId="0" applyFont="1" applyAlignment="1">
      <alignment horizontal="center"/>
    </xf>
    <xf numFmtId="0" fontId="4" fillId="0" borderId="0" xfId="2" applyFont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3" xfId="0" applyFont="1" applyBorder="1" applyAlignment="1" applyProtection="1">
      <alignment horizontal="center"/>
      <protection locked="0"/>
    </xf>
    <xf numFmtId="0" fontId="15" fillId="0" borderId="5" xfId="0" applyFont="1" applyBorder="1" applyAlignment="1" applyProtection="1">
      <alignment horizontal="center"/>
      <protection locked="0"/>
    </xf>
    <xf numFmtId="0" fontId="15" fillId="0" borderId="4" xfId="0" applyFont="1" applyBorder="1" applyAlignment="1" applyProtection="1">
      <alignment horizontal="center"/>
      <protection locked="0"/>
    </xf>
  </cellXfs>
  <cellStyles count="9">
    <cellStyle name="Normal_ครุภัณฑ์ปี  2553" xfId="8" xr:uid="{AE646D44-086A-4056-B886-9CA6ADA7DB6B}"/>
    <cellStyle name="เครื่องหมายจุลภาค 9" xfId="5" xr:uid="{1D0711E8-16EE-4D82-809D-2FDF3B5CCD83}"/>
    <cellStyle name="จุลภาค" xfId="1" builtinId="3"/>
    <cellStyle name="ปกติ" xfId="0" builtinId="0"/>
    <cellStyle name="ปกติ 12" xfId="6" xr:uid="{5CB0AC1D-B084-42C6-A7E4-5321F2431771}"/>
    <cellStyle name="ปกติ 19" xfId="7" xr:uid="{4ED7F993-934E-4C72-B42E-8D2FE7D4001F}"/>
    <cellStyle name="ปกติ 21" xfId="4" xr:uid="{A0100C82-7B1C-4F86-91A6-76B37B5C5ECE}"/>
    <cellStyle name="ปกติ 3" xfId="2" xr:uid="{F7BBC10F-9414-411B-A731-ABE5E828FE8A}"/>
    <cellStyle name="ปกติ_รายการครุภัณฑ์ ปี 52 ที่แก้ไขเรียงลำดับใหม่ 23 ก.พ.53" xfId="3" xr:uid="{79606422-4B80-4AA1-83AD-343F71C750E8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FE309857-37D4-40AE-88EA-D3EFEDD3D421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A20AC5CE-44FA-4BB6-8003-7419FE2BE924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5510A881-33F3-4EBA-B12F-2D7E6F68B983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84EA87A0-0809-408A-BE8D-F89D96C506F0}"/>
            </a:ext>
          </a:extLst>
        </xdr:cNvPr>
        <xdr:cNvSpPr txBox="1"/>
      </xdr:nvSpPr>
      <xdr:spPr>
        <a:xfrm>
          <a:off x="6905625" y="266700"/>
          <a:ext cx="170497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93BF3-C30C-4769-90D8-7CA86533200E}">
  <dimension ref="A1:M21"/>
  <sheetViews>
    <sheetView workbookViewId="0">
      <selection activeCell="A13" sqref="A13:F13"/>
    </sheetView>
  </sheetViews>
  <sheetFormatPr defaultRowHeight="14.25" x14ac:dyDescent="0.2"/>
  <cols>
    <col min="1" max="1" width="5" customWidth="1"/>
    <col min="2" max="2" width="40" customWidth="1"/>
    <col min="3" max="3" width="6.125" customWidth="1"/>
    <col min="4" max="5" width="12.125" customWidth="1"/>
    <col min="6" max="6" width="8.75" customWidth="1"/>
  </cols>
  <sheetData>
    <row r="1" spans="1:13" ht="25.5" customHeight="1" x14ac:dyDescent="0.5">
      <c r="A1" s="65" t="s">
        <v>3</v>
      </c>
      <c r="B1" s="65"/>
      <c r="C1" s="65"/>
      <c r="D1" s="65"/>
      <c r="E1" s="65"/>
      <c r="F1" s="65"/>
    </row>
    <row r="2" spans="1:13" ht="25.5" customHeight="1" x14ac:dyDescent="0.2">
      <c r="A2" s="66" t="s">
        <v>19</v>
      </c>
      <c r="B2" s="66"/>
      <c r="C2" s="66"/>
      <c r="D2" s="66"/>
      <c r="E2" s="66"/>
      <c r="F2" s="66"/>
    </row>
    <row r="3" spans="1:13" ht="25.5" customHeight="1" x14ac:dyDescent="0.2">
      <c r="A3" s="66" t="s">
        <v>13</v>
      </c>
      <c r="B3" s="66"/>
      <c r="C3" s="66"/>
      <c r="D3" s="66"/>
      <c r="E3" s="66"/>
      <c r="F3" s="66"/>
    </row>
    <row r="4" spans="1:13" ht="21.75" customHeight="1" x14ac:dyDescent="0.5">
      <c r="A4" s="67" t="s">
        <v>0</v>
      </c>
      <c r="B4" s="69" t="s">
        <v>4</v>
      </c>
      <c r="C4" s="71" t="s">
        <v>5</v>
      </c>
      <c r="D4" s="72"/>
      <c r="E4" s="73"/>
      <c r="F4" s="67" t="s">
        <v>2</v>
      </c>
    </row>
    <row r="5" spans="1:13" ht="21.75" customHeight="1" x14ac:dyDescent="0.2">
      <c r="A5" s="68"/>
      <c r="B5" s="70"/>
      <c r="C5" s="12" t="s">
        <v>1</v>
      </c>
      <c r="D5" s="13" t="s">
        <v>6</v>
      </c>
      <c r="E5" s="14" t="s">
        <v>7</v>
      </c>
      <c r="F5" s="68"/>
    </row>
    <row r="6" spans="1:13" ht="21.75" customHeight="1" x14ac:dyDescent="0.5">
      <c r="A6" s="15">
        <v>1</v>
      </c>
      <c r="B6" s="16" t="s">
        <v>20</v>
      </c>
      <c r="C6" s="17">
        <v>4</v>
      </c>
      <c r="D6" s="18">
        <v>14980</v>
      </c>
      <c r="E6" s="19">
        <f>SUM(D6*C6)</f>
        <v>59920</v>
      </c>
      <c r="F6" s="20"/>
    </row>
    <row r="7" spans="1:13" ht="21.75" customHeight="1" x14ac:dyDescent="0.5">
      <c r="A7" s="21">
        <v>2</v>
      </c>
      <c r="B7" s="16" t="s">
        <v>21</v>
      </c>
      <c r="C7" s="17">
        <v>2</v>
      </c>
      <c r="D7" s="18">
        <v>4494</v>
      </c>
      <c r="E7" s="19">
        <f t="shared" ref="E7:E8" si="0">SUM(D7*C7)</f>
        <v>8988</v>
      </c>
      <c r="F7" s="22"/>
    </row>
    <row r="8" spans="1:13" ht="21.75" customHeight="1" x14ac:dyDescent="0.5">
      <c r="A8" s="15">
        <v>3</v>
      </c>
      <c r="B8" s="16" t="s">
        <v>22</v>
      </c>
      <c r="C8" s="17">
        <v>2</v>
      </c>
      <c r="D8" s="18">
        <v>19880</v>
      </c>
      <c r="E8" s="19">
        <f t="shared" si="0"/>
        <v>39760</v>
      </c>
      <c r="F8" s="22"/>
    </row>
    <row r="9" spans="1:13" ht="21.75" customHeight="1" x14ac:dyDescent="0.5">
      <c r="A9" s="21"/>
      <c r="B9" s="16" t="s">
        <v>23</v>
      </c>
      <c r="C9" s="17"/>
      <c r="D9" s="18"/>
      <c r="E9" s="19"/>
      <c r="F9" s="22"/>
    </row>
    <row r="10" spans="1:13" ht="21.75" customHeight="1" x14ac:dyDescent="0.5">
      <c r="A10" s="23"/>
      <c r="B10" s="24" t="s">
        <v>8</v>
      </c>
      <c r="C10" s="25"/>
      <c r="D10" s="26"/>
      <c r="E10" s="26">
        <f>SUM(E6:E9)</f>
        <v>108668</v>
      </c>
      <c r="F10" s="27"/>
    </row>
    <row r="11" spans="1:13" ht="21.75" customHeight="1" x14ac:dyDescent="0.5">
      <c r="A11" s="29"/>
      <c r="B11" s="30"/>
      <c r="C11" s="31"/>
      <c r="D11" s="32"/>
      <c r="E11" s="32"/>
      <c r="F11" s="33"/>
    </row>
    <row r="12" spans="1:13" ht="19.5" customHeight="1" x14ac:dyDescent="0.55000000000000004">
      <c r="A12" s="4"/>
      <c r="B12" s="5"/>
      <c r="C12" s="6"/>
      <c r="D12" s="1"/>
      <c r="E12" s="1"/>
      <c r="F12" s="7"/>
    </row>
    <row r="13" spans="1:13" ht="21.75" customHeight="1" x14ac:dyDescent="0.3">
      <c r="A13" s="74" t="s">
        <v>25</v>
      </c>
      <c r="B13" s="74"/>
      <c r="C13" s="74"/>
      <c r="D13" s="74"/>
      <c r="E13" s="74"/>
      <c r="F13" s="74"/>
    </row>
    <row r="14" spans="1:13" ht="21.75" customHeight="1" x14ac:dyDescent="0.3">
      <c r="A14" s="75" t="s">
        <v>17</v>
      </c>
      <c r="B14" s="75"/>
      <c r="C14" s="75"/>
      <c r="D14" s="75"/>
      <c r="E14" s="75"/>
      <c r="F14" s="75"/>
    </row>
    <row r="15" spans="1:13" ht="21.75" customHeight="1" x14ac:dyDescent="0.3">
      <c r="A15" s="28"/>
      <c r="B15" s="28"/>
      <c r="C15" s="28"/>
      <c r="D15" s="28"/>
      <c r="E15" s="28"/>
      <c r="F15" s="28"/>
      <c r="J15" s="2" t="s">
        <v>11</v>
      </c>
      <c r="M15" s="2" t="s">
        <v>9</v>
      </c>
    </row>
    <row r="16" spans="1:13" ht="21.75" customHeight="1" x14ac:dyDescent="0.3">
      <c r="A16" s="74" t="s">
        <v>26</v>
      </c>
      <c r="B16" s="74"/>
      <c r="C16" s="74"/>
      <c r="D16" s="74"/>
      <c r="E16" s="74"/>
      <c r="F16" s="74"/>
    </row>
    <row r="17" spans="1:13" ht="21.75" customHeight="1" x14ac:dyDescent="0.3">
      <c r="A17" s="76" t="s">
        <v>24</v>
      </c>
      <c r="B17" s="76"/>
      <c r="C17" s="76"/>
      <c r="D17" s="76"/>
      <c r="E17" s="76"/>
      <c r="F17" s="76"/>
    </row>
    <row r="18" spans="1:13" ht="21.75" customHeight="1" x14ac:dyDescent="0.3">
      <c r="A18" s="28"/>
      <c r="B18" s="28"/>
      <c r="C18" s="28"/>
      <c r="D18" s="28"/>
      <c r="E18" s="28"/>
      <c r="F18" s="28"/>
      <c r="J18" s="2"/>
      <c r="M18" s="2" t="s">
        <v>10</v>
      </c>
    </row>
    <row r="19" spans="1:13" ht="21.75" customHeight="1" x14ac:dyDescent="0.3">
      <c r="A19" s="74" t="s">
        <v>26</v>
      </c>
      <c r="B19" s="74"/>
      <c r="C19" s="74"/>
      <c r="D19" s="74"/>
      <c r="E19" s="74"/>
      <c r="F19" s="74"/>
      <c r="J19" s="2"/>
      <c r="M19" s="2"/>
    </row>
    <row r="20" spans="1:13" ht="21.75" customHeight="1" x14ac:dyDescent="0.3">
      <c r="A20" s="64" t="s">
        <v>16</v>
      </c>
      <c r="B20" s="64"/>
      <c r="C20" s="64"/>
      <c r="D20" s="64"/>
      <c r="E20" s="64"/>
      <c r="F20" s="64"/>
      <c r="G20" s="2"/>
      <c r="H20" s="2"/>
    </row>
    <row r="21" spans="1:13" ht="21.75" customHeight="1" x14ac:dyDescent="0.3">
      <c r="A21" s="8"/>
      <c r="B21" s="8"/>
      <c r="C21" s="8"/>
      <c r="D21" s="8"/>
      <c r="E21" s="8"/>
      <c r="F21" s="8"/>
      <c r="J21" s="3" t="s">
        <v>12</v>
      </c>
    </row>
  </sheetData>
  <mergeCells count="13">
    <mergeCell ref="A20:F20"/>
    <mergeCell ref="A1:F1"/>
    <mergeCell ref="A2:F2"/>
    <mergeCell ref="A3:F3"/>
    <mergeCell ref="A4:A5"/>
    <mergeCell ref="B4:B5"/>
    <mergeCell ref="C4:E4"/>
    <mergeCell ref="F4:F5"/>
    <mergeCell ref="A13:F13"/>
    <mergeCell ref="A14:F14"/>
    <mergeCell ref="A16:F16"/>
    <mergeCell ref="A17:F17"/>
    <mergeCell ref="A19:F19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49B0-F8AC-40A3-881B-1BA6FF5A746C}">
  <dimension ref="A1:M23"/>
  <sheetViews>
    <sheetView workbookViewId="0">
      <selection activeCell="I13" sqref="I13"/>
    </sheetView>
  </sheetViews>
  <sheetFormatPr defaultRowHeight="14.25" x14ac:dyDescent="0.2"/>
  <cols>
    <col min="1" max="1" width="5" customWidth="1"/>
    <col min="2" max="2" width="35.875" customWidth="1"/>
    <col min="3" max="3" width="6.125" customWidth="1"/>
    <col min="4" max="4" width="12.125" customWidth="1"/>
    <col min="5" max="5" width="13.125" customWidth="1"/>
    <col min="6" max="6" width="8.75" customWidth="1"/>
  </cols>
  <sheetData>
    <row r="1" spans="1:6" ht="25.5" customHeight="1" x14ac:dyDescent="0.5">
      <c r="A1" s="65" t="s">
        <v>3</v>
      </c>
      <c r="B1" s="65"/>
      <c r="C1" s="65"/>
      <c r="D1" s="65"/>
      <c r="E1" s="65"/>
      <c r="F1" s="65"/>
    </row>
    <row r="2" spans="1:6" ht="25.5" customHeight="1" x14ac:dyDescent="0.2">
      <c r="A2" s="66" t="s">
        <v>19</v>
      </c>
      <c r="B2" s="66"/>
      <c r="C2" s="66"/>
      <c r="D2" s="66"/>
      <c r="E2" s="66"/>
      <c r="F2" s="66"/>
    </row>
    <row r="3" spans="1:6" ht="25.5" customHeight="1" x14ac:dyDescent="0.2">
      <c r="A3" s="66" t="s">
        <v>14</v>
      </c>
      <c r="B3" s="66"/>
      <c r="C3" s="66"/>
      <c r="D3" s="66"/>
      <c r="E3" s="66"/>
      <c r="F3" s="66"/>
    </row>
    <row r="4" spans="1:6" ht="21.75" customHeight="1" x14ac:dyDescent="0.5">
      <c r="A4" s="67" t="s">
        <v>0</v>
      </c>
      <c r="B4" s="69" t="s">
        <v>4</v>
      </c>
      <c r="C4" s="71" t="s">
        <v>5</v>
      </c>
      <c r="D4" s="72"/>
      <c r="E4" s="73"/>
      <c r="F4" s="67" t="s">
        <v>2</v>
      </c>
    </row>
    <row r="5" spans="1:6" ht="21.75" customHeight="1" x14ac:dyDescent="0.2">
      <c r="A5" s="68"/>
      <c r="B5" s="70"/>
      <c r="C5" s="12" t="s">
        <v>1</v>
      </c>
      <c r="D5" s="13" t="s">
        <v>6</v>
      </c>
      <c r="E5" s="14" t="s">
        <v>7</v>
      </c>
      <c r="F5" s="68"/>
    </row>
    <row r="6" spans="1:6" ht="21.75" customHeight="1" x14ac:dyDescent="0.5">
      <c r="A6" s="15">
        <v>1</v>
      </c>
      <c r="B6" s="16" t="s">
        <v>27</v>
      </c>
      <c r="C6" s="17">
        <v>4</v>
      </c>
      <c r="D6" s="34">
        <v>1150</v>
      </c>
      <c r="E6" s="19">
        <f>SUM(D6*C6)</f>
        <v>4600</v>
      </c>
      <c r="F6" s="20"/>
    </row>
    <row r="7" spans="1:6" ht="21.75" customHeight="1" x14ac:dyDescent="0.5">
      <c r="A7" s="21">
        <v>2</v>
      </c>
      <c r="B7" s="16" t="s">
        <v>28</v>
      </c>
      <c r="C7" s="17">
        <v>1</v>
      </c>
      <c r="D7" s="34">
        <v>32000</v>
      </c>
      <c r="E7" s="19">
        <f t="shared" ref="E7:E11" si="0">SUM(D7*C7)</f>
        <v>32000</v>
      </c>
      <c r="F7" s="22"/>
    </row>
    <row r="8" spans="1:6" ht="21.75" customHeight="1" x14ac:dyDescent="0.5">
      <c r="A8" s="15">
        <v>3</v>
      </c>
      <c r="B8" s="16" t="s">
        <v>29</v>
      </c>
      <c r="C8" s="17">
        <v>1</v>
      </c>
      <c r="D8" s="34">
        <v>1850</v>
      </c>
      <c r="E8" s="19">
        <f t="shared" si="0"/>
        <v>1850</v>
      </c>
      <c r="F8" s="22"/>
    </row>
    <row r="9" spans="1:6" ht="21.75" customHeight="1" x14ac:dyDescent="0.5">
      <c r="A9" s="21">
        <v>4</v>
      </c>
      <c r="B9" s="16" t="s">
        <v>30</v>
      </c>
      <c r="C9" s="17">
        <v>1</v>
      </c>
      <c r="D9" s="34">
        <v>2690</v>
      </c>
      <c r="E9" s="19">
        <f t="shared" si="0"/>
        <v>2690</v>
      </c>
      <c r="F9" s="22"/>
    </row>
    <row r="10" spans="1:6" ht="21.75" customHeight="1" x14ac:dyDescent="0.5">
      <c r="A10" s="15">
        <v>5</v>
      </c>
      <c r="B10" s="16" t="s">
        <v>31</v>
      </c>
      <c r="C10" s="17">
        <v>2</v>
      </c>
      <c r="D10" s="34">
        <v>20000</v>
      </c>
      <c r="E10" s="19">
        <f t="shared" si="0"/>
        <v>40000</v>
      </c>
      <c r="F10" s="35"/>
    </row>
    <row r="11" spans="1:6" ht="21.75" customHeight="1" x14ac:dyDescent="0.5">
      <c r="A11" s="21">
        <v>6</v>
      </c>
      <c r="B11" s="16" t="s">
        <v>32</v>
      </c>
      <c r="C11" s="17">
        <v>27</v>
      </c>
      <c r="D11" s="34">
        <v>1350</v>
      </c>
      <c r="E11" s="19">
        <f t="shared" si="0"/>
        <v>36450</v>
      </c>
      <c r="F11" s="22"/>
    </row>
    <row r="12" spans="1:6" ht="21.75" customHeight="1" x14ac:dyDescent="0.5">
      <c r="A12" s="23"/>
      <c r="B12" s="24" t="s">
        <v>8</v>
      </c>
      <c r="C12" s="25"/>
      <c r="D12" s="26"/>
      <c r="E12" s="26">
        <f>SUM(E6:E11)</f>
        <v>117590</v>
      </c>
      <c r="F12" s="27"/>
    </row>
    <row r="13" spans="1:6" ht="21.75" customHeight="1" x14ac:dyDescent="0.55000000000000004">
      <c r="A13" s="4"/>
      <c r="B13" s="5"/>
      <c r="C13" s="6"/>
      <c r="D13" s="1"/>
      <c r="E13" s="1"/>
      <c r="F13" s="7"/>
    </row>
    <row r="14" spans="1:6" ht="19.5" customHeight="1" x14ac:dyDescent="0.55000000000000004">
      <c r="A14" s="4"/>
      <c r="B14" s="5"/>
      <c r="C14" s="6"/>
      <c r="D14" s="1"/>
      <c r="E14" s="1"/>
      <c r="F14" s="7"/>
    </row>
    <row r="15" spans="1:6" ht="21.75" customHeight="1" x14ac:dyDescent="0.3">
      <c r="A15" s="74" t="s">
        <v>25</v>
      </c>
      <c r="B15" s="74"/>
      <c r="C15" s="74"/>
      <c r="D15" s="74"/>
      <c r="E15" s="74"/>
      <c r="F15" s="74"/>
    </row>
    <row r="16" spans="1:6" ht="21.75" customHeight="1" x14ac:dyDescent="0.3">
      <c r="A16" s="75" t="s">
        <v>35</v>
      </c>
      <c r="B16" s="75"/>
      <c r="C16" s="75"/>
      <c r="D16" s="75"/>
      <c r="E16" s="75"/>
      <c r="F16" s="75"/>
    </row>
    <row r="17" spans="1:13" ht="21.75" customHeight="1" x14ac:dyDescent="0.3">
      <c r="A17" s="28"/>
      <c r="B17" s="28"/>
      <c r="C17" s="28"/>
      <c r="D17" s="28"/>
      <c r="E17" s="28"/>
      <c r="F17" s="28"/>
      <c r="J17" s="2" t="s">
        <v>11</v>
      </c>
      <c r="M17" s="2" t="s">
        <v>9</v>
      </c>
    </row>
    <row r="18" spans="1:13" ht="21.75" customHeight="1" x14ac:dyDescent="0.3">
      <c r="A18" s="74" t="s">
        <v>26</v>
      </c>
      <c r="B18" s="74"/>
      <c r="C18" s="74"/>
      <c r="D18" s="74"/>
      <c r="E18" s="74"/>
      <c r="F18" s="74"/>
    </row>
    <row r="19" spans="1:13" ht="21.75" customHeight="1" x14ac:dyDescent="0.3">
      <c r="A19" s="76" t="s">
        <v>33</v>
      </c>
      <c r="B19" s="76"/>
      <c r="C19" s="76"/>
      <c r="D19" s="76"/>
      <c r="E19" s="76"/>
      <c r="F19" s="76"/>
    </row>
    <row r="20" spans="1:13" ht="21.75" customHeight="1" x14ac:dyDescent="0.3">
      <c r="A20" s="28"/>
      <c r="B20" s="28"/>
      <c r="C20" s="28"/>
      <c r="D20" s="28"/>
      <c r="E20" s="28"/>
      <c r="F20" s="28"/>
      <c r="J20" s="2"/>
      <c r="M20" s="2" t="s">
        <v>10</v>
      </c>
    </row>
    <row r="21" spans="1:13" ht="21.75" customHeight="1" x14ac:dyDescent="0.3">
      <c r="A21" s="74" t="s">
        <v>26</v>
      </c>
      <c r="B21" s="74"/>
      <c r="C21" s="74"/>
      <c r="D21" s="74"/>
      <c r="E21" s="74"/>
      <c r="F21" s="74"/>
      <c r="J21" s="2"/>
      <c r="M21" s="2"/>
    </row>
    <row r="22" spans="1:13" ht="21.75" customHeight="1" x14ac:dyDescent="0.3">
      <c r="A22" s="64" t="s">
        <v>34</v>
      </c>
      <c r="B22" s="64"/>
      <c r="C22" s="64"/>
      <c r="D22" s="64"/>
      <c r="E22" s="64"/>
      <c r="F22" s="64"/>
      <c r="G22" s="2"/>
      <c r="H22" s="2"/>
    </row>
    <row r="23" spans="1:13" ht="21.75" customHeight="1" x14ac:dyDescent="0.3">
      <c r="A23" s="8"/>
      <c r="B23" s="8"/>
      <c r="C23" s="8"/>
      <c r="D23" s="8"/>
      <c r="E23" s="8"/>
      <c r="F23" s="8"/>
      <c r="J23" s="3" t="s">
        <v>12</v>
      </c>
    </row>
  </sheetData>
  <mergeCells count="13">
    <mergeCell ref="A22:F22"/>
    <mergeCell ref="A1:F1"/>
    <mergeCell ref="A2:F2"/>
    <mergeCell ref="A3:F3"/>
    <mergeCell ref="A4:A5"/>
    <mergeCell ref="B4:B5"/>
    <mergeCell ref="C4:E4"/>
    <mergeCell ref="F4:F5"/>
    <mergeCell ref="A15:F15"/>
    <mergeCell ref="A16:F16"/>
    <mergeCell ref="A18:F18"/>
    <mergeCell ref="A19:F19"/>
    <mergeCell ref="A21:F21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7B46-0D14-4555-8F77-1F9313043631}">
  <dimension ref="A1:M19"/>
  <sheetViews>
    <sheetView tabSelected="1" workbookViewId="0">
      <selection activeCell="G11" sqref="G11"/>
    </sheetView>
  </sheetViews>
  <sheetFormatPr defaultRowHeight="14.25" x14ac:dyDescent="0.2"/>
  <cols>
    <col min="1" max="1" width="5" customWidth="1"/>
    <col min="2" max="2" width="39.75" customWidth="1"/>
    <col min="3" max="3" width="6.125" customWidth="1"/>
    <col min="4" max="4" width="12.125" customWidth="1"/>
    <col min="5" max="5" width="13.125" customWidth="1"/>
    <col min="6" max="6" width="8.75" customWidth="1"/>
  </cols>
  <sheetData>
    <row r="1" spans="1:13" ht="21.75" customHeight="1" x14ac:dyDescent="0.5">
      <c r="A1" s="78" t="s">
        <v>3</v>
      </c>
      <c r="B1" s="78"/>
      <c r="C1" s="78"/>
      <c r="D1" s="78"/>
      <c r="E1" s="78"/>
      <c r="F1" s="78"/>
    </row>
    <row r="2" spans="1:13" ht="21.75" customHeight="1" x14ac:dyDescent="0.2">
      <c r="A2" s="79" t="s">
        <v>19</v>
      </c>
      <c r="B2" s="79"/>
      <c r="C2" s="79"/>
      <c r="D2" s="79"/>
      <c r="E2" s="79"/>
      <c r="F2" s="79"/>
    </row>
    <row r="3" spans="1:13" ht="21.75" customHeight="1" x14ac:dyDescent="0.2">
      <c r="A3" s="79" t="s">
        <v>15</v>
      </c>
      <c r="B3" s="79"/>
      <c r="C3" s="79"/>
      <c r="D3" s="79"/>
      <c r="E3" s="79"/>
      <c r="F3" s="79"/>
    </row>
    <row r="4" spans="1:13" ht="21.75" customHeight="1" x14ac:dyDescent="0.5">
      <c r="A4" s="80" t="s">
        <v>0</v>
      </c>
      <c r="B4" s="82" t="s">
        <v>4</v>
      </c>
      <c r="C4" s="84" t="s">
        <v>5</v>
      </c>
      <c r="D4" s="85"/>
      <c r="E4" s="86"/>
      <c r="F4" s="80" t="s">
        <v>2</v>
      </c>
    </row>
    <row r="5" spans="1:13" ht="21.75" customHeight="1" x14ac:dyDescent="0.2">
      <c r="A5" s="81"/>
      <c r="B5" s="83"/>
      <c r="C5" s="42" t="s">
        <v>1</v>
      </c>
      <c r="D5" s="43" t="s">
        <v>6</v>
      </c>
      <c r="E5" s="44" t="s">
        <v>7</v>
      </c>
      <c r="F5" s="81"/>
    </row>
    <row r="6" spans="1:13" ht="22.5" customHeight="1" x14ac:dyDescent="0.5">
      <c r="A6" s="45">
        <v>1</v>
      </c>
      <c r="B6" s="36" t="s">
        <v>36</v>
      </c>
      <c r="C6" s="37">
        <v>1</v>
      </c>
      <c r="D6" s="38">
        <v>1006.25</v>
      </c>
      <c r="E6" s="9">
        <f>SUM(D6*C6)</f>
        <v>1006.25</v>
      </c>
      <c r="F6" s="46"/>
    </row>
    <row r="7" spans="1:13" ht="22.5" customHeight="1" x14ac:dyDescent="0.5">
      <c r="A7" s="47">
        <v>2</v>
      </c>
      <c r="B7" s="39" t="s">
        <v>37</v>
      </c>
      <c r="C7" s="40">
        <v>1</v>
      </c>
      <c r="D7" s="41">
        <v>20865</v>
      </c>
      <c r="E7" s="9">
        <f>SUM(D7*C7)</f>
        <v>20865</v>
      </c>
      <c r="F7" s="48"/>
    </row>
    <row r="8" spans="1:13" ht="20.25" customHeight="1" x14ac:dyDescent="0.5">
      <c r="A8" s="49"/>
      <c r="B8" s="50" t="s">
        <v>8</v>
      </c>
      <c r="C8" s="51"/>
      <c r="D8" s="52"/>
      <c r="E8" s="52">
        <f>SUM(E6:E7)</f>
        <v>21871.25</v>
      </c>
      <c r="F8" s="53"/>
    </row>
    <row r="9" spans="1:13" ht="20.25" customHeight="1" x14ac:dyDescent="0.5">
      <c r="A9" s="59"/>
      <c r="B9" s="60"/>
      <c r="C9" s="61"/>
      <c r="D9" s="62"/>
      <c r="E9" s="62"/>
      <c r="F9" s="63"/>
    </row>
    <row r="10" spans="1:13" ht="18" customHeight="1" x14ac:dyDescent="0.55000000000000004">
      <c r="A10" s="4"/>
      <c r="B10" s="5"/>
      <c r="C10" s="6"/>
      <c r="D10" s="1"/>
      <c r="E10" s="1"/>
      <c r="F10" s="7"/>
    </row>
    <row r="11" spans="1:13" ht="18" customHeight="1" x14ac:dyDescent="0.3">
      <c r="A11" s="74" t="s">
        <v>25</v>
      </c>
      <c r="B11" s="74"/>
      <c r="C11" s="74"/>
      <c r="D11" s="74"/>
      <c r="E11" s="74"/>
      <c r="F11" s="74"/>
    </row>
    <row r="12" spans="1:13" ht="18" customHeight="1" x14ac:dyDescent="0.3">
      <c r="A12" s="75" t="s">
        <v>17</v>
      </c>
      <c r="B12" s="75"/>
      <c r="C12" s="75"/>
      <c r="D12" s="75"/>
      <c r="E12" s="75"/>
      <c r="F12" s="75"/>
    </row>
    <row r="13" spans="1:13" ht="18" customHeight="1" x14ac:dyDescent="0.3">
      <c r="A13" s="28"/>
      <c r="B13" s="28"/>
      <c r="C13" s="28"/>
      <c r="D13" s="28"/>
      <c r="E13" s="28"/>
      <c r="F13" s="28"/>
      <c r="J13" s="2" t="s">
        <v>11</v>
      </c>
      <c r="M13" s="2" t="s">
        <v>9</v>
      </c>
    </row>
    <row r="14" spans="1:13" ht="18" customHeight="1" x14ac:dyDescent="0.3">
      <c r="A14" s="74" t="s">
        <v>26</v>
      </c>
      <c r="B14" s="74"/>
      <c r="C14" s="74"/>
      <c r="D14" s="74"/>
      <c r="E14" s="74"/>
      <c r="F14" s="74"/>
    </row>
    <row r="15" spans="1:13" ht="18" customHeight="1" x14ac:dyDescent="0.3">
      <c r="A15" s="76" t="s">
        <v>38</v>
      </c>
      <c r="B15" s="76"/>
      <c r="C15" s="76"/>
      <c r="D15" s="76"/>
      <c r="E15" s="76"/>
      <c r="F15" s="76"/>
    </row>
    <row r="16" spans="1:13" ht="18" customHeight="1" x14ac:dyDescent="0.3">
      <c r="A16" s="28"/>
      <c r="B16" s="28"/>
      <c r="C16" s="28"/>
      <c r="D16" s="28"/>
      <c r="E16" s="28"/>
      <c r="F16" s="28"/>
      <c r="J16" s="2"/>
      <c r="M16" s="2" t="s">
        <v>10</v>
      </c>
    </row>
    <row r="17" spans="1:13" ht="18" customHeight="1" x14ac:dyDescent="0.3">
      <c r="A17" s="74" t="s">
        <v>26</v>
      </c>
      <c r="B17" s="74"/>
      <c r="C17" s="74"/>
      <c r="D17" s="74"/>
      <c r="E17" s="74"/>
      <c r="F17" s="74"/>
      <c r="J17" s="2"/>
      <c r="M17" s="2"/>
    </row>
    <row r="18" spans="1:13" ht="18" customHeight="1" x14ac:dyDescent="0.3">
      <c r="A18" s="64" t="s">
        <v>18</v>
      </c>
      <c r="B18" s="64"/>
      <c r="C18" s="64"/>
      <c r="D18" s="64"/>
      <c r="E18" s="64"/>
      <c r="F18" s="64"/>
      <c r="G18" s="2"/>
      <c r="H18" s="2"/>
    </row>
    <row r="19" spans="1:13" ht="21.75" customHeight="1" x14ac:dyDescent="0.3">
      <c r="A19" s="77"/>
      <c r="B19" s="77"/>
      <c r="C19" s="77"/>
      <c r="D19" s="77"/>
      <c r="E19" s="77"/>
      <c r="F19" s="77"/>
      <c r="J19" s="3" t="s">
        <v>12</v>
      </c>
    </row>
  </sheetData>
  <mergeCells count="14">
    <mergeCell ref="A19:F19"/>
    <mergeCell ref="A18:F18"/>
    <mergeCell ref="A1:F1"/>
    <mergeCell ref="A2:F2"/>
    <mergeCell ref="A3:F3"/>
    <mergeCell ref="A4:A5"/>
    <mergeCell ref="B4:B5"/>
    <mergeCell ref="C4:E4"/>
    <mergeCell ref="F4:F5"/>
    <mergeCell ref="A11:F11"/>
    <mergeCell ref="A12:F12"/>
    <mergeCell ref="A14:F14"/>
    <mergeCell ref="A15:F15"/>
    <mergeCell ref="A17:F17"/>
  </mergeCells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1DDE-9883-4436-BD0D-F4916B6C7B02}">
  <dimension ref="A1:M20"/>
  <sheetViews>
    <sheetView topLeftCell="A7" workbookViewId="0">
      <selection activeCell="J8" sqref="J8"/>
    </sheetView>
  </sheetViews>
  <sheetFormatPr defaultRowHeight="14.25" x14ac:dyDescent="0.2"/>
  <cols>
    <col min="1" max="1" width="5" customWidth="1"/>
    <col min="2" max="2" width="39.75" customWidth="1"/>
    <col min="3" max="3" width="6.125" customWidth="1"/>
    <col min="4" max="4" width="12.125" customWidth="1"/>
    <col min="5" max="5" width="13.125" customWidth="1"/>
    <col min="6" max="6" width="8.75" customWidth="1"/>
  </cols>
  <sheetData>
    <row r="1" spans="1:13" ht="21.75" customHeight="1" x14ac:dyDescent="0.5">
      <c r="A1" s="78" t="s">
        <v>3</v>
      </c>
      <c r="B1" s="78"/>
      <c r="C1" s="78"/>
      <c r="D1" s="78"/>
      <c r="E1" s="78"/>
      <c r="F1" s="78"/>
    </row>
    <row r="2" spans="1:13" ht="21.75" customHeight="1" x14ac:dyDescent="0.2">
      <c r="A2" s="79" t="s">
        <v>19</v>
      </c>
      <c r="B2" s="79"/>
      <c r="C2" s="79"/>
      <c r="D2" s="79"/>
      <c r="E2" s="79"/>
      <c r="F2" s="79"/>
    </row>
    <row r="3" spans="1:13" ht="21.75" customHeight="1" x14ac:dyDescent="0.2">
      <c r="A3" s="79" t="s">
        <v>44</v>
      </c>
      <c r="B3" s="79"/>
      <c r="C3" s="79"/>
      <c r="D3" s="79"/>
      <c r="E3" s="79"/>
      <c r="F3" s="79"/>
    </row>
    <row r="4" spans="1:13" ht="21.75" customHeight="1" x14ac:dyDescent="0.5">
      <c r="A4" s="67" t="s">
        <v>0</v>
      </c>
      <c r="B4" s="69" t="s">
        <v>4</v>
      </c>
      <c r="C4" s="71" t="s">
        <v>5</v>
      </c>
      <c r="D4" s="72"/>
      <c r="E4" s="73"/>
      <c r="F4" s="67" t="s">
        <v>2</v>
      </c>
    </row>
    <row r="5" spans="1:13" ht="21.75" customHeight="1" x14ac:dyDescent="0.2">
      <c r="A5" s="68"/>
      <c r="B5" s="70"/>
      <c r="C5" s="12" t="s">
        <v>1</v>
      </c>
      <c r="D5" s="13" t="s">
        <v>6</v>
      </c>
      <c r="E5" s="14" t="s">
        <v>7</v>
      </c>
      <c r="F5" s="68"/>
    </row>
    <row r="6" spans="1:13" ht="21.75" customHeight="1" x14ac:dyDescent="0.2">
      <c r="A6" s="10">
        <v>1</v>
      </c>
      <c r="B6" s="55" t="s">
        <v>39</v>
      </c>
      <c r="C6" s="12">
        <v>1</v>
      </c>
      <c r="D6" s="56">
        <v>22000</v>
      </c>
      <c r="E6" s="54">
        <f>SUM(D6*C6)</f>
        <v>22000</v>
      </c>
      <c r="F6" s="10"/>
    </row>
    <row r="7" spans="1:13" ht="21.75" customHeight="1" x14ac:dyDescent="0.5">
      <c r="A7" s="10">
        <v>2</v>
      </c>
      <c r="B7" s="57" t="s">
        <v>40</v>
      </c>
      <c r="C7" s="12">
        <v>2</v>
      </c>
      <c r="D7" s="58">
        <v>8500</v>
      </c>
      <c r="E7" s="54">
        <f t="shared" ref="E7:E8" si="0">SUM(D7*C7)</f>
        <v>17000</v>
      </c>
      <c r="F7" s="10"/>
    </row>
    <row r="8" spans="1:13" ht="21.75" customHeight="1" x14ac:dyDescent="0.5">
      <c r="A8" s="10">
        <v>3</v>
      </c>
      <c r="B8" s="57" t="s">
        <v>41</v>
      </c>
      <c r="C8" s="11">
        <v>1</v>
      </c>
      <c r="D8" s="58">
        <v>899700</v>
      </c>
      <c r="E8" s="54">
        <f t="shared" si="0"/>
        <v>899700</v>
      </c>
      <c r="F8" s="10"/>
    </row>
    <row r="9" spans="1:13" ht="20.25" customHeight="1" x14ac:dyDescent="0.5">
      <c r="A9" s="23"/>
      <c r="B9" s="24" t="s">
        <v>8</v>
      </c>
      <c r="C9" s="25"/>
      <c r="D9" s="26"/>
      <c r="E9" s="26">
        <f>SUM(E6:E8)</f>
        <v>938700</v>
      </c>
      <c r="F9" s="27"/>
    </row>
    <row r="10" spans="1:13" ht="20.25" customHeight="1" x14ac:dyDescent="0.5">
      <c r="A10" s="29"/>
      <c r="B10" s="30"/>
      <c r="C10" s="31"/>
      <c r="D10" s="32"/>
      <c r="E10" s="32"/>
      <c r="F10" s="33"/>
    </row>
    <row r="11" spans="1:13" ht="18" customHeight="1" x14ac:dyDescent="0.55000000000000004">
      <c r="A11" s="4"/>
      <c r="B11" s="5"/>
      <c r="C11" s="6"/>
      <c r="D11" s="1"/>
      <c r="E11" s="1"/>
      <c r="F11" s="7"/>
    </row>
    <row r="12" spans="1:13" ht="18" customHeight="1" x14ac:dyDescent="0.3">
      <c r="A12" s="74" t="s">
        <v>25</v>
      </c>
      <c r="B12" s="74"/>
      <c r="C12" s="74"/>
      <c r="D12" s="74"/>
      <c r="E12" s="74"/>
      <c r="F12" s="74"/>
    </row>
    <row r="13" spans="1:13" ht="18" customHeight="1" x14ac:dyDescent="0.3">
      <c r="A13" s="75" t="s">
        <v>17</v>
      </c>
      <c r="B13" s="75"/>
      <c r="C13" s="75"/>
      <c r="D13" s="75"/>
      <c r="E13" s="75"/>
      <c r="F13" s="75"/>
    </row>
    <row r="14" spans="1:13" ht="18" customHeight="1" x14ac:dyDescent="0.3">
      <c r="A14" s="28"/>
      <c r="B14" s="28"/>
      <c r="C14" s="28"/>
      <c r="D14" s="28"/>
      <c r="E14" s="28"/>
      <c r="F14" s="28"/>
      <c r="J14" s="2" t="s">
        <v>11</v>
      </c>
      <c r="M14" s="2" t="s">
        <v>9</v>
      </c>
    </row>
    <row r="15" spans="1:13" ht="18" customHeight="1" x14ac:dyDescent="0.3">
      <c r="A15" s="74" t="s">
        <v>26</v>
      </c>
      <c r="B15" s="74"/>
      <c r="C15" s="74"/>
      <c r="D15" s="74"/>
      <c r="E15" s="74"/>
      <c r="F15" s="74"/>
    </row>
    <row r="16" spans="1:13" ht="18" customHeight="1" x14ac:dyDescent="0.3">
      <c r="A16" s="76" t="s">
        <v>42</v>
      </c>
      <c r="B16" s="76"/>
      <c r="C16" s="76"/>
      <c r="D16" s="76"/>
      <c r="E16" s="76"/>
      <c r="F16" s="76"/>
    </row>
    <row r="17" spans="1:13" ht="18" customHeight="1" x14ac:dyDescent="0.3">
      <c r="A17" s="28"/>
      <c r="B17" s="28"/>
      <c r="C17" s="28"/>
      <c r="D17" s="28"/>
      <c r="E17" s="28"/>
      <c r="F17" s="28"/>
      <c r="J17" s="2"/>
      <c r="M17" s="2" t="s">
        <v>10</v>
      </c>
    </row>
    <row r="18" spans="1:13" ht="18" customHeight="1" x14ac:dyDescent="0.3">
      <c r="A18" s="74" t="s">
        <v>26</v>
      </c>
      <c r="B18" s="74"/>
      <c r="C18" s="74"/>
      <c r="D18" s="74"/>
      <c r="E18" s="74"/>
      <c r="F18" s="74"/>
      <c r="J18" s="2"/>
      <c r="M18" s="2"/>
    </row>
    <row r="19" spans="1:13" ht="18" customHeight="1" x14ac:dyDescent="0.3">
      <c r="A19" s="64" t="s">
        <v>43</v>
      </c>
      <c r="B19" s="64"/>
      <c r="C19" s="64"/>
      <c r="D19" s="64"/>
      <c r="E19" s="64"/>
      <c r="F19" s="64"/>
      <c r="G19" s="2"/>
      <c r="H19" s="2"/>
    </row>
    <row r="20" spans="1:13" ht="21.75" customHeight="1" x14ac:dyDescent="0.3">
      <c r="A20" s="77"/>
      <c r="B20" s="77"/>
      <c r="C20" s="77"/>
      <c r="D20" s="77"/>
      <c r="E20" s="77"/>
      <c r="F20" s="77"/>
      <c r="J20" s="3" t="s">
        <v>12</v>
      </c>
    </row>
  </sheetData>
  <mergeCells count="14">
    <mergeCell ref="A1:F1"/>
    <mergeCell ref="A2:F2"/>
    <mergeCell ref="A3:F3"/>
    <mergeCell ref="A4:A5"/>
    <mergeCell ref="B4:B5"/>
    <mergeCell ref="C4:E4"/>
    <mergeCell ref="F4:F5"/>
    <mergeCell ref="A20:F20"/>
    <mergeCell ref="A12:F12"/>
    <mergeCell ref="A13:F13"/>
    <mergeCell ref="A15:F15"/>
    <mergeCell ref="A16:F16"/>
    <mergeCell ref="A18:F18"/>
    <mergeCell ref="A19:F19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ช่างเชื่อม</vt:lpstr>
      <vt:lpstr>การตลาด</vt:lpstr>
      <vt:lpstr>บัญชี</vt:lpstr>
      <vt:lpstr>สามัญ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Pasdoo</dc:creator>
  <cp:lastModifiedBy>Administrator</cp:lastModifiedBy>
  <cp:lastPrinted>2026-01-23T03:53:11Z</cp:lastPrinted>
  <dcterms:created xsi:type="dcterms:W3CDTF">2023-10-31T08:09:07Z</dcterms:created>
  <dcterms:modified xsi:type="dcterms:W3CDTF">2026-01-23T07:52:13Z</dcterms:modified>
</cp:coreProperties>
</file>