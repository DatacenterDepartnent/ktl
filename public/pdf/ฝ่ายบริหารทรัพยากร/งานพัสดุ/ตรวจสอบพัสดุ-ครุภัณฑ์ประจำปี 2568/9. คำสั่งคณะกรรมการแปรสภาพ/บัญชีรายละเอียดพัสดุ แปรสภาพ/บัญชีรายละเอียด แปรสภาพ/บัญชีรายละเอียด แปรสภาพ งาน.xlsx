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9. คำสั่งคณะกรรมการแปรสภาพ\บัญชีรายละเอียดพัสดุ แปรสภาพ\บัญชีรายละเอียด แปรสภาพ\"/>
    </mc:Choice>
  </mc:AlternateContent>
  <xr:revisionPtr revIDLastSave="0" documentId="13_ncr:1_{37AE0CE5-8E71-4D88-85FF-847F79F51125}" xr6:coauthVersionLast="46" xr6:coauthVersionMax="47" xr10:uidLastSave="{00000000-0000-0000-0000-000000000000}"/>
  <bookViews>
    <workbookView xWindow="-120" yWindow="-120" windowWidth="20730" windowHeight="11310" activeTab="6" xr2:uid="{CF0E813D-18DF-4A2E-9ED1-C0D71ADF5846}"/>
  </bookViews>
  <sheets>
    <sheet name="งานการเงิน" sheetId="1" r:id="rId1"/>
    <sheet name="งานพัสดุ" sheetId="7" r:id="rId2"/>
    <sheet name="งานอาคาร" sheetId="11" r:id="rId3"/>
    <sheet name="งานทะเบียน" sheetId="12" r:id="rId4"/>
    <sheet name="งานกิจกรรม" sheetId="21" r:id="rId5"/>
    <sheet name="สวัสดิการ" sheetId="33" r:id="rId6"/>
    <sheet name="งานวิทยบริการ" sheetId="30" r:id="rId7"/>
    <sheet name="Sheet1" sheetId="32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30" l="1"/>
  <c r="E8" i="30"/>
  <c r="E9" i="30"/>
  <c r="E6" i="30"/>
  <c r="E10" i="30" s="1"/>
  <c r="E6" i="33"/>
  <c r="E7" i="33" s="1"/>
  <c r="E12" i="21"/>
  <c r="E7" i="21"/>
  <c r="E8" i="21"/>
  <c r="E9" i="21"/>
  <c r="E10" i="21"/>
  <c r="E11" i="21"/>
  <c r="E6" i="21"/>
  <c r="E8" i="12"/>
  <c r="E7" i="12"/>
  <c r="E6" i="12"/>
  <c r="E13" i="11"/>
  <c r="E7" i="11"/>
  <c r="E8" i="11"/>
  <c r="E9" i="11"/>
  <c r="E10" i="11"/>
  <c r="E11" i="11"/>
  <c r="E12" i="11"/>
  <c r="E6" i="11"/>
  <c r="E6" i="7"/>
  <c r="E11" i="1"/>
  <c r="E7" i="1"/>
  <c r="E8" i="1"/>
  <c r="E9" i="1"/>
  <c r="E10" i="1"/>
  <c r="E6" i="1"/>
  <c r="E7" i="7" l="1"/>
</calcChain>
</file>

<file path=xl/sharedStrings.xml><?xml version="1.0" encoding="utf-8"?>
<sst xmlns="http://schemas.openxmlformats.org/spreadsheetml/2006/main" count="169" uniqueCount="80">
  <si>
    <t>ลำดับ
ที่</t>
  </si>
  <si>
    <t>จำนวน</t>
  </si>
  <si>
    <t>หมายเหตุ</t>
  </si>
  <si>
    <t xml:space="preserve">  วิทยาลัยเทคนิคกันทรลักษ์</t>
  </si>
  <si>
    <t>รายการ</t>
  </si>
  <si>
    <t>พัสดุที่ขอจำหน่าย</t>
  </si>
  <si>
    <t>ราคาต่อหน่วย</t>
  </si>
  <si>
    <t>ราคาซื้อ/ได้มา</t>
  </si>
  <si>
    <t>รวมเป็นเงินทั้งสิ้น</t>
  </si>
  <si>
    <t xml:space="preserve">    </t>
  </si>
  <si>
    <t xml:space="preserve">  </t>
  </si>
  <si>
    <t xml:space="preserve">      </t>
  </si>
  <si>
    <t xml:space="preserve">          </t>
  </si>
  <si>
    <t xml:space="preserve">     ลงชื่อ...........................................ประธานกรรมการ</t>
  </si>
  <si>
    <t>งานการเงิน</t>
  </si>
  <si>
    <t>งานพัสดุ</t>
  </si>
  <si>
    <t>งานอาคารสถานที่</t>
  </si>
  <si>
    <t>งานทะเบียน</t>
  </si>
  <si>
    <t>ตู้เหล็ก 2 บานเปิด</t>
  </si>
  <si>
    <t>เครื่องคอมพิวเตอร์ ALL IN ONE</t>
  </si>
  <si>
    <t>งานกิจกรรมนักเรียน นักศึกษา</t>
  </si>
  <si>
    <t>งานวิทยบริการและห้องสมุด</t>
  </si>
  <si>
    <t xml:space="preserve">                                                                          ลงชื่อ............................................กรรมการ</t>
  </si>
  <si>
    <t xml:space="preserve">                            (นางสาวภวิกา  โพธิ์ขาว)</t>
  </si>
  <si>
    <t xml:space="preserve">                                 (นางสาวภวิกา  โพธิ์ขาว)</t>
  </si>
  <si>
    <t xml:space="preserve">                                                      (นายสุขสันต์  สิทธิมวล)</t>
  </si>
  <si>
    <t xml:space="preserve">                                               (นายบุญจันทร์  โตมร)</t>
  </si>
  <si>
    <t xml:space="preserve">                                                                    ลงชื่อ...........................................ประธานกรรมการ</t>
  </si>
  <si>
    <t xml:space="preserve">                                                             ลงชื่อ............................................กรรมการ</t>
  </si>
  <si>
    <t xml:space="preserve">                                                            ลงชื่อ............................................กรรมการ</t>
  </si>
  <si>
    <t xml:space="preserve">                           (นางสาววิภาวรรณ  สีแดด)</t>
  </si>
  <si>
    <t xml:space="preserve">                                              (นายบุญแต่ง  ป้อมหิน)</t>
  </si>
  <si>
    <t xml:space="preserve">                                        (นายณฐกร  สุขพิสิษฐ)</t>
  </si>
  <si>
    <t xml:space="preserve">                                                                ลงชื่อ............................................กรรมการ</t>
  </si>
  <si>
    <t xml:space="preserve">                                                                ลงชื่อ...........................................กรรมการ</t>
  </si>
  <si>
    <t xml:space="preserve">                                                                     ลงชื่อ...........................................ประธานกรรมการ</t>
  </si>
  <si>
    <t xml:space="preserve">                                                           (นางสาวยุพาวดี พรหมน้อย)</t>
  </si>
  <si>
    <t xml:space="preserve">                                           (นายชาตรี  ศรีสะอาด)</t>
  </si>
  <si>
    <t xml:space="preserve">                              (นายอาทร  ศรีมะณี)</t>
  </si>
  <si>
    <t>บัญชีรายละเอียดพัสดุที่ขอจำหน่ายโดยวิธีแปรสภาพ ประจำปี 2568</t>
  </si>
  <si>
    <t>ตู้เหล็ก 4 ลิ้นชัก Kingkong</t>
  </si>
  <si>
    <t>พัดลมตั้งโต๊ะ 16"ฮาตาริ</t>
  </si>
  <si>
    <t>ตู้เหล็ก 4 ลิ้นชัก PRERIDENT</t>
  </si>
  <si>
    <t>ตู้เหล็ก 2 บานเลื่อน PRERIDENT</t>
  </si>
  <si>
    <t>ตู้ 2 บานประตู</t>
  </si>
  <si>
    <t xml:space="preserve">                                                                         ลงชื่อ...........................................ประธานกรรมการ</t>
  </si>
  <si>
    <t xml:space="preserve">                                                                  ลงชื่อ............................................กรรมการ</t>
  </si>
  <si>
    <t xml:space="preserve">                                                 (นายอุทัย  จรรยากรณ์)</t>
  </si>
  <si>
    <t xml:space="preserve">                                        (นางสาวชรินทร์นา โปริสา)</t>
  </si>
  <si>
    <t xml:space="preserve">                                                                 ลงชื่อ...........................................ประธานกรรมการ</t>
  </si>
  <si>
    <t xml:space="preserve">                                                          ลงชื่อ............................................กรรมการ</t>
  </si>
  <si>
    <t xml:space="preserve">                                         (นายณรงค์  นิตนอก)</t>
  </si>
  <si>
    <t xml:space="preserve">                                               (นายทรงพร พรหมโสภา)</t>
  </si>
  <si>
    <t xml:space="preserve">                           (นางสาวภวิกา  โพธิ์ขาว)</t>
  </si>
  <si>
    <t xml:space="preserve">                         (นางสาวภวิกา  โพธิ์ขาว)</t>
  </si>
  <si>
    <t>ปั้มน้ำเวล ขนาด 1 1/2</t>
  </si>
  <si>
    <t>เครื่องตัดไฟเบอร์ 14 มากีต้า</t>
  </si>
  <si>
    <t>เครื่องดูดฝุ่น</t>
  </si>
  <si>
    <t>เครื่องตัดหญ้าแบบรถเข็น 2 ล้อ</t>
  </si>
  <si>
    <t>หินเจียมือขนาด 4 นิ้ว</t>
  </si>
  <si>
    <t>รถตัดหญ้าแบบ 4 ล้อเข็น</t>
  </si>
  <si>
    <t>เครื่องตดหญ้าแบบสายสพาย</t>
  </si>
  <si>
    <t>เครื่องคอมพิวเตอร์ All in one</t>
  </si>
  <si>
    <t>Printer LED สี HL-L3270 CND</t>
  </si>
  <si>
    <t xml:space="preserve">                                              (นางสาวมัลลิกา  ศรีสุนนท์)</t>
  </si>
  <si>
    <t xml:space="preserve">                                     (นางสาวณัฐรัตน์  จรรยากรณ์)</t>
  </si>
  <si>
    <t>ตู้เก็บเอกสารบานเลื่อน 4 ฟุต</t>
  </si>
  <si>
    <t>ตู้เก็บแฟ้ม 20 ช่อง</t>
  </si>
  <si>
    <t>โต๊ะเหล็ก 5 ฟุต</t>
  </si>
  <si>
    <t>ตู้เสื้อผ้า 4 ฟุต กระจก 2 บาน</t>
  </si>
  <si>
    <t>โต๊ะบัญชีเหล็ก 3 ฟุต</t>
  </si>
  <si>
    <t>ตู้กดน้ำ แบบเท้าเหยียบ</t>
  </si>
  <si>
    <t xml:space="preserve">                                              (นางเพ็ชรา  โหม่งมาตร์)</t>
  </si>
  <si>
    <t xml:space="preserve">                                        (นางสาวน้อย  จันทร์พูล)</t>
  </si>
  <si>
    <t>งานสวัสดิการนักเรียน นักศึกษา</t>
  </si>
  <si>
    <t xml:space="preserve">                        (นางสาววิภาวรรณ  สีแดด)</t>
  </si>
  <si>
    <t>โต๊ะอ่านหนังสือ ขนาด 4 ที่นั่งพร้อมเก้าอี้ไม้</t>
  </si>
  <si>
    <t>ชั้นวางหนังสือขนาดกลาง</t>
  </si>
  <si>
    <t>ตู้เก็บวรสาร 4 ชั้นแบบไม้</t>
  </si>
  <si>
    <t>ชั้นวางหนังสือ 4 ชั้น แบบไม้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</si>
</sst>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6"/>
      <color theme="1"/>
      <name val="TH SarabunPSK"/>
      <family val="2"/>
    </font>
    <font>
      <sz val="14"/>
      <name val="Cordia New"/>
      <family val="2"/>
    </font>
    <font>
      <b/>
      <sz val="16"/>
      <name val="TH SarabunPSK"/>
      <family val="2"/>
    </font>
    <font>
      <b/>
      <sz val="14"/>
      <color theme="1"/>
      <name val="TH SarabunPSK"/>
      <family val="2"/>
    </font>
    <font>
      <b/>
      <sz val="14"/>
      <name val="TH SarabunPSK"/>
      <family val="2"/>
    </font>
    <font>
      <b/>
      <sz val="16"/>
      <color rgb="FFFF0000"/>
      <name val="TH SarabunPSK"/>
      <family val="2"/>
    </font>
    <font>
      <sz val="10"/>
      <name val="Arial"/>
      <family val="2"/>
    </font>
    <font>
      <sz val="16"/>
      <color theme="1"/>
      <name val="TH SarabunIT๙"/>
      <family val="2"/>
    </font>
    <font>
      <b/>
      <sz val="14"/>
      <color theme="1"/>
      <name val="TH Sarabun New"/>
      <family val="2"/>
    </font>
    <font>
      <sz val="14"/>
      <name val="TH Sarabun New"/>
      <family val="2"/>
    </font>
    <font>
      <b/>
      <sz val="16"/>
      <color rgb="FFFF0000"/>
      <name val="TH Sarabun New"/>
      <family val="2"/>
    </font>
    <font>
      <b/>
      <sz val="14"/>
      <name val="TH Sarabun New"/>
      <family val="2"/>
    </font>
    <font>
      <sz val="16"/>
      <color theme="1"/>
      <name val="TH Sarabun New"/>
      <family val="2"/>
    </font>
    <font>
      <sz val="11"/>
      <color theme="1"/>
      <name val="TH Sarabun New"/>
      <family val="2"/>
    </font>
    <font>
      <sz val="16"/>
      <name val="TH Sarabun New"/>
      <family val="2"/>
    </font>
    <font>
      <sz val="14"/>
      <color theme="1"/>
      <name val="TH Sarabun New"/>
      <family val="2"/>
    </font>
    <font>
      <sz val="14"/>
      <color theme="1"/>
      <name val="TH Sarabun New"/>
      <family val="2"/>
      <charset val="222"/>
    </font>
    <font>
      <sz val="14"/>
      <name val="TH Sarabun New"/>
      <family val="2"/>
      <charset val="222"/>
    </font>
    <font>
      <sz val="14"/>
      <color rgb="FFFF0000"/>
      <name val="TH Sarabun New"/>
      <family val="2"/>
      <charset val="222"/>
    </font>
    <font>
      <sz val="14"/>
      <name val="TH SarabunPSK"/>
      <family val="2"/>
      <charset val="222"/>
    </font>
    <font>
      <sz val="14"/>
      <color theme="1"/>
      <name val="TH SarabunPSK"/>
      <family val="2"/>
      <charset val="222"/>
    </font>
    <font>
      <sz val="16"/>
      <color rgb="FFFF0000"/>
      <name val="TH SarabunPSK"/>
      <family val="2"/>
      <charset val="222"/>
    </font>
    <font>
      <sz val="16"/>
      <color theme="1"/>
      <name val="TH SarabunIT๙"/>
      <family val="2"/>
      <charset val="222"/>
    </font>
    <font>
      <sz val="11"/>
      <color theme="1"/>
      <name val="TH Sarabun New"/>
      <family val="2"/>
      <charset val="222"/>
    </font>
    <font>
      <sz val="14"/>
      <color rgb="FFFF0000"/>
      <name val="TH Sarabun New"/>
      <family val="2"/>
    </font>
    <font>
      <sz val="16"/>
      <color theme="1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8" fillId="0" borderId="0"/>
    <xf numFmtId="0" fontId="3" fillId="0" borderId="0"/>
  </cellStyleXfs>
  <cellXfs count="127">
    <xf numFmtId="0" fontId="0" fillId="0" borderId="0" xfId="0"/>
    <xf numFmtId="43" fontId="5" fillId="0" borderId="0" xfId="1" applyFont="1" applyBorder="1"/>
    <xf numFmtId="0" fontId="9" fillId="0" borderId="0" xfId="0" applyFont="1" applyAlignment="1">
      <alignment vertical="center"/>
    </xf>
    <xf numFmtId="0" fontId="9" fillId="0" borderId="0" xfId="0" applyFont="1"/>
    <xf numFmtId="0" fontId="6" fillId="2" borderId="0" xfId="0" applyFont="1" applyFill="1" applyAlignment="1">
      <alignment horizontal="center" vertical="center"/>
    </xf>
    <xf numFmtId="0" fontId="5" fillId="0" borderId="0" xfId="3" applyFont="1" applyAlignment="1">
      <alignment horizontal="right"/>
    </xf>
    <xf numFmtId="0" fontId="5" fillId="0" borderId="0" xfId="4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 wrapText="1"/>
    </xf>
    <xf numFmtId="0" fontId="11" fillId="2" borderId="2" xfId="0" applyFont="1" applyFill="1" applyBorder="1" applyAlignment="1">
      <alignment horizontal="center" vertical="center"/>
    </xf>
    <xf numFmtId="0" fontId="11" fillId="0" borderId="1" xfId="3" applyFont="1" applyBorder="1"/>
    <xf numFmtId="0" fontId="11" fillId="0" borderId="1" xfId="3" applyFont="1" applyBorder="1" applyAlignment="1">
      <alignment horizontal="center"/>
    </xf>
    <xf numFmtId="43" fontId="11" fillId="0" borderId="1" xfId="1" applyFont="1" applyBorder="1"/>
    <xf numFmtId="43" fontId="11" fillId="0" borderId="2" xfId="1" applyFont="1" applyBorder="1"/>
    <xf numFmtId="0" fontId="11" fillId="0" borderId="1" xfId="0" applyFont="1" applyBorder="1" applyAlignment="1">
      <alignment horizontal="center"/>
    </xf>
    <xf numFmtId="43" fontId="10" fillId="0" borderId="0" xfId="1" applyFont="1" applyBorder="1"/>
    <xf numFmtId="0" fontId="15" fillId="0" borderId="0" xfId="0" applyFont="1"/>
    <xf numFmtId="0" fontId="17" fillId="0" borderId="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7" fillId="0" borderId="1" xfId="3" applyFont="1" applyBorder="1" applyAlignment="1">
      <alignment horizontal="right"/>
    </xf>
    <xf numFmtId="0" fontId="17" fillId="0" borderId="1" xfId="4" applyFont="1" applyBorder="1" applyAlignment="1">
      <alignment horizontal="center"/>
    </xf>
    <xf numFmtId="43" fontId="17" fillId="0" borderId="1" xfId="1" applyFont="1" applyBorder="1"/>
    <xf numFmtId="0" fontId="11" fillId="2" borderId="0" xfId="0" applyFont="1" applyFill="1" applyAlignment="1">
      <alignment horizontal="center" vertical="center"/>
    </xf>
    <xf numFmtId="0" fontId="17" fillId="0" borderId="0" xfId="3" applyFont="1" applyAlignment="1">
      <alignment horizontal="right"/>
    </xf>
    <xf numFmtId="0" fontId="17" fillId="0" borderId="0" xfId="4" applyFont="1" applyAlignment="1">
      <alignment horizontal="center"/>
    </xf>
    <xf numFmtId="43" fontId="17" fillId="0" borderId="0" xfId="1" applyFont="1" applyBorder="1"/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/>
    </xf>
    <xf numFmtId="0" fontId="19" fillId="0" borderId="1" xfId="3" applyFont="1" applyBorder="1"/>
    <xf numFmtId="0" fontId="19" fillId="0" borderId="1" xfId="3" applyFont="1" applyBorder="1" applyAlignment="1">
      <alignment horizontal="center"/>
    </xf>
    <xf numFmtId="43" fontId="19" fillId="0" borderId="1" xfId="1" applyFont="1" applyBorder="1"/>
    <xf numFmtId="43" fontId="19" fillId="0" borderId="2" xfId="1" applyFont="1" applyBorder="1"/>
    <xf numFmtId="43" fontId="19" fillId="0" borderId="2" xfId="5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43" fontId="19" fillId="0" borderId="1" xfId="5" applyFont="1" applyBorder="1" applyAlignment="1">
      <alignment horizontal="center"/>
    </xf>
    <xf numFmtId="43" fontId="20" fillId="0" borderId="1" xfId="5" applyFont="1" applyBorder="1" applyAlignment="1">
      <alignment horizontal="center"/>
    </xf>
    <xf numFmtId="0" fontId="19" fillId="2" borderId="1" xfId="0" applyFont="1" applyFill="1" applyBorder="1" applyAlignment="1">
      <alignment horizontal="center" vertical="center"/>
    </xf>
    <xf numFmtId="0" fontId="18" fillId="0" borderId="1" xfId="3" applyFont="1" applyBorder="1" applyAlignment="1">
      <alignment horizontal="right"/>
    </xf>
    <xf numFmtId="0" fontId="18" fillId="0" borderId="1" xfId="4" applyFont="1" applyBorder="1" applyAlignment="1">
      <alignment horizontal="center"/>
    </xf>
    <xf numFmtId="43" fontId="18" fillId="0" borderId="1" xfId="1" applyFont="1" applyBorder="1"/>
    <xf numFmtId="0" fontId="20" fillId="0" borderId="1" xfId="0" applyFont="1" applyBorder="1" applyAlignment="1">
      <alignment horizontal="center"/>
    </xf>
    <xf numFmtId="0" fontId="19" fillId="2" borderId="0" xfId="0" applyFont="1" applyFill="1" applyAlignment="1">
      <alignment horizontal="center" vertical="center"/>
    </xf>
    <xf numFmtId="0" fontId="18" fillId="0" borderId="0" xfId="3" applyFont="1" applyAlignment="1">
      <alignment horizontal="right"/>
    </xf>
    <xf numFmtId="0" fontId="18" fillId="0" borderId="0" xfId="4" applyFont="1" applyAlignment="1">
      <alignment horizontal="center"/>
    </xf>
    <xf numFmtId="43" fontId="18" fillId="0" borderId="0" xfId="1" applyFont="1" applyBorder="1"/>
    <xf numFmtId="0" fontId="20" fillId="0" borderId="0" xfId="0" applyFont="1" applyAlignment="1">
      <alignment horizontal="center"/>
    </xf>
    <xf numFmtId="0" fontId="21" fillId="2" borderId="0" xfId="0" applyFont="1" applyFill="1" applyAlignment="1">
      <alignment horizontal="center" vertical="center"/>
    </xf>
    <xf numFmtId="0" fontId="22" fillId="0" borderId="0" xfId="3" applyFont="1" applyAlignment="1">
      <alignment horizontal="right"/>
    </xf>
    <xf numFmtId="0" fontId="22" fillId="0" borderId="0" xfId="4" applyFont="1" applyAlignment="1">
      <alignment horizontal="center"/>
    </xf>
    <xf numFmtId="43" fontId="22" fillId="0" borderId="0" xfId="1" applyFont="1" applyBorder="1"/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right" wrapText="1"/>
    </xf>
    <xf numFmtId="0" fontId="24" fillId="0" borderId="0" xfId="0" applyFont="1" applyAlignment="1">
      <alignment vertical="center" wrapText="1"/>
    </xf>
    <xf numFmtId="0" fontId="25" fillId="0" borderId="0" xfId="0" applyFont="1"/>
    <xf numFmtId="0" fontId="11" fillId="0" borderId="1" xfId="9" applyFont="1" applyBorder="1" applyAlignment="1">
      <alignment horizontal="center"/>
    </xf>
    <xf numFmtId="43" fontId="11" fillId="0" borderId="1" xfId="1" applyFont="1" applyFill="1" applyBorder="1" applyAlignment="1">
      <alignment horizontal="center"/>
    </xf>
    <xf numFmtId="0" fontId="16" fillId="0" borderId="1" xfId="3" applyFont="1" applyBorder="1"/>
    <xf numFmtId="43" fontId="11" fillId="0" borderId="1" xfId="1" applyFont="1" applyFill="1" applyBorder="1"/>
    <xf numFmtId="43" fontId="11" fillId="0" borderId="2" xfId="5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17" fillId="0" borderId="0" xfId="0" applyFont="1" applyAlignment="1">
      <alignment vertical="center" wrapText="1"/>
    </xf>
    <xf numFmtId="0" fontId="11" fillId="0" borderId="1" xfId="3" applyFont="1" applyBorder="1" applyAlignment="1">
      <alignment horizontal="left" vertical="center"/>
    </xf>
    <xf numFmtId="0" fontId="11" fillId="0" borderId="1" xfId="4" applyFont="1" applyBorder="1" applyAlignment="1">
      <alignment horizontal="center"/>
    </xf>
    <xf numFmtId="0" fontId="11" fillId="0" borderId="8" xfId="3" applyFont="1" applyBorder="1" applyAlignment="1">
      <alignment horizontal="left" vertical="center"/>
    </xf>
    <xf numFmtId="43" fontId="11" fillId="0" borderId="2" xfId="1" applyFont="1" applyFill="1" applyBorder="1" applyAlignment="1">
      <alignment horizontal="center"/>
    </xf>
    <xf numFmtId="0" fontId="11" fillId="0" borderId="1" xfId="3" applyFont="1" applyBorder="1" applyAlignment="1">
      <alignment horizontal="left"/>
    </xf>
    <xf numFmtId="43" fontId="11" fillId="0" borderId="1" xfId="5" applyFont="1" applyBorder="1" applyAlignment="1">
      <alignment horizontal="center"/>
    </xf>
    <xf numFmtId="43" fontId="26" fillId="0" borderId="1" xfId="5" applyFont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2" fillId="0" borderId="0" xfId="3" applyFont="1" applyAlignment="1">
      <alignment horizontal="right"/>
    </xf>
    <xf numFmtId="0" fontId="2" fillId="0" borderId="0" xfId="4" applyFont="1" applyAlignment="1">
      <alignment horizontal="center"/>
    </xf>
    <xf numFmtId="43" fontId="2" fillId="0" borderId="0" xfId="1" applyFont="1" applyBorder="1"/>
    <xf numFmtId="0" fontId="27" fillId="0" borderId="0" xfId="0" applyFont="1"/>
    <xf numFmtId="0" fontId="16" fillId="0" borderId="1" xfId="3" applyFont="1" applyBorder="1" applyAlignment="1">
      <alignment horizontal="center"/>
    </xf>
    <xf numFmtId="0" fontId="13" fillId="2" borderId="0" xfId="0" applyFont="1" applyFill="1" applyAlignment="1">
      <alignment horizontal="center" vertical="center"/>
    </xf>
    <xf numFmtId="0" fontId="10" fillId="0" borderId="0" xfId="3" applyFont="1" applyAlignment="1">
      <alignment horizontal="right"/>
    </xf>
    <xf numFmtId="0" fontId="10" fillId="0" borderId="0" xfId="4" applyFont="1" applyAlignment="1">
      <alignment horizontal="center"/>
    </xf>
    <xf numFmtId="0" fontId="12" fillId="0" borderId="0" xfId="0" applyFont="1" applyAlignment="1">
      <alignment horizontal="center"/>
    </xf>
    <xf numFmtId="0" fontId="14" fillId="0" borderId="2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top"/>
    </xf>
    <xf numFmtId="4" fontId="11" fillId="0" borderId="1" xfId="1" applyNumberFormat="1" applyFont="1" applyBorder="1" applyAlignment="1">
      <alignment horizontal="right"/>
    </xf>
    <xf numFmtId="43" fontId="17" fillId="0" borderId="1" xfId="1" applyFont="1" applyBorder="1" applyAlignment="1">
      <alignment horizontal="right" vertical="center" wrapText="1"/>
    </xf>
    <xf numFmtId="43" fontId="17" fillId="0" borderId="8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top"/>
    </xf>
    <xf numFmtId="0" fontId="24" fillId="0" borderId="0" xfId="0" applyFont="1" applyAlignment="1">
      <alignment horizontal="left" wrapText="1" indent="17"/>
    </xf>
    <xf numFmtId="0" fontId="10" fillId="0" borderId="0" xfId="0" applyFont="1" applyAlignment="1">
      <alignment horizontal="center"/>
    </xf>
    <xf numFmtId="0" fontId="13" fillId="0" borderId="0" xfId="2" applyFont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3" xfId="0" applyFont="1" applyBorder="1" applyAlignment="1" applyProtection="1">
      <alignment horizontal="center"/>
      <protection locked="0"/>
    </xf>
    <xf numFmtId="0" fontId="18" fillId="0" borderId="5" xfId="0" applyFont="1" applyBorder="1" applyAlignment="1" applyProtection="1">
      <alignment horizontal="center"/>
      <protection locked="0"/>
    </xf>
    <xf numFmtId="0" fontId="18" fillId="0" borderId="4" xfId="0" applyFont="1" applyBorder="1" applyAlignment="1" applyProtection="1">
      <alignment horizontal="center"/>
      <protection locked="0"/>
    </xf>
    <xf numFmtId="0" fontId="18" fillId="0" borderId="6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left" wrapText="1" indent="22"/>
    </xf>
    <xf numFmtId="0" fontId="24" fillId="0" borderId="0" xfId="0" applyFont="1" applyAlignment="1">
      <alignment horizontal="left" indent="14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3" xfId="0" applyFont="1" applyBorder="1" applyAlignment="1" applyProtection="1">
      <alignment horizontal="center"/>
      <protection locked="0"/>
    </xf>
    <xf numFmtId="0" fontId="17" fillId="0" borderId="5" xfId="0" applyFont="1" applyBorder="1" applyAlignment="1" applyProtection="1">
      <alignment horizontal="center"/>
      <protection locked="0"/>
    </xf>
    <xf numFmtId="0" fontId="17" fillId="0" borderId="4" xfId="0" applyFont="1" applyBorder="1" applyAlignment="1" applyProtection="1">
      <alignment horizontal="center"/>
      <protection locked="0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 wrapText="1" indent="22"/>
    </xf>
    <xf numFmtId="0" fontId="9" fillId="0" borderId="0" xfId="0" applyFont="1" applyAlignment="1">
      <alignment horizontal="left" indent="14"/>
    </xf>
    <xf numFmtId="0" fontId="9" fillId="0" borderId="0" xfId="0" applyFont="1" applyAlignment="1">
      <alignment horizontal="left" wrapText="1" indent="17"/>
    </xf>
    <xf numFmtId="0" fontId="17" fillId="0" borderId="0" xfId="0" applyFont="1" applyAlignment="1">
      <alignment horizontal="left" wrapText="1" indent="17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left" indent="39"/>
    </xf>
    <xf numFmtId="0" fontId="9" fillId="0" borderId="0" xfId="0" applyFont="1" applyAlignment="1">
      <alignment horizontal="left" wrapText="1" indent="37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left" indent="17"/>
    </xf>
    <xf numFmtId="43" fontId="17" fillId="0" borderId="8" xfId="1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11" fillId="2" borderId="0" xfId="0" applyFont="1" applyFill="1" applyBorder="1" applyAlignment="1">
      <alignment horizontal="center" vertical="center"/>
    </xf>
    <xf numFmtId="0" fontId="17" fillId="0" borderId="0" xfId="3" applyFont="1" applyBorder="1" applyAlignment="1">
      <alignment horizontal="right"/>
    </xf>
    <xf numFmtId="0" fontId="17" fillId="0" borderId="0" xfId="4" applyFont="1" applyBorder="1" applyAlignment="1">
      <alignment horizontal="center"/>
    </xf>
    <xf numFmtId="0" fontId="26" fillId="0" borderId="0" xfId="0" applyFont="1" applyBorder="1" applyAlignment="1">
      <alignment horizontal="center"/>
    </xf>
  </cellXfs>
  <cellStyles count="10">
    <cellStyle name="Normal_ครุภัณฑ์ปี  2553" xfId="8" xr:uid="{AE646D44-086A-4056-B886-9CA6ADA7DB6B}"/>
    <cellStyle name="เครื่องหมายจุลภาค 9" xfId="5" xr:uid="{1D0711E8-16EE-4D82-809D-2FDF3B5CCD83}"/>
    <cellStyle name="จุลภาค" xfId="1" builtinId="3"/>
    <cellStyle name="ปกติ" xfId="0" builtinId="0"/>
    <cellStyle name="ปกติ 12" xfId="6" xr:uid="{5CB0AC1D-B084-42C6-A7E4-5321F2431771}"/>
    <cellStyle name="ปกติ 19" xfId="7" xr:uid="{4ED7F993-934E-4C72-B42E-8D2FE7D4001F}"/>
    <cellStyle name="ปกติ 21" xfId="4" xr:uid="{A0100C82-7B1C-4F86-91A6-76B37B5C5ECE}"/>
    <cellStyle name="ปกติ 22" xfId="9" xr:uid="{1A794706-7294-499C-8673-C958E73CB925}"/>
    <cellStyle name="ปกติ 3" xfId="2" xr:uid="{F7BBC10F-9414-411B-A731-ABE5E828FE8A}"/>
    <cellStyle name="ปกติ_รายการครุภัณฑ์ ปี 52 ที่แก้ไขเรียงลำดับใหม่ 23 ก.พ.53" xfId="3" xr:uid="{79606422-4B80-4AA1-83AD-343F71C750E8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142875</xdr:colOff>
      <xdr:row>0</xdr:row>
      <xdr:rowOff>295275</xdr:rowOff>
    </xdr:from>
    <xdr:to>
      <xdr:col>9</xdr:col>
      <xdr:colOff>476250</xdr:colOff>
      <xdr:row>1</xdr:row>
      <xdr:rowOff>314325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86CC5428-8112-44BF-965F-122BE13CD372}"/>
            </a:ext>
          </a:extLst>
        </xdr:cNvPr>
        <xdr:cNvSpPr txBox="1"/>
      </xdr:nvSpPr>
      <xdr:spPr>
        <a:xfrm>
          <a:off x="7153275" y="295275"/>
          <a:ext cx="1704975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438150</xdr:colOff>
      <xdr:row>0</xdr:row>
      <xdr:rowOff>266700</xdr:rowOff>
    </xdr:from>
    <xdr:to>
      <xdr:col>9</xdr:col>
      <xdr:colOff>85725</xdr:colOff>
      <xdr:row>1</xdr:row>
      <xdr:rowOff>285750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8FA5ADC7-8FF6-48A2-8F1C-C4F1A1F575FA}"/>
            </a:ext>
          </a:extLst>
        </xdr:cNvPr>
        <xdr:cNvSpPr txBox="1"/>
      </xdr:nvSpPr>
      <xdr:spPr>
        <a:xfrm>
          <a:off x="6419850" y="266700"/>
          <a:ext cx="1476375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438150</xdr:colOff>
      <xdr:row>0</xdr:row>
      <xdr:rowOff>266700</xdr:rowOff>
    </xdr:from>
    <xdr:to>
      <xdr:col>9</xdr:col>
      <xdr:colOff>85725</xdr:colOff>
      <xdr:row>1</xdr:row>
      <xdr:rowOff>285750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A20AC5CE-44FA-4BB6-8003-7419FE2BE924}"/>
            </a:ext>
          </a:extLst>
        </xdr:cNvPr>
        <xdr:cNvSpPr txBox="1"/>
      </xdr:nvSpPr>
      <xdr:spPr>
        <a:xfrm>
          <a:off x="6419850" y="266700"/>
          <a:ext cx="1476375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438150</xdr:colOff>
      <xdr:row>0</xdr:row>
      <xdr:rowOff>266700</xdr:rowOff>
    </xdr:from>
    <xdr:to>
      <xdr:col>9</xdr:col>
      <xdr:colOff>85725</xdr:colOff>
      <xdr:row>1</xdr:row>
      <xdr:rowOff>285750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5510A881-33F3-4EBA-B12F-2D7E6F68B983}"/>
            </a:ext>
          </a:extLst>
        </xdr:cNvPr>
        <xdr:cNvSpPr txBox="1"/>
      </xdr:nvSpPr>
      <xdr:spPr>
        <a:xfrm>
          <a:off x="6419850" y="266700"/>
          <a:ext cx="1476375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438150</xdr:colOff>
      <xdr:row>0</xdr:row>
      <xdr:rowOff>266700</xdr:rowOff>
    </xdr:from>
    <xdr:to>
      <xdr:col>9</xdr:col>
      <xdr:colOff>85725</xdr:colOff>
      <xdr:row>1</xdr:row>
      <xdr:rowOff>285750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DC243956-1CDB-4EB4-A249-EFA61F6A31EF}"/>
            </a:ext>
          </a:extLst>
        </xdr:cNvPr>
        <xdr:cNvSpPr txBox="1"/>
      </xdr:nvSpPr>
      <xdr:spPr>
        <a:xfrm>
          <a:off x="6419850" y="266700"/>
          <a:ext cx="1476375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438150</xdr:colOff>
      <xdr:row>0</xdr:row>
      <xdr:rowOff>266700</xdr:rowOff>
    </xdr:from>
    <xdr:to>
      <xdr:col>9</xdr:col>
      <xdr:colOff>85725</xdr:colOff>
      <xdr:row>1</xdr:row>
      <xdr:rowOff>285750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278A458F-5C45-45FD-A551-38C227C4796B}"/>
            </a:ext>
          </a:extLst>
        </xdr:cNvPr>
        <xdr:cNvSpPr txBox="1"/>
      </xdr:nvSpPr>
      <xdr:spPr>
        <a:xfrm>
          <a:off x="6800850" y="266700"/>
          <a:ext cx="1704975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438150</xdr:colOff>
      <xdr:row>0</xdr:row>
      <xdr:rowOff>266700</xdr:rowOff>
    </xdr:from>
    <xdr:to>
      <xdr:col>9</xdr:col>
      <xdr:colOff>85725</xdr:colOff>
      <xdr:row>1</xdr:row>
      <xdr:rowOff>285750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70E55A09-8D29-488A-93A3-E4C02A6BC7DE}"/>
            </a:ext>
          </a:extLst>
        </xdr:cNvPr>
        <xdr:cNvSpPr txBox="1"/>
      </xdr:nvSpPr>
      <xdr:spPr>
        <a:xfrm>
          <a:off x="6419850" y="266700"/>
          <a:ext cx="1476375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B8A62-0AC2-4DA2-AFF6-377053F7E547}">
  <dimension ref="A1:M26"/>
  <sheetViews>
    <sheetView topLeftCell="A10" workbookViewId="0">
      <selection activeCell="A14" sqref="A14:F21"/>
    </sheetView>
  </sheetViews>
  <sheetFormatPr defaultRowHeight="14.25" x14ac:dyDescent="0.2"/>
  <cols>
    <col min="1" max="1" width="5" customWidth="1"/>
    <col min="2" max="2" width="38.5" customWidth="1"/>
    <col min="3" max="3" width="6.125" customWidth="1"/>
    <col min="4" max="6" width="11.125" customWidth="1"/>
  </cols>
  <sheetData>
    <row r="1" spans="1:13" ht="25.5" customHeight="1" x14ac:dyDescent="0.5">
      <c r="A1" s="92" t="s">
        <v>3</v>
      </c>
      <c r="B1" s="92"/>
      <c r="C1" s="92"/>
      <c r="D1" s="92"/>
      <c r="E1" s="92"/>
      <c r="F1" s="92"/>
    </row>
    <row r="2" spans="1:13" ht="25.5" customHeight="1" x14ac:dyDescent="0.2">
      <c r="A2" s="93" t="s">
        <v>39</v>
      </c>
      <c r="B2" s="93"/>
      <c r="C2" s="93"/>
      <c r="D2" s="93"/>
      <c r="E2" s="93"/>
      <c r="F2" s="93"/>
    </row>
    <row r="3" spans="1:13" ht="25.5" customHeight="1" x14ac:dyDescent="0.2">
      <c r="A3" s="93" t="s">
        <v>14</v>
      </c>
      <c r="B3" s="93"/>
      <c r="C3" s="93"/>
      <c r="D3" s="93"/>
      <c r="E3" s="93"/>
      <c r="F3" s="93"/>
    </row>
    <row r="4" spans="1:13" ht="21.75" customHeight="1" x14ac:dyDescent="0.5">
      <c r="A4" s="99" t="s">
        <v>0</v>
      </c>
      <c r="B4" s="94" t="s">
        <v>4</v>
      </c>
      <c r="C4" s="96" t="s">
        <v>5</v>
      </c>
      <c r="D4" s="97"/>
      <c r="E4" s="98"/>
      <c r="F4" s="99" t="s">
        <v>2</v>
      </c>
    </row>
    <row r="5" spans="1:13" ht="21.75" customHeight="1" x14ac:dyDescent="0.2">
      <c r="A5" s="100"/>
      <c r="B5" s="95"/>
      <c r="C5" s="30" t="s">
        <v>1</v>
      </c>
      <c r="D5" s="31" t="s">
        <v>6</v>
      </c>
      <c r="E5" s="32" t="s">
        <v>7</v>
      </c>
      <c r="F5" s="100"/>
    </row>
    <row r="6" spans="1:13" ht="21" customHeight="1" x14ac:dyDescent="0.5">
      <c r="A6" s="33">
        <v>1</v>
      </c>
      <c r="B6" s="34" t="s">
        <v>40</v>
      </c>
      <c r="C6" s="35">
        <v>1</v>
      </c>
      <c r="D6" s="36">
        <v>2300</v>
      </c>
      <c r="E6" s="37">
        <f>SUM(D6*C6)</f>
        <v>2300</v>
      </c>
      <c r="F6" s="38"/>
    </row>
    <row r="7" spans="1:13" ht="21" customHeight="1" x14ac:dyDescent="0.5">
      <c r="A7" s="39">
        <v>2</v>
      </c>
      <c r="B7" s="34" t="s">
        <v>41</v>
      </c>
      <c r="C7" s="35">
        <v>1</v>
      </c>
      <c r="D7" s="36">
        <v>900</v>
      </c>
      <c r="E7" s="37">
        <f t="shared" ref="E7:E10" si="0">SUM(D7*C7)</f>
        <v>900</v>
      </c>
      <c r="F7" s="40"/>
    </row>
    <row r="8" spans="1:13" ht="21" customHeight="1" x14ac:dyDescent="0.5">
      <c r="A8" s="33">
        <v>3</v>
      </c>
      <c r="B8" s="34" t="s">
        <v>42</v>
      </c>
      <c r="C8" s="35">
        <v>1</v>
      </c>
      <c r="D8" s="36">
        <v>2200</v>
      </c>
      <c r="E8" s="37">
        <f t="shared" si="0"/>
        <v>2200</v>
      </c>
      <c r="F8" s="40"/>
    </row>
    <row r="9" spans="1:13" ht="21" customHeight="1" x14ac:dyDescent="0.5">
      <c r="A9" s="39">
        <v>4</v>
      </c>
      <c r="B9" s="34" t="s">
        <v>43</v>
      </c>
      <c r="C9" s="35">
        <v>1</v>
      </c>
      <c r="D9" s="36">
        <v>2250</v>
      </c>
      <c r="E9" s="37">
        <f t="shared" si="0"/>
        <v>2250</v>
      </c>
      <c r="F9" s="40"/>
    </row>
    <row r="10" spans="1:13" ht="21" customHeight="1" x14ac:dyDescent="0.5">
      <c r="A10" s="33">
        <v>5</v>
      </c>
      <c r="B10" s="34" t="s">
        <v>44</v>
      </c>
      <c r="C10" s="35">
        <v>2</v>
      </c>
      <c r="D10" s="36">
        <v>2500</v>
      </c>
      <c r="E10" s="37">
        <f t="shared" si="0"/>
        <v>5000</v>
      </c>
      <c r="F10" s="41"/>
    </row>
    <row r="11" spans="1:13" ht="21.75" customHeight="1" x14ac:dyDescent="0.5">
      <c r="A11" s="42"/>
      <c r="B11" s="43" t="s">
        <v>8</v>
      </c>
      <c r="C11" s="44"/>
      <c r="D11" s="45"/>
      <c r="E11" s="45">
        <f>SUM(E6:E10)</f>
        <v>12650</v>
      </c>
      <c r="F11" s="46"/>
    </row>
    <row r="12" spans="1:13" ht="19.5" customHeight="1" x14ac:dyDescent="0.5">
      <c r="A12" s="47"/>
      <c r="B12" s="48"/>
      <c r="C12" s="49"/>
      <c r="D12" s="50"/>
      <c r="E12" s="50"/>
      <c r="F12" s="51"/>
    </row>
    <row r="13" spans="1:13" ht="21.75" customHeight="1" x14ac:dyDescent="0.55000000000000004">
      <c r="A13" s="52"/>
      <c r="B13" s="53"/>
      <c r="C13" s="54"/>
      <c r="D13" s="55"/>
      <c r="E13" s="55"/>
      <c r="F13" s="56"/>
    </row>
    <row r="14" spans="1:13" ht="21.75" customHeight="1" x14ac:dyDescent="0.3">
      <c r="A14" s="101" t="s">
        <v>45</v>
      </c>
      <c r="B14" s="101"/>
      <c r="C14" s="101"/>
      <c r="D14" s="101"/>
      <c r="E14" s="101"/>
      <c r="F14" s="101"/>
    </row>
    <row r="15" spans="1:13" ht="21.75" customHeight="1" x14ac:dyDescent="0.3">
      <c r="A15" s="102" t="s">
        <v>23</v>
      </c>
      <c r="B15" s="102"/>
      <c r="C15" s="102"/>
      <c r="D15" s="102"/>
      <c r="E15" s="102"/>
      <c r="F15" s="102"/>
      <c r="J15" s="2" t="s">
        <v>11</v>
      </c>
      <c r="M15" s="2" t="s">
        <v>9</v>
      </c>
    </row>
    <row r="16" spans="1:13" ht="21.75" customHeight="1" x14ac:dyDescent="0.3">
      <c r="A16" s="57"/>
      <c r="B16" s="57"/>
      <c r="C16" s="57"/>
      <c r="D16" s="57"/>
      <c r="E16" s="57"/>
      <c r="F16" s="57"/>
    </row>
    <row r="17" spans="1:13" ht="21.75" customHeight="1" x14ac:dyDescent="0.3">
      <c r="A17" s="101" t="s">
        <v>46</v>
      </c>
      <c r="B17" s="101"/>
      <c r="C17" s="101"/>
      <c r="D17" s="101"/>
      <c r="E17" s="101"/>
      <c r="F17" s="101"/>
    </row>
    <row r="18" spans="1:13" ht="21.75" customHeight="1" x14ac:dyDescent="0.3">
      <c r="A18" s="103" t="s">
        <v>47</v>
      </c>
      <c r="B18" s="103"/>
      <c r="C18" s="103"/>
      <c r="D18" s="103"/>
      <c r="E18" s="103"/>
      <c r="F18" s="103"/>
      <c r="J18" s="2"/>
      <c r="M18" s="2" t="s">
        <v>10</v>
      </c>
    </row>
    <row r="19" spans="1:13" ht="21.75" customHeight="1" x14ac:dyDescent="0.3">
      <c r="A19" s="57"/>
      <c r="B19" s="57"/>
      <c r="C19" s="57"/>
      <c r="D19" s="57"/>
      <c r="E19" s="57"/>
      <c r="F19" s="57"/>
      <c r="J19" s="2"/>
      <c r="M19" s="2"/>
    </row>
    <row r="20" spans="1:13" ht="21.75" customHeight="1" x14ac:dyDescent="0.3">
      <c r="A20" s="101" t="s">
        <v>46</v>
      </c>
      <c r="B20" s="101"/>
      <c r="C20" s="101"/>
      <c r="D20" s="101"/>
      <c r="E20" s="101"/>
      <c r="F20" s="101"/>
      <c r="G20" s="2"/>
      <c r="H20" s="2"/>
    </row>
    <row r="21" spans="1:13" ht="21.75" customHeight="1" x14ac:dyDescent="0.3">
      <c r="A21" s="91" t="s">
        <v>48</v>
      </c>
      <c r="B21" s="91"/>
      <c r="C21" s="91"/>
      <c r="D21" s="91"/>
      <c r="E21" s="91"/>
      <c r="F21" s="91"/>
      <c r="J21" s="3" t="s">
        <v>12</v>
      </c>
    </row>
    <row r="22" spans="1:13" ht="20.25" x14ac:dyDescent="0.2">
      <c r="A22" s="58"/>
      <c r="B22" s="58"/>
      <c r="C22" s="58"/>
      <c r="D22" s="58"/>
      <c r="E22" s="58"/>
      <c r="F22" s="58"/>
    </row>
    <row r="23" spans="1:13" ht="17.25" x14ac:dyDescent="0.4">
      <c r="A23" s="59"/>
      <c r="B23" s="59"/>
      <c r="C23" s="59"/>
      <c r="D23" s="59"/>
      <c r="E23" s="59"/>
      <c r="F23" s="59"/>
    </row>
    <row r="24" spans="1:13" ht="17.25" x14ac:dyDescent="0.4">
      <c r="A24" s="59"/>
      <c r="B24" s="59"/>
      <c r="C24" s="59"/>
      <c r="D24" s="59"/>
      <c r="E24" s="59"/>
      <c r="F24" s="59"/>
    </row>
    <row r="25" spans="1:13" ht="17.25" x14ac:dyDescent="0.4">
      <c r="A25" s="59"/>
      <c r="B25" s="59"/>
      <c r="C25" s="59"/>
      <c r="D25" s="59"/>
      <c r="E25" s="59"/>
      <c r="F25" s="59"/>
    </row>
    <row r="26" spans="1:13" ht="17.25" x14ac:dyDescent="0.4">
      <c r="A26" s="17"/>
      <c r="B26" s="17"/>
      <c r="C26" s="17"/>
      <c r="D26" s="17"/>
      <c r="E26" s="17"/>
      <c r="F26" s="17"/>
    </row>
  </sheetData>
  <mergeCells count="13">
    <mergeCell ref="A21:F21"/>
    <mergeCell ref="A1:F1"/>
    <mergeCell ref="A2:F2"/>
    <mergeCell ref="A3:F3"/>
    <mergeCell ref="B4:B5"/>
    <mergeCell ref="C4:E4"/>
    <mergeCell ref="F4:F5"/>
    <mergeCell ref="A4:A5"/>
    <mergeCell ref="A14:F14"/>
    <mergeCell ref="A20:F20"/>
    <mergeCell ref="A17:F17"/>
    <mergeCell ref="A15:F15"/>
    <mergeCell ref="A18:F18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5F6AE-3EB1-44E9-AB1C-E2A63F8DE191}">
  <dimension ref="A1:M20"/>
  <sheetViews>
    <sheetView topLeftCell="A7" workbookViewId="0">
      <selection activeCell="H13" sqref="H13"/>
    </sheetView>
  </sheetViews>
  <sheetFormatPr defaultRowHeight="14.25" x14ac:dyDescent="0.2"/>
  <cols>
    <col min="1" max="1" width="5" customWidth="1"/>
    <col min="2" max="2" width="39" customWidth="1"/>
    <col min="3" max="3" width="6.125" customWidth="1"/>
    <col min="4" max="4" width="12.125" customWidth="1"/>
    <col min="5" max="5" width="13.125" customWidth="1"/>
    <col min="6" max="6" width="9.25" customWidth="1"/>
  </cols>
  <sheetData>
    <row r="1" spans="1:13" ht="25.5" customHeight="1" x14ac:dyDescent="0.5">
      <c r="A1" s="92" t="s">
        <v>3</v>
      </c>
      <c r="B1" s="92"/>
      <c r="C1" s="92"/>
      <c r="D1" s="92"/>
      <c r="E1" s="92"/>
      <c r="F1" s="92"/>
    </row>
    <row r="2" spans="1:13" ht="25.5" customHeight="1" x14ac:dyDescent="0.2">
      <c r="A2" s="93" t="s">
        <v>39</v>
      </c>
      <c r="B2" s="93"/>
      <c r="C2" s="93"/>
      <c r="D2" s="93"/>
      <c r="E2" s="93"/>
      <c r="F2" s="93"/>
    </row>
    <row r="3" spans="1:13" ht="25.5" customHeight="1" x14ac:dyDescent="0.2">
      <c r="A3" s="93" t="s">
        <v>15</v>
      </c>
      <c r="B3" s="93"/>
      <c r="C3" s="93"/>
      <c r="D3" s="93"/>
      <c r="E3" s="93"/>
      <c r="F3" s="93"/>
    </row>
    <row r="4" spans="1:13" ht="21.75" customHeight="1" x14ac:dyDescent="0.5">
      <c r="A4" s="104" t="s">
        <v>0</v>
      </c>
      <c r="B4" s="106" t="s">
        <v>4</v>
      </c>
      <c r="C4" s="108" t="s">
        <v>5</v>
      </c>
      <c r="D4" s="109"/>
      <c r="E4" s="110"/>
      <c r="F4" s="104" t="s">
        <v>2</v>
      </c>
    </row>
    <row r="5" spans="1:13" ht="21.75" customHeight="1" x14ac:dyDescent="0.2">
      <c r="A5" s="105"/>
      <c r="B5" s="107"/>
      <c r="C5" s="19" t="s">
        <v>1</v>
      </c>
      <c r="D5" s="20" t="s">
        <v>6</v>
      </c>
      <c r="E5" s="21" t="s">
        <v>7</v>
      </c>
      <c r="F5" s="105"/>
    </row>
    <row r="6" spans="1:13" ht="21.75" customHeight="1" x14ac:dyDescent="0.5">
      <c r="A6" s="10">
        <v>1</v>
      </c>
      <c r="B6" s="11" t="s">
        <v>19</v>
      </c>
      <c r="C6" s="60">
        <v>1</v>
      </c>
      <c r="D6" s="63">
        <v>17900</v>
      </c>
      <c r="E6" s="14">
        <f>SUM(D6*C6)</f>
        <v>17900</v>
      </c>
      <c r="F6" s="64"/>
    </row>
    <row r="7" spans="1:13" ht="21.75" customHeight="1" x14ac:dyDescent="0.5">
      <c r="A7" s="22"/>
      <c r="B7" s="23" t="s">
        <v>8</v>
      </c>
      <c r="C7" s="24"/>
      <c r="D7" s="25"/>
      <c r="E7" s="25">
        <f>SUM(E6:E6)</f>
        <v>17900</v>
      </c>
      <c r="F7" s="65"/>
    </row>
    <row r="8" spans="1:13" ht="21.75" customHeight="1" x14ac:dyDescent="0.5">
      <c r="A8" s="26"/>
      <c r="B8" s="27"/>
      <c r="C8" s="28"/>
      <c r="D8" s="29"/>
      <c r="E8" s="29"/>
      <c r="F8" s="66"/>
    </row>
    <row r="9" spans="1:13" ht="21.75" customHeight="1" x14ac:dyDescent="0.5">
      <c r="A9" s="26"/>
      <c r="B9" s="27"/>
      <c r="C9" s="28"/>
      <c r="D9" s="29"/>
      <c r="E9" s="29"/>
      <c r="F9" s="66"/>
    </row>
    <row r="10" spans="1:13" ht="21.75" customHeight="1" x14ac:dyDescent="0.3">
      <c r="A10" s="111" t="s">
        <v>49</v>
      </c>
      <c r="B10" s="111"/>
      <c r="C10" s="111"/>
      <c r="D10" s="111"/>
      <c r="E10" s="111"/>
      <c r="F10" s="111"/>
    </row>
    <row r="11" spans="1:13" ht="19.5" customHeight="1" x14ac:dyDescent="0.3">
      <c r="A11" s="112" t="s">
        <v>53</v>
      </c>
      <c r="B11" s="112"/>
      <c r="C11" s="112"/>
      <c r="D11" s="112"/>
      <c r="E11" s="112"/>
      <c r="F11" s="112"/>
    </row>
    <row r="12" spans="1:13" ht="21.75" customHeight="1" x14ac:dyDescent="0.3">
      <c r="A12" s="9"/>
      <c r="B12" s="9"/>
      <c r="C12" s="9"/>
      <c r="D12" s="9"/>
      <c r="E12" s="9"/>
      <c r="F12" s="9"/>
    </row>
    <row r="13" spans="1:13" ht="21.75" customHeight="1" x14ac:dyDescent="0.3">
      <c r="A13" s="111" t="s">
        <v>50</v>
      </c>
      <c r="B13" s="111"/>
      <c r="C13" s="111"/>
      <c r="D13" s="111"/>
      <c r="E13" s="111"/>
      <c r="F13" s="111"/>
    </row>
    <row r="14" spans="1:13" ht="21.75" customHeight="1" x14ac:dyDescent="0.3">
      <c r="A14" s="113" t="s">
        <v>52</v>
      </c>
      <c r="B14" s="113"/>
      <c r="C14" s="113"/>
      <c r="D14" s="113"/>
      <c r="E14" s="113"/>
      <c r="F14" s="113"/>
      <c r="J14" s="2" t="s">
        <v>11</v>
      </c>
      <c r="M14" s="2" t="s">
        <v>9</v>
      </c>
    </row>
    <row r="15" spans="1:13" ht="21.75" customHeight="1" x14ac:dyDescent="0.3">
      <c r="A15" s="9"/>
      <c r="B15" s="9"/>
      <c r="C15" s="9"/>
      <c r="D15" s="9"/>
      <c r="E15" s="9"/>
      <c r="F15" s="9"/>
    </row>
    <row r="16" spans="1:13" ht="21.75" customHeight="1" x14ac:dyDescent="0.3">
      <c r="A16" s="111" t="s">
        <v>50</v>
      </c>
      <c r="B16" s="111"/>
      <c r="C16" s="111"/>
      <c r="D16" s="111"/>
      <c r="E16" s="111"/>
      <c r="F16" s="111"/>
    </row>
    <row r="17" spans="1:13" ht="21.75" customHeight="1" x14ac:dyDescent="0.3">
      <c r="A17" s="114" t="s">
        <v>51</v>
      </c>
      <c r="B17" s="114"/>
      <c r="C17" s="114"/>
      <c r="D17" s="114"/>
      <c r="E17" s="114"/>
      <c r="F17" s="114"/>
      <c r="J17" s="2"/>
      <c r="M17" s="2" t="s">
        <v>10</v>
      </c>
    </row>
    <row r="18" spans="1:13" ht="21.75" customHeight="1" x14ac:dyDescent="0.2">
      <c r="A18" s="8"/>
      <c r="B18" s="8"/>
      <c r="C18" s="8"/>
      <c r="D18" s="8"/>
      <c r="E18" s="8"/>
      <c r="F18" s="8"/>
      <c r="J18" s="2"/>
      <c r="M18" s="2"/>
    </row>
    <row r="19" spans="1:13" ht="21.75" customHeight="1" x14ac:dyDescent="0.5">
      <c r="A19" s="115"/>
      <c r="B19" s="115"/>
      <c r="C19" s="115"/>
      <c r="D19" s="115"/>
      <c r="E19" s="115"/>
      <c r="F19" s="115"/>
      <c r="G19" s="2"/>
      <c r="H19" s="2"/>
    </row>
    <row r="20" spans="1:13" ht="21.75" customHeight="1" x14ac:dyDescent="0.3">
      <c r="A20" s="67"/>
      <c r="B20" s="67"/>
      <c r="C20" s="67"/>
      <c r="D20" s="67"/>
      <c r="E20" s="67"/>
      <c r="F20" s="67"/>
      <c r="J20" s="3" t="s">
        <v>12</v>
      </c>
    </row>
  </sheetData>
  <mergeCells count="14">
    <mergeCell ref="A10:F10"/>
    <mergeCell ref="A11:F11"/>
    <mergeCell ref="A14:F14"/>
    <mergeCell ref="A17:F17"/>
    <mergeCell ref="A19:F19"/>
    <mergeCell ref="A13:F13"/>
    <mergeCell ref="A16:F16"/>
    <mergeCell ref="A1:F1"/>
    <mergeCell ref="A2:F2"/>
    <mergeCell ref="A3:F3"/>
    <mergeCell ref="A4:A5"/>
    <mergeCell ref="B4:B5"/>
    <mergeCell ref="C4:E4"/>
    <mergeCell ref="F4:F5"/>
  </mergeCells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649B0-F8AC-40A3-881B-1BA6FF5A746C}">
  <dimension ref="A1:F27"/>
  <sheetViews>
    <sheetView workbookViewId="0">
      <selection activeCell="A3" sqref="A3:F3"/>
    </sheetView>
  </sheetViews>
  <sheetFormatPr defaultRowHeight="14.25" x14ac:dyDescent="0.2"/>
  <cols>
    <col min="1" max="1" width="5" customWidth="1"/>
    <col min="2" max="2" width="40.625" customWidth="1"/>
    <col min="3" max="3" width="6.125" customWidth="1"/>
    <col min="4" max="5" width="11.5" customWidth="1"/>
    <col min="6" max="6" width="10" customWidth="1"/>
  </cols>
  <sheetData>
    <row r="1" spans="1:6" ht="25.5" customHeight="1" x14ac:dyDescent="0.5">
      <c r="A1" s="92" t="s">
        <v>3</v>
      </c>
      <c r="B1" s="92"/>
      <c r="C1" s="92"/>
      <c r="D1" s="92"/>
      <c r="E1" s="92"/>
      <c r="F1" s="92"/>
    </row>
    <row r="2" spans="1:6" ht="25.5" customHeight="1" x14ac:dyDescent="0.2">
      <c r="A2" s="93" t="s">
        <v>39</v>
      </c>
      <c r="B2" s="93"/>
      <c r="C2" s="93"/>
      <c r="D2" s="93"/>
      <c r="E2" s="93"/>
      <c r="F2" s="93"/>
    </row>
    <row r="3" spans="1:6" ht="25.5" customHeight="1" x14ac:dyDescent="0.2">
      <c r="A3" s="93" t="s">
        <v>16</v>
      </c>
      <c r="B3" s="93"/>
      <c r="C3" s="93"/>
      <c r="D3" s="93"/>
      <c r="E3" s="93"/>
      <c r="F3" s="93"/>
    </row>
    <row r="4" spans="1:6" ht="21.75" customHeight="1" x14ac:dyDescent="0.5">
      <c r="A4" s="104" t="s">
        <v>0</v>
      </c>
      <c r="B4" s="106" t="s">
        <v>4</v>
      </c>
      <c r="C4" s="108" t="s">
        <v>5</v>
      </c>
      <c r="D4" s="109"/>
      <c r="E4" s="110"/>
      <c r="F4" s="104" t="s">
        <v>2</v>
      </c>
    </row>
    <row r="5" spans="1:6" ht="21.75" customHeight="1" x14ac:dyDescent="0.2">
      <c r="A5" s="105"/>
      <c r="B5" s="107"/>
      <c r="C5" s="19" t="s">
        <v>1</v>
      </c>
      <c r="D5" s="20" t="s">
        <v>6</v>
      </c>
      <c r="E5" s="21" t="s">
        <v>7</v>
      </c>
      <c r="F5" s="105"/>
    </row>
    <row r="6" spans="1:6" ht="21.75" customHeight="1" x14ac:dyDescent="0.5">
      <c r="A6" s="10">
        <v>1</v>
      </c>
      <c r="B6" s="68" t="s">
        <v>55</v>
      </c>
      <c r="C6" s="69">
        <v>1</v>
      </c>
      <c r="D6" s="13">
        <v>3745</v>
      </c>
      <c r="E6" s="14">
        <f>SUM(D6*C6)</f>
        <v>3745</v>
      </c>
      <c r="F6" s="64"/>
    </row>
    <row r="7" spans="1:6" ht="21.75" customHeight="1" x14ac:dyDescent="0.5">
      <c r="A7" s="15">
        <v>2</v>
      </c>
      <c r="B7" s="70" t="s">
        <v>56</v>
      </c>
      <c r="C7" s="69">
        <v>1</v>
      </c>
      <c r="D7" s="71">
        <v>7280</v>
      </c>
      <c r="E7" s="14">
        <f t="shared" ref="E7:E12" si="0">SUM(D7*C7)</f>
        <v>7280</v>
      </c>
      <c r="F7" s="73"/>
    </row>
    <row r="8" spans="1:6" ht="21.75" customHeight="1" x14ac:dyDescent="0.5">
      <c r="A8" s="10">
        <v>3</v>
      </c>
      <c r="B8" s="11" t="s">
        <v>57</v>
      </c>
      <c r="C8" s="69">
        <v>1</v>
      </c>
      <c r="D8" s="61">
        <v>6000</v>
      </c>
      <c r="E8" s="14">
        <f t="shared" si="0"/>
        <v>6000</v>
      </c>
      <c r="F8" s="73"/>
    </row>
    <row r="9" spans="1:6" ht="21.75" customHeight="1" x14ac:dyDescent="0.5">
      <c r="A9" s="15">
        <v>4</v>
      </c>
      <c r="B9" s="11" t="s">
        <v>58</v>
      </c>
      <c r="C9" s="69">
        <v>3</v>
      </c>
      <c r="D9" s="61">
        <v>7590</v>
      </c>
      <c r="E9" s="14">
        <f t="shared" si="0"/>
        <v>22770</v>
      </c>
      <c r="F9" s="73"/>
    </row>
    <row r="10" spans="1:6" ht="21.75" customHeight="1" x14ac:dyDescent="0.5">
      <c r="A10" s="10">
        <v>5</v>
      </c>
      <c r="B10" s="11" t="s">
        <v>59</v>
      </c>
      <c r="C10" s="69">
        <v>1</v>
      </c>
      <c r="D10" s="61">
        <v>1763</v>
      </c>
      <c r="E10" s="14">
        <f t="shared" si="0"/>
        <v>1763</v>
      </c>
      <c r="F10" s="73"/>
    </row>
    <row r="11" spans="1:6" ht="21.75" customHeight="1" x14ac:dyDescent="0.5">
      <c r="A11" s="15">
        <v>6</v>
      </c>
      <c r="B11" s="72" t="s">
        <v>60</v>
      </c>
      <c r="C11" s="69">
        <v>1</v>
      </c>
      <c r="D11" s="61">
        <v>21109</v>
      </c>
      <c r="E11" s="14">
        <f t="shared" si="0"/>
        <v>21109</v>
      </c>
      <c r="F11" s="74"/>
    </row>
    <row r="12" spans="1:6" ht="21.75" customHeight="1" x14ac:dyDescent="0.5">
      <c r="A12" s="10">
        <v>7</v>
      </c>
      <c r="B12" s="72" t="s">
        <v>61</v>
      </c>
      <c r="C12" s="69">
        <v>1</v>
      </c>
      <c r="D12" s="61">
        <v>8212</v>
      </c>
      <c r="E12" s="14">
        <f t="shared" si="0"/>
        <v>8212</v>
      </c>
      <c r="F12" s="73"/>
    </row>
    <row r="13" spans="1:6" ht="21.75" x14ac:dyDescent="0.5">
      <c r="A13" s="15"/>
      <c r="B13" s="23" t="s">
        <v>8</v>
      </c>
      <c r="C13" s="24"/>
      <c r="D13" s="25"/>
      <c r="E13" s="25">
        <f>SUM(E6:E12)</f>
        <v>70879</v>
      </c>
      <c r="F13" s="65"/>
    </row>
    <row r="14" spans="1:6" ht="24" x14ac:dyDescent="0.55000000000000004">
      <c r="A14" s="4"/>
      <c r="B14" s="5"/>
      <c r="C14" s="6"/>
      <c r="D14" s="1"/>
      <c r="E14" s="1"/>
      <c r="F14" s="7"/>
    </row>
    <row r="15" spans="1:6" ht="20.25" x14ac:dyDescent="0.3">
      <c r="A15" s="116" t="s">
        <v>13</v>
      </c>
      <c r="B15" s="116"/>
      <c r="C15" s="116"/>
      <c r="D15" s="116"/>
      <c r="E15" s="116"/>
      <c r="F15" s="116"/>
    </row>
    <row r="16" spans="1:6" ht="20.25" customHeight="1" x14ac:dyDescent="0.3">
      <c r="A16" s="112" t="s">
        <v>24</v>
      </c>
      <c r="B16" s="112"/>
      <c r="C16" s="112"/>
      <c r="D16" s="112"/>
      <c r="E16" s="112"/>
      <c r="F16" s="112"/>
    </row>
    <row r="17" spans="1:6" ht="20.25" x14ac:dyDescent="0.3">
      <c r="A17" s="9"/>
      <c r="B17" s="9"/>
      <c r="C17" s="9"/>
      <c r="D17" s="9"/>
      <c r="E17" s="9"/>
      <c r="F17" s="9"/>
    </row>
    <row r="18" spans="1:6" ht="20.25" x14ac:dyDescent="0.3">
      <c r="A18" s="111" t="s">
        <v>22</v>
      </c>
      <c r="B18" s="111"/>
      <c r="C18" s="111"/>
      <c r="D18" s="111"/>
      <c r="E18" s="111"/>
      <c r="F18" s="111"/>
    </row>
    <row r="19" spans="1:6" ht="20.25" x14ac:dyDescent="0.3">
      <c r="A19" s="113" t="s">
        <v>25</v>
      </c>
      <c r="B19" s="113"/>
      <c r="C19" s="113"/>
      <c r="D19" s="113"/>
      <c r="E19" s="113"/>
      <c r="F19" s="113"/>
    </row>
    <row r="20" spans="1:6" ht="20.25" x14ac:dyDescent="0.3">
      <c r="A20" s="9"/>
      <c r="B20" s="9"/>
      <c r="C20" s="9"/>
      <c r="D20" s="9"/>
      <c r="E20" s="9"/>
      <c r="F20" s="9"/>
    </row>
    <row r="21" spans="1:6" ht="20.25" customHeight="1" x14ac:dyDescent="0.3">
      <c r="A21" s="111" t="s">
        <v>22</v>
      </c>
      <c r="B21" s="111"/>
      <c r="C21" s="111"/>
      <c r="D21" s="111"/>
      <c r="E21" s="111"/>
      <c r="F21" s="111"/>
    </row>
    <row r="22" spans="1:6" ht="20.25" customHeight="1" x14ac:dyDescent="0.3">
      <c r="A22" s="114" t="s">
        <v>26</v>
      </c>
      <c r="B22" s="114"/>
      <c r="C22" s="114"/>
      <c r="D22" s="114"/>
      <c r="E22" s="114"/>
      <c r="F22" s="114"/>
    </row>
    <row r="23" spans="1:6" ht="20.25" x14ac:dyDescent="0.3">
      <c r="A23" s="117"/>
      <c r="B23" s="117"/>
      <c r="C23" s="117"/>
      <c r="D23" s="117"/>
      <c r="E23" s="117"/>
      <c r="F23" s="117"/>
    </row>
    <row r="24" spans="1:6" ht="20.25" x14ac:dyDescent="0.3">
      <c r="A24" s="113"/>
      <c r="B24" s="113"/>
      <c r="C24" s="113"/>
      <c r="D24" s="113"/>
      <c r="E24" s="113"/>
      <c r="F24" s="113"/>
    </row>
    <row r="25" spans="1:6" ht="20.25" x14ac:dyDescent="0.3">
      <c r="A25" s="9"/>
      <c r="B25" s="9"/>
      <c r="C25" s="9"/>
      <c r="D25" s="9"/>
      <c r="E25" s="9"/>
      <c r="F25" s="9"/>
    </row>
    <row r="26" spans="1:6" ht="20.25" customHeight="1" x14ac:dyDescent="0.3">
      <c r="A26" s="118"/>
      <c r="B26" s="118"/>
      <c r="C26" s="118"/>
      <c r="D26" s="118"/>
      <c r="E26" s="118"/>
      <c r="F26" s="118"/>
    </row>
    <row r="27" spans="1:6" ht="20.25" customHeight="1" x14ac:dyDescent="0.3">
      <c r="A27" s="114"/>
      <c r="B27" s="114"/>
      <c r="C27" s="114"/>
      <c r="D27" s="114"/>
      <c r="E27" s="114"/>
      <c r="F27" s="114"/>
    </row>
  </sheetData>
  <mergeCells count="17">
    <mergeCell ref="A27:F27"/>
    <mergeCell ref="A21:F21"/>
    <mergeCell ref="A23:F23"/>
    <mergeCell ref="A24:F24"/>
    <mergeCell ref="A26:F26"/>
    <mergeCell ref="A18:F18"/>
    <mergeCell ref="A19:F19"/>
    <mergeCell ref="A22:F22"/>
    <mergeCell ref="A1:F1"/>
    <mergeCell ref="A2:F2"/>
    <mergeCell ref="A3:F3"/>
    <mergeCell ref="A4:A5"/>
    <mergeCell ref="B4:B5"/>
    <mergeCell ref="C4:E4"/>
    <mergeCell ref="F4:F5"/>
    <mergeCell ref="A15:F15"/>
    <mergeCell ref="A16:F16"/>
  </mergeCells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B7B46-0D14-4555-8F77-1F9313043631}">
  <dimension ref="A1:M20"/>
  <sheetViews>
    <sheetView topLeftCell="A4" workbookViewId="0">
      <selection activeCell="D20" sqref="D20"/>
    </sheetView>
  </sheetViews>
  <sheetFormatPr defaultRowHeight="14.25" x14ac:dyDescent="0.2"/>
  <cols>
    <col min="1" max="1" width="5" customWidth="1"/>
    <col min="2" max="2" width="34.125" customWidth="1"/>
    <col min="3" max="3" width="6.125" customWidth="1"/>
    <col min="4" max="5" width="11.375" customWidth="1"/>
    <col min="6" max="6" width="13.5" customWidth="1"/>
  </cols>
  <sheetData>
    <row r="1" spans="1:13" ht="21.75" customHeight="1" x14ac:dyDescent="0.5">
      <c r="A1" s="92" t="s">
        <v>3</v>
      </c>
      <c r="B1" s="92"/>
      <c r="C1" s="92"/>
      <c r="D1" s="92"/>
      <c r="E1" s="92"/>
      <c r="F1" s="92"/>
    </row>
    <row r="2" spans="1:13" ht="21.75" customHeight="1" x14ac:dyDescent="0.2">
      <c r="A2" s="93" t="s">
        <v>39</v>
      </c>
      <c r="B2" s="93"/>
      <c r="C2" s="93"/>
      <c r="D2" s="93"/>
      <c r="E2" s="93"/>
      <c r="F2" s="93"/>
    </row>
    <row r="3" spans="1:13" ht="21.75" customHeight="1" x14ac:dyDescent="0.2">
      <c r="A3" s="93" t="s">
        <v>17</v>
      </c>
      <c r="B3" s="93"/>
      <c r="C3" s="93"/>
      <c r="D3" s="93"/>
      <c r="E3" s="93"/>
      <c r="F3" s="93"/>
    </row>
    <row r="4" spans="1:13" ht="21.75" customHeight="1" x14ac:dyDescent="0.5">
      <c r="A4" s="104" t="s">
        <v>0</v>
      </c>
      <c r="B4" s="106" t="s">
        <v>4</v>
      </c>
      <c r="C4" s="108" t="s">
        <v>5</v>
      </c>
      <c r="D4" s="109"/>
      <c r="E4" s="110"/>
      <c r="F4" s="104" t="s">
        <v>2</v>
      </c>
    </row>
    <row r="5" spans="1:13" ht="21.75" customHeight="1" x14ac:dyDescent="0.2">
      <c r="A5" s="105"/>
      <c r="B5" s="107"/>
      <c r="C5" s="19" t="s">
        <v>1</v>
      </c>
      <c r="D5" s="20" t="s">
        <v>6</v>
      </c>
      <c r="E5" s="21" t="s">
        <v>7</v>
      </c>
      <c r="F5" s="105"/>
    </row>
    <row r="6" spans="1:13" ht="20.25" customHeight="1" x14ac:dyDescent="0.5">
      <c r="A6" s="10">
        <v>1</v>
      </c>
      <c r="B6" s="11" t="s">
        <v>62</v>
      </c>
      <c r="C6" s="12">
        <v>1</v>
      </c>
      <c r="D6" s="13">
        <v>19900</v>
      </c>
      <c r="E6" s="14">
        <f>SUM(D6*C6)</f>
        <v>19900</v>
      </c>
      <c r="F6" s="64"/>
    </row>
    <row r="7" spans="1:13" ht="20.25" customHeight="1" x14ac:dyDescent="0.5">
      <c r="A7" s="15">
        <v>2</v>
      </c>
      <c r="B7" s="11" t="s">
        <v>63</v>
      </c>
      <c r="C7" s="12">
        <v>1</v>
      </c>
      <c r="D7" s="13">
        <v>10000</v>
      </c>
      <c r="E7" s="14">
        <f>SUM(D7*C7)</f>
        <v>10000</v>
      </c>
      <c r="F7" s="73"/>
    </row>
    <row r="8" spans="1:13" ht="20.25" customHeight="1" x14ac:dyDescent="0.5">
      <c r="A8" s="22"/>
      <c r="B8" s="23" t="s">
        <v>8</v>
      </c>
      <c r="C8" s="24"/>
      <c r="D8" s="25"/>
      <c r="E8" s="25">
        <f>SUM(E6:E7)</f>
        <v>29900</v>
      </c>
      <c r="F8" s="65"/>
    </row>
    <row r="9" spans="1:13" ht="20.25" customHeight="1" x14ac:dyDescent="0.5">
      <c r="A9" s="26"/>
      <c r="B9" s="27"/>
      <c r="C9" s="28"/>
      <c r="D9" s="29"/>
      <c r="E9" s="29"/>
      <c r="F9" s="66"/>
    </row>
    <row r="10" spans="1:13" ht="18" customHeight="1" x14ac:dyDescent="0.55000000000000004">
      <c r="A10" s="75"/>
      <c r="B10" s="76"/>
      <c r="C10" s="77"/>
      <c r="D10" s="78"/>
      <c r="E10" s="78"/>
      <c r="F10" s="7"/>
    </row>
    <row r="11" spans="1:13" ht="18" customHeight="1" x14ac:dyDescent="0.3">
      <c r="A11" s="101" t="s">
        <v>27</v>
      </c>
      <c r="B11" s="101"/>
      <c r="C11" s="101"/>
      <c r="D11" s="101"/>
      <c r="E11" s="101"/>
      <c r="F11" s="101"/>
    </row>
    <row r="12" spans="1:13" ht="18" customHeight="1" x14ac:dyDescent="0.3">
      <c r="A12" s="102" t="s">
        <v>54</v>
      </c>
      <c r="B12" s="102"/>
      <c r="C12" s="102"/>
      <c r="D12" s="102"/>
      <c r="E12" s="102"/>
      <c r="F12" s="102"/>
    </row>
    <row r="13" spans="1:13" ht="18" customHeight="1" x14ac:dyDescent="0.3">
      <c r="A13" s="57"/>
      <c r="B13" s="57"/>
      <c r="C13" s="57"/>
      <c r="D13" s="57"/>
      <c r="E13" s="57"/>
      <c r="F13" s="57"/>
      <c r="J13" s="2" t="s">
        <v>11</v>
      </c>
      <c r="M13" s="2" t="s">
        <v>9</v>
      </c>
    </row>
    <row r="14" spans="1:13" ht="18" customHeight="1" x14ac:dyDescent="0.3">
      <c r="A14" s="101" t="s">
        <v>28</v>
      </c>
      <c r="B14" s="101"/>
      <c r="C14" s="101"/>
      <c r="D14" s="101"/>
      <c r="E14" s="101"/>
      <c r="F14" s="101"/>
    </row>
    <row r="15" spans="1:13" ht="18" customHeight="1" x14ac:dyDescent="0.3">
      <c r="A15" s="103" t="s">
        <v>64</v>
      </c>
      <c r="B15" s="103"/>
      <c r="C15" s="103"/>
      <c r="D15" s="103"/>
      <c r="E15" s="103"/>
      <c r="F15" s="103"/>
    </row>
    <row r="16" spans="1:13" ht="18" customHeight="1" x14ac:dyDescent="0.3">
      <c r="A16" s="57"/>
      <c r="B16" s="57"/>
      <c r="C16" s="57"/>
      <c r="D16" s="57"/>
      <c r="E16" s="57"/>
      <c r="F16" s="57"/>
      <c r="J16" s="2"/>
      <c r="M16" s="2" t="s">
        <v>10</v>
      </c>
    </row>
    <row r="17" spans="1:13" ht="18" customHeight="1" x14ac:dyDescent="0.3">
      <c r="A17" s="101" t="s">
        <v>28</v>
      </c>
      <c r="B17" s="101"/>
      <c r="C17" s="101"/>
      <c r="D17" s="101"/>
      <c r="E17" s="101"/>
      <c r="F17" s="101"/>
      <c r="J17" s="2"/>
      <c r="M17" s="2"/>
    </row>
    <row r="18" spans="1:13" ht="18" customHeight="1" x14ac:dyDescent="0.3">
      <c r="A18" s="91" t="s">
        <v>65</v>
      </c>
      <c r="B18" s="91"/>
      <c r="C18" s="91"/>
      <c r="D18" s="91"/>
      <c r="E18" s="91"/>
      <c r="F18" s="91"/>
      <c r="G18" s="2"/>
      <c r="H18" s="2"/>
    </row>
    <row r="19" spans="1:13" ht="21.75" customHeight="1" x14ac:dyDescent="0.3">
      <c r="A19" s="8"/>
      <c r="B19" s="8"/>
      <c r="C19" s="8"/>
      <c r="D19" s="8"/>
      <c r="E19" s="8"/>
      <c r="F19" s="8"/>
      <c r="J19" s="3" t="s">
        <v>12</v>
      </c>
    </row>
    <row r="20" spans="1:13" ht="19.5" x14ac:dyDescent="0.25">
      <c r="A20" s="79"/>
      <c r="B20" s="79"/>
      <c r="C20" s="79"/>
      <c r="D20" s="79"/>
      <c r="E20" s="79"/>
      <c r="F20" s="79"/>
    </row>
  </sheetData>
  <mergeCells count="13">
    <mergeCell ref="A18:F18"/>
    <mergeCell ref="A1:F1"/>
    <mergeCell ref="A2:F2"/>
    <mergeCell ref="A3:F3"/>
    <mergeCell ref="A4:A5"/>
    <mergeCell ref="B4:B5"/>
    <mergeCell ref="C4:E4"/>
    <mergeCell ref="F4:F5"/>
    <mergeCell ref="A11:F11"/>
    <mergeCell ref="A12:F12"/>
    <mergeCell ref="A14:F14"/>
    <mergeCell ref="A15:F15"/>
    <mergeCell ref="A17:F17"/>
  </mergeCells>
  <pageMargins left="0.7" right="0.7" top="0.75" bottom="0.75" header="0.3" footer="0.3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107AF-3BBF-499F-885A-99A984FCC78D}">
  <dimension ref="A1:M23"/>
  <sheetViews>
    <sheetView workbookViewId="0">
      <selection activeCell="G20" sqref="G20"/>
    </sheetView>
  </sheetViews>
  <sheetFormatPr defaultRowHeight="14.25" x14ac:dyDescent="0.2"/>
  <cols>
    <col min="1" max="1" width="5" customWidth="1"/>
    <col min="2" max="2" width="40.625" customWidth="1"/>
    <col min="3" max="3" width="6.125" customWidth="1"/>
    <col min="4" max="5" width="11.5" customWidth="1"/>
    <col min="6" max="6" width="8.75" customWidth="1"/>
  </cols>
  <sheetData>
    <row r="1" spans="1:6" ht="25.5" customHeight="1" x14ac:dyDescent="0.5">
      <c r="A1" s="92" t="s">
        <v>3</v>
      </c>
      <c r="B1" s="92"/>
      <c r="C1" s="92"/>
      <c r="D1" s="92"/>
      <c r="E1" s="92"/>
      <c r="F1" s="92"/>
    </row>
    <row r="2" spans="1:6" ht="25.5" customHeight="1" x14ac:dyDescent="0.2">
      <c r="A2" s="93" t="s">
        <v>39</v>
      </c>
      <c r="B2" s="93"/>
      <c r="C2" s="93"/>
      <c r="D2" s="93"/>
      <c r="E2" s="93"/>
      <c r="F2" s="93"/>
    </row>
    <row r="3" spans="1:6" ht="25.5" customHeight="1" x14ac:dyDescent="0.2">
      <c r="A3" s="93" t="s">
        <v>20</v>
      </c>
      <c r="B3" s="93"/>
      <c r="C3" s="93"/>
      <c r="D3" s="93"/>
      <c r="E3" s="93"/>
      <c r="F3" s="93"/>
    </row>
    <row r="4" spans="1:6" ht="21.75" customHeight="1" x14ac:dyDescent="0.5">
      <c r="A4" s="104" t="s">
        <v>0</v>
      </c>
      <c r="B4" s="106" t="s">
        <v>4</v>
      </c>
      <c r="C4" s="108" t="s">
        <v>5</v>
      </c>
      <c r="D4" s="109"/>
      <c r="E4" s="110"/>
      <c r="F4" s="104" t="s">
        <v>2</v>
      </c>
    </row>
    <row r="5" spans="1:6" ht="21.75" customHeight="1" x14ac:dyDescent="0.2">
      <c r="A5" s="105"/>
      <c r="B5" s="107"/>
      <c r="C5" s="19" t="s">
        <v>1</v>
      </c>
      <c r="D5" s="20" t="s">
        <v>6</v>
      </c>
      <c r="E5" s="21" t="s">
        <v>7</v>
      </c>
      <c r="F5" s="105"/>
    </row>
    <row r="6" spans="1:6" ht="21.75" customHeight="1" x14ac:dyDescent="0.2">
      <c r="A6" s="18">
        <v>1</v>
      </c>
      <c r="B6" s="85" t="s">
        <v>66</v>
      </c>
      <c r="C6" s="86">
        <v>1</v>
      </c>
      <c r="D6" s="88">
        <v>2500</v>
      </c>
      <c r="E6" s="89">
        <f>SUM(D6*C6)</f>
        <v>2500</v>
      </c>
      <c r="F6" s="18"/>
    </row>
    <row r="7" spans="1:6" ht="21.75" customHeight="1" x14ac:dyDescent="0.2">
      <c r="A7" s="18">
        <v>2</v>
      </c>
      <c r="B7" s="85" t="s">
        <v>67</v>
      </c>
      <c r="C7" s="86">
        <v>1</v>
      </c>
      <c r="D7" s="88">
        <v>2000</v>
      </c>
      <c r="E7" s="89">
        <f t="shared" ref="E7:E11" si="0">SUM(D7*C7)</f>
        <v>2000</v>
      </c>
      <c r="F7" s="18"/>
    </row>
    <row r="8" spans="1:6" ht="21.75" customHeight="1" x14ac:dyDescent="0.2">
      <c r="A8" s="18">
        <v>3</v>
      </c>
      <c r="B8" s="85" t="s">
        <v>18</v>
      </c>
      <c r="C8" s="86">
        <v>2</v>
      </c>
      <c r="D8" s="88">
        <v>3000</v>
      </c>
      <c r="E8" s="89">
        <f t="shared" si="0"/>
        <v>6000</v>
      </c>
      <c r="F8" s="18"/>
    </row>
    <row r="9" spans="1:6" ht="21.75" customHeight="1" x14ac:dyDescent="0.2">
      <c r="A9" s="18">
        <v>4</v>
      </c>
      <c r="B9" s="85" t="s">
        <v>68</v>
      </c>
      <c r="C9" s="86">
        <v>1</v>
      </c>
      <c r="D9" s="88">
        <v>5684.5</v>
      </c>
      <c r="E9" s="89">
        <f t="shared" si="0"/>
        <v>5684.5</v>
      </c>
      <c r="F9" s="18"/>
    </row>
    <row r="10" spans="1:6" ht="21.75" customHeight="1" x14ac:dyDescent="0.55000000000000004">
      <c r="A10" s="18">
        <v>5</v>
      </c>
      <c r="B10" s="62" t="s">
        <v>69</v>
      </c>
      <c r="C10" s="80">
        <v>2</v>
      </c>
      <c r="D10" s="87">
        <v>4900</v>
      </c>
      <c r="E10" s="89">
        <f t="shared" si="0"/>
        <v>9800</v>
      </c>
      <c r="F10" s="64"/>
    </row>
    <row r="11" spans="1:6" ht="21.75" customHeight="1" x14ac:dyDescent="0.55000000000000004">
      <c r="A11" s="18">
        <v>6</v>
      </c>
      <c r="B11" s="62" t="s">
        <v>70</v>
      </c>
      <c r="C11" s="80">
        <v>1</v>
      </c>
      <c r="D11" s="87">
        <v>3700</v>
      </c>
      <c r="E11" s="89">
        <f t="shared" si="0"/>
        <v>3700</v>
      </c>
      <c r="F11" s="73"/>
    </row>
    <row r="12" spans="1:6" ht="21.75" customHeight="1" x14ac:dyDescent="0.5">
      <c r="A12" s="22"/>
      <c r="B12" s="23" t="s">
        <v>8</v>
      </c>
      <c r="C12" s="24"/>
      <c r="D12" s="25"/>
      <c r="E12" s="25">
        <f>SUM(E6:E11)</f>
        <v>29684.5</v>
      </c>
      <c r="F12" s="65"/>
    </row>
    <row r="13" spans="1:6" ht="21.75" customHeight="1" x14ac:dyDescent="0.55000000000000004">
      <c r="A13" s="81"/>
      <c r="B13" s="82"/>
      <c r="C13" s="83"/>
      <c r="D13" s="16"/>
      <c r="E13" s="16"/>
      <c r="F13" s="84"/>
    </row>
    <row r="14" spans="1:6" ht="19.5" customHeight="1" x14ac:dyDescent="0.55000000000000004">
      <c r="A14" s="4"/>
      <c r="B14" s="5"/>
      <c r="C14" s="6"/>
      <c r="D14" s="1"/>
      <c r="E14" s="1"/>
      <c r="F14" s="7"/>
    </row>
    <row r="15" spans="1:6" ht="21.75" customHeight="1" x14ac:dyDescent="0.3">
      <c r="A15" s="111" t="s">
        <v>27</v>
      </c>
      <c r="B15" s="111"/>
      <c r="C15" s="111"/>
      <c r="D15" s="111"/>
      <c r="E15" s="111"/>
      <c r="F15" s="111"/>
    </row>
    <row r="16" spans="1:6" ht="21.75" customHeight="1" x14ac:dyDescent="0.3">
      <c r="A16" s="112" t="s">
        <v>30</v>
      </c>
      <c r="B16" s="112"/>
      <c r="C16" s="112"/>
      <c r="D16" s="112"/>
      <c r="E16" s="112"/>
      <c r="F16" s="112"/>
    </row>
    <row r="17" spans="1:13" ht="21.75" customHeight="1" x14ac:dyDescent="0.3">
      <c r="A17" s="9"/>
      <c r="B17" s="9"/>
      <c r="C17" s="9"/>
      <c r="D17" s="9"/>
      <c r="E17" s="9"/>
      <c r="F17" s="9"/>
      <c r="J17" s="2" t="s">
        <v>11</v>
      </c>
      <c r="M17" s="2" t="s">
        <v>9</v>
      </c>
    </row>
    <row r="18" spans="1:13" ht="21.75" customHeight="1" x14ac:dyDescent="0.3">
      <c r="A18" s="111" t="s">
        <v>28</v>
      </c>
      <c r="B18" s="111"/>
      <c r="C18" s="111"/>
      <c r="D18" s="111"/>
      <c r="E18" s="111"/>
      <c r="F18" s="111"/>
    </row>
    <row r="19" spans="1:13" ht="21.75" customHeight="1" x14ac:dyDescent="0.3">
      <c r="A19" s="113" t="s">
        <v>31</v>
      </c>
      <c r="B19" s="113"/>
      <c r="C19" s="113"/>
      <c r="D19" s="113"/>
      <c r="E19" s="113"/>
      <c r="F19" s="113"/>
    </row>
    <row r="20" spans="1:13" ht="21.75" customHeight="1" x14ac:dyDescent="0.3">
      <c r="A20" s="9"/>
      <c r="B20" s="9"/>
      <c r="C20" s="9"/>
      <c r="D20" s="9"/>
      <c r="E20" s="9"/>
      <c r="F20" s="9"/>
      <c r="J20" s="2"/>
      <c r="M20" s="2" t="s">
        <v>10</v>
      </c>
    </row>
    <row r="21" spans="1:13" ht="21.75" customHeight="1" x14ac:dyDescent="0.3">
      <c r="A21" s="111" t="s">
        <v>29</v>
      </c>
      <c r="B21" s="111"/>
      <c r="C21" s="111"/>
      <c r="D21" s="111"/>
      <c r="E21" s="111"/>
      <c r="F21" s="111"/>
      <c r="J21" s="2"/>
      <c r="M21" s="2"/>
    </row>
    <row r="22" spans="1:13" ht="21.75" customHeight="1" x14ac:dyDescent="0.3">
      <c r="A22" s="114" t="s">
        <v>32</v>
      </c>
      <c r="B22" s="114"/>
      <c r="C22" s="114"/>
      <c r="D22" s="114"/>
      <c r="E22" s="114"/>
      <c r="F22" s="114"/>
      <c r="G22" s="2"/>
      <c r="H22" s="2"/>
    </row>
    <row r="23" spans="1:13" ht="21.75" customHeight="1" x14ac:dyDescent="0.3">
      <c r="A23" s="8"/>
      <c r="B23" s="8"/>
      <c r="C23" s="8"/>
      <c r="D23" s="8"/>
      <c r="E23" s="8"/>
      <c r="F23" s="8"/>
      <c r="J23" s="3" t="s">
        <v>12</v>
      </c>
    </row>
  </sheetData>
  <mergeCells count="13">
    <mergeCell ref="A22:F22"/>
    <mergeCell ref="A1:F1"/>
    <mergeCell ref="A2:F2"/>
    <mergeCell ref="A3:F3"/>
    <mergeCell ref="A4:A5"/>
    <mergeCell ref="B4:B5"/>
    <mergeCell ref="C4:E4"/>
    <mergeCell ref="F4:F5"/>
    <mergeCell ref="A15:F15"/>
    <mergeCell ref="A16:F16"/>
    <mergeCell ref="A18:F18"/>
    <mergeCell ref="A19:F19"/>
    <mergeCell ref="A21:F21"/>
  </mergeCells>
  <pageMargins left="0.7" right="0.7" top="0.75" bottom="0.75" header="0.3" footer="0.3"/>
  <pageSetup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AC74D-9113-41C7-A76C-D38DFA203612}">
  <dimension ref="A1:M18"/>
  <sheetViews>
    <sheetView topLeftCell="A7" workbookViewId="0">
      <selection activeCell="F19" sqref="F19"/>
    </sheetView>
  </sheetViews>
  <sheetFormatPr defaultRowHeight="14.25" x14ac:dyDescent="0.2"/>
  <cols>
    <col min="1" max="1" width="5" customWidth="1"/>
    <col min="2" max="2" width="40.625" customWidth="1"/>
    <col min="3" max="3" width="6.125" customWidth="1"/>
    <col min="4" max="5" width="11.5" customWidth="1"/>
    <col min="6" max="6" width="8.75" customWidth="1"/>
  </cols>
  <sheetData>
    <row r="1" spans="1:13" ht="25.5" customHeight="1" x14ac:dyDescent="0.5">
      <c r="A1" s="92" t="s">
        <v>3</v>
      </c>
      <c r="B1" s="92"/>
      <c r="C1" s="92"/>
      <c r="D1" s="92"/>
      <c r="E1" s="92"/>
      <c r="F1" s="92"/>
    </row>
    <row r="2" spans="1:13" ht="25.5" customHeight="1" x14ac:dyDescent="0.2">
      <c r="A2" s="93" t="s">
        <v>39</v>
      </c>
      <c r="B2" s="93"/>
      <c r="C2" s="93"/>
      <c r="D2" s="93"/>
      <c r="E2" s="93"/>
      <c r="F2" s="93"/>
    </row>
    <row r="3" spans="1:13" ht="25.5" customHeight="1" x14ac:dyDescent="0.2">
      <c r="A3" s="93" t="s">
        <v>74</v>
      </c>
      <c r="B3" s="93"/>
      <c r="C3" s="93"/>
      <c r="D3" s="93"/>
      <c r="E3" s="93"/>
      <c r="F3" s="93"/>
    </row>
    <row r="4" spans="1:13" ht="21.75" customHeight="1" x14ac:dyDescent="0.5">
      <c r="A4" s="104" t="s">
        <v>0</v>
      </c>
      <c r="B4" s="106" t="s">
        <v>4</v>
      </c>
      <c r="C4" s="108" t="s">
        <v>5</v>
      </c>
      <c r="D4" s="109"/>
      <c r="E4" s="110"/>
      <c r="F4" s="104" t="s">
        <v>2</v>
      </c>
    </row>
    <row r="5" spans="1:13" ht="21.75" customHeight="1" x14ac:dyDescent="0.2">
      <c r="A5" s="105"/>
      <c r="B5" s="107"/>
      <c r="C5" s="19" t="s">
        <v>1</v>
      </c>
      <c r="D5" s="20" t="s">
        <v>6</v>
      </c>
      <c r="E5" s="21" t="s">
        <v>7</v>
      </c>
      <c r="F5" s="105"/>
    </row>
    <row r="6" spans="1:13" ht="21.75" customHeight="1" x14ac:dyDescent="0.5">
      <c r="A6" s="18">
        <v>1</v>
      </c>
      <c r="B6" s="72" t="s">
        <v>71</v>
      </c>
      <c r="C6" s="90">
        <v>4</v>
      </c>
      <c r="D6" s="88">
        <v>15000</v>
      </c>
      <c r="E6" s="89">
        <f>SUM(D6*C6)</f>
        <v>60000</v>
      </c>
      <c r="F6" s="18"/>
    </row>
    <row r="7" spans="1:13" ht="21.75" customHeight="1" x14ac:dyDescent="0.5">
      <c r="A7" s="22"/>
      <c r="B7" s="23" t="s">
        <v>8</v>
      </c>
      <c r="C7" s="24"/>
      <c r="D7" s="25"/>
      <c r="E7" s="25">
        <f>SUM(E6:E6)</f>
        <v>60000</v>
      </c>
      <c r="F7" s="65"/>
    </row>
    <row r="8" spans="1:13" ht="21.75" customHeight="1" x14ac:dyDescent="0.55000000000000004">
      <c r="A8" s="81"/>
      <c r="B8" s="82"/>
      <c r="C8" s="83"/>
      <c r="D8" s="16"/>
      <c r="E8" s="16"/>
      <c r="F8" s="84"/>
    </row>
    <row r="9" spans="1:13" ht="19.5" customHeight="1" x14ac:dyDescent="0.55000000000000004">
      <c r="A9" s="4"/>
      <c r="B9" s="5"/>
      <c r="C9" s="6"/>
      <c r="D9" s="1"/>
      <c r="E9" s="1"/>
      <c r="F9" s="7"/>
    </row>
    <row r="10" spans="1:13" ht="21.75" customHeight="1" x14ac:dyDescent="0.3">
      <c r="A10" s="111" t="s">
        <v>27</v>
      </c>
      <c r="B10" s="111"/>
      <c r="C10" s="111"/>
      <c r="D10" s="111"/>
      <c r="E10" s="111"/>
      <c r="F10" s="111"/>
    </row>
    <row r="11" spans="1:13" ht="21.75" customHeight="1" x14ac:dyDescent="0.3">
      <c r="A11" s="112" t="s">
        <v>75</v>
      </c>
      <c r="B11" s="112"/>
      <c r="C11" s="112"/>
      <c r="D11" s="112"/>
      <c r="E11" s="112"/>
      <c r="F11" s="112"/>
    </row>
    <row r="12" spans="1:13" ht="21.75" customHeight="1" x14ac:dyDescent="0.3">
      <c r="A12" s="9"/>
      <c r="B12" s="9"/>
      <c r="C12" s="9"/>
      <c r="D12" s="9"/>
      <c r="E12" s="9"/>
      <c r="F12" s="9"/>
      <c r="J12" s="2" t="s">
        <v>11</v>
      </c>
      <c r="M12" s="2" t="s">
        <v>9</v>
      </c>
    </row>
    <row r="13" spans="1:13" ht="21.75" customHeight="1" x14ac:dyDescent="0.3">
      <c r="A13" s="111" t="s">
        <v>28</v>
      </c>
      <c r="B13" s="111"/>
      <c r="C13" s="111"/>
      <c r="D13" s="111"/>
      <c r="E13" s="111"/>
      <c r="F13" s="111"/>
    </row>
    <row r="14" spans="1:13" ht="21.75" customHeight="1" x14ac:dyDescent="0.3">
      <c r="A14" s="113" t="s">
        <v>72</v>
      </c>
      <c r="B14" s="113"/>
      <c r="C14" s="113"/>
      <c r="D14" s="113"/>
      <c r="E14" s="113"/>
      <c r="F14" s="113"/>
    </row>
    <row r="15" spans="1:13" ht="21.75" customHeight="1" x14ac:dyDescent="0.3">
      <c r="A15" s="9"/>
      <c r="B15" s="9"/>
      <c r="C15" s="9"/>
      <c r="D15" s="9"/>
      <c r="E15" s="9"/>
      <c r="F15" s="9"/>
      <c r="J15" s="2"/>
      <c r="M15" s="2" t="s">
        <v>10</v>
      </c>
    </row>
    <row r="16" spans="1:13" ht="21.75" customHeight="1" x14ac:dyDescent="0.3">
      <c r="A16" s="111" t="s">
        <v>29</v>
      </c>
      <c r="B16" s="111"/>
      <c r="C16" s="111"/>
      <c r="D16" s="111"/>
      <c r="E16" s="111"/>
      <c r="F16" s="111"/>
      <c r="J16" s="2"/>
      <c r="M16" s="2"/>
    </row>
    <row r="17" spans="1:10" ht="21.75" customHeight="1" x14ac:dyDescent="0.3">
      <c r="A17" s="114" t="s">
        <v>73</v>
      </c>
      <c r="B17" s="114"/>
      <c r="C17" s="114"/>
      <c r="D17" s="114"/>
      <c r="E17" s="114"/>
      <c r="F17" s="114"/>
      <c r="G17" s="2"/>
      <c r="H17" s="2"/>
    </row>
    <row r="18" spans="1:10" ht="21.75" customHeight="1" x14ac:dyDescent="0.3">
      <c r="A18" s="8"/>
      <c r="B18" s="8"/>
      <c r="C18" s="8"/>
      <c r="D18" s="8"/>
      <c r="E18" s="8"/>
      <c r="F18" s="8"/>
      <c r="J18" s="3" t="s">
        <v>12</v>
      </c>
    </row>
  </sheetData>
  <mergeCells count="13">
    <mergeCell ref="A17:F17"/>
    <mergeCell ref="A1:F1"/>
    <mergeCell ref="A2:F2"/>
    <mergeCell ref="A3:F3"/>
    <mergeCell ref="A4:A5"/>
    <mergeCell ref="B4:B5"/>
    <mergeCell ref="C4:E4"/>
    <mergeCell ref="F4:F5"/>
    <mergeCell ref="A10:F10"/>
    <mergeCell ref="A11:F11"/>
    <mergeCell ref="A13:F13"/>
    <mergeCell ref="A14:F14"/>
    <mergeCell ref="A16:F16"/>
  </mergeCells>
  <pageMargins left="0.7" right="0.7" top="0.75" bottom="0.75" header="0.3" footer="0.3"/>
  <pageSetup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535FA-6A17-482B-B076-69703F50506E}">
  <dimension ref="A1:M21"/>
  <sheetViews>
    <sheetView tabSelected="1" topLeftCell="A4" workbookViewId="0">
      <selection activeCell="H17" sqref="H17"/>
    </sheetView>
  </sheetViews>
  <sheetFormatPr defaultRowHeight="14.25" x14ac:dyDescent="0.2"/>
  <cols>
    <col min="1" max="1" width="5" customWidth="1"/>
    <col min="2" max="2" width="39.125" customWidth="1"/>
    <col min="3" max="3" width="6.125" customWidth="1"/>
    <col min="4" max="4" width="12.125" customWidth="1"/>
    <col min="5" max="5" width="13.125" customWidth="1"/>
    <col min="6" max="6" width="8.75" customWidth="1"/>
  </cols>
  <sheetData>
    <row r="1" spans="1:13" ht="25.5" customHeight="1" x14ac:dyDescent="0.5">
      <c r="A1" s="92" t="s">
        <v>3</v>
      </c>
      <c r="B1" s="92"/>
      <c r="C1" s="92"/>
      <c r="D1" s="92"/>
      <c r="E1" s="92"/>
      <c r="F1" s="92"/>
    </row>
    <row r="2" spans="1:13" ht="25.5" customHeight="1" x14ac:dyDescent="0.2">
      <c r="A2" s="93" t="s">
        <v>39</v>
      </c>
      <c r="B2" s="93"/>
      <c r="C2" s="93"/>
      <c r="D2" s="93"/>
      <c r="E2" s="93"/>
      <c r="F2" s="93"/>
    </row>
    <row r="3" spans="1:13" ht="25.5" customHeight="1" x14ac:dyDescent="0.2">
      <c r="A3" s="93" t="s">
        <v>21</v>
      </c>
      <c r="B3" s="93"/>
      <c r="C3" s="93"/>
      <c r="D3" s="93"/>
      <c r="E3" s="93"/>
      <c r="F3" s="93"/>
    </row>
    <row r="4" spans="1:13" ht="21.75" customHeight="1" x14ac:dyDescent="0.5">
      <c r="A4" s="104" t="s">
        <v>0</v>
      </c>
      <c r="B4" s="106" t="s">
        <v>4</v>
      </c>
      <c r="C4" s="108" t="s">
        <v>5</v>
      </c>
      <c r="D4" s="109"/>
      <c r="E4" s="110"/>
      <c r="F4" s="104" t="s">
        <v>2</v>
      </c>
    </row>
    <row r="5" spans="1:13" ht="21.75" customHeight="1" x14ac:dyDescent="0.2">
      <c r="A5" s="105"/>
      <c r="B5" s="107"/>
      <c r="C5" s="19" t="s">
        <v>1</v>
      </c>
      <c r="D5" s="20" t="s">
        <v>6</v>
      </c>
      <c r="E5" s="21" t="s">
        <v>7</v>
      </c>
      <c r="F5" s="105"/>
    </row>
    <row r="6" spans="1:13" ht="21.75" customHeight="1" x14ac:dyDescent="0.5">
      <c r="A6" s="18">
        <v>1</v>
      </c>
      <c r="B6" s="11" t="s">
        <v>76</v>
      </c>
      <c r="C6" s="122">
        <v>4</v>
      </c>
      <c r="D6" s="63">
        <v>6500</v>
      </c>
      <c r="E6" s="121">
        <f>SUM(D6*C6)</f>
        <v>26000</v>
      </c>
      <c r="F6" s="18"/>
    </row>
    <row r="7" spans="1:13" ht="21.75" customHeight="1" x14ac:dyDescent="0.5">
      <c r="A7" s="18">
        <v>2</v>
      </c>
      <c r="B7" s="11" t="s">
        <v>77</v>
      </c>
      <c r="C7" s="12">
        <v>4</v>
      </c>
      <c r="D7" s="63">
        <v>650</v>
      </c>
      <c r="E7" s="121">
        <f t="shared" ref="E7:E9" si="0">SUM(D7*C7)</f>
        <v>2600</v>
      </c>
      <c r="F7" s="18"/>
    </row>
    <row r="8" spans="1:13" ht="21.75" customHeight="1" x14ac:dyDescent="0.5">
      <c r="A8" s="18">
        <v>3</v>
      </c>
      <c r="B8" s="11" t="s">
        <v>78</v>
      </c>
      <c r="C8" s="12">
        <v>2</v>
      </c>
      <c r="D8" s="63">
        <v>1900</v>
      </c>
      <c r="E8" s="121">
        <f t="shared" si="0"/>
        <v>3800</v>
      </c>
      <c r="F8" s="18"/>
    </row>
    <row r="9" spans="1:13" ht="21.75" customHeight="1" x14ac:dyDescent="0.5">
      <c r="A9" s="18">
        <v>4</v>
      </c>
      <c r="B9" s="11" t="s">
        <v>79</v>
      </c>
      <c r="C9" s="12">
        <v>1</v>
      </c>
      <c r="D9" s="63">
        <v>1190</v>
      </c>
      <c r="E9" s="121">
        <f t="shared" si="0"/>
        <v>1190</v>
      </c>
      <c r="F9" s="18"/>
    </row>
    <row r="10" spans="1:13" ht="21.75" customHeight="1" x14ac:dyDescent="0.5">
      <c r="A10" s="22"/>
      <c r="B10" s="23" t="s">
        <v>8</v>
      </c>
      <c r="C10" s="24"/>
      <c r="D10" s="25"/>
      <c r="E10" s="25">
        <f>SUM(E6:E9)</f>
        <v>33590</v>
      </c>
      <c r="F10" s="65"/>
    </row>
    <row r="11" spans="1:13" ht="21.75" customHeight="1" x14ac:dyDescent="0.5">
      <c r="A11" s="123"/>
      <c r="B11" s="124"/>
      <c r="C11" s="125"/>
      <c r="D11" s="29"/>
      <c r="E11" s="29"/>
      <c r="F11" s="126"/>
    </row>
    <row r="12" spans="1:13" ht="19.5" customHeight="1" x14ac:dyDescent="0.55000000000000004">
      <c r="A12" s="4"/>
      <c r="B12" s="5"/>
      <c r="C12" s="6"/>
      <c r="D12" s="1"/>
      <c r="E12" s="1"/>
      <c r="F12" s="7"/>
    </row>
    <row r="13" spans="1:13" ht="21.75" customHeight="1" x14ac:dyDescent="0.3">
      <c r="A13" s="111" t="s">
        <v>35</v>
      </c>
      <c r="B13" s="111"/>
      <c r="C13" s="111"/>
      <c r="D13" s="111"/>
      <c r="E13" s="111"/>
      <c r="F13" s="111"/>
    </row>
    <row r="14" spans="1:13" ht="21.75" customHeight="1" x14ac:dyDescent="0.3">
      <c r="A14" s="112" t="s">
        <v>38</v>
      </c>
      <c r="B14" s="112"/>
      <c r="C14" s="112"/>
      <c r="D14" s="112"/>
      <c r="E14" s="112"/>
      <c r="F14" s="112"/>
    </row>
    <row r="15" spans="1:13" ht="21.75" customHeight="1" x14ac:dyDescent="0.3">
      <c r="A15" s="9"/>
      <c r="B15" s="9"/>
      <c r="C15" s="9"/>
      <c r="D15" s="9"/>
      <c r="E15" s="9"/>
      <c r="F15" s="9"/>
      <c r="J15" s="2" t="s">
        <v>11</v>
      </c>
      <c r="M15" s="2" t="s">
        <v>9</v>
      </c>
    </row>
    <row r="16" spans="1:13" ht="21.75" customHeight="1" x14ac:dyDescent="0.3">
      <c r="A16" s="111" t="s">
        <v>33</v>
      </c>
      <c r="B16" s="111"/>
      <c r="C16" s="111"/>
      <c r="D16" s="111"/>
      <c r="E16" s="111"/>
      <c r="F16" s="111"/>
    </row>
    <row r="17" spans="1:13" ht="21.75" customHeight="1" x14ac:dyDescent="0.3">
      <c r="A17" s="120" t="s">
        <v>37</v>
      </c>
      <c r="B17" s="120"/>
      <c r="C17" s="120"/>
      <c r="D17" s="120"/>
      <c r="E17" s="120"/>
      <c r="F17" s="120"/>
    </row>
    <row r="18" spans="1:13" ht="21.75" customHeight="1" x14ac:dyDescent="0.3">
      <c r="A18" s="9"/>
      <c r="B18" s="9"/>
      <c r="C18" s="9"/>
      <c r="D18" s="9"/>
      <c r="E18" s="9"/>
      <c r="F18" s="9"/>
      <c r="J18" s="2"/>
      <c r="M18" s="2" t="s">
        <v>10</v>
      </c>
    </row>
    <row r="19" spans="1:13" ht="21.75" customHeight="1" x14ac:dyDescent="0.3">
      <c r="A19" s="119" t="s">
        <v>34</v>
      </c>
      <c r="B19" s="119"/>
      <c r="C19" s="119"/>
      <c r="D19" s="119"/>
      <c r="E19" s="119"/>
      <c r="F19" s="119"/>
      <c r="J19" s="2"/>
      <c r="M19" s="2"/>
    </row>
    <row r="20" spans="1:13" ht="21.75" customHeight="1" x14ac:dyDescent="0.3">
      <c r="A20" s="119" t="s">
        <v>36</v>
      </c>
      <c r="B20" s="119"/>
      <c r="C20" s="119"/>
      <c r="D20" s="119"/>
      <c r="E20" s="119"/>
      <c r="F20" s="119"/>
      <c r="G20" s="2"/>
      <c r="H20" s="2"/>
    </row>
    <row r="21" spans="1:13" ht="21.75" customHeight="1" x14ac:dyDescent="0.3">
      <c r="A21" s="8"/>
      <c r="B21" s="8"/>
      <c r="C21" s="8"/>
      <c r="D21" s="8"/>
      <c r="E21" s="8"/>
      <c r="F21" s="8"/>
      <c r="J21" s="3" t="s">
        <v>12</v>
      </c>
    </row>
  </sheetData>
  <mergeCells count="13">
    <mergeCell ref="A20:F20"/>
    <mergeCell ref="A1:F1"/>
    <mergeCell ref="A2:F2"/>
    <mergeCell ref="A3:F3"/>
    <mergeCell ref="A4:A5"/>
    <mergeCell ref="B4:B5"/>
    <mergeCell ref="C4:E4"/>
    <mergeCell ref="F4:F5"/>
    <mergeCell ref="A13:F13"/>
    <mergeCell ref="A14:F14"/>
    <mergeCell ref="A16:F16"/>
    <mergeCell ref="A17:F17"/>
    <mergeCell ref="A19:F19"/>
  </mergeCells>
  <pageMargins left="0.7" right="0.7" top="0.75" bottom="0.75" header="0.3" footer="0.3"/>
  <pageSetup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01372-7022-4839-825C-841D9956C0C1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8</vt:i4>
      </vt:variant>
    </vt:vector>
  </HeadingPairs>
  <TitlesOfParts>
    <vt:vector size="8" baseType="lpstr">
      <vt:lpstr>งานการเงิน</vt:lpstr>
      <vt:lpstr>งานพัสดุ</vt:lpstr>
      <vt:lpstr>งานอาคาร</vt:lpstr>
      <vt:lpstr>งานทะเบียน</vt:lpstr>
      <vt:lpstr>งานกิจกรรม</vt:lpstr>
      <vt:lpstr>สวัสดิการ</vt:lpstr>
      <vt:lpstr>งานวิทยบริการ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Pasdoo</dc:creator>
  <cp:lastModifiedBy>Administrator</cp:lastModifiedBy>
  <cp:lastPrinted>2026-01-22T09:47:36Z</cp:lastPrinted>
  <dcterms:created xsi:type="dcterms:W3CDTF">2023-10-31T08:09:07Z</dcterms:created>
  <dcterms:modified xsi:type="dcterms:W3CDTF">2026-01-22T09:48:41Z</dcterms:modified>
</cp:coreProperties>
</file>