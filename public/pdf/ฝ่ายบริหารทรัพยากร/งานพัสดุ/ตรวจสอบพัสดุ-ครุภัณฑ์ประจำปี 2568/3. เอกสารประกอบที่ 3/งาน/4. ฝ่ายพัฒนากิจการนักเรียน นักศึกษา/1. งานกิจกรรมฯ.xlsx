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งาน\4. ฝ่ายพัฒนากิจการนักเรียน นักศึกษา\"/>
    </mc:Choice>
  </mc:AlternateContent>
  <xr:revisionPtr revIDLastSave="0" documentId="13_ncr:1_{ED177EA5-5B22-425D-9210-3735F05F0D5D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13" i="46" l="1"/>
  <c r="K10" i="46"/>
  <c r="K11" i="46"/>
  <c r="K12" i="46"/>
  <c r="K8" i="46"/>
  <c r="K9" i="46"/>
  <c r="K7" i="46"/>
</calcChain>
</file>

<file path=xl/sharedStrings.xml><?xml version="1.0" encoding="utf-8"?>
<sst xmlns="http://schemas.openxmlformats.org/spreadsheetml/2006/main" count="48" uniqueCount="38">
  <si>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</si>
  <si>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</si>
  <si>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</si>
  <si>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</si>
  <si>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</si>
  <si>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</si>
  <si>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</si>
  <si>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</si>
  <si>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</si>
  <si>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</si>
  <si>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</si>
  <si>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</si>
  <si>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</si>
  <si>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</si>
  <si>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</si>
  <si>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</si>
  <si>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</si>
  <si>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</si>
  <si>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</si>
  <si>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</si>
  <si>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</si>
  <si>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</si>
  <si>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(นายบุญแต่ง  ป้อมหิน)</t>
  </si>
  <si>
    <t>บกศ.</t>
  </si>
  <si>
    <t>งปม.</t>
  </si>
  <si>
    <t>ประจำปี 2568 สิ้นงวดเมื่อวันที่ 30 กันยายน 2568 ของงานกิจกรรมนักเรียน นักศึกษา</t>
  </si>
  <si>
    <t>7110-002-0006/462-056</t>
  </si>
  <si>
    <t>ตู้เก็บเอกสารบานเลื่อน 4 ฟุต</t>
  </si>
  <si>
    <t>7125-001-0001/462-001</t>
  </si>
  <si>
    <t>ตู้เก็บแฟ้ม 20 ช่อง</t>
  </si>
  <si>
    <t>7110-002-0005/492-006-007</t>
  </si>
  <si>
    <t>ตู้เหล็ก 2 บานเปิด</t>
  </si>
  <si>
    <t>7110-001-0003/512-001</t>
  </si>
  <si>
    <t>โต๊ะเหล็ก 5 ฟุต</t>
  </si>
  <si>
    <t>7125-002-0001/531-001-002</t>
  </si>
  <si>
    <t>ตู้เสื้อผ้า 4 ฟุต กระจก 2 บาน</t>
  </si>
  <si>
    <t>7110-007-0009/541-001</t>
  </si>
  <si>
    <t>โต๊ะบัญชีเหล็ก 3 ฟุต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</si>
</sst>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color theme="1"/>
      <name val="TH Sarabun New"/>
      <family val="2"/>
    </font>
    <font>
      <b/>
      <u/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3" fontId="5" fillId="0" borderId="0" xfId="0" applyNumberFormat="1" applyFont="1"/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3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3" fontId="6" fillId="0" borderId="5" xfId="0" applyNumberFormat="1" applyFont="1" applyBorder="1" applyAlignment="1">
      <alignment horizontal="right" vertical="center" wrapText="1"/>
    </xf>
    <xf numFmtId="4" fontId="6" fillId="0" borderId="5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" fontId="7" fillId="0" borderId="1" xfId="1" applyNumberFormat="1" applyFont="1" applyBorder="1" applyAlignment="1">
      <alignment horizontal="right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4" fontId="6" fillId="0" borderId="6" xfId="0" applyNumberFormat="1" applyFont="1" applyBorder="1"/>
    <xf numFmtId="0" fontId="6" fillId="0" borderId="6" xfId="0" applyFont="1" applyBorder="1" applyAlignment="1">
      <alignment horizontal="left"/>
    </xf>
    <xf numFmtId="0" fontId="7" fillId="0" borderId="0" xfId="2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9" fillId="0" borderId="0" xfId="0" applyFont="1" applyAlignment="1">
      <alignment horizontal="center"/>
    </xf>
  </cellXfs>
  <cellStyles count="16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เครื่องหมายจุลภาค 9 2" xfId="15" xr:uid="{00000000-0005-0000-0000-000003000000}"/>
    <cellStyle name="จุลภาค" xfId="1" builtinId="3"/>
    <cellStyle name="จุลภาค 2" xfId="14" xr:uid="{00000000-0005-0000-0000-000004000000}"/>
    <cellStyle name="ปกติ" xfId="0" builtinId="0"/>
    <cellStyle name="ปกติ 10" xfId="4" xr:uid="{00000000-0005-0000-0000-000006000000}"/>
    <cellStyle name="ปกติ 12" xfId="7" xr:uid="{00000000-0005-0000-0000-000007000000}"/>
    <cellStyle name="ปกติ 14" xfId="3" xr:uid="{00000000-0005-0000-0000-000008000000}"/>
    <cellStyle name="ปกติ 19" xfId="13" xr:uid="{00000000-0005-0000-0000-000009000000}"/>
    <cellStyle name="ปกติ 21" xfId="2" xr:uid="{00000000-0005-0000-0000-00000A000000}"/>
    <cellStyle name="ปกติ 22" xfId="5" xr:uid="{00000000-0005-0000-0000-00000B000000}"/>
    <cellStyle name="ปกติ 3" xfId="9" xr:uid="{00000000-0005-0000-0000-00000C000000}"/>
    <cellStyle name="ปกติ 4" xfId="10" xr:uid="{00000000-0005-0000-0000-00000D000000}"/>
    <cellStyle name="ปกติ 5" xfId="11" xr:uid="{00000000-0005-0000-0000-00000E000000}"/>
    <cellStyle name="ปกติ_รายการครุภัณฑ์ ปี 52 ที่แก้ไขเรียงลำดับใหม่ 23 ก.พ.53" xfId="6" xr:uid="{00000000-0005-0000-0000-00000F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1095375</xdr:colOff>
      <xdr:row>14</xdr:row>
      <xdr:rowOff>47626</xdr:rowOff>
    </xdr:from>
    <xdr:to>
      <xdr:col>11</xdr:col>
      <xdr:colOff>1438275</xdr:colOff>
      <xdr:row>19</xdr:row>
      <xdr:rowOff>66678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953749" y="7705727"/>
          <a:ext cx="1543052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1"/>
  <sheetViews>
    <sheetView tabSelected="1" topLeftCell="A13" zoomScaleNormal="100" workbookViewId="0">
      <selection activeCell="I6" sqref="I6"/>
    </sheetView>
  </sheetViews>
  <sheetFormatPr defaultColWidth="9" defaultRowHeight="24" x14ac:dyDescent="0.55000000000000004"/>
  <cols>
    <col min="1" max="1" width="5.875" style="1" customWidth="1"/>
    <col min="2" max="2" width="11" style="3" customWidth="1"/>
    <col min="3" max="3" width="24.5" style="2" customWidth="1"/>
    <col min="4" max="4" width="36.25" style="1" customWidth="1"/>
    <col min="5" max="5" width="8.75" style="1" customWidth="1"/>
    <col min="6" max="6" width="8.625" style="1" customWidth="1"/>
    <col min="7" max="9" width="7.625" style="1" customWidth="1"/>
    <col min="10" max="10" width="13.125" style="4" customWidth="1"/>
    <col min="11" max="11" width="15.375" style="4" customWidth="1"/>
    <col min="12" max="12" width="21.875" style="2" customWidth="1"/>
    <col min="13" max="16384" width="9" style="1"/>
  </cols>
  <sheetData>
    <row r="1" spans="1:12" x14ac:dyDescent="0.55000000000000004">
      <c r="A1" s="5"/>
      <c r="B1" s="6"/>
      <c r="C1" s="7"/>
      <c r="D1" s="5"/>
      <c r="E1" s="5"/>
      <c r="F1" s="5"/>
      <c r="G1" s="5"/>
      <c r="H1" s="5"/>
      <c r="I1" s="5"/>
      <c r="J1" s="8"/>
      <c r="K1" s="9"/>
      <c r="L1" s="10" t="s">
        <v>20</v>
      </c>
    </row>
    <row r="2" spans="1:12" x14ac:dyDescent="0.55000000000000004">
      <c r="A2" s="11" t="s">
        <v>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55000000000000004">
      <c r="A3" s="12" t="s">
        <v>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x14ac:dyDescent="0.55000000000000004">
      <c r="A4" s="13" t="s">
        <v>25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ht="28.5" customHeight="1" x14ac:dyDescent="0.55000000000000004">
      <c r="A5" s="14" t="s">
        <v>8</v>
      </c>
      <c r="B5" s="14" t="s">
        <v>19</v>
      </c>
      <c r="C5" s="14" t="s">
        <v>16</v>
      </c>
      <c r="D5" s="15" t="s">
        <v>0</v>
      </c>
      <c r="E5" s="14" t="s">
        <v>11</v>
      </c>
      <c r="F5" s="16" t="s">
        <v>10</v>
      </c>
      <c r="G5" s="17" t="s">
        <v>12</v>
      </c>
      <c r="H5" s="18" t="s">
        <v>1</v>
      </c>
      <c r="I5" s="19"/>
      <c r="J5" s="20" t="s">
        <v>15</v>
      </c>
      <c r="K5" s="20" t="s">
        <v>9</v>
      </c>
      <c r="L5" s="14" t="s">
        <v>14</v>
      </c>
    </row>
    <row r="6" spans="1:12" ht="45" customHeight="1" x14ac:dyDescent="0.55000000000000004">
      <c r="A6" s="21"/>
      <c r="B6" s="21"/>
      <c r="C6" s="21"/>
      <c r="D6" s="22"/>
      <c r="E6" s="21"/>
      <c r="F6" s="23"/>
      <c r="G6" s="24"/>
      <c r="H6" s="25" t="s">
        <v>13</v>
      </c>
      <c r="I6" s="26" t="s">
        <v>3</v>
      </c>
      <c r="J6" s="27"/>
      <c r="K6" s="27"/>
      <c r="L6" s="21"/>
    </row>
    <row r="7" spans="1:12" ht="23.25" customHeight="1" x14ac:dyDescent="0.55000000000000004">
      <c r="A7" s="28">
        <v>1</v>
      </c>
      <c r="B7" s="28">
        <v>2546</v>
      </c>
      <c r="C7" s="29" t="s">
        <v>26</v>
      </c>
      <c r="D7" s="30" t="s">
        <v>27</v>
      </c>
      <c r="E7" s="28" t="s">
        <v>23</v>
      </c>
      <c r="F7" s="31">
        <v>22</v>
      </c>
      <c r="G7" s="32"/>
      <c r="H7" s="25">
        <v>1</v>
      </c>
      <c r="I7" s="26">
        <v>1</v>
      </c>
      <c r="J7" s="33">
        <v>2500</v>
      </c>
      <c r="K7" s="33">
        <f>SUM(J7*I7)</f>
        <v>2500</v>
      </c>
      <c r="L7" s="28" t="s">
        <v>3</v>
      </c>
    </row>
    <row r="8" spans="1:12" ht="23.25" customHeight="1" x14ac:dyDescent="0.55000000000000004">
      <c r="A8" s="28">
        <v>2</v>
      </c>
      <c r="B8" s="28">
        <v>2546</v>
      </c>
      <c r="C8" s="29" t="s">
        <v>28</v>
      </c>
      <c r="D8" s="30" t="s">
        <v>29</v>
      </c>
      <c r="E8" s="28" t="s">
        <v>23</v>
      </c>
      <c r="F8" s="31">
        <v>22</v>
      </c>
      <c r="G8" s="32"/>
      <c r="H8" s="25">
        <v>1</v>
      </c>
      <c r="I8" s="26">
        <v>1</v>
      </c>
      <c r="J8" s="33">
        <v>2000</v>
      </c>
      <c r="K8" s="33">
        <f t="shared" ref="K8:K12" si="0">SUM(J8*I8)</f>
        <v>2000</v>
      </c>
      <c r="L8" s="28" t="s">
        <v>3</v>
      </c>
    </row>
    <row r="9" spans="1:12" ht="23.25" customHeight="1" x14ac:dyDescent="0.55000000000000004">
      <c r="A9" s="28">
        <v>3</v>
      </c>
      <c r="B9" s="28">
        <v>2549</v>
      </c>
      <c r="C9" s="29" t="s">
        <v>30</v>
      </c>
      <c r="D9" s="30" t="s">
        <v>31</v>
      </c>
      <c r="E9" s="28" t="s">
        <v>23</v>
      </c>
      <c r="F9" s="31">
        <v>19</v>
      </c>
      <c r="G9" s="32"/>
      <c r="H9" s="25">
        <v>2</v>
      </c>
      <c r="I9" s="26">
        <v>2</v>
      </c>
      <c r="J9" s="33">
        <v>3000</v>
      </c>
      <c r="K9" s="33">
        <f t="shared" si="0"/>
        <v>6000</v>
      </c>
      <c r="L9" s="28" t="s">
        <v>3</v>
      </c>
    </row>
    <row r="10" spans="1:12" ht="23.25" customHeight="1" x14ac:dyDescent="0.55000000000000004">
      <c r="A10" s="28">
        <v>4</v>
      </c>
      <c r="B10" s="28">
        <v>2551</v>
      </c>
      <c r="C10" s="29" t="s">
        <v>32</v>
      </c>
      <c r="D10" s="30" t="s">
        <v>33</v>
      </c>
      <c r="E10" s="28" t="s">
        <v>23</v>
      </c>
      <c r="F10" s="31">
        <v>17</v>
      </c>
      <c r="G10" s="32"/>
      <c r="H10" s="25">
        <v>1</v>
      </c>
      <c r="I10" s="26">
        <v>1</v>
      </c>
      <c r="J10" s="34">
        <v>5684.5</v>
      </c>
      <c r="K10" s="34">
        <f t="shared" si="0"/>
        <v>5684.5</v>
      </c>
      <c r="L10" s="28" t="s">
        <v>3</v>
      </c>
    </row>
    <row r="11" spans="1:12" ht="23.25" customHeight="1" x14ac:dyDescent="0.55000000000000004">
      <c r="A11" s="28">
        <v>5</v>
      </c>
      <c r="B11" s="35">
        <v>2553</v>
      </c>
      <c r="C11" s="36" t="s">
        <v>34</v>
      </c>
      <c r="D11" s="37" t="s">
        <v>35</v>
      </c>
      <c r="E11" s="38" t="s">
        <v>24</v>
      </c>
      <c r="F11" s="38">
        <v>17</v>
      </c>
      <c r="G11" s="38"/>
      <c r="H11" s="38">
        <v>2</v>
      </c>
      <c r="I11" s="39">
        <v>2</v>
      </c>
      <c r="J11" s="40">
        <v>4900</v>
      </c>
      <c r="K11" s="33">
        <f t="shared" si="0"/>
        <v>9800</v>
      </c>
      <c r="L11" s="28" t="s">
        <v>3</v>
      </c>
    </row>
    <row r="12" spans="1:12" ht="23.25" customHeight="1" thickBot="1" x14ac:dyDescent="0.6">
      <c r="A12" s="28">
        <v>6</v>
      </c>
      <c r="B12" s="35">
        <v>2554</v>
      </c>
      <c r="C12" s="36" t="s">
        <v>36</v>
      </c>
      <c r="D12" s="37" t="s">
        <v>37</v>
      </c>
      <c r="E12" s="38" t="s">
        <v>24</v>
      </c>
      <c r="F12" s="38">
        <v>14</v>
      </c>
      <c r="G12" s="38"/>
      <c r="H12" s="38">
        <v>1</v>
      </c>
      <c r="I12" s="39">
        <v>1</v>
      </c>
      <c r="J12" s="40">
        <v>3700</v>
      </c>
      <c r="K12" s="33">
        <f t="shared" si="0"/>
        <v>3700</v>
      </c>
      <c r="L12" s="28" t="s">
        <v>3</v>
      </c>
    </row>
    <row r="13" spans="1:12" ht="24.75" thickBot="1" x14ac:dyDescent="0.6">
      <c r="A13" s="41" t="s">
        <v>5</v>
      </c>
      <c r="B13" s="42"/>
      <c r="C13" s="42"/>
      <c r="D13" s="42"/>
      <c r="E13" s="42"/>
      <c r="F13" s="42"/>
      <c r="G13" s="42"/>
      <c r="H13" s="42"/>
      <c r="I13" s="42"/>
      <c r="J13" s="43"/>
      <c r="K13" s="44">
        <f>SUM(K7:K12)</f>
        <v>29684.5</v>
      </c>
      <c r="L13" s="45"/>
    </row>
    <row r="14" spans="1:12" ht="24.75" thickTop="1" x14ac:dyDescent="0.55000000000000004">
      <c r="A14" s="10"/>
      <c r="B14" s="10"/>
      <c r="C14" s="10"/>
      <c r="D14" s="10"/>
      <c r="E14" s="10"/>
      <c r="F14" s="10"/>
      <c r="G14" s="10"/>
      <c r="H14" s="10"/>
      <c r="I14" s="46"/>
      <c r="J14" s="9"/>
      <c r="K14" s="9"/>
      <c r="L14" s="47"/>
    </row>
    <row r="15" spans="1:12" x14ac:dyDescent="0.55000000000000004">
      <c r="A15" s="48"/>
      <c r="B15" s="49" t="s">
        <v>2</v>
      </c>
      <c r="C15" s="47" t="s">
        <v>17</v>
      </c>
      <c r="D15" s="48"/>
      <c r="E15" s="48"/>
      <c r="F15" s="48"/>
      <c r="G15" s="48"/>
      <c r="H15" s="48"/>
      <c r="I15" s="46"/>
      <c r="J15" s="9"/>
      <c r="K15" s="9"/>
      <c r="L15" s="47"/>
    </row>
    <row r="16" spans="1:12" x14ac:dyDescent="0.55000000000000004">
      <c r="A16" s="48"/>
      <c r="B16" s="10"/>
      <c r="C16" s="47" t="s">
        <v>18</v>
      </c>
      <c r="D16" s="48"/>
      <c r="E16" s="48"/>
      <c r="F16" s="48"/>
      <c r="G16" s="48"/>
      <c r="H16" s="48"/>
      <c r="I16" s="48"/>
      <c r="J16" s="9"/>
      <c r="K16" s="9"/>
      <c r="L16" s="47"/>
    </row>
    <row r="17" spans="1:12" x14ac:dyDescent="0.55000000000000004">
      <c r="A17" s="48"/>
      <c r="B17" s="10"/>
      <c r="C17" s="47"/>
      <c r="D17" s="48"/>
      <c r="E17" s="48"/>
      <c r="F17" s="48"/>
      <c r="G17" s="48"/>
      <c r="H17" s="48"/>
      <c r="I17" s="48"/>
      <c r="J17" s="9"/>
      <c r="K17" s="9"/>
      <c r="L17" s="47"/>
    </row>
    <row r="18" spans="1:12" x14ac:dyDescent="0.55000000000000004">
      <c r="A18" s="48"/>
      <c r="B18" s="10"/>
      <c r="C18" s="47"/>
      <c r="D18" s="48"/>
      <c r="E18" s="48"/>
      <c r="F18" s="48"/>
      <c r="G18" s="48"/>
      <c r="H18" s="11" t="s">
        <v>21</v>
      </c>
      <c r="I18" s="11"/>
      <c r="J18" s="11"/>
      <c r="K18" s="11"/>
      <c r="L18" s="47"/>
    </row>
    <row r="19" spans="1:12" x14ac:dyDescent="0.55000000000000004">
      <c r="A19" s="48"/>
      <c r="B19" s="10"/>
      <c r="C19" s="47"/>
      <c r="D19" s="48"/>
      <c r="E19" s="48"/>
      <c r="F19" s="48"/>
      <c r="G19" s="48"/>
      <c r="H19" s="11" t="s">
        <v>22</v>
      </c>
      <c r="I19" s="11"/>
      <c r="J19" s="11"/>
      <c r="K19" s="11"/>
      <c r="L19" s="47"/>
    </row>
    <row r="20" spans="1:12" x14ac:dyDescent="0.55000000000000004">
      <c r="A20" s="48"/>
      <c r="B20" s="10"/>
      <c r="C20" s="47"/>
      <c r="D20" s="48"/>
      <c r="E20" s="48"/>
      <c r="F20" s="48"/>
      <c r="G20" s="48"/>
      <c r="H20" s="11" t="s">
        <v>4</v>
      </c>
      <c r="I20" s="11"/>
      <c r="J20" s="11"/>
      <c r="K20" s="11"/>
      <c r="L20" s="47"/>
    </row>
    <row r="21" spans="1:12" x14ac:dyDescent="0.55000000000000004">
      <c r="A21" s="48"/>
      <c r="B21" s="10"/>
      <c r="C21" s="47"/>
      <c r="D21" s="48"/>
      <c r="E21" s="48"/>
      <c r="F21" s="48"/>
      <c r="G21" s="48"/>
      <c r="H21" s="48"/>
      <c r="I21" s="48"/>
      <c r="J21" s="9"/>
      <c r="K21" s="9"/>
      <c r="L21" s="47"/>
    </row>
  </sheetData>
  <mergeCells count="18">
    <mergeCell ref="L5:L6"/>
    <mergeCell ref="A13:J13"/>
    <mergeCell ref="H18:K18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0:K20"/>
    <mergeCell ref="H19:K19"/>
    <mergeCell ref="H5:I5"/>
    <mergeCell ref="J5:J6"/>
    <mergeCell ref="K5:K6"/>
  </mergeCells>
  <printOptions horizontalCentered="1"/>
  <pageMargins left="0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2025-11-12T02:50:59Z</cp:lastPrinted>
  <dcterms:created xsi:type="dcterms:W3CDTF">2017-11-14T01:32:33Z</dcterms:created>
  <dcterms:modified xsi:type="dcterms:W3CDTF">2025-11-12T02:54:37Z</dcterms:modified>
</cp:coreProperties>
</file>