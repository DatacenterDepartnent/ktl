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3. เอกสารประกอบที่ 3\งาน\1. ฝ่ายบริหารทรัพยากร\"/>
    </mc:Choice>
  </mc:AlternateContent>
  <xr:revisionPtr revIDLastSave="0" documentId="13_ncr:1_{BF866B5D-F039-4D27-8C1D-7E808CF98A76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91029"/>
</workbook>
</file>

<file path=xl/calcChain.xml><?xml version="1.0" encoding="utf-8"?>
<calcChain xmlns="http://schemas.openxmlformats.org/spreadsheetml/2006/main">
  <c r="K12" i="46" l="1"/>
  <c r="K11" i="46"/>
  <c r="K10" i="46"/>
  <c r="K9" i="46"/>
  <c r="K8" i="46"/>
  <c r="K7" i="46"/>
</calcChain>
</file>

<file path=xl/sharedStrings.xml><?xml version="1.0" encoding="utf-8"?>
<sst xmlns="http://schemas.openxmlformats.org/spreadsheetml/2006/main" count="45" uniqueCount="37">
  <si>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</si>
  <si>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</si>
  <si>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</si>
  <si>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</si>
  <si>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</si>
  <si>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</si>
  <si>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</si>
  <si>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</si>
  <si>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</si>
  <si>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</si>
  <si>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</si>
  <si>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</si>
  <si>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</si>
  <si>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</si>
  <si>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</si>
  <si>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</si>
  <si>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</si>
  <si>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</si>
  <si>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</si>
  <si>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</si>
  <si>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</si>
  <si>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</t>
  </si>
  <si>
    <t>(นายอุทัย  จรรยากรณ์)</t>
  </si>
  <si>
    <t>ประจำปี 2568 สิ้นงวดเมื่อวันที่ 30 กันยายน 2568 ของงานการเงิน</t>
  </si>
  <si>
    <t>2539</t>
  </si>
  <si>
    <t>7125-002-0002/391-002</t>
  </si>
  <si>
    <t>ตู้เหล็ก 4 ลิ้นชัก Kingkong</t>
  </si>
  <si>
    <t>งปม.</t>
  </si>
  <si>
    <t>4140-001-0001/391-001</t>
  </si>
  <si>
    <t>พัดลมตั้งโต๊ะ 16"ฮาตาริ</t>
  </si>
  <si>
    <t>7125-002-0002/401-013</t>
  </si>
  <si>
    <t>ตู้เหล็ก 4 ลิ้นชัก PRERIDENT</t>
  </si>
  <si>
    <t>7110-002-0006/401-006</t>
  </si>
  <si>
    <t>ตู้เหล็ก 2 บานเลื่อน PRERIDENT</t>
  </si>
  <si>
    <t>7110-002-0005/472-003-004</t>
  </si>
  <si>
    <t>ตู้ 2 บานประตู</t>
  </si>
  <si>
    <t>บกศ.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</si>
</sst>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b/>
      <u/>
      <sz val="16"/>
      <color theme="1"/>
      <name val="TH SarabunPSK"/>
      <family val="2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b/>
      <sz val="14"/>
      <color theme="1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2" applyFont="1" applyAlignment="1">
      <alignment horizontal="center"/>
    </xf>
    <xf numFmtId="43" fontId="4" fillId="0" borderId="0" xfId="0" applyNumberFormat="1" applyFont="1"/>
    <xf numFmtId="0" fontId="4" fillId="0" borderId="0" xfId="0" applyFont="1"/>
    <xf numFmtId="0" fontId="6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/>
    </xf>
    <xf numFmtId="0" fontId="9" fillId="2" borderId="1" xfId="0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/>
    </xf>
    <xf numFmtId="0" fontId="9" fillId="0" borderId="1" xfId="6" applyFont="1" applyBorder="1" applyAlignment="1">
      <alignment horizontal="left"/>
    </xf>
    <xf numFmtId="0" fontId="9" fillId="0" borderId="1" xfId="6" applyFont="1" applyBorder="1"/>
    <xf numFmtId="0" fontId="9" fillId="0" borderId="1" xfId="2" applyFont="1" applyBorder="1" applyAlignment="1">
      <alignment horizontal="center"/>
    </xf>
    <xf numFmtId="0" fontId="9" fillId="0" borderId="1" xfId="6" applyFont="1" applyBorder="1" applyAlignment="1">
      <alignment horizontal="center"/>
    </xf>
    <xf numFmtId="43" fontId="9" fillId="0" borderId="1" xfId="1" applyFont="1" applyBorder="1"/>
    <xf numFmtId="43" fontId="9" fillId="0" borderId="1" xfId="1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43" fontId="8" fillId="0" borderId="6" xfId="0" applyNumberFormat="1" applyFont="1" applyBorder="1"/>
    <xf numFmtId="0" fontId="8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8" applyFont="1" applyAlignment="1">
      <alignment horizontal="center" vertical="center"/>
    </xf>
    <xf numFmtId="0" fontId="8" fillId="0" borderId="0" xfId="0" applyFont="1" applyAlignment="1" applyProtection="1">
      <alignment horizontal="center"/>
      <protection locked="0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top" wrapText="1"/>
    </xf>
    <xf numFmtId="0" fontId="8" fillId="0" borderId="5" xfId="0" applyFont="1" applyBorder="1" applyAlignment="1">
      <alignment horizontal="center" vertical="top" wrapText="1"/>
    </xf>
  </cellXfs>
  <cellStyles count="13">
    <cellStyle name="เครื่องหมายจุลภาค 9" xfId="11" xr:uid="{00000000-0005-0000-0000-000001000000}"/>
    <cellStyle name="จุลภาค" xfId="1" builtinId="3"/>
    <cellStyle name="ปกติ" xfId="0" builtinId="0"/>
    <cellStyle name="ปกติ 10" xfId="4" xr:uid="{00000000-0005-0000-0000-000003000000}"/>
    <cellStyle name="ปกติ 12" xfId="7" xr:uid="{00000000-0005-0000-0000-000004000000}"/>
    <cellStyle name="ปกติ 14" xfId="3" xr:uid="{00000000-0005-0000-0000-000005000000}"/>
    <cellStyle name="ปกติ 19" xfId="12" xr:uid="{00000000-0005-0000-0000-000006000000}"/>
    <cellStyle name="ปกติ 21" xfId="2" xr:uid="{00000000-0005-0000-0000-000007000000}"/>
    <cellStyle name="ปกติ 22" xfId="5" xr:uid="{00000000-0005-0000-0000-000008000000}"/>
    <cellStyle name="ปกติ 3" xfId="8" xr:uid="{00000000-0005-0000-0000-000009000000}"/>
    <cellStyle name="ปกติ 4" xfId="9" xr:uid="{00000000-0005-0000-0000-00000A000000}"/>
    <cellStyle name="ปกติ 5" xfId="10" xr:uid="{00000000-0005-0000-0000-00000B000000}"/>
    <cellStyle name="ปกติ_รายการครุภัณฑ์ ปี 52 ที่แก้ไขเรียงลำดับใหม่ 23 ก.พ.53" xfId="6" xr:uid="{00000000-0005-0000-0000-00000C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1400175</xdr:colOff>
      <xdr:row>12</xdr:row>
      <xdr:rowOff>171452</xdr:rowOff>
    </xdr:from>
    <xdr:to>
      <xdr:col>11</xdr:col>
      <xdr:colOff>1724025</xdr:colOff>
      <xdr:row>17</xdr:row>
      <xdr:rowOff>104778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1134724" y="5962653"/>
          <a:ext cx="1466851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0"/>
  <sheetViews>
    <sheetView tabSelected="1" topLeftCell="A4" zoomScaleNormal="100" workbookViewId="0">
      <selection activeCell="D14" sqref="D14"/>
    </sheetView>
  </sheetViews>
  <sheetFormatPr defaultColWidth="9" defaultRowHeight="24" x14ac:dyDescent="0.55000000000000004"/>
  <cols>
    <col min="1" max="1" width="5.25" style="1" customWidth="1"/>
    <col min="2" max="2" width="12" style="3" customWidth="1"/>
    <col min="3" max="3" width="27.25" style="2" customWidth="1"/>
    <col min="4" max="4" width="34.5" style="1" customWidth="1"/>
    <col min="5" max="5" width="7.625" style="1" customWidth="1"/>
    <col min="6" max="6" width="8.625" style="1" customWidth="1"/>
    <col min="7" max="7" width="6.625" style="1" customWidth="1"/>
    <col min="8" max="9" width="7.625" style="1" customWidth="1"/>
    <col min="10" max="10" width="12.625" style="1" customWidth="1"/>
    <col min="11" max="11" width="13.875" style="1" customWidth="1"/>
    <col min="12" max="12" width="25" style="3" customWidth="1"/>
    <col min="13" max="16384" width="9" style="1"/>
  </cols>
  <sheetData>
    <row r="1" spans="1:12" x14ac:dyDescent="0.55000000000000004">
      <c r="A1" s="10"/>
      <c r="B1" s="11"/>
      <c r="C1" s="12"/>
      <c r="D1" s="10"/>
      <c r="E1" s="10"/>
      <c r="F1" s="10"/>
      <c r="G1" s="10"/>
      <c r="H1" s="10"/>
      <c r="I1" s="10"/>
      <c r="J1" s="10"/>
      <c r="K1" s="13"/>
      <c r="L1" s="14" t="s">
        <v>20</v>
      </c>
    </row>
    <row r="2" spans="1:12" x14ac:dyDescent="0.55000000000000004">
      <c r="A2" s="36" t="s">
        <v>6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2" x14ac:dyDescent="0.55000000000000004">
      <c r="A3" s="37" t="s">
        <v>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1:12" x14ac:dyDescent="0.55000000000000004">
      <c r="A4" s="38" t="s">
        <v>23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spans="1:12" ht="28.5" customHeight="1" x14ac:dyDescent="0.55000000000000004">
      <c r="A5" s="31" t="s">
        <v>8</v>
      </c>
      <c r="B5" s="31" t="s">
        <v>19</v>
      </c>
      <c r="C5" s="31" t="s">
        <v>16</v>
      </c>
      <c r="D5" s="39" t="s">
        <v>0</v>
      </c>
      <c r="E5" s="31" t="s">
        <v>11</v>
      </c>
      <c r="F5" s="41" t="s">
        <v>10</v>
      </c>
      <c r="G5" s="43" t="s">
        <v>12</v>
      </c>
      <c r="H5" s="29" t="s">
        <v>1</v>
      </c>
      <c r="I5" s="30"/>
      <c r="J5" s="31" t="s">
        <v>15</v>
      </c>
      <c r="K5" s="31" t="s">
        <v>9</v>
      </c>
      <c r="L5" s="31" t="s">
        <v>14</v>
      </c>
    </row>
    <row r="6" spans="1:12" ht="45" customHeight="1" x14ac:dyDescent="0.55000000000000004">
      <c r="A6" s="32"/>
      <c r="B6" s="32"/>
      <c r="C6" s="32"/>
      <c r="D6" s="40"/>
      <c r="E6" s="32"/>
      <c r="F6" s="42"/>
      <c r="G6" s="44"/>
      <c r="H6" s="15" t="s">
        <v>13</v>
      </c>
      <c r="I6" s="16" t="s">
        <v>3</v>
      </c>
      <c r="J6" s="32"/>
      <c r="K6" s="32"/>
      <c r="L6" s="32"/>
    </row>
    <row r="7" spans="1:12" x14ac:dyDescent="0.55000000000000004">
      <c r="A7" s="17">
        <v>1</v>
      </c>
      <c r="B7" s="18" t="s">
        <v>24</v>
      </c>
      <c r="C7" s="19" t="s">
        <v>25</v>
      </c>
      <c r="D7" s="20" t="s">
        <v>26</v>
      </c>
      <c r="E7" s="21" t="s">
        <v>27</v>
      </c>
      <c r="F7" s="21">
        <v>29</v>
      </c>
      <c r="G7" s="21"/>
      <c r="H7" s="21">
        <v>1</v>
      </c>
      <c r="I7" s="22">
        <v>1</v>
      </c>
      <c r="J7" s="23">
        <v>2300</v>
      </c>
      <c r="K7" s="23">
        <f>SUM(J7*I7)</f>
        <v>2300</v>
      </c>
      <c r="L7" s="24" t="s">
        <v>3</v>
      </c>
    </row>
    <row r="8" spans="1:12" x14ac:dyDescent="0.55000000000000004">
      <c r="A8" s="17">
        <v>2</v>
      </c>
      <c r="B8" s="25">
        <v>2539</v>
      </c>
      <c r="C8" s="19" t="s">
        <v>28</v>
      </c>
      <c r="D8" s="20" t="s">
        <v>29</v>
      </c>
      <c r="E8" s="21" t="s">
        <v>27</v>
      </c>
      <c r="F8" s="21">
        <v>29</v>
      </c>
      <c r="G8" s="21"/>
      <c r="H8" s="21">
        <v>1</v>
      </c>
      <c r="I8" s="22">
        <v>1</v>
      </c>
      <c r="J8" s="23">
        <v>900</v>
      </c>
      <c r="K8" s="23">
        <f>SUM(J8*I8)</f>
        <v>900</v>
      </c>
      <c r="L8" s="24" t="s">
        <v>3</v>
      </c>
    </row>
    <row r="9" spans="1:12" x14ac:dyDescent="0.55000000000000004">
      <c r="A9" s="17">
        <v>3</v>
      </c>
      <c r="B9" s="25">
        <v>2540</v>
      </c>
      <c r="C9" s="19" t="s">
        <v>30</v>
      </c>
      <c r="D9" s="20" t="s">
        <v>31</v>
      </c>
      <c r="E9" s="21" t="s">
        <v>27</v>
      </c>
      <c r="F9" s="21">
        <v>28</v>
      </c>
      <c r="G9" s="21"/>
      <c r="H9" s="21">
        <v>1</v>
      </c>
      <c r="I9" s="22">
        <v>1</v>
      </c>
      <c r="J9" s="23">
        <v>2200</v>
      </c>
      <c r="K9" s="23">
        <f>SUM(J9*I9)</f>
        <v>2200</v>
      </c>
      <c r="L9" s="24" t="s">
        <v>3</v>
      </c>
    </row>
    <row r="10" spans="1:12" x14ac:dyDescent="0.55000000000000004">
      <c r="A10" s="17">
        <v>4</v>
      </c>
      <c r="B10" s="25">
        <v>2540</v>
      </c>
      <c r="C10" s="19" t="s">
        <v>32</v>
      </c>
      <c r="D10" s="20" t="s">
        <v>33</v>
      </c>
      <c r="E10" s="21" t="s">
        <v>27</v>
      </c>
      <c r="F10" s="21">
        <v>28</v>
      </c>
      <c r="G10" s="21"/>
      <c r="H10" s="21">
        <v>1</v>
      </c>
      <c r="I10" s="22">
        <v>1</v>
      </c>
      <c r="J10" s="23">
        <v>2250</v>
      </c>
      <c r="K10" s="23">
        <f>SUM(J10*I10)</f>
        <v>2250</v>
      </c>
      <c r="L10" s="24" t="s">
        <v>3</v>
      </c>
    </row>
    <row r="11" spans="1:12" ht="24.75" thickBot="1" x14ac:dyDescent="0.6">
      <c r="A11" s="17">
        <v>5</v>
      </c>
      <c r="B11" s="25">
        <v>2547</v>
      </c>
      <c r="C11" s="19" t="s">
        <v>34</v>
      </c>
      <c r="D11" s="20" t="s">
        <v>35</v>
      </c>
      <c r="E11" s="21" t="s">
        <v>36</v>
      </c>
      <c r="F11" s="21">
        <v>21</v>
      </c>
      <c r="G11" s="21"/>
      <c r="H11" s="21">
        <v>2</v>
      </c>
      <c r="I11" s="22">
        <v>2</v>
      </c>
      <c r="J11" s="23">
        <v>2500</v>
      </c>
      <c r="K11" s="23">
        <f>SUM(J11*I11)</f>
        <v>5000</v>
      </c>
      <c r="L11" s="24" t="s">
        <v>3</v>
      </c>
    </row>
    <row r="12" spans="1:12" ht="24.75" thickBot="1" x14ac:dyDescent="0.6">
      <c r="A12" s="33" t="s">
        <v>5</v>
      </c>
      <c r="B12" s="34"/>
      <c r="C12" s="34"/>
      <c r="D12" s="34"/>
      <c r="E12" s="34"/>
      <c r="F12" s="34"/>
      <c r="G12" s="34"/>
      <c r="H12" s="34"/>
      <c r="I12" s="34"/>
      <c r="J12" s="35"/>
      <c r="K12" s="26">
        <f>SUM(K7:K11)</f>
        <v>12650</v>
      </c>
      <c r="L12" s="27"/>
    </row>
    <row r="13" spans="1:12" ht="24.75" thickTop="1" x14ac:dyDescent="0.55000000000000004">
      <c r="A13" s="4"/>
      <c r="B13" s="4"/>
      <c r="C13" s="4"/>
      <c r="D13" s="4"/>
      <c r="E13" s="4"/>
      <c r="F13" s="4"/>
      <c r="G13" s="4"/>
      <c r="H13" s="4"/>
      <c r="I13" s="5"/>
      <c r="J13" s="6"/>
      <c r="K13" s="6"/>
      <c r="L13" s="4"/>
    </row>
    <row r="14" spans="1:12" x14ac:dyDescent="0.55000000000000004">
      <c r="A14" s="7"/>
      <c r="B14" s="8" t="s">
        <v>2</v>
      </c>
      <c r="C14" s="9" t="s">
        <v>17</v>
      </c>
      <c r="D14" s="7"/>
      <c r="E14" s="7"/>
      <c r="F14" s="7"/>
      <c r="G14" s="7"/>
      <c r="H14" s="7"/>
      <c r="I14" s="5"/>
      <c r="J14" s="7"/>
      <c r="K14" s="7"/>
      <c r="L14" s="4"/>
    </row>
    <row r="15" spans="1:12" x14ac:dyDescent="0.55000000000000004">
      <c r="A15" s="7"/>
      <c r="B15" s="4"/>
      <c r="C15" s="9" t="s">
        <v>18</v>
      </c>
      <c r="D15" s="7"/>
      <c r="E15" s="7"/>
      <c r="F15" s="7"/>
      <c r="G15" s="7"/>
      <c r="H15" s="7"/>
      <c r="I15" s="7"/>
      <c r="J15" s="7"/>
      <c r="K15" s="7"/>
      <c r="L15" s="7"/>
    </row>
    <row r="16" spans="1:12" x14ac:dyDescent="0.55000000000000004">
      <c r="A16" s="7"/>
      <c r="B16" s="4"/>
      <c r="C16" s="9"/>
      <c r="D16" s="7"/>
      <c r="E16" s="7"/>
      <c r="F16" s="7"/>
      <c r="G16" s="7"/>
      <c r="H16" s="7"/>
      <c r="I16" s="7"/>
      <c r="J16" s="7"/>
      <c r="K16" s="7"/>
      <c r="L16" s="7"/>
    </row>
    <row r="17" spans="1:12" x14ac:dyDescent="0.55000000000000004">
      <c r="A17" s="7"/>
      <c r="B17" s="4"/>
      <c r="C17" s="9"/>
      <c r="D17" s="7"/>
      <c r="E17" s="7"/>
      <c r="F17" s="7"/>
      <c r="G17" s="7"/>
      <c r="H17" s="28" t="s">
        <v>21</v>
      </c>
      <c r="I17" s="28"/>
      <c r="J17" s="28"/>
      <c r="K17" s="28"/>
      <c r="L17" s="7"/>
    </row>
    <row r="18" spans="1:12" x14ac:dyDescent="0.55000000000000004">
      <c r="A18" s="7"/>
      <c r="B18" s="4"/>
      <c r="C18" s="9"/>
      <c r="D18" s="7"/>
      <c r="E18" s="7"/>
      <c r="F18" s="7"/>
      <c r="G18" s="7"/>
      <c r="H18" s="28" t="s">
        <v>22</v>
      </c>
      <c r="I18" s="28"/>
      <c r="J18" s="28"/>
      <c r="K18" s="28"/>
      <c r="L18" s="4"/>
    </row>
    <row r="19" spans="1:12" x14ac:dyDescent="0.55000000000000004">
      <c r="A19" s="7"/>
      <c r="B19" s="4"/>
      <c r="C19" s="9"/>
      <c r="D19" s="7"/>
      <c r="E19" s="7"/>
      <c r="F19" s="7"/>
      <c r="G19" s="7"/>
      <c r="H19" s="28" t="s">
        <v>4</v>
      </c>
      <c r="I19" s="28"/>
      <c r="J19" s="28"/>
      <c r="K19" s="28"/>
      <c r="L19" s="4"/>
    </row>
    <row r="20" spans="1:12" x14ac:dyDescent="0.55000000000000004">
      <c r="A20" s="7"/>
      <c r="B20" s="4"/>
      <c r="C20" s="9"/>
      <c r="D20" s="7"/>
      <c r="E20" s="7"/>
      <c r="F20" s="7"/>
      <c r="G20" s="7"/>
      <c r="H20" s="7"/>
      <c r="I20" s="7"/>
      <c r="J20" s="7"/>
      <c r="K20" s="7"/>
      <c r="L20" s="4"/>
    </row>
  </sheetData>
  <mergeCells count="18">
    <mergeCell ref="L5:L6"/>
    <mergeCell ref="A12:J12"/>
    <mergeCell ref="H17:K17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19:K19"/>
    <mergeCell ref="H18:K18"/>
    <mergeCell ref="H5:I5"/>
    <mergeCell ref="J5:J6"/>
    <mergeCell ref="K5:K6"/>
  </mergeCells>
  <printOptions horizontalCentered="1"/>
  <pageMargins left="0.19685039370078741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2025-11-07T03:50:24Z</cp:lastPrinted>
  <dcterms:created xsi:type="dcterms:W3CDTF">2017-11-14T01:32:33Z</dcterms:created>
  <dcterms:modified xsi:type="dcterms:W3CDTF">2026-01-21T08:29:24Z</dcterms:modified>
</cp:coreProperties>
</file>