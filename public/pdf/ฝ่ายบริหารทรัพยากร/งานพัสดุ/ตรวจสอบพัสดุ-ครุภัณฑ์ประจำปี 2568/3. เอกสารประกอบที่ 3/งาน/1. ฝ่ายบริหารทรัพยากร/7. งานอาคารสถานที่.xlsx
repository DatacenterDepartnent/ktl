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1. ฝ่ายบริหารทรัพยากร\"/>
    </mc:Choice>
  </mc:AlternateContent>
  <xr:revisionPtr revIDLastSave="0" documentId="13_ncr:1_{5EFB0D69-6B9D-4B3D-A732-C9F2669EAD3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calcPr calcId="191029"/>
</workbook>
</file>

<file path=xl/calcChain.xml><?xml version="1.0" encoding="utf-8"?>
<calcChain xmlns="http://schemas.openxmlformats.org/spreadsheetml/2006/main">
  <c r="K15" i="46" l="1"/>
  <c r="K9" i="46"/>
  <c r="K10" i="46"/>
  <c r="K11" i="46"/>
  <c r="K12" i="46"/>
  <c r="K13" i="46"/>
  <c r="K14" i="46"/>
  <c r="K8" i="46"/>
</calcChain>
</file>

<file path=xl/sharedStrings.xml><?xml version="1.0" encoding="utf-8"?>
<sst xmlns="http://schemas.openxmlformats.org/spreadsheetml/2006/main" count="46" uniqueCount="41">
  <si>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</si>
  <si>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</si>
  <si>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</si>
  <si>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</si>
  <si>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</si>
  <si>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</si>
  <si>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</si>
  <si>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</si>
  <si>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</si>
  <si>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</si>
  <si>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</si>
  <si>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</si>
  <si>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</si>
  <si>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</si>
  <si>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</si>
  <si>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</si>
  <si>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</si>
  <si>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</si>
  <si>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</si>
  <si>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</si>
  <si>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(นายสุขสันต์  สิทธิมวล)</t>
  </si>
  <si>
    <t>......................................................</t>
  </si>
  <si>
    <t>รวมเป็นเงิน</t>
  </si>
  <si>
    <t>ประจำปี 2568 สิ้นงวดเมื่อวันที่ 30 กันยายน 2568 ของงานอาคารสถานที่</t>
  </si>
  <si>
    <t>4330-001-0002/452-001</t>
  </si>
  <si>
    <t>ปั้มน้ำเวล ขนาด 1 1/2</t>
  </si>
  <si>
    <t>บกศ.</t>
  </si>
  <si>
    <t>3445-002-0001/462-001</t>
  </si>
  <si>
    <t>เครื่องตัดไฟเบอร์ 14 มากีต้า</t>
  </si>
  <si>
    <t>7910-003-0001/461-002</t>
  </si>
  <si>
    <t>เครื่องดูดฝุ่น</t>
  </si>
  <si>
    <t>งปม.</t>
  </si>
  <si>
    <t>3750-002-0001/622-001(3)</t>
  </si>
  <si>
    <t>เครื่องตัดหญ้าแบบรถเข็น 2 ล้อ</t>
  </si>
  <si>
    <t>4910-014-000/632-001</t>
  </si>
  <si>
    <t>หินเจียมือขนาด 4 นิ้ว</t>
  </si>
  <si>
    <t>3750-002-0002-001</t>
  </si>
  <si>
    <t>รถตัดหญ้าแบบ 4 ล้อเข็น</t>
  </si>
  <si>
    <t>2563</t>
  </si>
  <si>
    <t>3750-002-0001/632-001</t>
  </si>
  <si>
    <t>เครื่องตดหญ้าแบบสายสพาย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</si>
</sst>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 applyProtection="1">
      <alignment horizontal="center"/>
      <protection locked="0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center"/>
    </xf>
    <xf numFmtId="43" fontId="5" fillId="0" borderId="7" xfId="0" applyNumberFormat="1" applyFont="1" applyBorder="1"/>
    <xf numFmtId="0" fontId="5" fillId="0" borderId="7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3" fontId="5" fillId="0" borderId="5" xfId="1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6" fillId="0" borderId="1" xfId="6" applyFont="1" applyBorder="1" applyAlignment="1">
      <alignment horizontal="left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1228723</xdr:colOff>
      <xdr:row>15</xdr:row>
      <xdr:rowOff>200026</xdr:rowOff>
    </xdr:from>
    <xdr:to>
      <xdr:col>11</xdr:col>
      <xdr:colOff>1552572</xdr:colOff>
      <xdr:row>20</xdr:row>
      <xdr:rowOff>114301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A6B165C-7321-488D-9C6B-B0272E167414}"/>
            </a:ext>
          </a:extLst>
        </xdr:cNvPr>
        <xdr:cNvSpPr txBox="1"/>
      </xdr:nvSpPr>
      <xdr:spPr>
        <a:xfrm rot="5400000">
          <a:off x="11810998" y="7962901"/>
          <a:ext cx="1447800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5"/>
  <sheetViews>
    <sheetView tabSelected="1" zoomScaleNormal="100" workbookViewId="0">
      <selection activeCell="N7" sqref="N7"/>
    </sheetView>
  </sheetViews>
  <sheetFormatPr defaultColWidth="9" defaultRowHeight="24" x14ac:dyDescent="0.55000000000000004"/>
  <cols>
    <col min="1" max="1" width="6" style="1" customWidth="1"/>
    <col min="2" max="2" width="10" style="3" customWidth="1"/>
    <col min="3" max="3" width="24.25" style="2" customWidth="1"/>
    <col min="4" max="4" width="40" style="1" customWidth="1"/>
    <col min="5" max="5" width="8.625" style="1" customWidth="1"/>
    <col min="6" max="6" width="9.25" style="1" customWidth="1"/>
    <col min="7" max="7" width="6.625" style="1" customWidth="1"/>
    <col min="8" max="8" width="8" style="1" customWidth="1"/>
    <col min="9" max="9" width="7.625" style="1" customWidth="1"/>
    <col min="10" max="10" width="15.875" style="1" customWidth="1"/>
    <col min="11" max="11" width="16.875" style="1" customWidth="1"/>
    <col min="12" max="12" width="22.375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19</v>
      </c>
    </row>
    <row r="2" spans="1:12" x14ac:dyDescent="0.55000000000000004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55000000000000004">
      <c r="A3" s="27" t="s">
        <v>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55000000000000004">
      <c r="A4" s="28" t="s">
        <v>23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2" customHeight="1" x14ac:dyDescent="0.5500000000000000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28.5" customHeight="1" x14ac:dyDescent="0.55000000000000004">
      <c r="A6" s="29" t="s">
        <v>7</v>
      </c>
      <c r="B6" s="29" t="s">
        <v>18</v>
      </c>
      <c r="C6" s="29" t="s">
        <v>15</v>
      </c>
      <c r="D6" s="31" t="s">
        <v>0</v>
      </c>
      <c r="E6" s="29" t="s">
        <v>10</v>
      </c>
      <c r="F6" s="29" t="s">
        <v>9</v>
      </c>
      <c r="G6" s="33" t="s">
        <v>11</v>
      </c>
      <c r="H6" s="35" t="s">
        <v>1</v>
      </c>
      <c r="I6" s="36"/>
      <c r="J6" s="29" t="s">
        <v>14</v>
      </c>
      <c r="K6" s="29" t="s">
        <v>8</v>
      </c>
      <c r="L6" s="29" t="s">
        <v>13</v>
      </c>
    </row>
    <row r="7" spans="1:12" ht="45.75" customHeight="1" x14ac:dyDescent="0.55000000000000004">
      <c r="A7" s="30"/>
      <c r="B7" s="30"/>
      <c r="C7" s="30"/>
      <c r="D7" s="32"/>
      <c r="E7" s="30"/>
      <c r="F7" s="30"/>
      <c r="G7" s="34"/>
      <c r="H7" s="10" t="s">
        <v>12</v>
      </c>
      <c r="I7" s="11" t="s">
        <v>3</v>
      </c>
      <c r="J7" s="30"/>
      <c r="K7" s="30"/>
      <c r="L7" s="30"/>
    </row>
    <row r="8" spans="1:12" ht="23.25" customHeight="1" x14ac:dyDescent="0.55000000000000004">
      <c r="A8" s="8">
        <v>1</v>
      </c>
      <c r="B8" s="8">
        <v>2545</v>
      </c>
      <c r="C8" s="43" t="s">
        <v>24</v>
      </c>
      <c r="D8" s="44" t="s">
        <v>25</v>
      </c>
      <c r="E8" s="8" t="s">
        <v>26</v>
      </c>
      <c r="F8" s="8">
        <v>23</v>
      </c>
      <c r="G8" s="9"/>
      <c r="H8" s="10">
        <v>1</v>
      </c>
      <c r="I8" s="11">
        <v>1</v>
      </c>
      <c r="J8" s="40">
        <v>3745</v>
      </c>
      <c r="K8" s="41">
        <f>SUM(J8*I8)</f>
        <v>3745</v>
      </c>
      <c r="L8" s="8"/>
    </row>
    <row r="9" spans="1:12" ht="23.25" customHeight="1" x14ac:dyDescent="0.55000000000000004">
      <c r="A9" s="8">
        <v>2</v>
      </c>
      <c r="B9" s="8">
        <v>2546</v>
      </c>
      <c r="C9" s="43" t="s">
        <v>27</v>
      </c>
      <c r="D9" s="44" t="s">
        <v>28</v>
      </c>
      <c r="E9" s="8" t="s">
        <v>26</v>
      </c>
      <c r="F9" s="8">
        <v>22</v>
      </c>
      <c r="G9" s="9"/>
      <c r="H9" s="10">
        <v>1</v>
      </c>
      <c r="I9" s="11">
        <v>1</v>
      </c>
      <c r="J9" s="40">
        <v>7280</v>
      </c>
      <c r="K9" s="41">
        <f t="shared" ref="K9:K14" si="0">SUM(J9*I9)</f>
        <v>7280</v>
      </c>
      <c r="L9" s="8"/>
    </row>
    <row r="10" spans="1:12" ht="23.25" customHeight="1" x14ac:dyDescent="0.55000000000000004">
      <c r="A10" s="8">
        <v>3</v>
      </c>
      <c r="B10" s="8">
        <v>2546</v>
      </c>
      <c r="C10" s="43" t="s">
        <v>29</v>
      </c>
      <c r="D10" s="44" t="s">
        <v>30</v>
      </c>
      <c r="E10" s="8" t="s">
        <v>31</v>
      </c>
      <c r="F10" s="8">
        <v>22</v>
      </c>
      <c r="G10" s="9"/>
      <c r="H10" s="10">
        <v>1</v>
      </c>
      <c r="I10" s="11">
        <v>1</v>
      </c>
      <c r="J10" s="42">
        <v>6000</v>
      </c>
      <c r="K10" s="41">
        <f t="shared" si="0"/>
        <v>6000</v>
      </c>
      <c r="L10" s="8"/>
    </row>
    <row r="11" spans="1:12" ht="23.25" customHeight="1" x14ac:dyDescent="0.55000000000000004">
      <c r="A11" s="8">
        <v>4</v>
      </c>
      <c r="B11" s="8">
        <v>2562</v>
      </c>
      <c r="C11" s="43" t="s">
        <v>32</v>
      </c>
      <c r="D11" s="44" t="s">
        <v>33</v>
      </c>
      <c r="E11" s="8" t="s">
        <v>26</v>
      </c>
      <c r="F11" s="8">
        <v>6</v>
      </c>
      <c r="G11" s="9"/>
      <c r="H11" s="10">
        <v>3</v>
      </c>
      <c r="I11" s="11">
        <v>3</v>
      </c>
      <c r="J11" s="42">
        <v>7590</v>
      </c>
      <c r="K11" s="41">
        <f t="shared" si="0"/>
        <v>22770</v>
      </c>
      <c r="L11" s="8"/>
    </row>
    <row r="12" spans="1:12" ht="23.25" customHeight="1" x14ac:dyDescent="0.55000000000000004">
      <c r="A12" s="8">
        <v>5</v>
      </c>
      <c r="B12" s="8">
        <v>2563</v>
      </c>
      <c r="C12" s="43" t="s">
        <v>34</v>
      </c>
      <c r="D12" s="44" t="s">
        <v>35</v>
      </c>
      <c r="E12" s="8" t="s">
        <v>26</v>
      </c>
      <c r="F12" s="8">
        <v>5</v>
      </c>
      <c r="G12" s="9"/>
      <c r="H12" s="10">
        <v>1</v>
      </c>
      <c r="I12" s="11">
        <v>1</v>
      </c>
      <c r="J12" s="42">
        <v>1763</v>
      </c>
      <c r="K12" s="41">
        <f t="shared" si="0"/>
        <v>1763</v>
      </c>
      <c r="L12" s="8"/>
    </row>
    <row r="13" spans="1:12" ht="23.25" customHeight="1" x14ac:dyDescent="0.55000000000000004">
      <c r="A13" s="8">
        <v>6</v>
      </c>
      <c r="B13" s="8">
        <v>2563</v>
      </c>
      <c r="C13" s="43" t="s">
        <v>36</v>
      </c>
      <c r="D13" s="44" t="s">
        <v>37</v>
      </c>
      <c r="E13" s="8" t="s">
        <v>26</v>
      </c>
      <c r="F13" s="8">
        <v>5</v>
      </c>
      <c r="G13" s="9"/>
      <c r="H13" s="10">
        <v>1</v>
      </c>
      <c r="I13" s="11">
        <v>1</v>
      </c>
      <c r="J13" s="42">
        <v>21109</v>
      </c>
      <c r="K13" s="41">
        <f t="shared" si="0"/>
        <v>21109</v>
      </c>
      <c r="L13" s="8"/>
    </row>
    <row r="14" spans="1:12" ht="23.25" customHeight="1" x14ac:dyDescent="0.55000000000000004">
      <c r="A14" s="12">
        <v>7</v>
      </c>
      <c r="B14" s="13" t="s">
        <v>38</v>
      </c>
      <c r="C14" s="14" t="s">
        <v>39</v>
      </c>
      <c r="D14" s="45" t="s">
        <v>40</v>
      </c>
      <c r="E14" s="15" t="s">
        <v>26</v>
      </c>
      <c r="F14" s="15">
        <v>5</v>
      </c>
      <c r="G14" s="15"/>
      <c r="H14" s="15">
        <v>1</v>
      </c>
      <c r="I14" s="15">
        <v>1</v>
      </c>
      <c r="J14" s="16">
        <v>8212</v>
      </c>
      <c r="K14" s="41">
        <f t="shared" si="0"/>
        <v>8212</v>
      </c>
      <c r="L14" s="17"/>
    </row>
    <row r="15" spans="1:12" ht="24.75" thickBot="1" x14ac:dyDescent="0.6">
      <c r="A15" s="37" t="s">
        <v>22</v>
      </c>
      <c r="B15" s="38"/>
      <c r="C15" s="38"/>
      <c r="D15" s="38"/>
      <c r="E15" s="38"/>
      <c r="F15" s="38"/>
      <c r="G15" s="38"/>
      <c r="H15" s="38"/>
      <c r="I15" s="38"/>
      <c r="J15" s="39"/>
      <c r="K15" s="18">
        <f>SUM(K8:K14)</f>
        <v>70879</v>
      </c>
      <c r="L15" s="19"/>
    </row>
    <row r="16" spans="1:12" ht="24.75" thickTop="1" x14ac:dyDescent="0.55000000000000004">
      <c r="A16" s="5"/>
      <c r="B16" s="5"/>
      <c r="C16" s="5"/>
      <c r="D16" s="5"/>
      <c r="E16" s="5"/>
      <c r="F16" s="5"/>
      <c r="G16" s="5"/>
      <c r="H16" s="5"/>
      <c r="I16" s="20"/>
      <c r="J16" s="21"/>
      <c r="K16" s="21"/>
      <c r="L16" s="5"/>
    </row>
    <row r="17" spans="1:12" x14ac:dyDescent="0.55000000000000004">
      <c r="A17" s="4"/>
      <c r="B17" s="22" t="s">
        <v>2</v>
      </c>
      <c r="C17" s="6" t="s">
        <v>16</v>
      </c>
      <c r="D17" s="4"/>
      <c r="E17" s="4"/>
      <c r="F17" s="4"/>
      <c r="G17" s="4"/>
      <c r="H17" s="4"/>
      <c r="I17" s="20"/>
      <c r="J17" s="4"/>
      <c r="K17" s="4"/>
      <c r="L17" s="5"/>
    </row>
    <row r="18" spans="1:12" x14ac:dyDescent="0.55000000000000004">
      <c r="A18" s="4"/>
      <c r="B18" s="5"/>
      <c r="C18" s="6" t="s">
        <v>17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55000000000000004">
      <c r="A19" s="4"/>
      <c r="B19" s="5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55000000000000004">
      <c r="A20" s="4"/>
      <c r="B20" s="5"/>
      <c r="C20" s="6"/>
      <c r="D20" s="4"/>
      <c r="E20" s="4"/>
      <c r="F20" s="4"/>
      <c r="G20" s="4"/>
      <c r="H20" s="26" t="s">
        <v>21</v>
      </c>
      <c r="I20" s="26"/>
      <c r="J20" s="26"/>
      <c r="K20" s="26"/>
      <c r="L20" s="4"/>
    </row>
    <row r="21" spans="1:12" x14ac:dyDescent="0.55000000000000004">
      <c r="A21" s="4"/>
      <c r="B21" s="5"/>
      <c r="C21" s="6"/>
      <c r="D21" s="4"/>
      <c r="E21" s="4"/>
      <c r="F21" s="4"/>
      <c r="G21" s="4"/>
      <c r="H21" s="26" t="s">
        <v>20</v>
      </c>
      <c r="I21" s="26"/>
      <c r="J21" s="26"/>
      <c r="K21" s="26"/>
      <c r="L21" s="5"/>
    </row>
    <row r="22" spans="1:12" x14ac:dyDescent="0.55000000000000004">
      <c r="A22" s="4"/>
      <c r="B22" s="5"/>
      <c r="C22" s="6"/>
      <c r="D22" s="4"/>
      <c r="E22" s="4"/>
      <c r="F22" s="4"/>
      <c r="G22" s="4"/>
      <c r="H22" s="26" t="s">
        <v>4</v>
      </c>
      <c r="I22" s="26"/>
      <c r="J22" s="26"/>
      <c r="K22" s="26"/>
      <c r="L22" s="5"/>
    </row>
    <row r="23" spans="1:12" x14ac:dyDescent="0.55000000000000004">
      <c r="A23" s="4"/>
      <c r="B23" s="5"/>
      <c r="C23" s="6"/>
      <c r="D23" s="4"/>
      <c r="E23" s="4"/>
      <c r="F23" s="4"/>
      <c r="G23" s="4"/>
      <c r="H23" s="4"/>
      <c r="I23" s="4"/>
      <c r="J23" s="4"/>
      <c r="K23" s="4"/>
      <c r="L23" s="5"/>
    </row>
    <row r="24" spans="1:12" x14ac:dyDescent="0.55000000000000004">
      <c r="A24" s="23"/>
      <c r="B24" s="24"/>
      <c r="C24" s="25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5000000000000004">
      <c r="A25" s="23"/>
      <c r="B25" s="24"/>
      <c r="C25" s="25"/>
      <c r="D25" s="23"/>
      <c r="E25" s="23"/>
      <c r="F25" s="23"/>
      <c r="G25" s="23"/>
      <c r="H25" s="23"/>
      <c r="I25" s="23"/>
      <c r="J25" s="23"/>
      <c r="K25" s="23"/>
      <c r="L25" s="24"/>
    </row>
  </sheetData>
  <mergeCells count="18">
    <mergeCell ref="H20:K20"/>
    <mergeCell ref="H21:K21"/>
    <mergeCell ref="H22:K22"/>
    <mergeCell ref="A15:J15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2025-11-19T04:35:13Z</cp:lastPrinted>
  <dcterms:created xsi:type="dcterms:W3CDTF">2017-11-14T01:32:33Z</dcterms:created>
  <dcterms:modified xsi:type="dcterms:W3CDTF">2025-11-19T04:37:11Z</dcterms:modified>
</cp:coreProperties>
</file>