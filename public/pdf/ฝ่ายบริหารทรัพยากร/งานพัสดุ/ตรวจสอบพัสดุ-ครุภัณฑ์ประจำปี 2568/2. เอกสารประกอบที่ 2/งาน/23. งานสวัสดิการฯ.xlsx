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E8C68A35-F041-4882-88A2-CC0C7C5045AA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สวัสดิการ" sheetId="10" r:id="rId1"/>
  </sheets>
  <calcPr calcId="191029"/>
</workbook>
</file>

<file path=xl/calcChain.xml><?xml version="1.0" encoding="utf-8"?>
<calcChain xmlns="http://schemas.openxmlformats.org/spreadsheetml/2006/main">
  <c r="H23" i="10" l="1"/>
  <c r="H10" i="10"/>
  <c r="H9" i="10"/>
  <c r="H6" i="10"/>
  <c r="H7" i="10"/>
  <c r="H8" i="10"/>
  <c r="H5" i="10"/>
</calcChain>
</file>

<file path=xl/sharedStrings.xml><?xml version="1.0" encoding="utf-8"?>
<sst xmlns="http://schemas.openxmlformats.org/spreadsheetml/2006/main" count="61" uniqueCount="45">
  <si>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</si>
  <si>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</si>
  <si>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</si>
  <si>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</si>
  <si>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</si>
  <si>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</si>
  <si>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</si>
  <si>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</si>
  <si>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ตู้บานเลื่อนกระจก 4 ฟุต</t>
  </si>
  <si>
    <t>7150-003-0001/432-001-002</t>
  </si>
  <si>
    <t>4140-001-0001/432-005</t>
  </si>
  <si>
    <t>7110-002-0006/482-064</t>
  </si>
  <si>
    <t>7125-002-0002/531-001</t>
  </si>
  <si>
    <t>เตียงเหล็ก</t>
  </si>
  <si>
    <t>พัดลมตั้งพื้น 16 นิ้ว</t>
  </si>
  <si>
    <t>ตู้บานเลื่อนกระจก สูง  (ตู้ยา)</t>
  </si>
  <si>
    <t>(นางเพ็ชรา  โหม่งมาตร์)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</si>
  <si>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</si>
  <si>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</si>
  <si>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</si>
  <si>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</si>
  <si>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</si>
  <si>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</si>
  <si>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</si>
  <si>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งานสวัสดิการนักเรียนนักศึกษา  คงเหลือ</t>
  </si>
  <si>
    <t>24 ส.ค.65</t>
  </si>
  <si>
    <t>4140-002-0001/652-001(2)</t>
  </si>
  <si>
    <t>พัดลมดูดอากาศติดผนัง ขนาดไม่น้อยกว่า 20 นิ้ว</t>
  </si>
  <si>
    <t>ประจำปี 2568  ณ วันที่ 30 กันยายน 2568</t>
  </si>
  <si>
    <t>4110-001-0001/683-001(1/12)</t>
  </si>
  <si>
    <t>4110-001-0001/683-001(2/12)</t>
  </si>
  <si>
    <t>4110-001-0001/683-001(3/12)</t>
  </si>
  <si>
    <t>4110-001-0001/683-001(4/12)</t>
  </si>
  <si>
    <t>4110-001-0001/683-001(5/12)</t>
  </si>
  <si>
    <t>4110-001-0001/683-001(6/12)</t>
  </si>
  <si>
    <t>4110-001-0001/683-001(7/12)</t>
  </si>
  <si>
    <t>4110-001-0001/683-001(8/12)</t>
  </si>
  <si>
    <t>4110-001-0001/683-001(9/12)</t>
  </si>
  <si>
    <t>4110-001-0001/683-001(10/12)</t>
  </si>
  <si>
    <t>4110-001-0001/683-001(11/12)</t>
  </si>
  <si>
    <t>4110-001-0001/683-001(12/12)</t>
  </si>
  <si>
    <t>ตู้กดน้ำเย็น,น้ำร้อน สีดำ</t>
  </si>
  <si>
    <t>บริจาค</t>
  </si>
  <si>
    <t>สมาคม</t>
  </si>
  <si>
    <t>ผู้ปกครอง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</si>
</sst>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2"/>
      <name val="TH Sarabun New"/>
      <family val="2"/>
    </font>
    <font>
      <b/>
      <sz val="14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/>
    <xf numFmtId="49" fontId="8" fillId="0" borderId="1" xfId="6" applyNumberFormat="1" applyFont="1" applyBorder="1" applyAlignment="1">
      <alignment horizontal="left"/>
    </xf>
    <xf numFmtId="43" fontId="8" fillId="0" borderId="1" xfId="1" applyFont="1" applyBorder="1" applyAlignment="1">
      <alignment horizontal="right"/>
    </xf>
    <xf numFmtId="49" fontId="8" fillId="0" borderId="1" xfId="6" applyNumberFormat="1" applyFont="1" applyBorder="1"/>
    <xf numFmtId="187" fontId="8" fillId="0" borderId="1" xfId="1" applyNumberFormat="1" applyFont="1" applyBorder="1"/>
    <xf numFmtId="0" fontId="7" fillId="0" borderId="2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0" fontId="8" fillId="2" borderId="4" xfId="6" applyFont="1" applyFill="1" applyBorder="1" applyAlignment="1">
      <alignment horizontal="left"/>
    </xf>
    <xf numFmtId="0" fontId="8" fillId="0" borderId="4" xfId="6" applyFont="1" applyBorder="1"/>
    <xf numFmtId="0" fontId="8" fillId="0" borderId="5" xfId="2" applyFont="1" applyBorder="1" applyAlignment="1">
      <alignment horizontal="center"/>
    </xf>
    <xf numFmtId="0" fontId="8" fillId="0" borderId="4" xfId="5" applyFont="1" applyBorder="1" applyAlignment="1">
      <alignment horizontal="center"/>
    </xf>
    <xf numFmtId="187" fontId="8" fillId="0" borderId="4" xfId="1" applyNumberFormat="1" applyFont="1" applyBorder="1"/>
    <xf numFmtId="43" fontId="8" fillId="0" borderId="5" xfId="1" applyFont="1" applyBorder="1"/>
    <xf numFmtId="0" fontId="9" fillId="0" borderId="5" xfId="2" applyFont="1" applyBorder="1" applyAlignment="1">
      <alignment horizontal="center"/>
    </xf>
    <xf numFmtId="0" fontId="10" fillId="0" borderId="5" xfId="2" applyFont="1" applyBorder="1" applyAlignment="1">
      <alignment horizontal="center"/>
    </xf>
    <xf numFmtId="15" fontId="7" fillId="0" borderId="1" xfId="0" applyNumberFormat="1" applyFont="1" applyBorder="1" applyAlignment="1">
      <alignment horizontal="center" vertical="top" wrapText="1"/>
    </xf>
    <xf numFmtId="0" fontId="10" fillId="0" borderId="1" xfId="6" applyFont="1" applyBorder="1" applyAlignment="1">
      <alignment horizontal="left" vertical="top" wrapText="1"/>
    </xf>
    <xf numFmtId="0" fontId="8" fillId="0" borderId="1" xfId="6" applyFont="1" applyBorder="1" applyAlignment="1">
      <alignment horizontal="left" vertical="top" wrapText="1"/>
    </xf>
    <xf numFmtId="43" fontId="8" fillId="0" borderId="1" xfId="1" applyFont="1" applyBorder="1" applyAlignment="1">
      <alignment horizontal="center" vertical="top" wrapText="1"/>
    </xf>
    <xf numFmtId="43" fontId="8" fillId="0" borderId="8" xfId="5" applyNumberFormat="1" applyFont="1" applyBorder="1"/>
    <xf numFmtId="0" fontId="8" fillId="0" borderId="8" xfId="5" applyFont="1" applyBorder="1"/>
    <xf numFmtId="43" fontId="8" fillId="0" borderId="7" xfId="5" applyNumberFormat="1" applyFont="1" applyBorder="1" applyAlignment="1">
      <alignment horizontal="center"/>
    </xf>
    <xf numFmtId="0" fontId="7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0</xdr:row>
      <xdr:rowOff>123825</xdr:rowOff>
    </xdr:from>
    <xdr:to>
      <xdr:col>8</xdr:col>
      <xdr:colOff>647700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7543800" y="12382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J28"/>
  <sheetViews>
    <sheetView tabSelected="1" topLeftCell="A16" zoomScaleNormal="100" workbookViewId="0">
      <selection activeCell="H25" sqref="H25"/>
    </sheetView>
  </sheetViews>
  <sheetFormatPr defaultColWidth="9" defaultRowHeight="24" x14ac:dyDescent="0.55000000000000004"/>
  <cols>
    <col min="1" max="1" width="5.625" style="1" customWidth="1"/>
    <col min="2" max="2" width="10.5" style="1" customWidth="1"/>
    <col min="3" max="3" width="24.75" style="1" customWidth="1"/>
    <col min="4" max="4" width="38.75" style="1" customWidth="1"/>
    <col min="5" max="5" width="7" style="1" customWidth="1"/>
    <col min="6" max="6" width="6.25" style="1" customWidth="1"/>
    <col min="7" max="8" width="11.5" style="1" customWidth="1"/>
    <col min="9" max="9" width="10" style="1" customWidth="1"/>
    <col min="10" max="10" width="22.125" style="1" customWidth="1"/>
    <col min="11" max="16384" width="9" style="1"/>
  </cols>
  <sheetData>
    <row r="1" spans="1:10" x14ac:dyDescent="0.55000000000000004">
      <c r="A1" s="37" t="s">
        <v>3</v>
      </c>
      <c r="B1" s="37"/>
      <c r="C1" s="37"/>
      <c r="D1" s="37"/>
      <c r="E1" s="37"/>
      <c r="F1" s="37"/>
      <c r="G1" s="37"/>
      <c r="H1" s="37"/>
      <c r="I1" s="37"/>
    </row>
    <row r="2" spans="1:10" x14ac:dyDescent="0.55000000000000004">
      <c r="A2" s="37" t="s">
        <v>24</v>
      </c>
      <c r="B2" s="37"/>
      <c r="C2" s="37"/>
      <c r="D2" s="37"/>
      <c r="E2" s="37"/>
      <c r="F2" s="37"/>
      <c r="G2" s="37"/>
      <c r="H2" s="37"/>
      <c r="I2" s="37"/>
    </row>
    <row r="3" spans="1:10" x14ac:dyDescent="0.55000000000000004">
      <c r="A3" s="38" t="s">
        <v>28</v>
      </c>
      <c r="B3" s="38"/>
      <c r="C3" s="38"/>
      <c r="D3" s="38"/>
      <c r="E3" s="38"/>
      <c r="F3" s="38"/>
      <c r="G3" s="38"/>
      <c r="H3" s="38"/>
      <c r="I3" s="38"/>
    </row>
    <row r="4" spans="1:10" s="2" customFormat="1" ht="41.25" customHeight="1" x14ac:dyDescent="0.2">
      <c r="A4" s="5" t="s">
        <v>17</v>
      </c>
      <c r="B4" s="5" t="s">
        <v>20</v>
      </c>
      <c r="C4" s="5" t="s">
        <v>21</v>
      </c>
      <c r="D4" s="6" t="s">
        <v>0</v>
      </c>
      <c r="E4" s="5" t="s">
        <v>18</v>
      </c>
      <c r="F4" s="6" t="s">
        <v>1</v>
      </c>
      <c r="G4" s="5" t="s">
        <v>19</v>
      </c>
      <c r="H4" s="5" t="s">
        <v>23</v>
      </c>
      <c r="I4" s="6" t="s">
        <v>2</v>
      </c>
    </row>
    <row r="5" spans="1:10" s="3" customFormat="1" x14ac:dyDescent="0.55000000000000004">
      <c r="A5" s="7">
        <v>1</v>
      </c>
      <c r="B5" s="7">
        <v>2543</v>
      </c>
      <c r="C5" s="8" t="s">
        <v>9</v>
      </c>
      <c r="D5" s="9" t="s">
        <v>13</v>
      </c>
      <c r="E5" s="10" t="s">
        <v>5</v>
      </c>
      <c r="F5" s="11">
        <v>2</v>
      </c>
      <c r="G5" s="12">
        <v>1450</v>
      </c>
      <c r="H5" s="12">
        <f>SUM(F5*G5)</f>
        <v>2900</v>
      </c>
      <c r="I5" s="7"/>
      <c r="J5" s="4"/>
    </row>
    <row r="6" spans="1:10" s="3" customFormat="1" x14ac:dyDescent="0.55000000000000004">
      <c r="A6" s="7">
        <v>2</v>
      </c>
      <c r="B6" s="7">
        <v>2543</v>
      </c>
      <c r="C6" s="8" t="s">
        <v>10</v>
      </c>
      <c r="D6" s="13" t="s">
        <v>14</v>
      </c>
      <c r="E6" s="10" t="s">
        <v>5</v>
      </c>
      <c r="F6" s="11">
        <v>1</v>
      </c>
      <c r="G6" s="14">
        <v>1500</v>
      </c>
      <c r="H6" s="12">
        <f t="shared" ref="H6:H9" si="0">SUM(F6*G6)</f>
        <v>1500</v>
      </c>
      <c r="I6" s="7"/>
      <c r="J6" s="4"/>
    </row>
    <row r="7" spans="1:10" s="3" customFormat="1" x14ac:dyDescent="0.55000000000000004">
      <c r="A7" s="7">
        <v>3</v>
      </c>
      <c r="B7" s="7">
        <v>2548</v>
      </c>
      <c r="C7" s="8" t="s">
        <v>11</v>
      </c>
      <c r="D7" s="9" t="s">
        <v>8</v>
      </c>
      <c r="E7" s="10" t="s">
        <v>5</v>
      </c>
      <c r="F7" s="11">
        <v>1</v>
      </c>
      <c r="G7" s="12">
        <v>3350</v>
      </c>
      <c r="H7" s="12">
        <f t="shared" si="0"/>
        <v>3350</v>
      </c>
      <c r="I7" s="7"/>
      <c r="J7" s="4"/>
    </row>
    <row r="8" spans="1:10" s="3" customFormat="1" x14ac:dyDescent="0.55000000000000004">
      <c r="A8" s="7">
        <v>4</v>
      </c>
      <c r="B8" s="7">
        <v>2553</v>
      </c>
      <c r="C8" s="13" t="s">
        <v>12</v>
      </c>
      <c r="D8" s="15" t="s">
        <v>15</v>
      </c>
      <c r="E8" s="10" t="s">
        <v>4</v>
      </c>
      <c r="F8" s="11">
        <v>1</v>
      </c>
      <c r="G8" s="12">
        <v>4400</v>
      </c>
      <c r="H8" s="12">
        <f t="shared" si="0"/>
        <v>4400</v>
      </c>
      <c r="I8" s="7"/>
      <c r="J8" s="4"/>
    </row>
    <row r="9" spans="1:10" s="3" customFormat="1" x14ac:dyDescent="0.55000000000000004">
      <c r="A9" s="7">
        <v>5</v>
      </c>
      <c r="B9" s="18" t="s">
        <v>25</v>
      </c>
      <c r="C9" s="19" t="s">
        <v>26</v>
      </c>
      <c r="D9" s="20" t="s">
        <v>27</v>
      </c>
      <c r="E9" s="21" t="s">
        <v>5</v>
      </c>
      <c r="F9" s="22">
        <v>2</v>
      </c>
      <c r="G9" s="23">
        <v>1950</v>
      </c>
      <c r="H9" s="24">
        <f t="shared" si="0"/>
        <v>3900</v>
      </c>
      <c r="I9" s="7"/>
      <c r="J9" s="4"/>
    </row>
    <row r="10" spans="1:10" s="3" customFormat="1" x14ac:dyDescent="0.55000000000000004">
      <c r="A10" s="7">
        <v>6</v>
      </c>
      <c r="B10" s="27">
        <v>25026</v>
      </c>
      <c r="C10" s="28" t="s">
        <v>29</v>
      </c>
      <c r="D10" s="29" t="s">
        <v>41</v>
      </c>
      <c r="E10" s="21" t="s">
        <v>42</v>
      </c>
      <c r="F10" s="22">
        <v>12</v>
      </c>
      <c r="G10" s="30">
        <v>5190</v>
      </c>
      <c r="H10" s="24">
        <f>SUM(G10*F10)</f>
        <v>62280</v>
      </c>
      <c r="I10" s="17"/>
      <c r="J10" s="4"/>
    </row>
    <row r="11" spans="1:10" s="3" customFormat="1" x14ac:dyDescent="0.55000000000000004">
      <c r="A11" s="7">
        <v>7</v>
      </c>
      <c r="B11" s="18"/>
      <c r="C11" s="28" t="s">
        <v>29</v>
      </c>
      <c r="D11" s="29" t="s">
        <v>41</v>
      </c>
      <c r="E11" s="26" t="s">
        <v>43</v>
      </c>
      <c r="F11" s="22"/>
      <c r="G11" s="23"/>
      <c r="H11" s="24"/>
      <c r="I11" s="17"/>
      <c r="J11" s="4"/>
    </row>
    <row r="12" spans="1:10" s="3" customFormat="1" x14ac:dyDescent="0.55000000000000004">
      <c r="A12" s="7">
        <v>8</v>
      </c>
      <c r="B12" s="18"/>
      <c r="C12" s="28" t="s">
        <v>30</v>
      </c>
      <c r="D12" s="29" t="s">
        <v>41</v>
      </c>
      <c r="E12" s="25" t="s">
        <v>44</v>
      </c>
      <c r="F12" s="22"/>
      <c r="G12" s="23"/>
      <c r="H12" s="24"/>
      <c r="I12" s="17"/>
      <c r="J12" s="4"/>
    </row>
    <row r="13" spans="1:10" s="3" customFormat="1" x14ac:dyDescent="0.55000000000000004">
      <c r="A13" s="7">
        <v>9</v>
      </c>
      <c r="B13" s="18"/>
      <c r="C13" s="28" t="s">
        <v>31</v>
      </c>
      <c r="D13" s="29" t="s">
        <v>41</v>
      </c>
      <c r="E13" s="21"/>
      <c r="F13" s="22"/>
      <c r="G13" s="23"/>
      <c r="H13" s="24"/>
      <c r="I13" s="17"/>
      <c r="J13" s="4"/>
    </row>
    <row r="14" spans="1:10" s="3" customFormat="1" x14ac:dyDescent="0.55000000000000004">
      <c r="A14" s="7">
        <v>10</v>
      </c>
      <c r="B14" s="18"/>
      <c r="C14" s="28" t="s">
        <v>32</v>
      </c>
      <c r="D14" s="29" t="s">
        <v>41</v>
      </c>
      <c r="E14" s="21"/>
      <c r="F14" s="22"/>
      <c r="G14" s="23"/>
      <c r="H14" s="24"/>
      <c r="I14" s="17"/>
      <c r="J14" s="4"/>
    </row>
    <row r="15" spans="1:10" s="3" customFormat="1" x14ac:dyDescent="0.55000000000000004">
      <c r="A15" s="7">
        <v>11</v>
      </c>
      <c r="B15" s="18"/>
      <c r="C15" s="28" t="s">
        <v>33</v>
      </c>
      <c r="D15" s="29" t="s">
        <v>41</v>
      </c>
      <c r="E15" s="21"/>
      <c r="F15" s="22"/>
      <c r="G15" s="23"/>
      <c r="H15" s="24"/>
      <c r="I15" s="17"/>
      <c r="J15" s="4"/>
    </row>
    <row r="16" spans="1:10" s="3" customFormat="1" x14ac:dyDescent="0.55000000000000004">
      <c r="A16" s="7">
        <v>12</v>
      </c>
      <c r="B16" s="18"/>
      <c r="C16" s="28" t="s">
        <v>34</v>
      </c>
      <c r="D16" s="29" t="s">
        <v>41</v>
      </c>
      <c r="E16" s="21"/>
      <c r="F16" s="22"/>
      <c r="G16" s="23"/>
      <c r="H16" s="24"/>
      <c r="I16" s="17"/>
      <c r="J16" s="4"/>
    </row>
    <row r="17" spans="1:10" s="3" customFormat="1" x14ac:dyDescent="0.55000000000000004">
      <c r="A17" s="7">
        <v>13</v>
      </c>
      <c r="B17" s="18"/>
      <c r="C17" s="28" t="s">
        <v>35</v>
      </c>
      <c r="D17" s="29" t="s">
        <v>41</v>
      </c>
      <c r="E17" s="21"/>
      <c r="F17" s="22"/>
      <c r="G17" s="23"/>
      <c r="H17" s="24"/>
      <c r="I17" s="17"/>
      <c r="J17" s="4"/>
    </row>
    <row r="18" spans="1:10" s="3" customFormat="1" x14ac:dyDescent="0.55000000000000004">
      <c r="A18" s="7">
        <v>14</v>
      </c>
      <c r="B18" s="18"/>
      <c r="C18" s="28" t="s">
        <v>36</v>
      </c>
      <c r="D18" s="29" t="s">
        <v>41</v>
      </c>
      <c r="E18" s="21"/>
      <c r="F18" s="22"/>
      <c r="G18" s="23"/>
      <c r="H18" s="24"/>
      <c r="I18" s="17"/>
      <c r="J18" s="4"/>
    </row>
    <row r="19" spans="1:10" s="3" customFormat="1" x14ac:dyDescent="0.55000000000000004">
      <c r="A19" s="7">
        <v>15</v>
      </c>
      <c r="B19" s="18"/>
      <c r="C19" s="28" t="s">
        <v>37</v>
      </c>
      <c r="D19" s="29" t="s">
        <v>41</v>
      </c>
      <c r="E19" s="21"/>
      <c r="F19" s="22"/>
      <c r="G19" s="23"/>
      <c r="H19" s="24"/>
      <c r="I19" s="17"/>
      <c r="J19" s="4"/>
    </row>
    <row r="20" spans="1:10" s="3" customFormat="1" x14ac:dyDescent="0.55000000000000004">
      <c r="A20" s="7">
        <v>16</v>
      </c>
      <c r="B20" s="18"/>
      <c r="C20" s="28" t="s">
        <v>38</v>
      </c>
      <c r="D20" s="29" t="s">
        <v>41</v>
      </c>
      <c r="E20" s="21"/>
      <c r="F20" s="22"/>
      <c r="G20" s="23"/>
      <c r="H20" s="24"/>
      <c r="I20" s="17"/>
      <c r="J20" s="4"/>
    </row>
    <row r="21" spans="1:10" s="3" customFormat="1" x14ac:dyDescent="0.55000000000000004">
      <c r="A21" s="7">
        <v>17</v>
      </c>
      <c r="B21" s="18"/>
      <c r="C21" s="28" t="s">
        <v>39</v>
      </c>
      <c r="D21" s="29" t="s">
        <v>41</v>
      </c>
      <c r="E21" s="21"/>
      <c r="F21" s="22"/>
      <c r="G21" s="23"/>
      <c r="H21" s="24"/>
      <c r="I21" s="17"/>
      <c r="J21" s="4"/>
    </row>
    <row r="22" spans="1:10" s="3" customFormat="1" x14ac:dyDescent="0.55000000000000004">
      <c r="A22" s="7">
        <v>18</v>
      </c>
      <c r="B22" s="27"/>
      <c r="C22" s="28" t="s">
        <v>40</v>
      </c>
      <c r="D22" s="29" t="s">
        <v>41</v>
      </c>
      <c r="E22" s="10"/>
      <c r="F22" s="11"/>
      <c r="G22" s="16"/>
      <c r="H22" s="12"/>
      <c r="I22" s="17"/>
      <c r="J22" s="4"/>
    </row>
    <row r="23" spans="1:10" x14ac:dyDescent="0.55000000000000004">
      <c r="A23" s="39" t="s">
        <v>22</v>
      </c>
      <c r="B23" s="38"/>
      <c r="C23" s="38"/>
      <c r="D23" s="38"/>
      <c r="E23" s="40"/>
      <c r="F23" s="31"/>
      <c r="G23" s="32"/>
      <c r="H23" s="33">
        <f>SUM(H5:H22)</f>
        <v>78330</v>
      </c>
      <c r="I23" s="34"/>
    </row>
    <row r="26" spans="1:10" x14ac:dyDescent="0.55000000000000004">
      <c r="F26" s="35" t="s">
        <v>6</v>
      </c>
      <c r="G26" s="35"/>
      <c r="H26" s="35"/>
      <c r="I26" s="35"/>
      <c r="J26" s="4"/>
    </row>
    <row r="27" spans="1:10" x14ac:dyDescent="0.55000000000000004">
      <c r="F27" s="36" t="s">
        <v>16</v>
      </c>
      <c r="G27" s="36"/>
      <c r="H27" s="36"/>
      <c r="I27" s="36"/>
      <c r="J27" s="4"/>
    </row>
    <row r="28" spans="1:10" x14ac:dyDescent="0.55000000000000004">
      <c r="F28" s="36" t="s">
        <v>7</v>
      </c>
      <c r="G28" s="36"/>
      <c r="H28" s="36"/>
      <c r="I28" s="36"/>
      <c r="J28" s="4"/>
    </row>
  </sheetData>
  <mergeCells count="7">
    <mergeCell ref="F26:I26"/>
    <mergeCell ref="F27:I27"/>
    <mergeCell ref="F28:I28"/>
    <mergeCell ref="A1:I1"/>
    <mergeCell ref="A2:I2"/>
    <mergeCell ref="A3:I3"/>
    <mergeCell ref="A23:E2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งานสวัสดิการ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2026-01-26T03:00:33Z</cp:lastPrinted>
  <dcterms:created xsi:type="dcterms:W3CDTF">2017-11-14T01:32:33Z</dcterms:created>
  <dcterms:modified xsi:type="dcterms:W3CDTF">2026-01-26T03:01:03Z</dcterms:modified>
</cp:coreProperties>
</file>