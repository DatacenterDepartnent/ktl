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534C4133-45DE-4E81-A099-43097681D17B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ศูนย์ข้อมูลฯ" sheetId="15" r:id="rId1"/>
  </sheets>
  <calcPr calcId="191029"/>
</workbook>
</file>

<file path=xl/calcChain.xml><?xml version="1.0" encoding="utf-8"?>
<calcChain xmlns="http://schemas.openxmlformats.org/spreadsheetml/2006/main">
  <c r="H23" i="15" l="1"/>
  <c r="H22" i="15"/>
  <c r="H21" i="15"/>
  <c r="H20" i="15"/>
  <c r="H19" i="15"/>
  <c r="H18" i="15"/>
  <c r="H17" i="15"/>
  <c r="H16" i="15"/>
  <c r="H15" i="15"/>
  <c r="H14" i="15"/>
  <c r="H5" i="15" l="1"/>
  <c r="H6" i="15"/>
  <c r="H7" i="15"/>
  <c r="H8" i="15"/>
  <c r="H9" i="15"/>
  <c r="H10" i="15"/>
  <c r="H11" i="15"/>
  <c r="H12" i="15"/>
  <c r="H13" i="15"/>
</calcChain>
</file>

<file path=xl/sharedStrings.xml><?xml version="1.0" encoding="utf-8"?>
<sst xmlns="http://schemas.openxmlformats.org/spreadsheetml/2006/main" count="69" uniqueCount="54">
  <si>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</si>
  <si>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</si>
  <si>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</si>
  <si>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</si>
  <si>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</si>
  <si>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</si>
  <si>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</si>
  <si>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อุดหนุน</t>
  </si>
  <si>
    <t>....................................................</t>
  </si>
  <si>
    <t>หัวหน้าหน่วยจ่าย/หน่วยเบิก</t>
  </si>
  <si>
    <t>7440-001-0001/531-071</t>
  </si>
  <si>
    <t>5850-003-0001/531-001-002</t>
  </si>
  <si>
    <t>7440-010-0011/531-001</t>
  </si>
  <si>
    <t>7110-002-0006/531-030</t>
  </si>
  <si>
    <t>7110-007-0004/531-009</t>
  </si>
  <si>
    <t>7440-010-0016/576-001</t>
  </si>
  <si>
    <t>เครื่องคอมพิวเตอร์แม่ข่าย IBM Server</t>
  </si>
  <si>
    <t>ตู้ Rack ขนาด  9  นิ้ว  แบบแขวน</t>
  </si>
  <si>
    <t>อุปกรณ์จัดเก็บ  Log File</t>
  </si>
  <si>
    <t>ตู้  2บานเลื่อนกระจก</t>
  </si>
  <si>
    <t>โต๊ะเหล็ก  4  ฟุต</t>
  </si>
  <si>
    <t>UPS True online SYNDOME</t>
  </si>
  <si>
    <t>รวมเป็นเงิน</t>
  </si>
  <si>
    <t>4120-001-0001/632-001</t>
  </si>
  <si>
    <t>แอร์ 1200 BTU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</si>
  <si>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</si>
  <si>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</si>
  <si>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</si>
  <si>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</si>
  <si>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</si>
  <si>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</si>
  <si>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โปรแกรมจัดเก็บ Log File ตามพรบ. คอมพิวเตอร์ พ.ศ.2552</t>
  </si>
  <si>
    <t>7440-009-0006/642-001</t>
  </si>
  <si>
    <t>อุปกรณ์กระจายสัญญาณ (ขนาด 24 ช่อง)</t>
  </si>
  <si>
    <t>7440-001-0013/642-001</t>
  </si>
  <si>
    <t>อุปกรณ์กระจายสัญญาณไร้สาย</t>
  </si>
  <si>
    <t>บัญชีรายการ งานศูนย์ข้อมูลและสารสนเทศ  คงเหลือ</t>
  </si>
  <si>
    <t>6130-001-0001/642-001</t>
  </si>
  <si>
    <t>7440-009-0006/662-001(2)</t>
  </si>
  <si>
    <t>7740-009-0013/662-001(8)</t>
  </si>
  <si>
    <t>อุปกรณ์กระจายสัญญาณ ไร้สาย wireless</t>
  </si>
  <si>
    <t xml:space="preserve">7430 - 010 - 0021 / 672 - 001 </t>
  </si>
  <si>
    <t xml:space="preserve">เครื่องพิมแบบพ่นหมึกพร้อมติดตั้งถังหมึกพิมพ์ </t>
  </si>
  <si>
    <t xml:space="preserve">บกศ. </t>
  </si>
  <si>
    <t xml:space="preserve">เครื่องสำรองไฟ ขนาด 1 KVA UPS 1000VA 600Watt </t>
  </si>
  <si>
    <t xml:space="preserve">7440 - 010 - 0002 / 672 - 001 </t>
  </si>
  <si>
    <t>7440-001-0001/672-001</t>
  </si>
  <si>
    <t>เครื่องคอมพิวเตอร์ ตั้งโต๊ะ</t>
  </si>
  <si>
    <t>7440-002-0002/672-001</t>
  </si>
  <si>
    <t>จอ ACER NITRO GARMIN</t>
  </si>
  <si>
    <t>7440-0001-0022/672-001 (4)</t>
  </si>
  <si>
    <t>สวิตซ์ฮับ 24 ช่อง</t>
  </si>
  <si>
    <t>ประจำปี 2568  ณ วันที่ 30 กันยายน 2568</t>
  </si>
  <si>
    <t>(นายสิริปัญญ์  เสริมสิริพิพัฒน์)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</si>
</sst>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sz val="14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3" fontId="8" fillId="0" borderId="0" xfId="5" applyNumberFormat="1" applyFont="1"/>
    <xf numFmtId="43" fontId="8" fillId="0" borderId="0" xfId="1" applyFont="1" applyBorder="1" applyAlignment="1"/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 vertical="center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6" xfId="1" applyFont="1" applyBorder="1" applyAlignment="1">
      <alignment horizontal="center"/>
    </xf>
    <xf numFmtId="0" fontId="8" fillId="2" borderId="1" xfId="6" applyFont="1" applyFill="1" applyBorder="1" applyAlignment="1">
      <alignment horizontal="center"/>
    </xf>
    <xf numFmtId="49" fontId="8" fillId="0" borderId="1" xfId="8" applyNumberFormat="1" applyFont="1" applyBorder="1" applyAlignment="1">
      <alignment horizontal="left"/>
    </xf>
    <xf numFmtId="15" fontId="8" fillId="0" borderId="1" xfId="7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9" fillId="0" borderId="1" xfId="8" applyNumberFormat="1" applyFont="1" applyBorder="1" applyAlignment="1">
      <alignment horizontal="left"/>
    </xf>
    <xf numFmtId="43" fontId="8" fillId="0" borderId="1" xfId="1" applyFont="1" applyBorder="1"/>
    <xf numFmtId="15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43" fontId="7" fillId="0" borderId="1" xfId="1" applyFont="1" applyBorder="1"/>
    <xf numFmtId="0" fontId="7" fillId="0" borderId="3" xfId="0" applyFont="1" applyBorder="1"/>
    <xf numFmtId="0" fontId="7" fillId="0" borderId="4" xfId="0" applyFont="1" applyBorder="1" applyAlignment="1">
      <alignment horizontal="center"/>
    </xf>
    <xf numFmtId="43" fontId="8" fillId="0" borderId="1" xfId="5" applyNumberFormat="1" applyFont="1" applyBorder="1"/>
    <xf numFmtId="43" fontId="8" fillId="0" borderId="1" xfId="1" applyFont="1" applyBorder="1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647701</xdr:colOff>
      <xdr:row>0</xdr:row>
      <xdr:rowOff>133350</xdr:rowOff>
    </xdr:from>
    <xdr:to>
      <xdr:col>8</xdr:col>
      <xdr:colOff>390526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67601" y="133350"/>
          <a:ext cx="14478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3300"/>
  </sheetPr>
  <dimension ref="A1:I29"/>
  <sheetViews>
    <sheetView tabSelected="1" topLeftCell="A16" zoomScaleNormal="100" workbookViewId="0">
      <selection activeCell="E28" sqref="E28"/>
    </sheetView>
  </sheetViews>
  <sheetFormatPr defaultColWidth="9" defaultRowHeight="24" x14ac:dyDescent="0.55000000000000004"/>
  <cols>
    <col min="1" max="1" width="5.125" style="1" customWidth="1"/>
    <col min="2" max="2" width="10.5" style="3" customWidth="1"/>
    <col min="3" max="3" width="25.375" style="1" customWidth="1"/>
    <col min="4" max="4" width="40.625" style="1" customWidth="1"/>
    <col min="5" max="5" width="7.25" style="1" customWidth="1"/>
    <col min="6" max="6" width="6.125" style="1" customWidth="1"/>
    <col min="7" max="8" width="11.625" style="1" customWidth="1"/>
    <col min="9" max="9" width="7.625" style="1" customWidth="1"/>
    <col min="10" max="16384" width="9" style="1"/>
  </cols>
  <sheetData>
    <row r="1" spans="1:9" ht="23.25" customHeight="1" x14ac:dyDescent="0.55000000000000004">
      <c r="A1" s="30" t="s">
        <v>3</v>
      </c>
      <c r="B1" s="30"/>
      <c r="C1" s="30"/>
      <c r="D1" s="30"/>
      <c r="E1" s="30"/>
      <c r="F1" s="30"/>
      <c r="G1" s="30"/>
      <c r="H1" s="30"/>
      <c r="I1" s="30"/>
    </row>
    <row r="2" spans="1:9" ht="23.25" customHeight="1" x14ac:dyDescent="0.55000000000000004">
      <c r="A2" s="30" t="s">
        <v>36</v>
      </c>
      <c r="B2" s="30"/>
      <c r="C2" s="30"/>
      <c r="D2" s="30"/>
      <c r="E2" s="30"/>
      <c r="F2" s="30"/>
      <c r="G2" s="30"/>
      <c r="H2" s="30"/>
      <c r="I2" s="30"/>
    </row>
    <row r="3" spans="1:9" ht="23.25" customHeight="1" x14ac:dyDescent="0.55000000000000004">
      <c r="A3" s="31" t="s">
        <v>52</v>
      </c>
      <c r="B3" s="31"/>
      <c r="C3" s="31"/>
      <c r="D3" s="31"/>
      <c r="E3" s="31"/>
      <c r="F3" s="31"/>
      <c r="G3" s="31"/>
      <c r="H3" s="31"/>
      <c r="I3" s="31"/>
    </row>
    <row r="4" spans="1:9" s="2" customFormat="1" ht="43.5" customHeight="1" x14ac:dyDescent="0.2">
      <c r="A4" s="8" t="s">
        <v>25</v>
      </c>
      <c r="B4" s="8" t="s">
        <v>28</v>
      </c>
      <c r="C4" s="8" t="s">
        <v>29</v>
      </c>
      <c r="D4" s="9" t="s">
        <v>0</v>
      </c>
      <c r="E4" s="8" t="s">
        <v>26</v>
      </c>
      <c r="F4" s="9" t="s">
        <v>1</v>
      </c>
      <c r="G4" s="8" t="s">
        <v>27</v>
      </c>
      <c r="H4" s="8" t="s">
        <v>30</v>
      </c>
      <c r="I4" s="9" t="s">
        <v>2</v>
      </c>
    </row>
    <row r="5" spans="1:9" x14ac:dyDescent="0.55000000000000004">
      <c r="A5" s="10">
        <v>1</v>
      </c>
      <c r="B5" s="10">
        <v>2553</v>
      </c>
      <c r="C5" s="11" t="s">
        <v>10</v>
      </c>
      <c r="D5" s="11" t="s">
        <v>16</v>
      </c>
      <c r="E5" s="12" t="s">
        <v>4</v>
      </c>
      <c r="F5" s="13">
        <v>1</v>
      </c>
      <c r="G5" s="14">
        <v>90000</v>
      </c>
      <c r="H5" s="15">
        <f t="shared" ref="H5:H11" si="0">SUM(F5*G5)</f>
        <v>90000</v>
      </c>
      <c r="I5" s="16"/>
    </row>
    <row r="6" spans="1:9" x14ac:dyDescent="0.55000000000000004">
      <c r="A6" s="10">
        <v>2</v>
      </c>
      <c r="B6" s="10">
        <v>2553</v>
      </c>
      <c r="C6" s="11" t="s">
        <v>11</v>
      </c>
      <c r="D6" s="11" t="s">
        <v>17</v>
      </c>
      <c r="E6" s="12" t="s">
        <v>4</v>
      </c>
      <c r="F6" s="13">
        <v>2</v>
      </c>
      <c r="G6" s="14">
        <v>5800</v>
      </c>
      <c r="H6" s="15">
        <f t="shared" si="0"/>
        <v>11600</v>
      </c>
      <c r="I6" s="16"/>
    </row>
    <row r="7" spans="1:9" x14ac:dyDescent="0.55000000000000004">
      <c r="A7" s="10">
        <v>3</v>
      </c>
      <c r="B7" s="10">
        <v>2553</v>
      </c>
      <c r="C7" s="11" t="s">
        <v>12</v>
      </c>
      <c r="D7" s="11" t="s">
        <v>18</v>
      </c>
      <c r="E7" s="12" t="s">
        <v>4</v>
      </c>
      <c r="F7" s="13">
        <v>1</v>
      </c>
      <c r="G7" s="14">
        <v>75900</v>
      </c>
      <c r="H7" s="15">
        <f t="shared" si="0"/>
        <v>75900</v>
      </c>
      <c r="I7" s="16"/>
    </row>
    <row r="8" spans="1:9" x14ac:dyDescent="0.55000000000000004">
      <c r="A8" s="10">
        <v>4</v>
      </c>
      <c r="B8" s="10">
        <v>2553</v>
      </c>
      <c r="C8" s="11" t="s">
        <v>13</v>
      </c>
      <c r="D8" s="11" t="s">
        <v>19</v>
      </c>
      <c r="E8" s="12" t="s">
        <v>4</v>
      </c>
      <c r="F8" s="13">
        <v>1</v>
      </c>
      <c r="G8" s="14">
        <v>3000</v>
      </c>
      <c r="H8" s="15">
        <f t="shared" si="0"/>
        <v>3000</v>
      </c>
      <c r="I8" s="16"/>
    </row>
    <row r="9" spans="1:9" x14ac:dyDescent="0.55000000000000004">
      <c r="A9" s="10">
        <v>5</v>
      </c>
      <c r="B9" s="10">
        <v>2553</v>
      </c>
      <c r="C9" s="11" t="s">
        <v>14</v>
      </c>
      <c r="D9" s="11" t="s">
        <v>20</v>
      </c>
      <c r="E9" s="12" t="s">
        <v>4</v>
      </c>
      <c r="F9" s="13">
        <v>1</v>
      </c>
      <c r="G9" s="14">
        <v>3750</v>
      </c>
      <c r="H9" s="15">
        <f t="shared" si="0"/>
        <v>3750</v>
      </c>
      <c r="I9" s="16"/>
    </row>
    <row r="10" spans="1:9" x14ac:dyDescent="0.55000000000000004">
      <c r="A10" s="10">
        <v>6</v>
      </c>
      <c r="B10" s="10">
        <v>2557</v>
      </c>
      <c r="C10" s="17" t="s">
        <v>15</v>
      </c>
      <c r="D10" s="17" t="s">
        <v>21</v>
      </c>
      <c r="E10" s="12" t="s">
        <v>7</v>
      </c>
      <c r="F10" s="13">
        <v>1</v>
      </c>
      <c r="G10" s="14">
        <v>28250</v>
      </c>
      <c r="H10" s="15">
        <f t="shared" si="0"/>
        <v>28250</v>
      </c>
      <c r="I10" s="16"/>
    </row>
    <row r="11" spans="1:9" x14ac:dyDescent="0.55000000000000004">
      <c r="A11" s="10">
        <v>7</v>
      </c>
      <c r="B11" s="18">
        <v>21925</v>
      </c>
      <c r="C11" s="19"/>
      <c r="D11" s="20" t="s">
        <v>31</v>
      </c>
      <c r="E11" s="12" t="s">
        <v>7</v>
      </c>
      <c r="F11" s="13">
        <v>1</v>
      </c>
      <c r="G11" s="21">
        <v>10000</v>
      </c>
      <c r="H11" s="15">
        <f t="shared" si="0"/>
        <v>10000</v>
      </c>
      <c r="I11" s="16"/>
    </row>
    <row r="12" spans="1:9" x14ac:dyDescent="0.55000000000000004">
      <c r="A12" s="10">
        <v>8</v>
      </c>
      <c r="B12" s="18">
        <v>23279</v>
      </c>
      <c r="C12" s="19" t="s">
        <v>23</v>
      </c>
      <c r="D12" s="17" t="s">
        <v>24</v>
      </c>
      <c r="E12" s="12" t="s">
        <v>5</v>
      </c>
      <c r="F12" s="13">
        <v>1</v>
      </c>
      <c r="G12" s="21">
        <v>15000</v>
      </c>
      <c r="H12" s="15">
        <f t="shared" ref="H12:H22" si="1">SUM(F12*G12)</f>
        <v>15000</v>
      </c>
      <c r="I12" s="16"/>
    </row>
    <row r="13" spans="1:9" x14ac:dyDescent="0.55000000000000004">
      <c r="A13" s="10">
        <v>9</v>
      </c>
      <c r="B13" s="22">
        <v>23545</v>
      </c>
      <c r="C13" s="23" t="s">
        <v>32</v>
      </c>
      <c r="D13" s="23" t="s">
        <v>33</v>
      </c>
      <c r="E13" s="10" t="s">
        <v>5</v>
      </c>
      <c r="F13" s="10">
        <v>5</v>
      </c>
      <c r="G13" s="24">
        <v>21900</v>
      </c>
      <c r="H13" s="24">
        <f t="shared" si="1"/>
        <v>109500</v>
      </c>
      <c r="I13" s="23"/>
    </row>
    <row r="14" spans="1:9" x14ac:dyDescent="0.55000000000000004">
      <c r="A14" s="10">
        <v>10</v>
      </c>
      <c r="B14" s="22">
        <v>23545</v>
      </c>
      <c r="C14" s="23" t="s">
        <v>34</v>
      </c>
      <c r="D14" s="23" t="s">
        <v>35</v>
      </c>
      <c r="E14" s="10" t="s">
        <v>5</v>
      </c>
      <c r="F14" s="10">
        <v>10</v>
      </c>
      <c r="G14" s="24">
        <v>12900</v>
      </c>
      <c r="H14" s="24">
        <f t="shared" si="1"/>
        <v>129000</v>
      </c>
      <c r="I14" s="23"/>
    </row>
    <row r="15" spans="1:9" x14ac:dyDescent="0.55000000000000004">
      <c r="A15" s="10">
        <v>11</v>
      </c>
      <c r="B15" s="22">
        <v>23642</v>
      </c>
      <c r="C15" s="23" t="s">
        <v>37</v>
      </c>
      <c r="D15" s="23" t="s">
        <v>6</v>
      </c>
      <c r="E15" s="10" t="s">
        <v>5</v>
      </c>
      <c r="F15" s="10">
        <v>1</v>
      </c>
      <c r="G15" s="24">
        <v>34900</v>
      </c>
      <c r="H15" s="24">
        <f t="shared" si="1"/>
        <v>34900</v>
      </c>
      <c r="I15" s="23"/>
    </row>
    <row r="16" spans="1:9" x14ac:dyDescent="0.55000000000000004">
      <c r="A16" s="10">
        <v>12</v>
      </c>
      <c r="B16" s="22">
        <v>243319</v>
      </c>
      <c r="C16" s="23" t="s">
        <v>38</v>
      </c>
      <c r="D16" s="23" t="s">
        <v>33</v>
      </c>
      <c r="E16" s="10" t="s">
        <v>5</v>
      </c>
      <c r="F16" s="10">
        <v>2</v>
      </c>
      <c r="G16" s="24">
        <v>15000</v>
      </c>
      <c r="H16" s="24">
        <f t="shared" si="1"/>
        <v>30000</v>
      </c>
      <c r="I16" s="23"/>
    </row>
    <row r="17" spans="1:9" x14ac:dyDescent="0.55000000000000004">
      <c r="A17" s="10">
        <v>13</v>
      </c>
      <c r="B17" s="22">
        <v>243319</v>
      </c>
      <c r="C17" s="23" t="s">
        <v>39</v>
      </c>
      <c r="D17" s="23" t="s">
        <v>40</v>
      </c>
      <c r="E17" s="10" t="s">
        <v>5</v>
      </c>
      <c r="F17" s="10">
        <v>8</v>
      </c>
      <c r="G17" s="24">
        <v>18000</v>
      </c>
      <c r="H17" s="24">
        <f t="shared" si="1"/>
        <v>144000</v>
      </c>
      <c r="I17" s="23"/>
    </row>
    <row r="18" spans="1:9" x14ac:dyDescent="0.55000000000000004">
      <c r="A18" s="10">
        <v>14</v>
      </c>
      <c r="B18" s="22">
        <v>24447</v>
      </c>
      <c r="C18" s="23" t="s">
        <v>41</v>
      </c>
      <c r="D18" s="25" t="s">
        <v>42</v>
      </c>
      <c r="E18" s="10" t="s">
        <v>43</v>
      </c>
      <c r="F18" s="10">
        <v>1</v>
      </c>
      <c r="G18" s="24">
        <v>4100</v>
      </c>
      <c r="H18" s="24">
        <f t="shared" si="1"/>
        <v>4100</v>
      </c>
      <c r="I18" s="23"/>
    </row>
    <row r="19" spans="1:9" x14ac:dyDescent="0.55000000000000004">
      <c r="A19" s="10">
        <v>15</v>
      </c>
      <c r="B19" s="22">
        <v>24447</v>
      </c>
      <c r="C19" s="23" t="s">
        <v>45</v>
      </c>
      <c r="D19" s="25" t="s">
        <v>44</v>
      </c>
      <c r="E19" s="10" t="s">
        <v>43</v>
      </c>
      <c r="F19" s="10">
        <v>1</v>
      </c>
      <c r="G19" s="24">
        <v>5700</v>
      </c>
      <c r="H19" s="24">
        <f t="shared" si="1"/>
        <v>5700</v>
      </c>
      <c r="I19" s="23"/>
    </row>
    <row r="20" spans="1:9" x14ac:dyDescent="0.55000000000000004">
      <c r="A20" s="10">
        <v>16</v>
      </c>
      <c r="B20" s="22">
        <v>24619</v>
      </c>
      <c r="C20" s="23" t="s">
        <v>46</v>
      </c>
      <c r="D20" s="23" t="s">
        <v>47</v>
      </c>
      <c r="E20" s="26" t="s">
        <v>5</v>
      </c>
      <c r="F20" s="10">
        <v>1</v>
      </c>
      <c r="G20" s="24">
        <v>32000</v>
      </c>
      <c r="H20" s="24">
        <f t="shared" si="1"/>
        <v>32000</v>
      </c>
      <c r="I20" s="23"/>
    </row>
    <row r="21" spans="1:9" x14ac:dyDescent="0.55000000000000004">
      <c r="A21" s="10">
        <v>17</v>
      </c>
      <c r="B21" s="22">
        <v>24619</v>
      </c>
      <c r="C21" s="23" t="s">
        <v>48</v>
      </c>
      <c r="D21" s="23" t="s">
        <v>49</v>
      </c>
      <c r="E21" s="26" t="s">
        <v>5</v>
      </c>
      <c r="F21" s="10">
        <v>1</v>
      </c>
      <c r="G21" s="24">
        <v>4500</v>
      </c>
      <c r="H21" s="24">
        <f t="shared" si="1"/>
        <v>4500</v>
      </c>
      <c r="I21" s="23"/>
    </row>
    <row r="22" spans="1:9" x14ac:dyDescent="0.55000000000000004">
      <c r="A22" s="10">
        <v>18</v>
      </c>
      <c r="B22" s="22">
        <v>24612</v>
      </c>
      <c r="C22" s="23" t="s">
        <v>50</v>
      </c>
      <c r="D22" s="23" t="s">
        <v>51</v>
      </c>
      <c r="E22" s="26" t="s">
        <v>5</v>
      </c>
      <c r="F22" s="10">
        <v>4</v>
      </c>
      <c r="G22" s="24">
        <v>5000</v>
      </c>
      <c r="H22" s="24">
        <f t="shared" si="1"/>
        <v>20000</v>
      </c>
      <c r="I22" s="23"/>
    </row>
    <row r="23" spans="1:9" ht="22.5" customHeight="1" x14ac:dyDescent="0.55000000000000004">
      <c r="A23" s="32" t="s">
        <v>22</v>
      </c>
      <c r="B23" s="33"/>
      <c r="C23" s="33"/>
      <c r="D23" s="33"/>
      <c r="E23" s="34"/>
      <c r="F23" s="27"/>
      <c r="G23" s="28"/>
      <c r="H23" s="28">
        <f>SUM(H5:H22)</f>
        <v>751200</v>
      </c>
      <c r="I23" s="10"/>
    </row>
    <row r="24" spans="1:9" ht="23.25" customHeight="1" x14ac:dyDescent="0.55000000000000004">
      <c r="A24" s="4"/>
      <c r="B24" s="4"/>
      <c r="C24" s="4"/>
      <c r="D24" s="4"/>
      <c r="E24" s="4"/>
      <c r="F24" s="5"/>
      <c r="G24" s="6"/>
      <c r="H24" s="6"/>
      <c r="I24" s="6"/>
    </row>
    <row r="25" spans="1:9" ht="23.25" customHeight="1" x14ac:dyDescent="0.55000000000000004">
      <c r="A25" s="4"/>
      <c r="B25" s="4"/>
      <c r="C25" s="4"/>
      <c r="D25" s="4"/>
      <c r="E25" s="4"/>
      <c r="F25" s="5"/>
      <c r="G25" s="6"/>
      <c r="H25" s="6"/>
      <c r="I25" s="6"/>
    </row>
    <row r="26" spans="1:9" ht="23.25" customHeight="1" x14ac:dyDescent="0.55000000000000004">
      <c r="A26" s="7"/>
      <c r="B26" s="4"/>
      <c r="C26" s="7"/>
      <c r="D26" s="7"/>
      <c r="E26" s="7"/>
      <c r="F26" s="7"/>
      <c r="G26" s="29" t="s">
        <v>8</v>
      </c>
      <c r="H26" s="29"/>
      <c r="I26" s="29"/>
    </row>
    <row r="27" spans="1:9" ht="20.25" customHeight="1" x14ac:dyDescent="0.55000000000000004">
      <c r="A27" s="7"/>
      <c r="B27" s="4"/>
      <c r="C27" s="7"/>
      <c r="D27" s="7"/>
      <c r="E27" s="7"/>
      <c r="F27" s="7"/>
      <c r="G27" s="29" t="s">
        <v>53</v>
      </c>
      <c r="H27" s="29"/>
      <c r="I27" s="29"/>
    </row>
    <row r="28" spans="1:9" ht="20.25" customHeight="1" x14ac:dyDescent="0.55000000000000004">
      <c r="A28" s="7"/>
      <c r="B28" s="4"/>
      <c r="C28" s="7"/>
      <c r="D28" s="7"/>
      <c r="E28" s="7"/>
      <c r="F28" s="7"/>
      <c r="G28" s="29" t="s">
        <v>9</v>
      </c>
      <c r="H28" s="29"/>
      <c r="I28" s="29"/>
    </row>
    <row r="29" spans="1:9" x14ac:dyDescent="0.55000000000000004">
      <c r="A29" s="7"/>
      <c r="B29" s="4"/>
      <c r="C29" s="7"/>
      <c r="D29" s="7"/>
      <c r="E29" s="7"/>
      <c r="F29" s="7"/>
      <c r="G29" s="7"/>
      <c r="H29" s="7"/>
      <c r="I29" s="7"/>
    </row>
  </sheetData>
  <mergeCells count="7">
    <mergeCell ref="G26:I26"/>
    <mergeCell ref="G27:I27"/>
    <mergeCell ref="G28:I28"/>
    <mergeCell ref="A1:I1"/>
    <mergeCell ref="A2:I2"/>
    <mergeCell ref="A3:I3"/>
    <mergeCell ref="A23:E2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งานศูนย์ข้อมูลฯ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2025-05-29T08:47:46Z</cp:lastPrinted>
  <dcterms:created xsi:type="dcterms:W3CDTF">2017-11-14T01:32:33Z</dcterms:created>
  <dcterms:modified xsi:type="dcterms:W3CDTF">2025-10-21T03:41:59Z</dcterms:modified>
</cp:coreProperties>
</file>