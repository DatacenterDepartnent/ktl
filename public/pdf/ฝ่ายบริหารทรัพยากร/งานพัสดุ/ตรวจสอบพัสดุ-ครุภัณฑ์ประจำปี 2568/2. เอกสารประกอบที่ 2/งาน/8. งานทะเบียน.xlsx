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30F0278A-5BF4-4355-A380-F34421918149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ทะเบียน" sheetId="2" r:id="rId1"/>
  </sheets>
  <calcPr calcId="191029"/>
</workbook>
</file>

<file path=xl/calcChain.xml><?xml version="1.0" encoding="utf-8"?>
<calcChain xmlns="http://schemas.openxmlformats.org/spreadsheetml/2006/main">
  <c r="H16" i="2" l="1"/>
  <c r="H15" i="2"/>
  <c r="H12" i="2"/>
  <c r="H14" i="2"/>
  <c r="H5" i="2"/>
  <c r="H6" i="2"/>
  <c r="H7" i="2"/>
  <c r="H8" i="2"/>
  <c r="H9" i="2"/>
  <c r="H10" i="2"/>
  <c r="H11" i="2"/>
  <c r="H13" i="2"/>
</calcChain>
</file>

<file path=xl/sharedStrings.xml><?xml version="1.0" encoding="utf-8"?>
<sst xmlns="http://schemas.openxmlformats.org/spreadsheetml/2006/main" count="49" uniqueCount="39">
  <si>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</si>
  <si>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</si>
  <si>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</si>
  <si>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</si>
  <si>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</si>
  <si>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ตู้เหล็ก 2 บานเปิด</t>
  </si>
  <si>
    <t>งปม.</t>
  </si>
  <si>
    <t>บกศ.</t>
  </si>
  <si>
    <t>7110-002-0005/492-008</t>
  </si>
  <si>
    <t>7110-002-0002/492-005</t>
  </si>
  <si>
    <t>7125-002-0002/492-004</t>
  </si>
  <si>
    <t>7110-002-0006/492-075</t>
  </si>
  <si>
    <t>7125-002-0002/512-011</t>
  </si>
  <si>
    <t>7125-002-0002/521-018</t>
  </si>
  <si>
    <t>7110-007-0001/531-002</t>
  </si>
  <si>
    <t>ตู้เหล็ก 4 ลิ้นชัก</t>
  </si>
  <si>
    <t>ตู้เหล็ก 2  บานเลื่อน 4 ฟุต</t>
  </si>
  <si>
    <t xml:space="preserve">ตู้เหล็ก 4 ลิ้นชัก STAR </t>
  </si>
  <si>
    <t>โต๊ะคอมพิวเตอร์ 60*100*75</t>
  </si>
  <si>
    <t>หัวหน้าหน่วยจ่าย/หน่วยเบิก</t>
  </si>
  <si>
    <t>......................................................</t>
  </si>
  <si>
    <t>7110-002-0004/632-001(3)</t>
  </si>
  <si>
    <t>ตู้ 4 ลิ้นชัก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</si>
  <si>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</si>
  <si>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</si>
  <si>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</si>
  <si>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</si>
  <si>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</si>
  <si>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</si>
  <si>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</si>
  <si>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งานทะเบียน  คงเหลือ</t>
  </si>
  <si>
    <t>7430-001-0022/672-002(2)</t>
  </si>
  <si>
    <t>เครื่องพิมพ์สำหรับคอมพิวเตอร์ แบบอิงเจ็ท</t>
  </si>
  <si>
    <t>(นางสาวมัลลิกา  ศรีสุนนท์)</t>
  </si>
  <si>
    <t>เครื่องพิมพ์บัตรพลาสติก Hiti</t>
  </si>
  <si>
    <t>7430-003-0001/582-001</t>
  </si>
  <si>
    <t>ประจำปี 2568  ณ วันที่ 30 กันยายน 2568</t>
  </si>
  <si>
    <t>7440-001-0009/682-001</t>
  </si>
  <si>
    <t>เครื่องคอมพิวเตอร์โน๊ตบุ๊คสำหรับประมวนผล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</si>
</sst>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b/>
      <sz val="16"/>
      <name val="TH Sarabun New"/>
      <family val="2"/>
    </font>
    <font>
      <b/>
      <sz val="14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9" fontId="8" fillId="0" borderId="1" xfId="0" applyNumberFormat="1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 applyAlignment="1">
      <alignment horizontal="right"/>
    </xf>
    <xf numFmtId="43" fontId="8" fillId="0" borderId="1" xfId="1" applyFont="1" applyBorder="1" applyAlignment="1">
      <alignment horizontal="right" vertical="top"/>
    </xf>
    <xf numFmtId="49" fontId="8" fillId="0" borderId="1" xfId="0" applyNumberFormat="1" applyFont="1" applyBorder="1" applyAlignment="1">
      <alignment horizontal="left" vertical="center"/>
    </xf>
    <xf numFmtId="15" fontId="7" fillId="2" borderId="1" xfId="0" applyNumberFormat="1" applyFont="1" applyFill="1" applyBorder="1" applyAlignment="1">
      <alignment horizontal="center"/>
    </xf>
    <xf numFmtId="0" fontId="8" fillId="2" borderId="1" xfId="6" applyFont="1" applyFill="1" applyBorder="1" applyAlignment="1">
      <alignment horizontal="left"/>
    </xf>
    <xf numFmtId="0" fontId="8" fillId="2" borderId="1" xfId="6" applyFont="1" applyFill="1" applyBorder="1"/>
    <xf numFmtId="0" fontId="7" fillId="2" borderId="1" xfId="0" applyFont="1" applyFill="1" applyBorder="1" applyAlignment="1">
      <alignment horizontal="center"/>
    </xf>
    <xf numFmtId="0" fontId="8" fillId="2" borderId="1" xfId="5" applyFont="1" applyFill="1" applyBorder="1" applyAlignment="1">
      <alignment horizontal="center"/>
    </xf>
    <xf numFmtId="43" fontId="8" fillId="2" borderId="1" xfId="1" applyFont="1" applyFill="1" applyBorder="1"/>
    <xf numFmtId="43" fontId="8" fillId="0" borderId="1" xfId="5" applyNumberFormat="1" applyFont="1" applyBorder="1"/>
    <xf numFmtId="43" fontId="8" fillId="0" borderId="0" xfId="5" applyNumberFormat="1" applyFont="1"/>
    <xf numFmtId="43" fontId="8" fillId="0" borderId="0" xfId="5" applyNumberFormat="1" applyFont="1" applyAlignment="1">
      <alignment horizontal="center"/>
    </xf>
    <xf numFmtId="0" fontId="8" fillId="0" borderId="0" xfId="5" applyFont="1" applyAlignment="1">
      <alignment horizontal="center"/>
    </xf>
    <xf numFmtId="43" fontId="9" fillId="0" borderId="1" xfId="5" applyNumberFormat="1" applyFont="1" applyBorder="1"/>
    <xf numFmtId="0" fontId="10" fillId="0" borderId="1" xfId="6" applyFont="1" applyBorder="1" applyAlignment="1">
      <alignment horizontal="left"/>
    </xf>
    <xf numFmtId="0" fontId="10" fillId="0" borderId="1" xfId="6" applyFont="1" applyBorder="1" applyAlignment="1">
      <alignment horizontal="center"/>
    </xf>
    <xf numFmtId="43" fontId="10" fillId="0" borderId="1" xfId="1" applyFont="1" applyBorder="1"/>
    <xf numFmtId="15" fontId="7" fillId="0" borderId="1" xfId="0" applyNumberFormat="1" applyFont="1" applyBorder="1" applyAlignment="1">
      <alignment horizontal="center" vertical="top" wrapText="1"/>
    </xf>
    <xf numFmtId="0" fontId="8" fillId="0" borderId="1" xfId="6" applyFont="1" applyBorder="1" applyAlignment="1">
      <alignment horizontal="left" vertical="top" wrapText="1"/>
    </xf>
    <xf numFmtId="0" fontId="8" fillId="0" borderId="1" xfId="2" applyFont="1" applyBorder="1" applyAlignment="1">
      <alignment horizontal="center" vertical="top" wrapText="1"/>
    </xf>
    <xf numFmtId="0" fontId="8" fillId="0" borderId="1" xfId="5" applyFont="1" applyBorder="1" applyAlignment="1">
      <alignment horizontal="center" vertical="top" wrapText="1"/>
    </xf>
    <xf numFmtId="43" fontId="8" fillId="0" borderId="1" xfId="1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657226</xdr:colOff>
      <xdr:row>0</xdr:row>
      <xdr:rowOff>152400</xdr:rowOff>
    </xdr:from>
    <xdr:to>
      <xdr:col>8</xdr:col>
      <xdr:colOff>361951</xdr:colOff>
      <xdr:row>1</xdr:row>
      <xdr:rowOff>171450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1" y="152400"/>
          <a:ext cx="13430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K23"/>
  <sheetViews>
    <sheetView tabSelected="1" zoomScaleNormal="100" workbookViewId="0">
      <selection activeCell="D18" sqref="D18"/>
    </sheetView>
  </sheetViews>
  <sheetFormatPr defaultColWidth="9" defaultRowHeight="24" x14ac:dyDescent="0.55000000000000004"/>
  <cols>
    <col min="1" max="1" width="5.625" style="1" customWidth="1"/>
    <col min="2" max="2" width="10.75" style="3" customWidth="1"/>
    <col min="3" max="3" width="23.25" style="1" customWidth="1"/>
    <col min="4" max="4" width="36.625" style="1" customWidth="1"/>
    <col min="5" max="5" width="6.875" style="1" customWidth="1"/>
    <col min="6" max="6" width="6.625" style="1" customWidth="1"/>
    <col min="7" max="7" width="12" style="1" customWidth="1"/>
    <col min="8" max="8" width="13.375" style="1" customWidth="1"/>
    <col min="9" max="9" width="8.375" style="3" customWidth="1"/>
    <col min="10" max="10" width="18.625" style="1" customWidth="1"/>
    <col min="11" max="11" width="12.125" style="1" customWidth="1"/>
    <col min="12" max="16384" width="9" style="1"/>
  </cols>
  <sheetData>
    <row r="1" spans="1:11" x14ac:dyDescent="0.55000000000000004">
      <c r="A1" s="37" t="s">
        <v>3</v>
      </c>
      <c r="B1" s="37"/>
      <c r="C1" s="37"/>
      <c r="D1" s="37"/>
      <c r="E1" s="37"/>
      <c r="F1" s="37"/>
      <c r="G1" s="37"/>
      <c r="H1" s="37"/>
      <c r="I1" s="37"/>
    </row>
    <row r="2" spans="1:11" x14ac:dyDescent="0.55000000000000004">
      <c r="A2" s="37" t="s">
        <v>30</v>
      </c>
      <c r="B2" s="37"/>
      <c r="C2" s="37"/>
      <c r="D2" s="37"/>
      <c r="E2" s="37"/>
      <c r="F2" s="37"/>
      <c r="G2" s="37"/>
      <c r="H2" s="37"/>
      <c r="I2" s="37"/>
    </row>
    <row r="3" spans="1:11" x14ac:dyDescent="0.55000000000000004">
      <c r="A3" s="39" t="s">
        <v>36</v>
      </c>
      <c r="B3" s="39"/>
      <c r="C3" s="39"/>
      <c r="D3" s="39"/>
      <c r="E3" s="39"/>
      <c r="F3" s="39"/>
      <c r="G3" s="39"/>
      <c r="H3" s="39"/>
      <c r="I3" s="39"/>
    </row>
    <row r="4" spans="1:11" s="4" customFormat="1" ht="44.25" customHeight="1" x14ac:dyDescent="0.2">
      <c r="A4" s="7" t="s">
        <v>23</v>
      </c>
      <c r="B4" s="7" t="s">
        <v>26</v>
      </c>
      <c r="C4" s="7" t="s">
        <v>27</v>
      </c>
      <c r="D4" s="8" t="s">
        <v>0</v>
      </c>
      <c r="E4" s="7" t="s">
        <v>24</v>
      </c>
      <c r="F4" s="8" t="s">
        <v>1</v>
      </c>
      <c r="G4" s="7" t="s">
        <v>25</v>
      </c>
      <c r="H4" s="7" t="s">
        <v>29</v>
      </c>
      <c r="I4" s="8" t="s">
        <v>2</v>
      </c>
    </row>
    <row r="5" spans="1:11" s="2" customFormat="1" x14ac:dyDescent="0.55000000000000004">
      <c r="A5" s="9">
        <v>1</v>
      </c>
      <c r="B5" s="10">
        <v>2549</v>
      </c>
      <c r="C5" s="11" t="s">
        <v>8</v>
      </c>
      <c r="D5" s="12" t="s">
        <v>5</v>
      </c>
      <c r="E5" s="13" t="s">
        <v>7</v>
      </c>
      <c r="F5" s="14">
        <v>1</v>
      </c>
      <c r="G5" s="15">
        <v>3000</v>
      </c>
      <c r="H5" s="16">
        <f t="shared" ref="H5:H15" si="0">SUM(F5*G5)</f>
        <v>3000</v>
      </c>
      <c r="I5" s="10"/>
      <c r="J5" s="1"/>
      <c r="K5" s="1"/>
    </row>
    <row r="6" spans="1:11" s="2" customFormat="1" x14ac:dyDescent="0.55000000000000004">
      <c r="A6" s="10">
        <v>2</v>
      </c>
      <c r="B6" s="10">
        <v>2549</v>
      </c>
      <c r="C6" s="11" t="s">
        <v>9</v>
      </c>
      <c r="D6" s="12" t="s">
        <v>4</v>
      </c>
      <c r="E6" s="13" t="s">
        <v>7</v>
      </c>
      <c r="F6" s="14">
        <v>1</v>
      </c>
      <c r="G6" s="15">
        <v>2900</v>
      </c>
      <c r="H6" s="16">
        <f t="shared" si="0"/>
        <v>2900</v>
      </c>
      <c r="I6" s="10"/>
      <c r="J6" s="1"/>
      <c r="K6" s="1"/>
    </row>
    <row r="7" spans="1:11" s="2" customFormat="1" x14ac:dyDescent="0.55000000000000004">
      <c r="A7" s="9">
        <v>3</v>
      </c>
      <c r="B7" s="10">
        <v>2549</v>
      </c>
      <c r="C7" s="17" t="s">
        <v>10</v>
      </c>
      <c r="D7" s="17" t="s">
        <v>15</v>
      </c>
      <c r="E7" s="13" t="s">
        <v>7</v>
      </c>
      <c r="F7" s="14">
        <v>1</v>
      </c>
      <c r="G7" s="15">
        <v>3100</v>
      </c>
      <c r="H7" s="16">
        <f t="shared" si="0"/>
        <v>3100</v>
      </c>
      <c r="I7" s="10"/>
      <c r="J7" s="1"/>
      <c r="K7" s="1"/>
    </row>
    <row r="8" spans="1:11" s="2" customFormat="1" x14ac:dyDescent="0.55000000000000004">
      <c r="A8" s="10">
        <v>4</v>
      </c>
      <c r="B8" s="10">
        <v>2549</v>
      </c>
      <c r="C8" s="17" t="s">
        <v>11</v>
      </c>
      <c r="D8" s="17" t="s">
        <v>16</v>
      </c>
      <c r="E8" s="13" t="s">
        <v>7</v>
      </c>
      <c r="F8" s="14">
        <v>1</v>
      </c>
      <c r="G8" s="15">
        <v>2800</v>
      </c>
      <c r="H8" s="16">
        <f t="shared" si="0"/>
        <v>2800</v>
      </c>
      <c r="I8" s="10"/>
      <c r="J8" s="1"/>
      <c r="K8" s="1"/>
    </row>
    <row r="9" spans="1:11" s="2" customFormat="1" x14ac:dyDescent="0.55000000000000004">
      <c r="A9" s="9">
        <v>5</v>
      </c>
      <c r="B9" s="10">
        <v>2551</v>
      </c>
      <c r="C9" s="11" t="s">
        <v>12</v>
      </c>
      <c r="D9" s="12" t="s">
        <v>17</v>
      </c>
      <c r="E9" s="13" t="s">
        <v>7</v>
      </c>
      <c r="F9" s="14">
        <v>1</v>
      </c>
      <c r="G9" s="15">
        <v>3200</v>
      </c>
      <c r="H9" s="16">
        <f t="shared" si="0"/>
        <v>3200</v>
      </c>
      <c r="I9" s="10"/>
      <c r="J9" s="1"/>
      <c r="K9" s="1"/>
    </row>
    <row r="10" spans="1:11" s="2" customFormat="1" x14ac:dyDescent="0.55000000000000004">
      <c r="A10" s="10">
        <v>6</v>
      </c>
      <c r="B10" s="10">
        <v>2553</v>
      </c>
      <c r="C10" s="11" t="s">
        <v>13</v>
      </c>
      <c r="D10" s="12" t="s">
        <v>15</v>
      </c>
      <c r="E10" s="10" t="s">
        <v>6</v>
      </c>
      <c r="F10" s="14">
        <v>5</v>
      </c>
      <c r="G10" s="15">
        <v>3000</v>
      </c>
      <c r="H10" s="16">
        <f t="shared" si="0"/>
        <v>15000</v>
      </c>
      <c r="I10" s="10"/>
      <c r="J10" s="1"/>
      <c r="K10" s="1"/>
    </row>
    <row r="11" spans="1:11" s="2" customFormat="1" x14ac:dyDescent="0.55000000000000004">
      <c r="A11" s="9">
        <v>7</v>
      </c>
      <c r="B11" s="10">
        <v>2553</v>
      </c>
      <c r="C11" s="11" t="s">
        <v>14</v>
      </c>
      <c r="D11" s="12" t="s">
        <v>18</v>
      </c>
      <c r="E11" s="10" t="s">
        <v>6</v>
      </c>
      <c r="F11" s="14">
        <v>1</v>
      </c>
      <c r="G11" s="15">
        <v>900</v>
      </c>
      <c r="H11" s="16">
        <f t="shared" si="0"/>
        <v>900</v>
      </c>
      <c r="I11" s="10"/>
      <c r="J11" s="1"/>
      <c r="K11" s="1"/>
    </row>
    <row r="12" spans="1:11" s="2" customFormat="1" x14ac:dyDescent="0.55000000000000004">
      <c r="A12" s="10">
        <v>8</v>
      </c>
      <c r="B12" s="18">
        <v>240469</v>
      </c>
      <c r="C12" s="29" t="s">
        <v>35</v>
      </c>
      <c r="D12" s="20" t="s">
        <v>34</v>
      </c>
      <c r="E12" s="21" t="s">
        <v>7</v>
      </c>
      <c r="F12" s="30">
        <v>1</v>
      </c>
      <c r="G12" s="31">
        <v>47800</v>
      </c>
      <c r="H12" s="16">
        <f>SUM(G12*F12)</f>
        <v>47800</v>
      </c>
      <c r="I12" s="10"/>
      <c r="J12" s="1"/>
      <c r="K12" s="1"/>
    </row>
    <row r="13" spans="1:11" s="2" customFormat="1" x14ac:dyDescent="0.55000000000000004">
      <c r="A13" s="9">
        <v>9</v>
      </c>
      <c r="B13" s="18">
        <v>23279</v>
      </c>
      <c r="C13" s="19" t="s">
        <v>21</v>
      </c>
      <c r="D13" s="20" t="s">
        <v>22</v>
      </c>
      <c r="E13" s="21" t="s">
        <v>7</v>
      </c>
      <c r="F13" s="22">
        <v>3</v>
      </c>
      <c r="G13" s="23">
        <v>5240</v>
      </c>
      <c r="H13" s="16">
        <f t="shared" si="0"/>
        <v>15720</v>
      </c>
      <c r="I13" s="10"/>
      <c r="J13" s="1"/>
      <c r="K13" s="1"/>
    </row>
    <row r="14" spans="1:11" s="2" customFormat="1" x14ac:dyDescent="0.55000000000000004">
      <c r="A14" s="10">
        <v>10</v>
      </c>
      <c r="B14" s="18">
        <v>24623</v>
      </c>
      <c r="C14" s="19" t="s">
        <v>31</v>
      </c>
      <c r="D14" s="20" t="s">
        <v>32</v>
      </c>
      <c r="E14" s="21" t="s">
        <v>7</v>
      </c>
      <c r="F14" s="22">
        <v>2</v>
      </c>
      <c r="G14" s="23">
        <v>8500</v>
      </c>
      <c r="H14" s="16">
        <f t="shared" si="0"/>
        <v>17000</v>
      </c>
      <c r="I14" s="10"/>
      <c r="J14" s="1"/>
      <c r="K14" s="1"/>
    </row>
    <row r="15" spans="1:11" s="2" customFormat="1" x14ac:dyDescent="0.55000000000000004">
      <c r="A15" s="9">
        <v>11</v>
      </c>
      <c r="B15" s="32">
        <v>25027</v>
      </c>
      <c r="C15" s="33" t="s">
        <v>37</v>
      </c>
      <c r="D15" s="33" t="s">
        <v>38</v>
      </c>
      <c r="E15" s="34" t="s">
        <v>7</v>
      </c>
      <c r="F15" s="35">
        <v>1</v>
      </c>
      <c r="G15" s="36">
        <v>24000</v>
      </c>
      <c r="H15" s="16">
        <f t="shared" si="0"/>
        <v>24000</v>
      </c>
      <c r="I15" s="10"/>
      <c r="J15" s="1"/>
      <c r="K15" s="1"/>
    </row>
    <row r="16" spans="1:11" x14ac:dyDescent="0.55000000000000004">
      <c r="A16" s="38" t="s">
        <v>28</v>
      </c>
      <c r="B16" s="38"/>
      <c r="C16" s="38"/>
      <c r="D16" s="38"/>
      <c r="E16" s="38"/>
      <c r="F16" s="24"/>
      <c r="G16" s="24"/>
      <c r="H16" s="28">
        <f>SUM(H5:H15)</f>
        <v>135420</v>
      </c>
      <c r="I16" s="10"/>
    </row>
    <row r="17" spans="1:11" x14ac:dyDescent="0.55000000000000004">
      <c r="A17" s="6"/>
      <c r="B17" s="6"/>
      <c r="C17" s="6"/>
      <c r="D17" s="6"/>
      <c r="E17" s="6"/>
      <c r="F17" s="25"/>
      <c r="G17" s="25"/>
      <c r="H17" s="25"/>
      <c r="I17" s="6"/>
    </row>
    <row r="18" spans="1:11" x14ac:dyDescent="0.55000000000000004">
      <c r="A18" s="6"/>
      <c r="B18" s="6"/>
      <c r="C18" s="6"/>
      <c r="D18" s="6"/>
      <c r="E18" s="6"/>
      <c r="F18" s="26"/>
      <c r="G18" s="27"/>
      <c r="H18" s="27"/>
      <c r="I18" s="6"/>
    </row>
    <row r="19" spans="1:11" ht="25.5" customHeight="1" x14ac:dyDescent="0.55000000000000004">
      <c r="A19" s="5"/>
      <c r="B19" s="6"/>
      <c r="C19" s="5"/>
      <c r="D19" s="5"/>
      <c r="E19" s="37" t="s">
        <v>20</v>
      </c>
      <c r="F19" s="37"/>
      <c r="G19" s="37"/>
      <c r="H19" s="37"/>
      <c r="I19" s="37"/>
      <c r="J19" s="3"/>
      <c r="K19" s="3"/>
    </row>
    <row r="20" spans="1:11" ht="23.25" customHeight="1" x14ac:dyDescent="0.55000000000000004">
      <c r="A20" s="5"/>
      <c r="B20" s="6"/>
      <c r="C20" s="5"/>
      <c r="D20" s="5"/>
      <c r="E20" s="37" t="s">
        <v>33</v>
      </c>
      <c r="F20" s="37"/>
      <c r="G20" s="37"/>
      <c r="H20" s="37"/>
      <c r="I20" s="37"/>
      <c r="J20" s="3"/>
      <c r="K20" s="3"/>
    </row>
    <row r="21" spans="1:11" x14ac:dyDescent="0.55000000000000004">
      <c r="A21" s="5"/>
      <c r="B21" s="6"/>
      <c r="C21" s="5"/>
      <c r="D21" s="5"/>
      <c r="E21" s="37" t="s">
        <v>19</v>
      </c>
      <c r="F21" s="37"/>
      <c r="G21" s="37"/>
      <c r="H21" s="37"/>
      <c r="I21" s="37"/>
      <c r="J21" s="3"/>
      <c r="K21" s="3"/>
    </row>
    <row r="22" spans="1:11" x14ac:dyDescent="0.55000000000000004">
      <c r="A22" s="5"/>
      <c r="B22" s="6"/>
      <c r="C22" s="5"/>
      <c r="D22" s="5"/>
      <c r="E22" s="5"/>
      <c r="F22" s="6"/>
      <c r="G22" s="6"/>
      <c r="H22" s="6"/>
      <c r="I22" s="6"/>
      <c r="J22" s="3"/>
      <c r="K22" s="3"/>
    </row>
    <row r="23" spans="1:11" x14ac:dyDescent="0.55000000000000004">
      <c r="F23" s="3"/>
      <c r="G23" s="3"/>
      <c r="H23" s="3"/>
      <c r="J23" s="3"/>
      <c r="K23" s="3"/>
    </row>
  </sheetData>
  <mergeCells count="7">
    <mergeCell ref="E19:I19"/>
    <mergeCell ref="E20:I20"/>
    <mergeCell ref="E21:I21"/>
    <mergeCell ref="A1:I1"/>
    <mergeCell ref="A2:I2"/>
    <mergeCell ref="A3:I3"/>
    <mergeCell ref="A16:E16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งานทะเบียน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2026-01-26T02:30:23Z</cp:lastPrinted>
  <dcterms:created xsi:type="dcterms:W3CDTF">2017-11-14T01:32:33Z</dcterms:created>
  <dcterms:modified xsi:type="dcterms:W3CDTF">2026-01-26T02:34:47Z</dcterms:modified>
</cp:coreProperties>
</file>