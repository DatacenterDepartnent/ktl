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AA5023F7-F43F-4548-A040-E333C2E1F58D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พัสดุ" sheetId="43" r:id="rId1"/>
  </sheets>
  <definedNames>
    <definedName name="_xlnm.Print_Titles" localSheetId="0">งานพัสดุ!$1:$4</definedName>
  </definedNames>
  <calcPr calcId="191029"/>
</workbook>
</file>

<file path=xl/calcChain.xml><?xml version="1.0" encoding="utf-8"?>
<calcChain xmlns="http://schemas.openxmlformats.org/spreadsheetml/2006/main">
  <c r="H43" i="43" l="1"/>
  <c r="H39" i="43"/>
  <c r="H38" i="43"/>
  <c r="H37" i="43"/>
  <c r="H36" i="43"/>
  <c r="H35" i="43"/>
  <c r="H34" i="43"/>
  <c r="H33" i="43"/>
  <c r="H32" i="43"/>
  <c r="H28" i="43"/>
  <c r="H29" i="43"/>
  <c r="H30" i="43"/>
  <c r="H31" i="43"/>
  <c r="H27" i="43"/>
  <c r="H26" i="43"/>
  <c r="H23" i="43"/>
  <c r="H22" i="43"/>
  <c r="H20" i="43" l="1"/>
  <c r="H19" i="43"/>
  <c r="H18" i="43"/>
  <c r="H5" i="43" l="1"/>
  <c r="H6" i="43"/>
  <c r="H7" i="43"/>
  <c r="H8" i="43"/>
  <c r="H9" i="43"/>
  <c r="H10" i="43"/>
  <c r="H11" i="43"/>
  <c r="H12" i="43"/>
  <c r="H13" i="43"/>
  <c r="H14" i="43"/>
  <c r="H15" i="43"/>
  <c r="H16" i="43"/>
  <c r="H17" i="43"/>
  <c r="H21" i="43"/>
</calcChain>
</file>

<file path=xl/sharedStrings.xml><?xml version="1.0" encoding="utf-8"?>
<sst xmlns="http://schemas.openxmlformats.org/spreadsheetml/2006/main" count="136" uniqueCount="97">
  <si>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</si>
  <si>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</si>
  <si>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</si>
  <si>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</si>
  <si>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7125-002-0002/391-003</t>
  </si>
  <si>
    <t>2310-004-0001/391-001</t>
  </si>
  <si>
    <t>7125-002-0002/401-015</t>
  </si>
  <si>
    <t>7110-002-0006/401-007-401-010</t>
  </si>
  <si>
    <t>7110-002-0002/403-003-403-004</t>
  </si>
  <si>
    <t>2320-004-0001/401-001</t>
  </si>
  <si>
    <t>2320-008-0001/493-001</t>
  </si>
  <si>
    <t>7110-002-0005/502-012</t>
  </si>
  <si>
    <t>7125-002-0002/502-007-008</t>
  </si>
  <si>
    <t>7110-002-0006/502-086-087</t>
  </si>
  <si>
    <t>ตู้เหล็ก 4  ลิ้นชัก</t>
  </si>
  <si>
    <t>รถยนต์โดยสาร 12 ที่นั่ง</t>
  </si>
  <si>
    <t>ตู้เหล็ก  4  ลิ้นชัก</t>
  </si>
  <si>
    <t>ตู้เหล็ก  2  บานเลื่อน</t>
  </si>
  <si>
    <t>ตู้เหล็ก 15 ลิ้นชัก</t>
  </si>
  <si>
    <t>รถบรรทุกหกล้อ</t>
  </si>
  <si>
    <t>รถยนต์ปิคอัพ สีแดง</t>
  </si>
  <si>
    <t>ตู้เหล็ก 2 บานเปิด</t>
  </si>
  <si>
    <t>งปม.</t>
  </si>
  <si>
    <t>บกศ.</t>
  </si>
  <si>
    <t>7110-007-0001/531-001</t>
  </si>
  <si>
    <t>โต๊ะคอมพิวเตอร์60*100*75</t>
  </si>
  <si>
    <t>เบาะนั้งพร้อมขา</t>
  </si>
  <si>
    <t>หัวหน้าหน่วยจ่าย/หน่วยเบิก</t>
  </si>
  <si>
    <t>..............................................................</t>
  </si>
  <si>
    <t>ตู้เหล็ก 2 บานเลื่อน กระจก</t>
  </si>
  <si>
    <t>ตู้เหล็ก 2 บานเลื่อน ทึบ</t>
  </si>
  <si>
    <t>7110-002-0006/622-005(3)</t>
  </si>
  <si>
    <t>7110-002-0004/622-002(3)</t>
  </si>
  <si>
    <t>3510-007-0001/622-001</t>
  </si>
  <si>
    <t>ปั้มฉีดน้ำแรงดันสูง 130 บาร์ โยชิโน่</t>
  </si>
  <si>
    <t>7910-003-0001/622-001</t>
  </si>
  <si>
    <t>เครื่องดูดฝุ่น ฮิตาชิ CV-975 FC</t>
  </si>
  <si>
    <t>7110-002-0003/622-001(3)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</si>
  <si>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</si>
  <si>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</si>
  <si>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</si>
  <si>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</si>
  <si>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</si>
  <si>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</si>
  <si>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</si>
  <si>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</si>
  <si>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งานพัสดุ คงเหลือ</t>
  </si>
  <si>
    <t>5805-001-0004/641-001</t>
  </si>
  <si>
    <t>โทรศัพท์มือถือ ซัมซุง</t>
  </si>
  <si>
    <t>7730-003-0001/662-001</t>
  </si>
  <si>
    <t>TV LED TOUCH SCREEN ALL IN ONE PC 86 นิ้ว</t>
  </si>
  <si>
    <t>7440-010-0001/662-001</t>
  </si>
  <si>
    <t>printer Epson L3216</t>
  </si>
  <si>
    <t>7440-010-0002/662-004</t>
  </si>
  <si>
    <t>เครื่องปริ้นเตอร์ Brother DCD-T720DW แบบสี</t>
  </si>
  <si>
    <t>(นายทรงพร พรหมโสภา)</t>
  </si>
  <si>
    <t xml:space="preserve">7110 - 006 - 0014 / 676 - 001(30) </t>
  </si>
  <si>
    <t>เก้าอี้สำนักงาน</t>
  </si>
  <si>
    <t>จรส.</t>
  </si>
  <si>
    <t>7110-007-00281672-001(120)</t>
  </si>
  <si>
    <t>โต๊ะอเนกประสงค์ ขอบดำ ขาเหล็กชุป โครเมี่ยม</t>
  </si>
  <si>
    <t>7105-005-0004/672-001(388)</t>
  </si>
  <si>
    <t>เก้าอี้ขาเหล็กชุปโครเมี่ยม</t>
  </si>
  <si>
    <t>7440-001-0001/672-002(13)</t>
  </si>
  <si>
    <t>เครื่องคอมพิวเตอร์ ประมวลผล แบบที่2</t>
  </si>
  <si>
    <t>7440-006-0002/672-001(2)</t>
  </si>
  <si>
    <t>เครื่อง Scaner ความเร็วสูง แบบที่ 1</t>
  </si>
  <si>
    <t>74440-001-0009/672-001</t>
  </si>
  <si>
    <t>เครื่องคอมพิวเตอร์โน๊ตบุ๊ค</t>
  </si>
  <si>
    <t>4110-001-0001/672-001</t>
  </si>
  <si>
    <t>ตู้เย็น 1 ประตู 1.6 คิว</t>
  </si>
  <si>
    <t>4110-001-0001/672-002</t>
  </si>
  <si>
    <t>ตู้เย็น 1 ประตู 3.3 คิว</t>
  </si>
  <si>
    <t>4110-001-0001/672-003(2)</t>
  </si>
  <si>
    <t>ตู้เย็น 1 ประตู 1.7 คิว</t>
  </si>
  <si>
    <t>7110-001-0001/672-002(2)</t>
  </si>
  <si>
    <t>7110-004-0001/672-001</t>
  </si>
  <si>
    <t>ตู้เชฟกันขโมยดิจิตอล รุ่น bgx-aid358lk</t>
  </si>
  <si>
    <t>ห้องรองสมศักดิ์</t>
  </si>
  <si>
    <t xml:space="preserve">ตู้เล็กเก็บเอกสาร บานทึบ 2 ชั้น </t>
  </si>
  <si>
    <t>(ห้อง ผอ)</t>
  </si>
  <si>
    <t>4120-001-0004/671-001 (4)</t>
  </si>
  <si>
    <t>เครื่องปรับอากาศชนิดตั้งพื้น ขนาด 32000 บีทียู</t>
  </si>
  <si>
    <t>4120-001-0004/671-002(2)</t>
  </si>
  <si>
    <t>เครื่องปรับอากาศชนิดตั้งพื้น ขนาด 24000 บีทียู</t>
  </si>
  <si>
    <t>4120-001-0002/671-004(2)</t>
  </si>
  <si>
    <t>เครื่องปรับอากาศติดผนัง ขนาด 18000 บีทียู</t>
  </si>
  <si>
    <t>ตึก 30 ปี</t>
  </si>
  <si>
    <t>7430-001-0022/682-001</t>
  </si>
  <si>
    <t>7430-010-0009/682-001</t>
  </si>
  <si>
    <t>7430-010-0009/683-002</t>
  </si>
  <si>
    <t>เครื่องปริ้น CANON MAXIFY GX6070</t>
  </si>
  <si>
    <t>เครื่องพิมพ์เลเซอร์ ขาวดำ HL-L2460DW</t>
  </si>
  <si>
    <t>เครื่องพิมพ์ ขาวดำ HL-1210W</t>
  </si>
  <si>
    <t>งานทะเบียน</t>
  </si>
  <si>
    <t>ห้องผอ.ทักษิณา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</si>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</sst>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  <charset val="222"/>
    </font>
    <font>
      <b/>
      <sz val="14"/>
      <name val="TH Sarabun New"/>
      <family val="2"/>
      <charset val="222"/>
    </font>
    <font>
      <b/>
      <sz val="12"/>
      <name val="TH Sarabun New"/>
      <family val="2"/>
      <charset val="222"/>
    </font>
    <font>
      <b/>
      <sz val="14"/>
      <color theme="1"/>
      <name val="TH Sarabun New"/>
      <family val="2"/>
      <charset val="222"/>
    </font>
    <font>
      <b/>
      <sz val="14"/>
      <color theme="1"/>
      <name val="TH SarabunPSK"/>
      <family val="2"/>
      <charset val="222"/>
    </font>
    <font>
      <b/>
      <sz val="14"/>
      <name val="TH SarabunPSK"/>
      <family val="2"/>
      <charset val="222"/>
    </font>
    <font>
      <b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4" fontId="3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3" fontId="7" fillId="0" borderId="1" xfId="1" applyFont="1" applyBorder="1" applyAlignment="1">
      <alignment horizontal="center"/>
    </xf>
    <xf numFmtId="43" fontId="7" fillId="2" borderId="1" xfId="1" applyFont="1" applyFill="1" applyBorder="1" applyAlignment="1">
      <alignment horizontal="center"/>
    </xf>
    <xf numFmtId="49" fontId="7" fillId="2" borderId="1" xfId="0" applyNumberFormat="1" applyFont="1" applyFill="1" applyBorder="1"/>
    <xf numFmtId="43" fontId="8" fillId="2" borderId="1" xfId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49" fontId="7" fillId="0" borderId="1" xfId="0" applyNumberFormat="1" applyFont="1" applyBorder="1"/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/>
    <xf numFmtId="15" fontId="9" fillId="0" borderId="1" xfId="0" applyNumberFormat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0" fontId="7" fillId="2" borderId="1" xfId="2" applyFont="1" applyFill="1" applyBorder="1" applyAlignment="1">
      <alignment horizontal="center"/>
    </xf>
    <xf numFmtId="0" fontId="7" fillId="2" borderId="1" xfId="5" applyFont="1" applyFill="1" applyBorder="1" applyAlignment="1">
      <alignment horizontal="center"/>
    </xf>
    <xf numFmtId="43" fontId="7" fillId="2" borderId="1" xfId="1" applyFont="1" applyFill="1" applyBorder="1"/>
    <xf numFmtId="0" fontId="7" fillId="2" borderId="4" xfId="2" applyFont="1" applyFill="1" applyBorder="1" applyAlignment="1">
      <alignment horizontal="center"/>
    </xf>
    <xf numFmtId="15" fontId="10" fillId="0" borderId="1" xfId="0" applyNumberFormat="1" applyFont="1" applyBorder="1" applyAlignment="1">
      <alignment horizontal="center"/>
    </xf>
    <xf numFmtId="0" fontId="11" fillId="0" borderId="1" xfId="13" applyFont="1" applyBorder="1" applyAlignment="1">
      <alignment horizontal="left" vertical="center"/>
    </xf>
    <xf numFmtId="0" fontId="11" fillId="0" borderId="1" xfId="2" applyFont="1" applyBorder="1" applyAlignment="1">
      <alignment horizontal="center"/>
    </xf>
    <xf numFmtId="43" fontId="11" fillId="0" borderId="1" xfId="1" applyFont="1" applyBorder="1" applyAlignment="1">
      <alignment horizontal="center"/>
    </xf>
    <xf numFmtId="15" fontId="10" fillId="0" borderId="1" xfId="0" applyNumberFormat="1" applyFont="1" applyBorder="1" applyAlignment="1">
      <alignment horizontal="center" vertical="top" wrapText="1"/>
    </xf>
    <xf numFmtId="0" fontId="11" fillId="0" borderId="1" xfId="13" applyFont="1" applyBorder="1" applyAlignment="1">
      <alignment horizontal="left" vertical="top" wrapText="1"/>
    </xf>
    <xf numFmtId="0" fontId="11" fillId="0" borderId="1" xfId="2" applyFont="1" applyBorder="1" applyAlignment="1">
      <alignment horizontal="center" vertical="top" wrapText="1"/>
    </xf>
    <xf numFmtId="43" fontId="11" fillId="0" borderId="1" xfId="1" applyFont="1" applyBorder="1" applyAlignment="1">
      <alignment horizontal="center" vertical="top" wrapText="1"/>
    </xf>
    <xf numFmtId="43" fontId="7" fillId="0" borderId="1" xfId="5" applyNumberFormat="1" applyFont="1" applyBorder="1"/>
    <xf numFmtId="4" fontId="7" fillId="0" borderId="1" xfId="5" applyNumberFormat="1" applyFont="1" applyBorder="1"/>
    <xf numFmtId="0" fontId="5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</cellXfs>
  <cellStyles count="14">
    <cellStyle name="Normal_ครุภัณฑ์ปี  2553" xfId="7" xr:uid="{00000000-0005-0000-0000-000000000000}"/>
    <cellStyle name="เครื่องหมายจุลภาค 9" xfId="11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6" xr:uid="{00000000-0005-0000-0000-000005000000}"/>
    <cellStyle name="ปกติ 14" xfId="3" xr:uid="{00000000-0005-0000-0000-000006000000}"/>
    <cellStyle name="ปกติ 19" xfId="12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8" xr:uid="{00000000-0005-0000-0000-00000A000000}"/>
    <cellStyle name="ปกติ 4" xfId="9" xr:uid="{00000000-0005-0000-0000-00000B000000}"/>
    <cellStyle name="ปกติ 5" xfId="10" xr:uid="{00000000-0005-0000-0000-00000C000000}"/>
    <cellStyle name="ปกติ_รายการครุภัณฑ์ ปี 52 ที่แก้ไขเรียงลำดับใหม่ 23 ก.พ.53" xfId="13" xr:uid="{D6DF2EF8-3F47-4A78-9ACF-756D48936EB1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0</xdr:row>
      <xdr:rowOff>200025</xdr:rowOff>
    </xdr:from>
    <xdr:to>
      <xdr:col>8</xdr:col>
      <xdr:colOff>638175</xdr:colOff>
      <xdr:row>1</xdr:row>
      <xdr:rowOff>209551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382000" y="200025"/>
          <a:ext cx="1619250" cy="314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O50"/>
  <sheetViews>
    <sheetView tabSelected="1" topLeftCell="A10" workbookViewId="0">
      <selection activeCell="E44" sqref="E44"/>
    </sheetView>
  </sheetViews>
  <sheetFormatPr defaultColWidth="9.125" defaultRowHeight="24" x14ac:dyDescent="0.55000000000000004"/>
  <cols>
    <col min="1" max="1" width="5.625" style="1" customWidth="1"/>
    <col min="2" max="2" width="11.375" style="1" customWidth="1"/>
    <col min="3" max="3" width="28.5" style="1" customWidth="1"/>
    <col min="4" max="4" width="33.125" style="1" customWidth="1"/>
    <col min="5" max="5" width="7.125" style="1" customWidth="1"/>
    <col min="6" max="6" width="6.375" style="1" customWidth="1"/>
    <col min="7" max="7" width="12.375" style="1" customWidth="1"/>
    <col min="8" max="8" width="14.25" style="1" customWidth="1"/>
    <col min="9" max="9" width="11" style="1" customWidth="1"/>
    <col min="10" max="16384" width="9.125" style="1"/>
  </cols>
  <sheetData>
    <row r="1" spans="1:9" ht="22.5" customHeight="1" x14ac:dyDescent="0.55000000000000004">
      <c r="A1" s="38" t="s">
        <v>3</v>
      </c>
      <c r="B1" s="38"/>
      <c r="C1" s="38"/>
      <c r="D1" s="38"/>
      <c r="E1" s="38"/>
      <c r="F1" s="38"/>
      <c r="G1" s="38"/>
      <c r="H1" s="38"/>
      <c r="I1" s="38"/>
    </row>
    <row r="2" spans="1:9" ht="22.5" customHeight="1" x14ac:dyDescent="0.55000000000000004">
      <c r="A2" s="38" t="s">
        <v>46</v>
      </c>
      <c r="B2" s="38"/>
      <c r="C2" s="38"/>
      <c r="D2" s="38"/>
      <c r="E2" s="38"/>
      <c r="F2" s="38"/>
      <c r="G2" s="38"/>
      <c r="H2" s="38"/>
      <c r="I2" s="38"/>
    </row>
    <row r="3" spans="1:9" ht="22.5" customHeight="1" x14ac:dyDescent="0.55000000000000004">
      <c r="A3" s="39" t="s">
        <v>96</v>
      </c>
      <c r="B3" s="39"/>
      <c r="C3" s="39"/>
      <c r="D3" s="39"/>
      <c r="E3" s="39"/>
      <c r="F3" s="39"/>
      <c r="G3" s="39"/>
      <c r="H3" s="39"/>
      <c r="I3" s="39"/>
    </row>
    <row r="4" spans="1:9" ht="42" customHeight="1" x14ac:dyDescent="0.55000000000000004">
      <c r="A4" s="6" t="s">
        <v>39</v>
      </c>
      <c r="B4" s="6" t="s">
        <v>42</v>
      </c>
      <c r="C4" s="6" t="s">
        <v>43</v>
      </c>
      <c r="D4" s="7" t="s">
        <v>0</v>
      </c>
      <c r="E4" s="6" t="s">
        <v>40</v>
      </c>
      <c r="F4" s="7" t="s">
        <v>1</v>
      </c>
      <c r="G4" s="6" t="s">
        <v>41</v>
      </c>
      <c r="H4" s="6" t="s">
        <v>45</v>
      </c>
      <c r="I4" s="7" t="s">
        <v>2</v>
      </c>
    </row>
    <row r="5" spans="1:9" ht="21.75" customHeight="1" x14ac:dyDescent="0.55000000000000004">
      <c r="A5" s="12">
        <v>1</v>
      </c>
      <c r="B5" s="12">
        <v>2539</v>
      </c>
      <c r="C5" s="13" t="s">
        <v>4</v>
      </c>
      <c r="D5" s="14" t="s">
        <v>14</v>
      </c>
      <c r="E5" s="15" t="s">
        <v>22</v>
      </c>
      <c r="F5" s="16">
        <v>1</v>
      </c>
      <c r="G5" s="17">
        <v>2300</v>
      </c>
      <c r="H5" s="17">
        <f t="shared" ref="H5:H23" si="0">SUM(F5*G5)</f>
        <v>2300</v>
      </c>
      <c r="I5" s="8"/>
    </row>
    <row r="6" spans="1:9" ht="21.75" customHeight="1" x14ac:dyDescent="0.55000000000000004">
      <c r="A6" s="12">
        <v>2</v>
      </c>
      <c r="B6" s="18">
        <v>14422</v>
      </c>
      <c r="C6" s="13" t="s">
        <v>5</v>
      </c>
      <c r="D6" s="14" t="s">
        <v>15</v>
      </c>
      <c r="E6" s="15" t="s">
        <v>22</v>
      </c>
      <c r="F6" s="16">
        <v>1</v>
      </c>
      <c r="G6" s="17">
        <v>589000</v>
      </c>
      <c r="H6" s="17">
        <f t="shared" si="0"/>
        <v>589000</v>
      </c>
      <c r="I6" s="8"/>
    </row>
    <row r="7" spans="1:9" ht="21.75" customHeight="1" x14ac:dyDescent="0.55000000000000004">
      <c r="A7" s="12">
        <v>3</v>
      </c>
      <c r="B7" s="12">
        <v>2540</v>
      </c>
      <c r="C7" s="13" t="s">
        <v>6</v>
      </c>
      <c r="D7" s="14" t="s">
        <v>16</v>
      </c>
      <c r="E7" s="15" t="s">
        <v>22</v>
      </c>
      <c r="F7" s="16">
        <v>1</v>
      </c>
      <c r="G7" s="17">
        <v>2300</v>
      </c>
      <c r="H7" s="17">
        <f t="shared" si="0"/>
        <v>2300</v>
      </c>
      <c r="I7" s="8"/>
    </row>
    <row r="8" spans="1:9" ht="21.75" customHeight="1" x14ac:dyDescent="0.55000000000000004">
      <c r="A8" s="12">
        <v>4</v>
      </c>
      <c r="B8" s="12">
        <v>2540</v>
      </c>
      <c r="C8" s="13" t="s">
        <v>7</v>
      </c>
      <c r="D8" s="14" t="s">
        <v>17</v>
      </c>
      <c r="E8" s="15" t="s">
        <v>22</v>
      </c>
      <c r="F8" s="16">
        <v>4</v>
      </c>
      <c r="G8" s="17">
        <v>2250</v>
      </c>
      <c r="H8" s="17">
        <f t="shared" si="0"/>
        <v>9000</v>
      </c>
      <c r="I8" s="8"/>
    </row>
    <row r="9" spans="1:9" ht="21.75" customHeight="1" x14ac:dyDescent="0.55000000000000004">
      <c r="A9" s="12">
        <v>5</v>
      </c>
      <c r="B9" s="12">
        <v>2540</v>
      </c>
      <c r="C9" s="13" t="s">
        <v>8</v>
      </c>
      <c r="D9" s="14" t="s">
        <v>18</v>
      </c>
      <c r="E9" s="15" t="s">
        <v>38</v>
      </c>
      <c r="F9" s="16">
        <v>2</v>
      </c>
      <c r="G9" s="17">
        <v>2300</v>
      </c>
      <c r="H9" s="17">
        <f t="shared" si="0"/>
        <v>4600</v>
      </c>
      <c r="I9" s="8"/>
    </row>
    <row r="10" spans="1:9" ht="21.75" customHeight="1" x14ac:dyDescent="0.55000000000000004">
      <c r="A10" s="12">
        <v>6</v>
      </c>
      <c r="B10" s="18">
        <v>14618</v>
      </c>
      <c r="C10" s="13" t="s">
        <v>9</v>
      </c>
      <c r="D10" s="14" t="s">
        <v>19</v>
      </c>
      <c r="E10" s="15" t="s">
        <v>22</v>
      </c>
      <c r="F10" s="16">
        <v>1</v>
      </c>
      <c r="G10" s="17">
        <v>700000</v>
      </c>
      <c r="H10" s="17">
        <f t="shared" si="0"/>
        <v>700000</v>
      </c>
      <c r="I10" s="8"/>
    </row>
    <row r="11" spans="1:9" ht="21.75" customHeight="1" x14ac:dyDescent="0.55000000000000004">
      <c r="A11" s="12">
        <v>7</v>
      </c>
      <c r="B11" s="18">
        <v>17845</v>
      </c>
      <c r="C11" s="13" t="s">
        <v>10</v>
      </c>
      <c r="D11" s="13" t="s">
        <v>20</v>
      </c>
      <c r="E11" s="15" t="s">
        <v>38</v>
      </c>
      <c r="F11" s="16">
        <v>1</v>
      </c>
      <c r="G11" s="8">
        <v>250000</v>
      </c>
      <c r="H11" s="17">
        <f t="shared" si="0"/>
        <v>250000</v>
      </c>
      <c r="I11" s="8"/>
    </row>
    <row r="12" spans="1:9" ht="21.75" customHeight="1" x14ac:dyDescent="0.55000000000000004">
      <c r="A12" s="12">
        <v>8</v>
      </c>
      <c r="B12" s="12">
        <v>2550</v>
      </c>
      <c r="C12" s="13" t="s">
        <v>11</v>
      </c>
      <c r="D12" s="13" t="s">
        <v>21</v>
      </c>
      <c r="E12" s="12" t="s">
        <v>23</v>
      </c>
      <c r="F12" s="16">
        <v>1</v>
      </c>
      <c r="G12" s="8">
        <v>3000</v>
      </c>
      <c r="H12" s="17">
        <f t="shared" si="0"/>
        <v>3000</v>
      </c>
      <c r="I12" s="8"/>
    </row>
    <row r="13" spans="1:9" ht="21.75" customHeight="1" x14ac:dyDescent="0.55000000000000004">
      <c r="A13" s="12">
        <v>9</v>
      </c>
      <c r="B13" s="12">
        <v>2550</v>
      </c>
      <c r="C13" s="13" t="s">
        <v>12</v>
      </c>
      <c r="D13" s="14" t="s">
        <v>16</v>
      </c>
      <c r="E13" s="12" t="s">
        <v>23</v>
      </c>
      <c r="F13" s="16">
        <v>2</v>
      </c>
      <c r="G13" s="17">
        <v>3100</v>
      </c>
      <c r="H13" s="17">
        <f t="shared" si="0"/>
        <v>6200</v>
      </c>
      <c r="I13" s="8"/>
    </row>
    <row r="14" spans="1:9" ht="21.75" customHeight="1" x14ac:dyDescent="0.55000000000000004">
      <c r="A14" s="12">
        <v>10</v>
      </c>
      <c r="B14" s="12">
        <v>2550</v>
      </c>
      <c r="C14" s="13" t="s">
        <v>13</v>
      </c>
      <c r="D14" s="14" t="s">
        <v>17</v>
      </c>
      <c r="E14" s="12" t="s">
        <v>23</v>
      </c>
      <c r="F14" s="16">
        <v>2</v>
      </c>
      <c r="G14" s="17">
        <v>2800</v>
      </c>
      <c r="H14" s="17">
        <f t="shared" si="0"/>
        <v>5600</v>
      </c>
      <c r="I14" s="8"/>
    </row>
    <row r="15" spans="1:9" ht="21.75" customHeight="1" x14ac:dyDescent="0.55000000000000004">
      <c r="A15" s="12">
        <v>11</v>
      </c>
      <c r="B15" s="12">
        <v>2553</v>
      </c>
      <c r="C15" s="13" t="s">
        <v>24</v>
      </c>
      <c r="D15" s="13" t="s">
        <v>25</v>
      </c>
      <c r="E15" s="15" t="s">
        <v>22</v>
      </c>
      <c r="F15" s="16">
        <v>1</v>
      </c>
      <c r="G15" s="8">
        <v>900</v>
      </c>
      <c r="H15" s="17">
        <f t="shared" si="0"/>
        <v>900</v>
      </c>
      <c r="I15" s="8"/>
    </row>
    <row r="16" spans="1:9" ht="21.75" customHeight="1" x14ac:dyDescent="0.55000000000000004">
      <c r="A16" s="12">
        <v>12</v>
      </c>
      <c r="B16" s="18">
        <v>21927</v>
      </c>
      <c r="C16" s="19"/>
      <c r="D16" s="10" t="s">
        <v>26</v>
      </c>
      <c r="E16" s="20" t="s">
        <v>23</v>
      </c>
      <c r="F16" s="21">
        <v>1</v>
      </c>
      <c r="G16" s="22">
        <v>6450</v>
      </c>
      <c r="H16" s="17">
        <f t="shared" si="0"/>
        <v>6450</v>
      </c>
      <c r="I16" s="9"/>
    </row>
    <row r="17" spans="1:9" ht="21.75" customHeight="1" x14ac:dyDescent="0.55000000000000004">
      <c r="A17" s="12">
        <v>13</v>
      </c>
      <c r="B17" s="18">
        <v>22649</v>
      </c>
      <c r="C17" s="19" t="s">
        <v>31</v>
      </c>
      <c r="D17" s="10" t="s">
        <v>29</v>
      </c>
      <c r="E17" s="20" t="s">
        <v>23</v>
      </c>
      <c r="F17" s="21">
        <v>3</v>
      </c>
      <c r="G17" s="22">
        <v>2990</v>
      </c>
      <c r="H17" s="17">
        <f t="shared" si="0"/>
        <v>8970</v>
      </c>
      <c r="I17" s="9"/>
    </row>
    <row r="18" spans="1:9" ht="21.75" customHeight="1" x14ac:dyDescent="0.55000000000000004">
      <c r="A18" s="12">
        <v>14</v>
      </c>
      <c r="B18" s="18">
        <v>22830</v>
      </c>
      <c r="C18" s="19" t="s">
        <v>37</v>
      </c>
      <c r="D18" s="10" t="s">
        <v>30</v>
      </c>
      <c r="E18" s="20" t="s">
        <v>23</v>
      </c>
      <c r="F18" s="21">
        <v>3</v>
      </c>
      <c r="G18" s="22">
        <v>2550</v>
      </c>
      <c r="H18" s="17">
        <f t="shared" ref="H18:H20" si="1">SUM(F18*G18)</f>
        <v>7650</v>
      </c>
      <c r="I18" s="9"/>
    </row>
    <row r="19" spans="1:9" ht="21.75" customHeight="1" x14ac:dyDescent="0.55000000000000004">
      <c r="A19" s="12">
        <v>15</v>
      </c>
      <c r="B19" s="18">
        <v>22830</v>
      </c>
      <c r="C19" s="19" t="s">
        <v>32</v>
      </c>
      <c r="D19" s="10" t="s">
        <v>14</v>
      </c>
      <c r="E19" s="20" t="s">
        <v>23</v>
      </c>
      <c r="F19" s="21">
        <v>3</v>
      </c>
      <c r="G19" s="22">
        <v>3650</v>
      </c>
      <c r="H19" s="17">
        <f t="shared" si="1"/>
        <v>10950</v>
      </c>
      <c r="I19" s="9"/>
    </row>
    <row r="20" spans="1:9" ht="21.75" customHeight="1" x14ac:dyDescent="0.55000000000000004">
      <c r="A20" s="12">
        <v>16</v>
      </c>
      <c r="B20" s="18">
        <v>22887</v>
      </c>
      <c r="C20" s="19" t="s">
        <v>33</v>
      </c>
      <c r="D20" s="10" t="s">
        <v>34</v>
      </c>
      <c r="E20" s="20" t="s">
        <v>23</v>
      </c>
      <c r="F20" s="21">
        <v>1</v>
      </c>
      <c r="G20" s="22">
        <v>6311</v>
      </c>
      <c r="H20" s="17">
        <f t="shared" si="1"/>
        <v>6311</v>
      </c>
      <c r="I20" s="9"/>
    </row>
    <row r="21" spans="1:9" ht="21.75" customHeight="1" x14ac:dyDescent="0.55000000000000004">
      <c r="A21" s="12">
        <v>17</v>
      </c>
      <c r="B21" s="18">
        <v>22887</v>
      </c>
      <c r="C21" s="19" t="s">
        <v>35</v>
      </c>
      <c r="D21" s="10" t="s">
        <v>36</v>
      </c>
      <c r="E21" s="20" t="s">
        <v>23</v>
      </c>
      <c r="F21" s="21">
        <v>1</v>
      </c>
      <c r="G21" s="22">
        <v>5490</v>
      </c>
      <c r="H21" s="17">
        <f t="shared" si="0"/>
        <v>5490</v>
      </c>
      <c r="I21" s="9"/>
    </row>
    <row r="22" spans="1:9" ht="21.75" customHeight="1" x14ac:dyDescent="0.55000000000000004">
      <c r="A22" s="12">
        <v>18</v>
      </c>
      <c r="B22" s="18">
        <v>23418</v>
      </c>
      <c r="C22" s="19" t="s">
        <v>47</v>
      </c>
      <c r="D22" s="10" t="s">
        <v>48</v>
      </c>
      <c r="E22" s="20" t="s">
        <v>22</v>
      </c>
      <c r="F22" s="21">
        <v>1</v>
      </c>
      <c r="G22" s="22">
        <v>4990</v>
      </c>
      <c r="H22" s="17">
        <f t="shared" si="0"/>
        <v>4990</v>
      </c>
      <c r="I22" s="9"/>
    </row>
    <row r="23" spans="1:9" ht="21.75" customHeight="1" x14ac:dyDescent="0.55000000000000004">
      <c r="A23" s="12">
        <v>19</v>
      </c>
      <c r="B23" s="18">
        <v>24091</v>
      </c>
      <c r="C23" s="19" t="s">
        <v>49</v>
      </c>
      <c r="D23" s="10" t="s">
        <v>50</v>
      </c>
      <c r="E23" s="20" t="s">
        <v>23</v>
      </c>
      <c r="F23" s="21">
        <v>1</v>
      </c>
      <c r="G23" s="22">
        <v>150000</v>
      </c>
      <c r="H23" s="17">
        <f t="shared" si="0"/>
        <v>150000</v>
      </c>
      <c r="I23" s="9"/>
    </row>
    <row r="24" spans="1:9" ht="21.75" customHeight="1" x14ac:dyDescent="0.55000000000000004">
      <c r="A24" s="12">
        <v>20</v>
      </c>
      <c r="B24" s="18">
        <v>24158</v>
      </c>
      <c r="C24" s="19" t="s">
        <v>51</v>
      </c>
      <c r="D24" s="10" t="s">
        <v>52</v>
      </c>
      <c r="E24" s="20" t="s">
        <v>23</v>
      </c>
      <c r="F24" s="21">
        <v>1</v>
      </c>
      <c r="G24" s="22">
        <v>6550</v>
      </c>
      <c r="H24" s="17">
        <v>6550</v>
      </c>
      <c r="I24" s="9"/>
    </row>
    <row r="25" spans="1:9" ht="21.75" customHeight="1" x14ac:dyDescent="0.55000000000000004">
      <c r="A25" s="12">
        <v>21</v>
      </c>
      <c r="B25" s="18">
        <v>24270</v>
      </c>
      <c r="C25" s="19" t="s">
        <v>53</v>
      </c>
      <c r="D25" s="10" t="s">
        <v>54</v>
      </c>
      <c r="E25" s="20" t="s">
        <v>23</v>
      </c>
      <c r="F25" s="21">
        <v>1</v>
      </c>
      <c r="G25" s="22">
        <v>8000</v>
      </c>
      <c r="H25" s="17">
        <v>8000</v>
      </c>
      <c r="I25" s="9"/>
    </row>
    <row r="26" spans="1:9" ht="21.75" customHeight="1" x14ac:dyDescent="0.55000000000000004">
      <c r="A26" s="12">
        <v>22</v>
      </c>
      <c r="B26" s="18">
        <v>24500</v>
      </c>
      <c r="C26" s="19" t="s">
        <v>56</v>
      </c>
      <c r="D26" s="10" t="s">
        <v>57</v>
      </c>
      <c r="E26" s="23" t="s">
        <v>58</v>
      </c>
      <c r="F26" s="21">
        <v>30</v>
      </c>
      <c r="G26" s="22">
        <v>1900</v>
      </c>
      <c r="H26" s="17">
        <f>SUM(G26*F26)</f>
        <v>57000</v>
      </c>
      <c r="I26" s="9"/>
    </row>
    <row r="27" spans="1:9" ht="21.75" customHeight="1" x14ac:dyDescent="0.55000000000000004">
      <c r="A27" s="12">
        <v>23</v>
      </c>
      <c r="B27" s="18">
        <v>24616</v>
      </c>
      <c r="C27" s="19" t="s">
        <v>59</v>
      </c>
      <c r="D27" s="10" t="s">
        <v>60</v>
      </c>
      <c r="E27" s="23" t="s">
        <v>23</v>
      </c>
      <c r="F27" s="21">
        <v>120</v>
      </c>
      <c r="G27" s="22">
        <v>2100</v>
      </c>
      <c r="H27" s="17">
        <f>SUM(G27*F27)</f>
        <v>252000</v>
      </c>
      <c r="I27" s="9"/>
    </row>
    <row r="28" spans="1:9" ht="21.75" customHeight="1" x14ac:dyDescent="0.55000000000000004">
      <c r="A28" s="12">
        <v>24</v>
      </c>
      <c r="B28" s="18">
        <v>24616</v>
      </c>
      <c r="C28" s="19" t="s">
        <v>61</v>
      </c>
      <c r="D28" s="10" t="s">
        <v>62</v>
      </c>
      <c r="E28" s="23" t="s">
        <v>23</v>
      </c>
      <c r="F28" s="21">
        <v>388</v>
      </c>
      <c r="G28" s="22">
        <v>1288</v>
      </c>
      <c r="H28" s="17">
        <f t="shared" ref="H28:H39" si="2">SUM(G28*F28)</f>
        <v>499744</v>
      </c>
      <c r="I28" s="9"/>
    </row>
    <row r="29" spans="1:9" ht="21.75" customHeight="1" x14ac:dyDescent="0.55000000000000004">
      <c r="A29" s="12">
        <v>25</v>
      </c>
      <c r="B29" s="18">
        <v>24703</v>
      </c>
      <c r="C29" s="19" t="s">
        <v>63</v>
      </c>
      <c r="D29" s="10" t="s">
        <v>64</v>
      </c>
      <c r="E29" s="23" t="s">
        <v>23</v>
      </c>
      <c r="F29" s="21">
        <v>13</v>
      </c>
      <c r="G29" s="22">
        <v>24000</v>
      </c>
      <c r="H29" s="17">
        <f t="shared" si="2"/>
        <v>312000</v>
      </c>
      <c r="I29" s="9"/>
    </row>
    <row r="30" spans="1:9" ht="21.75" customHeight="1" x14ac:dyDescent="0.55000000000000004">
      <c r="A30" s="12">
        <v>26</v>
      </c>
      <c r="B30" s="18">
        <v>24703</v>
      </c>
      <c r="C30" s="19" t="s">
        <v>65</v>
      </c>
      <c r="D30" s="10" t="s">
        <v>66</v>
      </c>
      <c r="E30" s="23" t="s">
        <v>23</v>
      </c>
      <c r="F30" s="21">
        <v>2</v>
      </c>
      <c r="G30" s="22">
        <v>27000</v>
      </c>
      <c r="H30" s="17">
        <f t="shared" si="2"/>
        <v>54000</v>
      </c>
      <c r="I30" s="9"/>
    </row>
    <row r="31" spans="1:9" ht="21.75" customHeight="1" x14ac:dyDescent="0.55000000000000004">
      <c r="A31" s="12">
        <v>27</v>
      </c>
      <c r="B31" s="18">
        <v>24703</v>
      </c>
      <c r="C31" s="19" t="s">
        <v>67</v>
      </c>
      <c r="D31" s="10" t="s">
        <v>68</v>
      </c>
      <c r="E31" s="23" t="s">
        <v>23</v>
      </c>
      <c r="F31" s="21">
        <v>1</v>
      </c>
      <c r="G31" s="22">
        <v>24000</v>
      </c>
      <c r="H31" s="17">
        <f t="shared" si="2"/>
        <v>24000</v>
      </c>
      <c r="I31" s="9"/>
    </row>
    <row r="32" spans="1:9" ht="21.75" customHeight="1" x14ac:dyDescent="0.55000000000000004">
      <c r="A32" s="12">
        <v>28</v>
      </c>
      <c r="B32" s="18">
        <v>243864</v>
      </c>
      <c r="C32" s="19" t="s">
        <v>69</v>
      </c>
      <c r="D32" s="10" t="s">
        <v>70</v>
      </c>
      <c r="E32" s="23" t="s">
        <v>23</v>
      </c>
      <c r="F32" s="21">
        <v>1</v>
      </c>
      <c r="G32" s="22">
        <v>3120</v>
      </c>
      <c r="H32" s="17">
        <f t="shared" si="2"/>
        <v>3120</v>
      </c>
      <c r="I32" s="9"/>
    </row>
    <row r="33" spans="1:15" ht="21.75" customHeight="1" x14ac:dyDescent="0.55000000000000004">
      <c r="A33" s="12">
        <v>29</v>
      </c>
      <c r="B33" s="18">
        <v>243864</v>
      </c>
      <c r="C33" s="19" t="s">
        <v>71</v>
      </c>
      <c r="D33" s="10" t="s">
        <v>72</v>
      </c>
      <c r="E33" s="23" t="s">
        <v>23</v>
      </c>
      <c r="F33" s="21">
        <v>1</v>
      </c>
      <c r="G33" s="22">
        <v>3690</v>
      </c>
      <c r="H33" s="17">
        <f t="shared" si="2"/>
        <v>3690</v>
      </c>
      <c r="I33" s="9"/>
    </row>
    <row r="34" spans="1:15" ht="21.75" customHeight="1" x14ac:dyDescent="0.55000000000000004">
      <c r="A34" s="12">
        <v>30</v>
      </c>
      <c r="B34" s="18">
        <v>243864</v>
      </c>
      <c r="C34" s="19" t="s">
        <v>73</v>
      </c>
      <c r="D34" s="10" t="s">
        <v>74</v>
      </c>
      <c r="E34" s="23" t="s">
        <v>23</v>
      </c>
      <c r="F34" s="21">
        <v>2</v>
      </c>
      <c r="G34" s="22">
        <v>3090</v>
      </c>
      <c r="H34" s="17">
        <f t="shared" si="2"/>
        <v>6180</v>
      </c>
      <c r="I34" s="9"/>
    </row>
    <row r="35" spans="1:15" ht="21.75" customHeight="1" x14ac:dyDescent="0.55000000000000004">
      <c r="A35" s="12">
        <v>31</v>
      </c>
      <c r="B35" s="18">
        <v>243851</v>
      </c>
      <c r="C35" s="19" t="s">
        <v>75</v>
      </c>
      <c r="D35" s="10" t="s">
        <v>79</v>
      </c>
      <c r="E35" s="23" t="s">
        <v>23</v>
      </c>
      <c r="F35" s="21">
        <v>2</v>
      </c>
      <c r="G35" s="22">
        <v>3690</v>
      </c>
      <c r="H35" s="17">
        <f t="shared" si="2"/>
        <v>7380</v>
      </c>
      <c r="I35" s="9" t="s">
        <v>80</v>
      </c>
    </row>
    <row r="36" spans="1:15" ht="21.75" customHeight="1" x14ac:dyDescent="0.55000000000000004">
      <c r="A36" s="12">
        <v>32</v>
      </c>
      <c r="B36" s="18">
        <v>243851</v>
      </c>
      <c r="C36" s="19" t="s">
        <v>76</v>
      </c>
      <c r="D36" s="10" t="s">
        <v>77</v>
      </c>
      <c r="E36" s="23" t="s">
        <v>23</v>
      </c>
      <c r="F36" s="21">
        <v>1</v>
      </c>
      <c r="G36" s="22">
        <v>3990</v>
      </c>
      <c r="H36" s="17">
        <f t="shared" si="2"/>
        <v>3990</v>
      </c>
      <c r="I36" s="11" t="s">
        <v>78</v>
      </c>
    </row>
    <row r="37" spans="1:15" ht="21.75" customHeight="1" x14ac:dyDescent="0.55000000000000004">
      <c r="A37" s="12">
        <v>33</v>
      </c>
      <c r="B37" s="18">
        <v>243916</v>
      </c>
      <c r="C37" s="19" t="s">
        <v>81</v>
      </c>
      <c r="D37" s="10" t="s">
        <v>82</v>
      </c>
      <c r="E37" s="23" t="s">
        <v>22</v>
      </c>
      <c r="F37" s="21">
        <v>4</v>
      </c>
      <c r="G37" s="22">
        <v>32177.86</v>
      </c>
      <c r="H37" s="17">
        <f t="shared" si="2"/>
        <v>128711.44</v>
      </c>
      <c r="I37" s="9" t="s">
        <v>87</v>
      </c>
    </row>
    <row r="38" spans="1:15" ht="21.75" customHeight="1" x14ac:dyDescent="0.55000000000000004">
      <c r="A38" s="12">
        <v>34</v>
      </c>
      <c r="B38" s="18">
        <v>243916</v>
      </c>
      <c r="C38" s="19" t="s">
        <v>83</v>
      </c>
      <c r="D38" s="10" t="s">
        <v>84</v>
      </c>
      <c r="E38" s="23" t="s">
        <v>22</v>
      </c>
      <c r="F38" s="21">
        <v>2</v>
      </c>
      <c r="G38" s="22">
        <v>24391.02</v>
      </c>
      <c r="H38" s="17">
        <f t="shared" si="2"/>
        <v>48782.04</v>
      </c>
      <c r="I38" s="9" t="s">
        <v>87</v>
      </c>
    </row>
    <row r="39" spans="1:15" ht="21.75" customHeight="1" x14ac:dyDescent="0.55000000000000004">
      <c r="A39" s="12">
        <v>35</v>
      </c>
      <c r="B39" s="18">
        <v>243916</v>
      </c>
      <c r="C39" s="19" t="s">
        <v>85</v>
      </c>
      <c r="D39" s="10" t="s">
        <v>86</v>
      </c>
      <c r="E39" s="23" t="s">
        <v>22</v>
      </c>
      <c r="F39" s="21">
        <v>2</v>
      </c>
      <c r="G39" s="22">
        <v>16285.93</v>
      </c>
      <c r="H39" s="17">
        <f t="shared" si="2"/>
        <v>32571.86</v>
      </c>
      <c r="I39" s="9" t="s">
        <v>87</v>
      </c>
    </row>
    <row r="40" spans="1:15" ht="21.75" customHeight="1" x14ac:dyDescent="0.55000000000000004">
      <c r="A40" s="12">
        <v>36</v>
      </c>
      <c r="B40" s="24">
        <v>24815</v>
      </c>
      <c r="C40" s="19" t="s">
        <v>88</v>
      </c>
      <c r="D40" s="25" t="s">
        <v>91</v>
      </c>
      <c r="E40" s="26" t="s">
        <v>23</v>
      </c>
      <c r="F40" s="21">
        <v>1</v>
      </c>
      <c r="G40" s="27">
        <v>13000</v>
      </c>
      <c r="H40" s="17">
        <v>13000</v>
      </c>
      <c r="I40" s="9"/>
    </row>
    <row r="41" spans="1:15" ht="21.75" customHeight="1" x14ac:dyDescent="0.55000000000000004">
      <c r="A41" s="12">
        <v>37</v>
      </c>
      <c r="B41" s="24">
        <v>24921</v>
      </c>
      <c r="C41" s="19" t="s">
        <v>89</v>
      </c>
      <c r="D41" s="25" t="s">
        <v>92</v>
      </c>
      <c r="E41" s="26" t="s">
        <v>23</v>
      </c>
      <c r="F41" s="21">
        <v>1</v>
      </c>
      <c r="G41" s="27">
        <v>12900</v>
      </c>
      <c r="H41" s="17">
        <v>12900</v>
      </c>
      <c r="I41" s="9" t="s">
        <v>94</v>
      </c>
    </row>
    <row r="42" spans="1:15" ht="21.75" customHeight="1" x14ac:dyDescent="0.55000000000000004">
      <c r="A42" s="12">
        <v>38</v>
      </c>
      <c r="B42" s="28">
        <v>24921</v>
      </c>
      <c r="C42" s="19" t="s">
        <v>90</v>
      </c>
      <c r="D42" s="29" t="s">
        <v>93</v>
      </c>
      <c r="E42" s="30" t="s">
        <v>23</v>
      </c>
      <c r="F42" s="21">
        <v>1</v>
      </c>
      <c r="G42" s="31">
        <v>3300</v>
      </c>
      <c r="H42" s="17">
        <v>3300</v>
      </c>
      <c r="I42" s="11" t="s">
        <v>95</v>
      </c>
    </row>
    <row r="43" spans="1:15" ht="21.75" customHeight="1" x14ac:dyDescent="0.55000000000000004">
      <c r="A43" s="35" t="s">
        <v>44</v>
      </c>
      <c r="B43" s="36"/>
      <c r="C43" s="36"/>
      <c r="D43" s="36"/>
      <c r="E43" s="37"/>
      <c r="F43" s="32"/>
      <c r="G43" s="33"/>
      <c r="H43" s="33">
        <f>SUM(H5:H42)</f>
        <v>3250630.34</v>
      </c>
      <c r="I43" s="16"/>
    </row>
    <row r="44" spans="1:15" x14ac:dyDescent="0.55000000000000004">
      <c r="A44" s="4"/>
      <c r="B44" s="5"/>
      <c r="C44" s="4"/>
      <c r="D44" s="4"/>
      <c r="E44" s="4"/>
      <c r="F44" s="4"/>
      <c r="G44" s="4"/>
      <c r="H44" s="4"/>
      <c r="I44" s="4"/>
      <c r="O44" s="3"/>
    </row>
    <row r="45" spans="1:15" x14ac:dyDescent="0.55000000000000004">
      <c r="A45" s="4"/>
      <c r="B45" s="5"/>
      <c r="C45" s="4"/>
      <c r="D45" s="4"/>
      <c r="E45" s="4"/>
      <c r="F45" s="4"/>
      <c r="G45" s="4"/>
      <c r="H45" s="4"/>
      <c r="I45" s="4"/>
      <c r="O45" s="3"/>
    </row>
    <row r="46" spans="1:15" x14ac:dyDescent="0.55000000000000004">
      <c r="A46" s="4"/>
      <c r="B46" s="5"/>
      <c r="C46" s="4"/>
      <c r="D46" s="4"/>
      <c r="E46" s="4"/>
      <c r="F46" s="4"/>
      <c r="G46" s="34" t="s">
        <v>28</v>
      </c>
      <c r="H46" s="34"/>
      <c r="I46" s="34"/>
    </row>
    <row r="47" spans="1:15" x14ac:dyDescent="0.55000000000000004">
      <c r="A47" s="4"/>
      <c r="B47" s="5"/>
      <c r="C47" s="4"/>
      <c r="D47" s="4"/>
      <c r="E47" s="4"/>
      <c r="F47" s="4"/>
      <c r="G47" s="34" t="s">
        <v>55</v>
      </c>
      <c r="H47" s="34"/>
      <c r="I47" s="34"/>
    </row>
    <row r="48" spans="1:15" x14ac:dyDescent="0.55000000000000004">
      <c r="A48" s="4"/>
      <c r="B48" s="5"/>
      <c r="C48" s="4"/>
      <c r="D48" s="4"/>
      <c r="E48" s="4"/>
      <c r="F48" s="4"/>
      <c r="G48" s="34" t="s">
        <v>27</v>
      </c>
      <c r="H48" s="34"/>
      <c r="I48" s="34"/>
    </row>
    <row r="49" spans="2:2" x14ac:dyDescent="0.55000000000000004">
      <c r="B49" s="2"/>
    </row>
    <row r="50" spans="2:2" x14ac:dyDescent="0.55000000000000004">
      <c r="B50" s="2"/>
    </row>
  </sheetData>
  <mergeCells count="7">
    <mergeCell ref="G47:I47"/>
    <mergeCell ref="G48:I48"/>
    <mergeCell ref="A1:I1"/>
    <mergeCell ref="A2:I2"/>
    <mergeCell ref="A3:I3"/>
    <mergeCell ref="A43:E43"/>
    <mergeCell ref="G46:I46"/>
  </mergeCells>
  <printOptions horizontalCentered="1"/>
  <pageMargins left="0.19685039370078741" right="0.19685039370078741" top="0.59055118110236227" bottom="0.19685039370078741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งานพัสดุ</vt:lpstr>
      <vt:lpstr>งานพัสดุ!Print_Titles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2026-01-26T01:53:59Z</cp:lastPrinted>
  <dcterms:created xsi:type="dcterms:W3CDTF">2017-11-14T01:32:33Z</dcterms:created>
  <dcterms:modified xsi:type="dcterms:W3CDTF">2026-01-26T02:07:06Z</dcterms:modified>
</cp:coreProperties>
</file>