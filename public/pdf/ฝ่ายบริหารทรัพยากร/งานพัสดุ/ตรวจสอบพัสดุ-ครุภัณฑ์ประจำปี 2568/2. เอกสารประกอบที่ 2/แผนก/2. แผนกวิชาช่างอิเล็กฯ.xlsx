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แผนก\"/>
    </mc:Choice>
  </mc:AlternateContent>
  <xr:revisionPtr revIDLastSave="0" documentId="13_ncr:1_{DBEF88B5-2D10-4B43-88A1-DF968F5397A1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ช่างอิเล็กทรอนิกส์" sheetId="31" r:id="rId1"/>
  </sheets>
  <definedNames>
    <definedName name="_xlnm.Print_Titles" localSheetId="0">แผนกช่างอิเล็กทรอนิกส์!$1:$4</definedName>
  </definedNames>
  <calcPr calcId="191029"/>
</workbook>
</file>

<file path=xl/calcChain.xml><?xml version="1.0" encoding="utf-8"?>
<calcChain xmlns="http://schemas.openxmlformats.org/spreadsheetml/2006/main">
  <c r="H69" i="31" l="1"/>
  <c r="H70" i="31"/>
  <c r="H67" i="31"/>
  <c r="H68" i="31"/>
  <c r="H66" i="31"/>
  <c r="H65" i="31"/>
  <c r="H64" i="31"/>
  <c r="H62" i="31"/>
  <c r="H63" i="31"/>
  <c r="H61" i="31"/>
  <c r="H60" i="31"/>
  <c r="H59" i="31"/>
  <c r="H53" i="31"/>
  <c r="H54" i="31"/>
  <c r="H55" i="31"/>
  <c r="H56" i="31"/>
  <c r="H57" i="31"/>
  <c r="H58" i="31"/>
  <c r="H52" i="31"/>
  <c r="H36" i="31"/>
  <c r="H37" i="31"/>
  <c r="H38" i="31"/>
  <c r="H39" i="31"/>
  <c r="H40" i="31"/>
  <c r="H41" i="31"/>
  <c r="H42" i="31"/>
  <c r="H43" i="31"/>
  <c r="H44" i="31"/>
  <c r="H45" i="31"/>
  <c r="H50" i="31"/>
  <c r="H51" i="31"/>
  <c r="H5" i="3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71" i="31" l="1"/>
  <c r="H46" i="31"/>
</calcChain>
</file>

<file path=xl/sharedStrings.xml><?xml version="1.0" encoding="utf-8"?>
<sst xmlns="http://schemas.openxmlformats.org/spreadsheetml/2006/main" count="233" uniqueCount="149">
  <si>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</si>
  <si>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</si>
  <si>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</si>
  <si>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</si>
  <si>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</si>
  <si>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</si>
  <si>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</si>
  <si>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</si>
  <si>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</si>
  <si>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</si>
  <si>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</si>
  <si>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</si>
  <si>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</si>
  <si>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</si>
  <si>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</si>
  <si>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</si>
  <si>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แผนกวิชาช่างอิเล็กทรอนิกส์ คงเหลือ</t>
  </si>
  <si>
    <t>มัลติมิเตอร์</t>
  </si>
  <si>
    <t>6120-003-0002/391-001-391-009</t>
  </si>
  <si>
    <t>หม้อแปลงไฟฟ้าแบบเปลี่ยนค่าได้</t>
  </si>
  <si>
    <t>5990-006-0002/391-001-391-015</t>
  </si>
  <si>
    <t>ฟังค์ชั่นเยนเนเรเตอร์</t>
  </si>
  <si>
    <t>5825-009-0001/391-001</t>
  </si>
  <si>
    <t>เครื่องกำเนิดสัญญาณเอเอ็มเอฟเอ็ม</t>
  </si>
  <si>
    <t>5130-007-0003/391-001</t>
  </si>
  <si>
    <t>สว่านเจาะปริ้นรอบสูง</t>
  </si>
  <si>
    <t>6625-003-0007/391-001</t>
  </si>
  <si>
    <t>คิวมิเตอร์</t>
  </si>
  <si>
    <t>5905-006-0002/391-001-391-010</t>
  </si>
  <si>
    <t>เครื่องวัดความต้านทานแบบดีเดลสำหรับฝึก</t>
  </si>
  <si>
    <t>5990-006-0001/391-001-391-004</t>
  </si>
  <si>
    <t>อาร์เอฟซิกแนลเจนเนอร์เรเตอร์</t>
  </si>
  <si>
    <t>6625-003-0006/391-001</t>
  </si>
  <si>
    <t>เฟอร์ เอ็ม ซี เคาน์เตอร์</t>
  </si>
  <si>
    <t>6625-003-0005/391-002-391-011</t>
  </si>
  <si>
    <t>R-L-C  แบบดิจิตอล</t>
  </si>
  <si>
    <t>7110-001-0001/391-006-009</t>
  </si>
  <si>
    <t>ตู้เอกสาร 2 บาน</t>
  </si>
  <si>
    <t>5825-009-0001/401-002-401-006</t>
  </si>
  <si>
    <t>5999-006-0002/401-002-005</t>
  </si>
  <si>
    <t>ชุดฝึกวงจรดิจิตอล</t>
  </si>
  <si>
    <t>5826-021-0001/401-001-401-002</t>
  </si>
  <si>
    <t>เครื่องวัดระบบความดังของเสียง</t>
  </si>
  <si>
    <t>5826-022-0001/401-001-401-002</t>
  </si>
  <si>
    <t>เอฟเอ็มสเตอริโอเยนเนอเนเตอร์</t>
  </si>
  <si>
    <t>5945-005-0001/401-001-401-002</t>
  </si>
  <si>
    <t>เครื่องวัดความเข้มสนามแม่เหล็ก</t>
  </si>
  <si>
    <t>5826-021-0002/401-001-401-002</t>
  </si>
  <si>
    <t>เครื่องวัดความแรงคลื่นวิทยุ</t>
  </si>
  <si>
    <t>58895-006-0001/401-001-401-005</t>
  </si>
  <si>
    <t>ออสซิลโลสโคป ขนาด 40  วัตต์</t>
  </si>
  <si>
    <t>5825-009-0002/401-001-401-002</t>
  </si>
  <si>
    <t>เครื่องกำเนิคสัญญาณทดสอบโทรทัศน์</t>
  </si>
  <si>
    <t>5955-005-0003/401-001-401-002</t>
  </si>
  <si>
    <t>ชุดฝึกวงจรพัลซ์เบื้องต้น</t>
  </si>
  <si>
    <t>5999-006-0001/401-001-401-010</t>
  </si>
  <si>
    <t>ชุดฝึกวงจรอิเล็กทรอนิกส์  2</t>
  </si>
  <si>
    <t>5950-008-0001/411-001-411-002</t>
  </si>
  <si>
    <t>เครื่องพันคอยล์</t>
  </si>
  <si>
    <t>5961-006-0001/411-001-411-004</t>
  </si>
  <si>
    <t>แผงสาธิตอิเล็กทรอนิกส์อุตสาหกรรม</t>
  </si>
  <si>
    <t>5962-004-0001/411-001-411-004</t>
  </si>
  <si>
    <t>ชุดฝึกไมรโครโปรเซสเซอร์และอินเตอร์เฟส</t>
  </si>
  <si>
    <t>5820-003-0001/411-001-411-002</t>
  </si>
  <si>
    <t>เครื่องวัดความเข้มของแสง</t>
  </si>
  <si>
    <t>7730-004-0001/452-002</t>
  </si>
  <si>
    <t>เครื่องเล่นเทป พานาโซนิค</t>
  </si>
  <si>
    <t>7110-007-0011/451-029-451-038</t>
  </si>
  <si>
    <t>โต๊ะพับเอนกประสงค์ 6 ฟุต</t>
  </si>
  <si>
    <t>5820-015-0001/452-001</t>
  </si>
  <si>
    <t>เครื่องเล่นวีดีโอ  HIFI NV FJ8MK 2 AM PANASONIC</t>
  </si>
  <si>
    <t>5820-015-0001/452-003</t>
  </si>
  <si>
    <t>วีดีโอ 2 หัวเทปจูนเนอร์ NV-SJ 230AM PANASONIC</t>
  </si>
  <si>
    <t>5820-015-0002/452-001</t>
  </si>
  <si>
    <t>วีดีโอ ซีดี MRS- 999 SVCD</t>
  </si>
  <si>
    <t>5820-015-0013/452-001</t>
  </si>
  <si>
    <t>เครื่องเล่น  DVD -XV 10 GCSS</t>
  </si>
  <si>
    <t>ยอดยกไป</t>
  </si>
  <si>
    <t>ยอดยกมา</t>
  </si>
  <si>
    <t>5915-005-0001/461-001</t>
  </si>
  <si>
    <t>เครื่องวิเคราะห์สายอากาศ</t>
  </si>
  <si>
    <t>6625-003-0004/462-002,003,008,
010,011,012,029,030</t>
  </si>
  <si>
    <t>711-002-0006/462-017-462-041</t>
  </si>
  <si>
    <t>ตู้ 2 บานเลื่อน</t>
  </si>
  <si>
    <t>7125-001-0002/462-001-462-003</t>
  </si>
  <si>
    <t>ตู้ล็อกเกอร์  18  ช่อง</t>
  </si>
  <si>
    <t>7125-001-0001/462-001</t>
  </si>
  <si>
    <t>ตู้ล็อกเกอร์  12  ช่อง</t>
  </si>
  <si>
    <t>7440-001-0003/471-001</t>
  </si>
  <si>
    <t>ชุดออกแบบลายวงจรด้วยคอมพิวเตอร์</t>
  </si>
  <si>
    <t>7440-010-0006/492-001</t>
  </si>
  <si>
    <t>RACK HUB 24 PORT 10/100</t>
  </si>
  <si>
    <t>7440-010-006/492-001-004</t>
  </si>
  <si>
    <t>RACK HUB 8 PORT 10/100</t>
  </si>
  <si>
    <t>7440-010-0007/492-001-004</t>
  </si>
  <si>
    <t>MCT RACK 19" WALL MOUNT 6 U-50 CM.</t>
  </si>
  <si>
    <t>7440-010-0007/492-001</t>
  </si>
  <si>
    <t>MCT RACK 19" ENCLOSED RACK 27U-60 CM.</t>
  </si>
  <si>
    <t>5835-001-0001/504-001-004</t>
  </si>
  <si>
    <t>เครื่องเสียง</t>
  </si>
  <si>
    <t>ปกอ.</t>
  </si>
  <si>
    <t>6710-004-0002/502-001</t>
  </si>
  <si>
    <t>กล้องวีดีโอ SONY DCR-SR40E</t>
  </si>
  <si>
    <t>6720-008-0002/502-001-006</t>
  </si>
  <si>
    <t>กล้องวงจรปิด LYD 808</t>
  </si>
  <si>
    <t>6710-004-0003/521-001</t>
  </si>
  <si>
    <t>กล้องวีดีโอ HARD DISH SONY DCR-SR67E</t>
  </si>
  <si>
    <t>5820-015-0005/521-001-002</t>
  </si>
  <si>
    <t>เครื่องบันทึก DVD /HDD SONY รุ่นHX 980</t>
  </si>
  <si>
    <t>6910-001-0022/531-001-010</t>
  </si>
  <si>
    <t>โต๊ะทดลองไฟฟ้าพร้อมคอนโซล</t>
  </si>
  <si>
    <t>6730-001-0003/531-018</t>
  </si>
  <si>
    <t>เครื่องฉายโปรเจ็กเตอร์</t>
  </si>
  <si>
    <t>6910-001-0032/531-001</t>
  </si>
  <si>
    <t xml:space="preserve">ชุดทดลองอาร์เอฟไอดี </t>
  </si>
  <si>
    <t>6910-001-0033/531-001</t>
  </si>
  <si>
    <t>ชุดทดลองวงจรอิเล็กทรอนิกส์</t>
  </si>
  <si>
    <t>6910-001-0034/531-001</t>
  </si>
  <si>
    <t>ชุดทดลองวงจรอิเล็กทรอนิกส์กำลัง</t>
  </si>
  <si>
    <t>25 ม.ค. 62</t>
  </si>
  <si>
    <t>3910-002-0001/621-001</t>
  </si>
  <si>
    <t xml:space="preserve">ชุดห้องเรียนอัฉริยะ  </t>
  </si>
  <si>
    <t>(นายสุวรรณ  บุษภาค)</t>
  </si>
  <si>
    <t>8 มิ.ย.64</t>
  </si>
  <si>
    <t>เครื่องพิมพ์เลเซอร์</t>
  </si>
  <si>
    <t>2539</t>
  </si>
  <si>
    <t>2541</t>
  </si>
  <si>
    <t>2545</t>
  </si>
  <si>
    <t>2547</t>
  </si>
  <si>
    <t>2549</t>
  </si>
  <si>
    <t>2552</t>
  </si>
  <si>
    <t>2553</t>
  </si>
  <si>
    <t>เก้าอี้สแตนเลสหัวกลม</t>
  </si>
  <si>
    <t>7110-006-0005/652-021-030 (100)</t>
  </si>
  <si>
    <t>7440-010-0002/642-010 (13)</t>
  </si>
  <si>
    <t>เครื่องปรับอากาศขนาด 25,000 BTU</t>
  </si>
  <si>
    <t>4120-001-0001/652-002-003 (3)</t>
  </si>
  <si>
    <t>7440-001-0002/662-001(2)</t>
  </si>
  <si>
    <t>เครื่องคอมพิวเตอร์ ALL in one</t>
  </si>
  <si>
    <t>7440-010-0007/662-001</t>
  </si>
  <si>
    <t xml:space="preserve">เครื่องพิมพ์ 3 มิติ </t>
  </si>
  <si>
    <t>4310-001-0002/672-001</t>
  </si>
  <si>
    <t>ชุดฝึกการเรียนรู้ควบคุม ระบบนิวเมติกส์</t>
  </si>
  <si>
    <t>ในงานอุตสาหกรรม</t>
  </si>
  <si>
    <t>ชุดฝึกการเขียนโปรแกรมควบคุมอุปกรณ์ไฟฟ้า</t>
  </si>
  <si>
    <t>ด้วยพีแอลชี</t>
  </si>
  <si>
    <t>3431-002-0001/672-001</t>
  </si>
  <si>
    <t>6625-003-0004/391-023,25,26,28-31,33-37</t>
  </si>
  <si>
    <t>ประจำปี 25668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</si>
</sst>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8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2"/>
      <name val="TH Sarabun New"/>
      <family val="2"/>
    </font>
    <font>
      <b/>
      <sz val="14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79">
    <xf numFmtId="0" fontId="0" fillId="0" borderId="0" xfId="0"/>
    <xf numFmtId="0" fontId="4" fillId="0" borderId="0" xfId="0" applyFont="1"/>
    <xf numFmtId="0" fontId="3" fillId="0" borderId="0" xfId="6" applyFont="1"/>
    <xf numFmtId="43" fontId="3" fillId="0" borderId="0" xfId="12" applyFont="1" applyBorder="1" applyAlignment="1"/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top"/>
    </xf>
    <xf numFmtId="49" fontId="8" fillId="2" borderId="5" xfId="0" applyNumberFormat="1" applyFont="1" applyFill="1" applyBorder="1" applyAlignment="1">
      <alignment horizontal="center" vertical="top"/>
    </xf>
    <xf numFmtId="0" fontId="8" fillId="0" borderId="5" xfId="6" applyFont="1" applyBorder="1" applyAlignment="1">
      <alignment vertical="top"/>
    </xf>
    <xf numFmtId="0" fontId="8" fillId="0" borderId="5" xfId="2" applyFont="1" applyBorder="1" applyAlignment="1">
      <alignment horizontal="center" vertical="top"/>
    </xf>
    <xf numFmtId="0" fontId="8" fillId="0" borderId="5" xfId="6" applyFont="1" applyBorder="1" applyAlignment="1">
      <alignment horizontal="center" vertical="top"/>
    </xf>
    <xf numFmtId="43" fontId="8" fillId="0" borderId="5" xfId="1" applyFont="1" applyBorder="1" applyAlignment="1">
      <alignment vertical="top"/>
    </xf>
    <xf numFmtId="43" fontId="7" fillId="0" borderId="6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0" fontId="8" fillId="0" borderId="1" xfId="6" applyFont="1" applyBorder="1" applyAlignment="1">
      <alignment horizontal="center"/>
    </xf>
    <xf numFmtId="43" fontId="8" fillId="0" borderId="1" xfId="1" applyFont="1" applyBorder="1"/>
    <xf numFmtId="43" fontId="7" fillId="0" borderId="6" xfId="0" applyNumberFormat="1" applyFont="1" applyBorder="1" applyAlignment="1">
      <alignment horizontal="center" vertical="center" wrapText="1"/>
    </xf>
    <xf numFmtId="0" fontId="8" fillId="0" borderId="6" xfId="1" applyNumberFormat="1" applyFont="1" applyBorder="1" applyAlignment="1">
      <alignment horizontal="center"/>
    </xf>
    <xf numFmtId="43" fontId="8" fillId="0" borderId="6" xfId="1" applyFont="1" applyBorder="1"/>
    <xf numFmtId="0" fontId="8" fillId="0" borderId="1" xfId="1" applyNumberFormat="1" applyFont="1" applyBorder="1" applyAlignment="1">
      <alignment horizontal="center"/>
    </xf>
    <xf numFmtId="0" fontId="8" fillId="0" borderId="5" xfId="6" applyFont="1" applyBorder="1" applyAlignment="1">
      <alignment horizontal="left"/>
    </xf>
    <xf numFmtId="0" fontId="8" fillId="0" borderId="5" xfId="2" applyFont="1" applyBorder="1" applyAlignment="1">
      <alignment horizontal="center"/>
    </xf>
    <xf numFmtId="0" fontId="8" fillId="0" borderId="5" xfId="1" applyNumberFormat="1" applyFont="1" applyBorder="1" applyAlignment="1">
      <alignment horizontal="center"/>
    </xf>
    <xf numFmtId="43" fontId="8" fillId="0" borderId="5" xfId="1" applyFont="1" applyBorder="1"/>
    <xf numFmtId="0" fontId="7" fillId="0" borderId="1" xfId="0" applyFont="1" applyBorder="1" applyAlignment="1">
      <alignment horizontal="center"/>
    </xf>
    <xf numFmtId="49" fontId="8" fillId="0" borderId="1" xfId="13" applyNumberFormat="1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0" fontId="9" fillId="0" borderId="5" xfId="6" applyFont="1" applyBorder="1"/>
    <xf numFmtId="0" fontId="8" fillId="0" borderId="5" xfId="6" applyFont="1" applyBorder="1" applyAlignment="1">
      <alignment horizontal="center"/>
    </xf>
    <xf numFmtId="0" fontId="9" fillId="0" borderId="1" xfId="6" applyFont="1" applyBorder="1"/>
    <xf numFmtId="43" fontId="7" fillId="0" borderId="1" xfId="0" applyNumberFormat="1" applyFont="1" applyBorder="1" applyAlignment="1">
      <alignment horizontal="center" vertical="center" wrapText="1"/>
    </xf>
    <xf numFmtId="0" fontId="8" fillId="0" borderId="1" xfId="6" applyFont="1" applyBorder="1" applyAlignment="1">
      <alignment horizontal="left" vertical="top" wrapText="1"/>
    </xf>
    <xf numFmtId="0" fontId="8" fillId="0" borderId="1" xfId="6" applyFont="1" applyBorder="1" applyAlignment="1">
      <alignment vertical="top"/>
    </xf>
    <xf numFmtId="0" fontId="7" fillId="0" borderId="1" xfId="0" applyFont="1" applyBorder="1" applyAlignment="1">
      <alignment horizontal="center" vertical="top"/>
    </xf>
    <xf numFmtId="0" fontId="8" fillId="0" borderId="1" xfId="6" applyFont="1" applyBorder="1" applyAlignment="1">
      <alignment horizontal="center" vertical="top"/>
    </xf>
    <xf numFmtId="43" fontId="8" fillId="0" borderId="1" xfId="1" applyFont="1" applyBorder="1" applyAlignment="1">
      <alignment vertical="top"/>
    </xf>
    <xf numFmtId="49" fontId="8" fillId="0" borderId="1" xfId="7" applyNumberFormat="1" applyFont="1" applyBorder="1" applyAlignment="1">
      <alignment horizontal="center"/>
    </xf>
    <xf numFmtId="0" fontId="10" fillId="0" borderId="1" xfId="6" applyFont="1" applyBorder="1"/>
    <xf numFmtId="43" fontId="8" fillId="0" borderId="1" xfId="12" applyFont="1" applyBorder="1" applyAlignment="1">
      <alignment horizontal="center"/>
    </xf>
    <xf numFmtId="43" fontId="8" fillId="0" borderId="1" xfId="1" applyFont="1" applyFill="1" applyBorder="1"/>
    <xf numFmtId="15" fontId="7" fillId="0" borderId="1" xfId="0" applyNumberFormat="1" applyFont="1" applyBorder="1" applyAlignment="1">
      <alignment horizontal="center"/>
    </xf>
    <xf numFmtId="49" fontId="8" fillId="3" borderId="1" xfId="0" applyNumberFormat="1" applyFont="1" applyFill="1" applyBorder="1" applyAlignment="1">
      <alignment horizontal="left"/>
    </xf>
    <xf numFmtId="49" fontId="8" fillId="3" borderId="1" xfId="0" applyNumberFormat="1" applyFont="1" applyFill="1" applyBorder="1"/>
    <xf numFmtId="0" fontId="8" fillId="3" borderId="1" xfId="2" applyFont="1" applyFill="1" applyBorder="1" applyAlignment="1">
      <alignment horizontal="center"/>
    </xf>
    <xf numFmtId="0" fontId="8" fillId="3" borderId="1" xfId="5" applyFont="1" applyFill="1" applyBorder="1" applyAlignment="1">
      <alignment horizontal="center"/>
    </xf>
    <xf numFmtId="43" fontId="8" fillId="3" borderId="1" xfId="1" applyFont="1" applyFill="1" applyBorder="1"/>
    <xf numFmtId="43" fontId="7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8" fillId="3" borderId="4" xfId="2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11" fillId="0" borderId="0" xfId="0" applyFont="1"/>
    <xf numFmtId="43" fontId="7" fillId="0" borderId="1" xfId="0" applyNumberFormat="1" applyFont="1" applyBorder="1"/>
    <xf numFmtId="43" fontId="7" fillId="0" borderId="4" xfId="0" applyNumberFormat="1" applyFont="1" applyBorder="1"/>
    <xf numFmtId="0" fontId="12" fillId="0" borderId="0" xfId="2" applyFont="1" applyAlignment="1">
      <alignment horizontal="center"/>
    </xf>
    <xf numFmtId="43" fontId="11" fillId="0" borderId="0" xfId="0" applyNumberFormat="1" applyFont="1"/>
    <xf numFmtId="0" fontId="11" fillId="0" borderId="0" xfId="0" applyFont="1" applyAlignment="1">
      <alignment horizontal="center"/>
    </xf>
    <xf numFmtId="0" fontId="9" fillId="0" borderId="5" xfId="6" applyFont="1" applyBorder="1" applyAlignment="1">
      <alignment horizontal="left" vertical="top" wrapText="1"/>
    </xf>
    <xf numFmtId="0" fontId="8" fillId="0" borderId="0" xfId="6" applyFont="1" applyAlignment="1">
      <alignment horizontal="right"/>
    </xf>
    <xf numFmtId="0" fontId="10" fillId="0" borderId="0" xfId="6" applyFont="1"/>
    <xf numFmtId="0" fontId="8" fillId="0" borderId="0" xfId="6" applyFont="1" applyAlignment="1">
      <alignment horizontal="center"/>
    </xf>
    <xf numFmtId="43" fontId="8" fillId="0" borderId="0" xfId="1" applyFont="1" applyBorder="1"/>
    <xf numFmtId="43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7" xfId="6" applyFont="1" applyBorder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Alignment="1" applyProtection="1">
      <alignment horizontal="center"/>
      <protection locked="0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1" xfId="6" applyFont="1" applyBorder="1" applyAlignment="1">
      <alignment horizontal="righ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70C0"/>
      <color rgb="FF2F75B5"/>
      <color rgb="FF99330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885826</xdr:colOff>
      <xdr:row>0</xdr:row>
      <xdr:rowOff>171450</xdr:rowOff>
    </xdr:from>
    <xdr:to>
      <xdr:col>8</xdr:col>
      <xdr:colOff>333375</xdr:colOff>
      <xdr:row>1</xdr:row>
      <xdr:rowOff>180975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810501" y="171450"/>
          <a:ext cx="1447799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K77"/>
  <sheetViews>
    <sheetView tabSelected="1" topLeftCell="A13" zoomScaleNormal="100" workbookViewId="0">
      <selection activeCell="A2" sqref="A2:I2"/>
    </sheetView>
  </sheetViews>
  <sheetFormatPr defaultColWidth="9" defaultRowHeight="24" x14ac:dyDescent="0.55000000000000004"/>
  <cols>
    <col min="1" max="1" width="5.625" style="1" customWidth="1"/>
    <col min="2" max="2" width="10.875" style="1" customWidth="1"/>
    <col min="3" max="3" width="30" style="1" customWidth="1"/>
    <col min="4" max="4" width="36.625" style="1" customWidth="1"/>
    <col min="5" max="6" width="7.25" style="1" customWidth="1"/>
    <col min="7" max="8" width="13.5" style="1" customWidth="1"/>
    <col min="9" max="9" width="11" style="4" customWidth="1"/>
    <col min="10" max="10" width="14.25" style="1" customWidth="1"/>
    <col min="11" max="16384" width="9" style="1"/>
  </cols>
  <sheetData>
    <row r="1" spans="1:10" x14ac:dyDescent="0.55000000000000004">
      <c r="A1" s="72" t="s">
        <v>8</v>
      </c>
      <c r="B1" s="72"/>
      <c r="C1" s="72"/>
      <c r="D1" s="72"/>
      <c r="E1" s="72"/>
      <c r="F1" s="72"/>
      <c r="G1" s="72"/>
      <c r="H1" s="72"/>
      <c r="I1" s="72"/>
      <c r="J1" s="4"/>
    </row>
    <row r="2" spans="1:10" x14ac:dyDescent="0.55000000000000004">
      <c r="A2" s="73" t="s">
        <v>16</v>
      </c>
      <c r="B2" s="73"/>
      <c r="C2" s="73"/>
      <c r="D2" s="73"/>
      <c r="E2" s="73"/>
      <c r="F2" s="73"/>
      <c r="G2" s="73"/>
      <c r="H2" s="73"/>
      <c r="I2" s="73"/>
      <c r="J2" s="5"/>
    </row>
    <row r="3" spans="1:10" x14ac:dyDescent="0.55000000000000004">
      <c r="A3" s="74" t="s">
        <v>148</v>
      </c>
      <c r="B3" s="74"/>
      <c r="C3" s="74"/>
      <c r="D3" s="74"/>
      <c r="E3" s="74"/>
      <c r="F3" s="74"/>
      <c r="G3" s="74"/>
      <c r="H3" s="74"/>
      <c r="I3" s="74"/>
      <c r="J3" s="4"/>
    </row>
    <row r="4" spans="1:10" ht="45.75" customHeight="1" x14ac:dyDescent="0.55000000000000004">
      <c r="A4" s="7" t="s">
        <v>10</v>
      </c>
      <c r="B4" s="7" t="s">
        <v>13</v>
      </c>
      <c r="C4" s="7" t="s">
        <v>14</v>
      </c>
      <c r="D4" s="8" t="s">
        <v>0</v>
      </c>
      <c r="E4" s="7" t="s">
        <v>11</v>
      </c>
      <c r="F4" s="8" t="s">
        <v>1</v>
      </c>
      <c r="G4" s="7" t="s">
        <v>12</v>
      </c>
      <c r="H4" s="7" t="s">
        <v>15</v>
      </c>
      <c r="I4" s="7" t="s">
        <v>2</v>
      </c>
    </row>
    <row r="5" spans="1:10" ht="22.5" customHeight="1" x14ac:dyDescent="0.55000000000000004">
      <c r="A5" s="9">
        <v>1</v>
      </c>
      <c r="B5" s="10" t="s">
        <v>125</v>
      </c>
      <c r="C5" s="64" t="s">
        <v>147</v>
      </c>
      <c r="D5" s="11" t="s">
        <v>17</v>
      </c>
      <c r="E5" s="12" t="s">
        <v>3</v>
      </c>
      <c r="F5" s="13">
        <v>10</v>
      </c>
      <c r="G5" s="14">
        <v>4980</v>
      </c>
      <c r="H5" s="15">
        <f t="shared" ref="H5:H35" si="0">SUM(F5*G5)</f>
        <v>49800</v>
      </c>
      <c r="I5" s="16"/>
    </row>
    <row r="6" spans="1:10" ht="22.5" customHeight="1" x14ac:dyDescent="0.55000000000000004">
      <c r="A6" s="17">
        <v>2</v>
      </c>
      <c r="B6" s="18" t="s">
        <v>125</v>
      </c>
      <c r="C6" s="19" t="s">
        <v>18</v>
      </c>
      <c r="D6" s="20" t="s">
        <v>19</v>
      </c>
      <c r="E6" s="21" t="s">
        <v>3</v>
      </c>
      <c r="F6" s="22">
        <v>9</v>
      </c>
      <c r="G6" s="23">
        <v>3450</v>
      </c>
      <c r="H6" s="24">
        <f t="shared" si="0"/>
        <v>31050</v>
      </c>
      <c r="I6" s="7"/>
    </row>
    <row r="7" spans="1:10" ht="22.5" customHeight="1" x14ac:dyDescent="0.55000000000000004">
      <c r="A7" s="9">
        <v>3</v>
      </c>
      <c r="B7" s="18" t="s">
        <v>125</v>
      </c>
      <c r="C7" s="19" t="s">
        <v>20</v>
      </c>
      <c r="D7" s="20" t="s">
        <v>21</v>
      </c>
      <c r="E7" s="21" t="s">
        <v>3</v>
      </c>
      <c r="F7" s="25">
        <v>15</v>
      </c>
      <c r="G7" s="26">
        <v>34980</v>
      </c>
      <c r="H7" s="24">
        <f t="shared" si="0"/>
        <v>524700</v>
      </c>
      <c r="I7" s="7"/>
    </row>
    <row r="8" spans="1:10" ht="22.5" customHeight="1" x14ac:dyDescent="0.55000000000000004">
      <c r="A8" s="17">
        <v>4</v>
      </c>
      <c r="B8" s="18" t="s">
        <v>125</v>
      </c>
      <c r="C8" s="19" t="s">
        <v>22</v>
      </c>
      <c r="D8" s="19" t="s">
        <v>23</v>
      </c>
      <c r="E8" s="21" t="s">
        <v>3</v>
      </c>
      <c r="F8" s="27">
        <v>1</v>
      </c>
      <c r="G8" s="23">
        <v>84700</v>
      </c>
      <c r="H8" s="24">
        <f t="shared" si="0"/>
        <v>84700</v>
      </c>
      <c r="I8" s="7"/>
    </row>
    <row r="9" spans="1:10" ht="22.5" customHeight="1" x14ac:dyDescent="0.55000000000000004">
      <c r="A9" s="9">
        <v>5</v>
      </c>
      <c r="B9" s="18" t="s">
        <v>125</v>
      </c>
      <c r="C9" s="19" t="s">
        <v>24</v>
      </c>
      <c r="D9" s="19" t="s">
        <v>25</v>
      </c>
      <c r="E9" s="21" t="s">
        <v>3</v>
      </c>
      <c r="F9" s="27">
        <v>1</v>
      </c>
      <c r="G9" s="23">
        <v>29700</v>
      </c>
      <c r="H9" s="24">
        <f t="shared" si="0"/>
        <v>29700</v>
      </c>
      <c r="I9" s="7"/>
    </row>
    <row r="10" spans="1:10" ht="22.5" customHeight="1" x14ac:dyDescent="0.55000000000000004">
      <c r="A10" s="17">
        <v>6</v>
      </c>
      <c r="B10" s="18" t="s">
        <v>125</v>
      </c>
      <c r="C10" s="19" t="s">
        <v>26</v>
      </c>
      <c r="D10" s="19" t="s">
        <v>27</v>
      </c>
      <c r="E10" s="21" t="s">
        <v>3</v>
      </c>
      <c r="F10" s="27">
        <v>1</v>
      </c>
      <c r="G10" s="23">
        <v>199800</v>
      </c>
      <c r="H10" s="24">
        <f t="shared" si="0"/>
        <v>199800</v>
      </c>
      <c r="I10" s="7"/>
    </row>
    <row r="11" spans="1:10" ht="22.5" customHeight="1" x14ac:dyDescent="0.55000000000000004">
      <c r="A11" s="9">
        <v>7</v>
      </c>
      <c r="B11" s="18" t="s">
        <v>125</v>
      </c>
      <c r="C11" s="28" t="s">
        <v>28</v>
      </c>
      <c r="D11" s="28" t="s">
        <v>29</v>
      </c>
      <c r="E11" s="29" t="s">
        <v>3</v>
      </c>
      <c r="F11" s="30">
        <v>10</v>
      </c>
      <c r="G11" s="31">
        <v>5950</v>
      </c>
      <c r="H11" s="24">
        <f t="shared" si="0"/>
        <v>59500</v>
      </c>
      <c r="I11" s="7"/>
    </row>
    <row r="12" spans="1:10" ht="22.5" customHeight="1" x14ac:dyDescent="0.55000000000000004">
      <c r="A12" s="17">
        <v>8</v>
      </c>
      <c r="B12" s="18" t="s">
        <v>125</v>
      </c>
      <c r="C12" s="19" t="s">
        <v>30</v>
      </c>
      <c r="D12" s="19" t="s">
        <v>31</v>
      </c>
      <c r="E12" s="21" t="s">
        <v>3</v>
      </c>
      <c r="F12" s="22">
        <v>4</v>
      </c>
      <c r="G12" s="23">
        <v>99950</v>
      </c>
      <c r="H12" s="24">
        <f t="shared" si="0"/>
        <v>399800</v>
      </c>
      <c r="I12" s="7"/>
    </row>
    <row r="13" spans="1:10" ht="22.5" customHeight="1" x14ac:dyDescent="0.55000000000000004">
      <c r="A13" s="9">
        <v>9</v>
      </c>
      <c r="B13" s="18" t="s">
        <v>125</v>
      </c>
      <c r="C13" s="19" t="s">
        <v>32</v>
      </c>
      <c r="D13" s="19" t="s">
        <v>33</v>
      </c>
      <c r="E13" s="32" t="s">
        <v>3</v>
      </c>
      <c r="F13" s="22">
        <v>1</v>
      </c>
      <c r="G13" s="23">
        <v>49700</v>
      </c>
      <c r="H13" s="24">
        <f t="shared" si="0"/>
        <v>49700</v>
      </c>
      <c r="I13" s="7"/>
    </row>
    <row r="14" spans="1:10" ht="22.5" customHeight="1" x14ac:dyDescent="0.55000000000000004">
      <c r="A14" s="17">
        <v>10</v>
      </c>
      <c r="B14" s="18" t="s">
        <v>125</v>
      </c>
      <c r="C14" s="19" t="s">
        <v>34</v>
      </c>
      <c r="D14" s="19" t="s">
        <v>35</v>
      </c>
      <c r="E14" s="32" t="s">
        <v>3</v>
      </c>
      <c r="F14" s="22">
        <v>10</v>
      </c>
      <c r="G14" s="23">
        <v>49980</v>
      </c>
      <c r="H14" s="24">
        <f t="shared" si="0"/>
        <v>499800</v>
      </c>
      <c r="I14" s="7"/>
    </row>
    <row r="15" spans="1:10" ht="22.5" customHeight="1" x14ac:dyDescent="0.55000000000000004">
      <c r="A15" s="9">
        <v>11</v>
      </c>
      <c r="B15" s="18" t="s">
        <v>125</v>
      </c>
      <c r="C15" s="19" t="s">
        <v>36</v>
      </c>
      <c r="D15" s="20" t="s">
        <v>37</v>
      </c>
      <c r="E15" s="32" t="s">
        <v>3</v>
      </c>
      <c r="F15" s="22">
        <v>4</v>
      </c>
      <c r="G15" s="23">
        <v>2300</v>
      </c>
      <c r="H15" s="24">
        <f t="shared" si="0"/>
        <v>9200</v>
      </c>
      <c r="I15" s="7"/>
    </row>
    <row r="16" spans="1:10" ht="22.5" customHeight="1" x14ac:dyDescent="0.55000000000000004">
      <c r="A16" s="17">
        <v>12</v>
      </c>
      <c r="B16" s="32">
        <v>2540</v>
      </c>
      <c r="C16" s="19" t="s">
        <v>38</v>
      </c>
      <c r="D16" s="19" t="s">
        <v>23</v>
      </c>
      <c r="E16" s="32" t="s">
        <v>3</v>
      </c>
      <c r="F16" s="22">
        <v>5</v>
      </c>
      <c r="G16" s="23">
        <v>74500</v>
      </c>
      <c r="H16" s="24">
        <f t="shared" si="0"/>
        <v>372500</v>
      </c>
      <c r="I16" s="7"/>
    </row>
    <row r="17" spans="1:9" ht="22.5" customHeight="1" x14ac:dyDescent="0.55000000000000004">
      <c r="A17" s="9">
        <v>13</v>
      </c>
      <c r="B17" s="32">
        <v>2540</v>
      </c>
      <c r="C17" s="19" t="s">
        <v>39</v>
      </c>
      <c r="D17" s="19" t="s">
        <v>40</v>
      </c>
      <c r="E17" s="32" t="s">
        <v>3</v>
      </c>
      <c r="F17" s="22">
        <v>4</v>
      </c>
      <c r="G17" s="23">
        <v>29853</v>
      </c>
      <c r="H17" s="24">
        <f t="shared" si="0"/>
        <v>119412</v>
      </c>
      <c r="I17" s="7"/>
    </row>
    <row r="18" spans="1:9" ht="22.5" customHeight="1" x14ac:dyDescent="0.55000000000000004">
      <c r="A18" s="17">
        <v>14</v>
      </c>
      <c r="B18" s="32">
        <v>2540</v>
      </c>
      <c r="C18" s="19" t="s">
        <v>41</v>
      </c>
      <c r="D18" s="19" t="s">
        <v>42</v>
      </c>
      <c r="E18" s="32" t="s">
        <v>3</v>
      </c>
      <c r="F18" s="22">
        <v>2</v>
      </c>
      <c r="G18" s="23">
        <v>50000</v>
      </c>
      <c r="H18" s="24">
        <f t="shared" si="0"/>
        <v>100000</v>
      </c>
      <c r="I18" s="7"/>
    </row>
    <row r="19" spans="1:9" ht="22.5" customHeight="1" x14ac:dyDescent="0.55000000000000004">
      <c r="A19" s="9">
        <v>15</v>
      </c>
      <c r="B19" s="32">
        <v>2540</v>
      </c>
      <c r="C19" s="19" t="s">
        <v>43</v>
      </c>
      <c r="D19" s="19" t="s">
        <v>44</v>
      </c>
      <c r="E19" s="32" t="s">
        <v>3</v>
      </c>
      <c r="F19" s="22">
        <v>2</v>
      </c>
      <c r="G19" s="23">
        <v>75000</v>
      </c>
      <c r="H19" s="24">
        <f t="shared" si="0"/>
        <v>150000</v>
      </c>
      <c r="I19" s="7"/>
    </row>
    <row r="20" spans="1:9" ht="22.5" customHeight="1" x14ac:dyDescent="0.55000000000000004">
      <c r="A20" s="17">
        <v>16</v>
      </c>
      <c r="B20" s="32">
        <v>2540</v>
      </c>
      <c r="C20" s="19" t="s">
        <v>45</v>
      </c>
      <c r="D20" s="19" t="s">
        <v>46</v>
      </c>
      <c r="E20" s="32" t="s">
        <v>3</v>
      </c>
      <c r="F20" s="22">
        <v>2</v>
      </c>
      <c r="G20" s="23">
        <v>50000</v>
      </c>
      <c r="H20" s="24">
        <f t="shared" si="0"/>
        <v>100000</v>
      </c>
      <c r="I20" s="7"/>
    </row>
    <row r="21" spans="1:9" ht="22.5" customHeight="1" x14ac:dyDescent="0.55000000000000004">
      <c r="A21" s="9">
        <v>17</v>
      </c>
      <c r="B21" s="32">
        <v>2540</v>
      </c>
      <c r="C21" s="19" t="s">
        <v>47</v>
      </c>
      <c r="D21" s="19" t="s">
        <v>48</v>
      </c>
      <c r="E21" s="32" t="s">
        <v>3</v>
      </c>
      <c r="F21" s="22">
        <v>2</v>
      </c>
      <c r="G21" s="23">
        <v>50000</v>
      </c>
      <c r="H21" s="24">
        <f t="shared" si="0"/>
        <v>100000</v>
      </c>
      <c r="I21" s="7"/>
    </row>
    <row r="22" spans="1:9" ht="22.5" customHeight="1" x14ac:dyDescent="0.55000000000000004">
      <c r="A22" s="17">
        <v>18</v>
      </c>
      <c r="B22" s="32">
        <v>2540</v>
      </c>
      <c r="C22" s="19" t="s">
        <v>49</v>
      </c>
      <c r="D22" s="19" t="s">
        <v>50</v>
      </c>
      <c r="E22" s="32" t="s">
        <v>3</v>
      </c>
      <c r="F22" s="22">
        <v>5</v>
      </c>
      <c r="G22" s="23">
        <v>67987.8</v>
      </c>
      <c r="H22" s="24">
        <f t="shared" si="0"/>
        <v>339939</v>
      </c>
      <c r="I22" s="7"/>
    </row>
    <row r="23" spans="1:9" ht="22.5" customHeight="1" x14ac:dyDescent="0.55000000000000004">
      <c r="A23" s="9">
        <v>19</v>
      </c>
      <c r="B23" s="32">
        <v>2540</v>
      </c>
      <c r="C23" s="19" t="s">
        <v>51</v>
      </c>
      <c r="D23" s="19" t="s">
        <v>52</v>
      </c>
      <c r="E23" s="32" t="s">
        <v>3</v>
      </c>
      <c r="F23" s="22">
        <v>2</v>
      </c>
      <c r="G23" s="23">
        <v>59385</v>
      </c>
      <c r="H23" s="24">
        <f t="shared" si="0"/>
        <v>118770</v>
      </c>
      <c r="I23" s="7"/>
    </row>
    <row r="24" spans="1:9" ht="22.5" customHeight="1" x14ac:dyDescent="0.55000000000000004">
      <c r="A24" s="17">
        <v>20</v>
      </c>
      <c r="B24" s="32">
        <v>2540</v>
      </c>
      <c r="C24" s="19" t="s">
        <v>53</v>
      </c>
      <c r="D24" s="20" t="s">
        <v>54</v>
      </c>
      <c r="E24" s="21" t="s">
        <v>3</v>
      </c>
      <c r="F24" s="22">
        <v>10</v>
      </c>
      <c r="G24" s="23">
        <v>57780</v>
      </c>
      <c r="H24" s="24">
        <f t="shared" si="0"/>
        <v>577800</v>
      </c>
      <c r="I24" s="7"/>
    </row>
    <row r="25" spans="1:9" ht="22.5" customHeight="1" x14ac:dyDescent="0.55000000000000004">
      <c r="A25" s="9">
        <v>21</v>
      </c>
      <c r="B25" s="32">
        <v>2540</v>
      </c>
      <c r="C25" s="19" t="s">
        <v>55</v>
      </c>
      <c r="D25" s="20" t="s">
        <v>56</v>
      </c>
      <c r="E25" s="21" t="s">
        <v>3</v>
      </c>
      <c r="F25" s="22">
        <v>10</v>
      </c>
      <c r="G25" s="23">
        <v>57780</v>
      </c>
      <c r="H25" s="24">
        <f t="shared" si="0"/>
        <v>577800</v>
      </c>
      <c r="I25" s="7"/>
    </row>
    <row r="26" spans="1:9" ht="22.5" customHeight="1" x14ac:dyDescent="0.55000000000000004">
      <c r="A26" s="17">
        <v>22</v>
      </c>
      <c r="B26" s="18" t="s">
        <v>126</v>
      </c>
      <c r="C26" s="19" t="s">
        <v>57</v>
      </c>
      <c r="D26" s="20" t="s">
        <v>58</v>
      </c>
      <c r="E26" s="21" t="s">
        <v>3</v>
      </c>
      <c r="F26" s="22">
        <v>2</v>
      </c>
      <c r="G26" s="23">
        <v>79400</v>
      </c>
      <c r="H26" s="24">
        <f t="shared" si="0"/>
        <v>158800</v>
      </c>
      <c r="I26" s="7"/>
    </row>
    <row r="27" spans="1:9" ht="22.5" customHeight="1" x14ac:dyDescent="0.55000000000000004">
      <c r="A27" s="9">
        <v>23</v>
      </c>
      <c r="B27" s="18" t="s">
        <v>126</v>
      </c>
      <c r="C27" s="19" t="s">
        <v>59</v>
      </c>
      <c r="D27" s="20" t="s">
        <v>60</v>
      </c>
      <c r="E27" s="21" t="s">
        <v>3</v>
      </c>
      <c r="F27" s="22">
        <v>4</v>
      </c>
      <c r="G27" s="23">
        <v>23500</v>
      </c>
      <c r="H27" s="24">
        <f t="shared" si="0"/>
        <v>94000</v>
      </c>
      <c r="I27" s="7"/>
    </row>
    <row r="28" spans="1:9" ht="22.5" customHeight="1" x14ac:dyDescent="0.55000000000000004">
      <c r="A28" s="17">
        <v>24</v>
      </c>
      <c r="B28" s="18" t="s">
        <v>126</v>
      </c>
      <c r="C28" s="19" t="s">
        <v>61</v>
      </c>
      <c r="D28" s="20" t="s">
        <v>62</v>
      </c>
      <c r="E28" s="21" t="s">
        <v>3</v>
      </c>
      <c r="F28" s="22">
        <v>4</v>
      </c>
      <c r="G28" s="23">
        <v>39550</v>
      </c>
      <c r="H28" s="24">
        <f t="shared" si="0"/>
        <v>158200</v>
      </c>
      <c r="I28" s="7"/>
    </row>
    <row r="29" spans="1:9" ht="22.5" customHeight="1" x14ac:dyDescent="0.55000000000000004">
      <c r="A29" s="9">
        <v>25</v>
      </c>
      <c r="B29" s="18" t="s">
        <v>126</v>
      </c>
      <c r="C29" s="19" t="s">
        <v>63</v>
      </c>
      <c r="D29" s="20" t="s">
        <v>64</v>
      </c>
      <c r="E29" s="21" t="s">
        <v>3</v>
      </c>
      <c r="F29" s="22">
        <v>2</v>
      </c>
      <c r="G29" s="23">
        <v>12700</v>
      </c>
      <c r="H29" s="24">
        <f t="shared" si="0"/>
        <v>25400</v>
      </c>
      <c r="I29" s="7"/>
    </row>
    <row r="30" spans="1:9" ht="22.5" customHeight="1" x14ac:dyDescent="0.55000000000000004">
      <c r="A30" s="17">
        <v>26</v>
      </c>
      <c r="B30" s="33" t="s">
        <v>127</v>
      </c>
      <c r="C30" s="19" t="s">
        <v>65</v>
      </c>
      <c r="D30" s="20" t="s">
        <v>66</v>
      </c>
      <c r="E30" s="21" t="s">
        <v>4</v>
      </c>
      <c r="F30" s="22">
        <v>1</v>
      </c>
      <c r="G30" s="34">
        <v>4400</v>
      </c>
      <c r="H30" s="24">
        <f t="shared" si="0"/>
        <v>4400</v>
      </c>
      <c r="I30" s="7"/>
    </row>
    <row r="31" spans="1:9" ht="22.5" customHeight="1" x14ac:dyDescent="0.55000000000000004">
      <c r="A31" s="9">
        <v>27</v>
      </c>
      <c r="B31" s="33" t="s">
        <v>127</v>
      </c>
      <c r="C31" s="19" t="s">
        <v>67</v>
      </c>
      <c r="D31" s="20" t="s">
        <v>68</v>
      </c>
      <c r="E31" s="21" t="s">
        <v>3</v>
      </c>
      <c r="F31" s="22">
        <v>10</v>
      </c>
      <c r="G31" s="23">
        <v>1605</v>
      </c>
      <c r="H31" s="24">
        <f t="shared" si="0"/>
        <v>16050</v>
      </c>
      <c r="I31" s="7"/>
    </row>
    <row r="32" spans="1:9" ht="22.5" customHeight="1" x14ac:dyDescent="0.55000000000000004">
      <c r="A32" s="17">
        <v>28</v>
      </c>
      <c r="B32" s="33" t="s">
        <v>127</v>
      </c>
      <c r="C32" s="28" t="s">
        <v>69</v>
      </c>
      <c r="D32" s="35" t="s">
        <v>70</v>
      </c>
      <c r="E32" s="29" t="s">
        <v>4</v>
      </c>
      <c r="F32" s="36">
        <v>1</v>
      </c>
      <c r="G32" s="31">
        <v>7490</v>
      </c>
      <c r="H32" s="24">
        <f t="shared" si="0"/>
        <v>7490</v>
      </c>
      <c r="I32" s="7"/>
    </row>
    <row r="33" spans="1:9" ht="22.5" customHeight="1" x14ac:dyDescent="0.55000000000000004">
      <c r="A33" s="9">
        <v>29</v>
      </c>
      <c r="B33" s="33" t="s">
        <v>127</v>
      </c>
      <c r="C33" s="19" t="s">
        <v>71</v>
      </c>
      <c r="D33" s="37" t="s">
        <v>72</v>
      </c>
      <c r="E33" s="21" t="s">
        <v>4</v>
      </c>
      <c r="F33" s="22">
        <v>1</v>
      </c>
      <c r="G33" s="23">
        <v>5990</v>
      </c>
      <c r="H33" s="24">
        <f t="shared" si="0"/>
        <v>5990</v>
      </c>
      <c r="I33" s="7"/>
    </row>
    <row r="34" spans="1:9" ht="22.5" customHeight="1" x14ac:dyDescent="0.55000000000000004">
      <c r="A34" s="17">
        <v>30</v>
      </c>
      <c r="B34" s="33" t="s">
        <v>127</v>
      </c>
      <c r="C34" s="19" t="s">
        <v>73</v>
      </c>
      <c r="D34" s="20" t="s">
        <v>74</v>
      </c>
      <c r="E34" s="21" t="s">
        <v>4</v>
      </c>
      <c r="F34" s="22">
        <v>1</v>
      </c>
      <c r="G34" s="23">
        <v>3600</v>
      </c>
      <c r="H34" s="38">
        <f t="shared" si="0"/>
        <v>3600</v>
      </c>
      <c r="I34" s="7"/>
    </row>
    <row r="35" spans="1:9" ht="22.5" customHeight="1" x14ac:dyDescent="0.55000000000000004">
      <c r="A35" s="9">
        <v>31</v>
      </c>
      <c r="B35" s="33" t="s">
        <v>127</v>
      </c>
      <c r="C35" s="19" t="s">
        <v>75</v>
      </c>
      <c r="D35" s="20" t="s">
        <v>76</v>
      </c>
      <c r="E35" s="21" t="s">
        <v>4</v>
      </c>
      <c r="F35" s="22">
        <v>1</v>
      </c>
      <c r="G35" s="23">
        <v>10990</v>
      </c>
      <c r="H35" s="38">
        <f t="shared" si="0"/>
        <v>10990</v>
      </c>
      <c r="I35" s="7"/>
    </row>
    <row r="36" spans="1:9" ht="22.5" customHeight="1" x14ac:dyDescent="0.55000000000000004">
      <c r="A36" s="17">
        <v>32</v>
      </c>
      <c r="B36" s="32">
        <v>2546</v>
      </c>
      <c r="C36" s="19" t="s">
        <v>79</v>
      </c>
      <c r="D36" s="20" t="s">
        <v>80</v>
      </c>
      <c r="E36" s="32" t="s">
        <v>3</v>
      </c>
      <c r="F36" s="22">
        <v>1</v>
      </c>
      <c r="G36" s="23">
        <v>65000</v>
      </c>
      <c r="H36" s="24">
        <f t="shared" ref="H36:H51" si="1">SUM(F36*G36)</f>
        <v>65000</v>
      </c>
      <c r="I36" s="7"/>
    </row>
    <row r="37" spans="1:9" ht="22.5" customHeight="1" x14ac:dyDescent="0.55000000000000004">
      <c r="A37" s="9">
        <v>33</v>
      </c>
      <c r="B37" s="32">
        <v>2546</v>
      </c>
      <c r="C37" s="39" t="s">
        <v>81</v>
      </c>
      <c r="D37" s="40" t="s">
        <v>17</v>
      </c>
      <c r="E37" s="41" t="s">
        <v>4</v>
      </c>
      <c r="F37" s="42">
        <v>11</v>
      </c>
      <c r="G37" s="43">
        <v>350</v>
      </c>
      <c r="H37" s="24">
        <f t="shared" si="1"/>
        <v>3850</v>
      </c>
      <c r="I37" s="7"/>
    </row>
    <row r="38" spans="1:9" ht="22.5" customHeight="1" x14ac:dyDescent="0.55000000000000004">
      <c r="A38" s="17">
        <v>34</v>
      </c>
      <c r="B38" s="32">
        <v>2546</v>
      </c>
      <c r="C38" s="19" t="s">
        <v>82</v>
      </c>
      <c r="D38" s="20" t="s">
        <v>83</v>
      </c>
      <c r="E38" s="32" t="s">
        <v>4</v>
      </c>
      <c r="F38" s="22">
        <v>25</v>
      </c>
      <c r="G38" s="23">
        <v>2490</v>
      </c>
      <c r="H38" s="24">
        <f t="shared" si="1"/>
        <v>62250</v>
      </c>
      <c r="I38" s="7"/>
    </row>
    <row r="39" spans="1:9" ht="22.5" customHeight="1" x14ac:dyDescent="0.55000000000000004">
      <c r="A39" s="9">
        <v>35</v>
      </c>
      <c r="B39" s="32">
        <v>2546</v>
      </c>
      <c r="C39" s="19" t="s">
        <v>84</v>
      </c>
      <c r="D39" s="20" t="s">
        <v>85</v>
      </c>
      <c r="E39" s="32" t="s">
        <v>4</v>
      </c>
      <c r="F39" s="22">
        <v>3</v>
      </c>
      <c r="G39" s="23">
        <v>7080</v>
      </c>
      <c r="H39" s="24">
        <f t="shared" si="1"/>
        <v>21240</v>
      </c>
      <c r="I39" s="7"/>
    </row>
    <row r="40" spans="1:9" ht="22.5" customHeight="1" x14ac:dyDescent="0.55000000000000004">
      <c r="A40" s="17">
        <v>36</v>
      </c>
      <c r="B40" s="32">
        <v>2546</v>
      </c>
      <c r="C40" s="19" t="s">
        <v>86</v>
      </c>
      <c r="D40" s="20" t="s">
        <v>87</v>
      </c>
      <c r="E40" s="32" t="s">
        <v>4</v>
      </c>
      <c r="F40" s="22">
        <v>1</v>
      </c>
      <c r="G40" s="23">
        <v>5940</v>
      </c>
      <c r="H40" s="24">
        <f t="shared" si="1"/>
        <v>5940</v>
      </c>
      <c r="I40" s="7"/>
    </row>
    <row r="41" spans="1:9" ht="22.5" customHeight="1" x14ac:dyDescent="0.55000000000000004">
      <c r="A41" s="9">
        <v>37</v>
      </c>
      <c r="B41" s="18" t="s">
        <v>128</v>
      </c>
      <c r="C41" s="19" t="s">
        <v>88</v>
      </c>
      <c r="D41" s="20" t="s">
        <v>89</v>
      </c>
      <c r="E41" s="21" t="s">
        <v>3</v>
      </c>
      <c r="F41" s="22">
        <v>1</v>
      </c>
      <c r="G41" s="23">
        <v>149500</v>
      </c>
      <c r="H41" s="24">
        <f t="shared" si="1"/>
        <v>149500</v>
      </c>
      <c r="I41" s="7"/>
    </row>
    <row r="42" spans="1:9" ht="22.5" customHeight="1" x14ac:dyDescent="0.55000000000000004">
      <c r="A42" s="17">
        <v>38</v>
      </c>
      <c r="B42" s="44" t="s">
        <v>129</v>
      </c>
      <c r="C42" s="19" t="s">
        <v>90</v>
      </c>
      <c r="D42" s="20" t="s">
        <v>91</v>
      </c>
      <c r="E42" s="21" t="s">
        <v>4</v>
      </c>
      <c r="F42" s="22">
        <v>1</v>
      </c>
      <c r="G42" s="23">
        <v>7383</v>
      </c>
      <c r="H42" s="24">
        <f t="shared" si="1"/>
        <v>7383</v>
      </c>
      <c r="I42" s="7"/>
    </row>
    <row r="43" spans="1:9" ht="22.5" customHeight="1" x14ac:dyDescent="0.55000000000000004">
      <c r="A43" s="9">
        <v>39</v>
      </c>
      <c r="B43" s="44" t="s">
        <v>129</v>
      </c>
      <c r="C43" s="19" t="s">
        <v>92</v>
      </c>
      <c r="D43" s="20" t="s">
        <v>93</v>
      </c>
      <c r="E43" s="32" t="s">
        <v>4</v>
      </c>
      <c r="F43" s="22">
        <v>4</v>
      </c>
      <c r="G43" s="23">
        <v>2075.8000000000002</v>
      </c>
      <c r="H43" s="24">
        <f t="shared" si="1"/>
        <v>8303.2000000000007</v>
      </c>
      <c r="I43" s="7"/>
    </row>
    <row r="44" spans="1:9" ht="22.5" customHeight="1" x14ac:dyDescent="0.55000000000000004">
      <c r="A44" s="17">
        <v>40</v>
      </c>
      <c r="B44" s="44" t="s">
        <v>129</v>
      </c>
      <c r="C44" s="19" t="s">
        <v>94</v>
      </c>
      <c r="D44" s="45" t="s">
        <v>95</v>
      </c>
      <c r="E44" s="32" t="s">
        <v>4</v>
      </c>
      <c r="F44" s="22">
        <v>4</v>
      </c>
      <c r="G44" s="23">
        <v>5917.1</v>
      </c>
      <c r="H44" s="24">
        <f t="shared" si="1"/>
        <v>23668.400000000001</v>
      </c>
      <c r="I44" s="7"/>
    </row>
    <row r="45" spans="1:9" ht="22.5" customHeight="1" x14ac:dyDescent="0.55000000000000004">
      <c r="A45" s="9">
        <v>41</v>
      </c>
      <c r="B45" s="44" t="s">
        <v>129</v>
      </c>
      <c r="C45" s="19" t="s">
        <v>96</v>
      </c>
      <c r="D45" s="45" t="s">
        <v>97</v>
      </c>
      <c r="E45" s="32" t="s">
        <v>4</v>
      </c>
      <c r="F45" s="22">
        <v>1</v>
      </c>
      <c r="G45" s="23">
        <v>16050</v>
      </c>
      <c r="H45" s="24">
        <f t="shared" si="1"/>
        <v>16050</v>
      </c>
      <c r="I45" s="7"/>
    </row>
    <row r="46" spans="1:9" ht="22.5" customHeight="1" x14ac:dyDescent="0.55000000000000004">
      <c r="A46" s="78" t="s">
        <v>77</v>
      </c>
      <c r="B46" s="78"/>
      <c r="C46" s="78"/>
      <c r="D46" s="45"/>
      <c r="E46" s="32"/>
      <c r="F46" s="22"/>
      <c r="G46" s="23"/>
      <c r="H46" s="38">
        <f>SUM(H5:H45)</f>
        <v>5342075.6000000006</v>
      </c>
      <c r="I46" s="7"/>
    </row>
    <row r="47" spans="1:9" ht="22.5" customHeight="1" x14ac:dyDescent="0.55000000000000004">
      <c r="A47" s="65"/>
      <c r="B47" s="65"/>
      <c r="C47" s="65"/>
      <c r="D47" s="66"/>
      <c r="E47" s="6"/>
      <c r="F47" s="67"/>
      <c r="G47" s="68"/>
      <c r="H47" s="69"/>
      <c r="I47" s="70"/>
    </row>
    <row r="48" spans="1:9" ht="22.5" customHeight="1" x14ac:dyDescent="0.55000000000000004">
      <c r="A48" s="71"/>
      <c r="B48" s="65"/>
      <c r="C48" s="65"/>
      <c r="D48" s="66"/>
      <c r="E48" s="6"/>
      <c r="F48" s="67"/>
      <c r="G48" s="68"/>
      <c r="H48" s="69"/>
      <c r="I48" s="70"/>
    </row>
    <row r="49" spans="1:11" ht="22.5" customHeight="1" x14ac:dyDescent="0.55000000000000004">
      <c r="A49" s="78" t="s">
        <v>78</v>
      </c>
      <c r="B49" s="78"/>
      <c r="C49" s="78"/>
      <c r="D49" s="45"/>
      <c r="E49" s="32"/>
      <c r="F49" s="22"/>
      <c r="G49" s="23"/>
      <c r="H49" s="38">
        <v>5342075.6000000006</v>
      </c>
      <c r="I49" s="7"/>
    </row>
    <row r="50" spans="1:11" ht="22.5" customHeight="1" x14ac:dyDescent="0.55000000000000004">
      <c r="A50" s="17">
        <v>44</v>
      </c>
      <c r="B50" s="32">
        <v>2550</v>
      </c>
      <c r="C50" s="19" t="s">
        <v>98</v>
      </c>
      <c r="D50" s="20" t="s">
        <v>99</v>
      </c>
      <c r="E50" s="32" t="s">
        <v>100</v>
      </c>
      <c r="F50" s="22">
        <v>4</v>
      </c>
      <c r="G50" s="23">
        <v>3400</v>
      </c>
      <c r="H50" s="24">
        <f t="shared" si="1"/>
        <v>13600</v>
      </c>
      <c r="I50" s="46"/>
      <c r="J50" s="3"/>
    </row>
    <row r="51" spans="1:11" ht="22.5" customHeight="1" x14ac:dyDescent="0.55000000000000004">
      <c r="A51" s="17">
        <v>45</v>
      </c>
      <c r="B51" s="32">
        <v>2550</v>
      </c>
      <c r="C51" s="19" t="s">
        <v>101</v>
      </c>
      <c r="D51" s="20" t="s">
        <v>102</v>
      </c>
      <c r="E51" s="32" t="s">
        <v>4</v>
      </c>
      <c r="F51" s="22">
        <v>1</v>
      </c>
      <c r="G51" s="47">
        <v>21000</v>
      </c>
      <c r="H51" s="38">
        <f t="shared" si="1"/>
        <v>21000</v>
      </c>
      <c r="I51" s="46"/>
      <c r="J51" s="3"/>
    </row>
    <row r="52" spans="1:11" ht="22.5" customHeight="1" x14ac:dyDescent="0.55000000000000004">
      <c r="A52" s="17">
        <v>46</v>
      </c>
      <c r="B52" s="32">
        <v>2550</v>
      </c>
      <c r="C52" s="19" t="s">
        <v>103</v>
      </c>
      <c r="D52" s="20" t="s">
        <v>104</v>
      </c>
      <c r="E52" s="21" t="s">
        <v>4</v>
      </c>
      <c r="F52" s="22">
        <v>6</v>
      </c>
      <c r="G52" s="23">
        <v>2354</v>
      </c>
      <c r="H52" s="24">
        <f t="shared" ref="H52:H59" si="2">SUM(F52*G52)</f>
        <v>14124</v>
      </c>
      <c r="I52" s="46"/>
    </row>
    <row r="53" spans="1:11" ht="22.5" customHeight="1" x14ac:dyDescent="0.55000000000000004">
      <c r="A53" s="17">
        <v>47</v>
      </c>
      <c r="B53" s="18" t="s">
        <v>130</v>
      </c>
      <c r="C53" s="19" t="s">
        <v>105</v>
      </c>
      <c r="D53" s="20" t="s">
        <v>106</v>
      </c>
      <c r="E53" s="21" t="s">
        <v>3</v>
      </c>
      <c r="F53" s="22">
        <v>1</v>
      </c>
      <c r="G53" s="23">
        <v>29900</v>
      </c>
      <c r="H53" s="24">
        <f t="shared" si="2"/>
        <v>29900</v>
      </c>
      <c r="I53" s="46"/>
      <c r="K53" s="2"/>
    </row>
    <row r="54" spans="1:11" ht="22.5" customHeight="1" x14ac:dyDescent="0.55000000000000004">
      <c r="A54" s="17">
        <v>48</v>
      </c>
      <c r="B54" s="18" t="s">
        <v>130</v>
      </c>
      <c r="C54" s="19" t="s">
        <v>107</v>
      </c>
      <c r="D54" s="20" t="s">
        <v>108</v>
      </c>
      <c r="E54" s="21" t="s">
        <v>3</v>
      </c>
      <c r="F54" s="22">
        <v>2</v>
      </c>
      <c r="G54" s="23">
        <v>16900</v>
      </c>
      <c r="H54" s="24">
        <f t="shared" si="2"/>
        <v>33800</v>
      </c>
      <c r="I54" s="46"/>
      <c r="K54" s="2"/>
    </row>
    <row r="55" spans="1:11" ht="22.5" customHeight="1" x14ac:dyDescent="0.55000000000000004">
      <c r="A55" s="17">
        <v>49</v>
      </c>
      <c r="B55" s="18" t="s">
        <v>131</v>
      </c>
      <c r="C55" s="19" t="s">
        <v>109</v>
      </c>
      <c r="D55" s="20" t="s">
        <v>110</v>
      </c>
      <c r="E55" s="21" t="s">
        <v>3</v>
      </c>
      <c r="F55" s="22">
        <v>10</v>
      </c>
      <c r="G55" s="23">
        <v>34775</v>
      </c>
      <c r="H55" s="24">
        <f t="shared" si="2"/>
        <v>347750</v>
      </c>
      <c r="I55" s="32"/>
      <c r="K55" s="2"/>
    </row>
    <row r="56" spans="1:11" ht="22.5" customHeight="1" x14ac:dyDescent="0.55000000000000004">
      <c r="A56" s="17">
        <v>50</v>
      </c>
      <c r="B56" s="18" t="s">
        <v>131</v>
      </c>
      <c r="C56" s="19" t="s">
        <v>111</v>
      </c>
      <c r="D56" s="20" t="s">
        <v>112</v>
      </c>
      <c r="E56" s="21" t="s">
        <v>3</v>
      </c>
      <c r="F56" s="22">
        <v>1</v>
      </c>
      <c r="G56" s="23">
        <v>25000</v>
      </c>
      <c r="H56" s="24">
        <f t="shared" si="2"/>
        <v>25000</v>
      </c>
      <c r="I56" s="32"/>
      <c r="K56" s="2"/>
    </row>
    <row r="57" spans="1:11" ht="22.5" customHeight="1" x14ac:dyDescent="0.55000000000000004">
      <c r="A57" s="17">
        <v>51</v>
      </c>
      <c r="B57" s="18" t="s">
        <v>131</v>
      </c>
      <c r="C57" s="19" t="s">
        <v>113</v>
      </c>
      <c r="D57" s="20" t="s">
        <v>114</v>
      </c>
      <c r="E57" s="21" t="s">
        <v>3</v>
      </c>
      <c r="F57" s="22">
        <v>1</v>
      </c>
      <c r="G57" s="23">
        <v>300000</v>
      </c>
      <c r="H57" s="24">
        <f t="shared" si="2"/>
        <v>300000</v>
      </c>
      <c r="I57" s="32"/>
      <c r="K57" s="2"/>
    </row>
    <row r="58" spans="1:11" ht="22.5" customHeight="1" x14ac:dyDescent="0.55000000000000004">
      <c r="A58" s="17">
        <v>52</v>
      </c>
      <c r="B58" s="18" t="s">
        <v>131</v>
      </c>
      <c r="C58" s="19" t="s">
        <v>115</v>
      </c>
      <c r="D58" s="20" t="s">
        <v>116</v>
      </c>
      <c r="E58" s="21" t="s">
        <v>3</v>
      </c>
      <c r="F58" s="22">
        <v>1</v>
      </c>
      <c r="G58" s="23">
        <v>64000</v>
      </c>
      <c r="H58" s="24">
        <f t="shared" si="2"/>
        <v>64000</v>
      </c>
      <c r="I58" s="32"/>
    </row>
    <row r="59" spans="1:11" ht="22.5" customHeight="1" x14ac:dyDescent="0.55000000000000004">
      <c r="A59" s="17">
        <v>53</v>
      </c>
      <c r="B59" s="18" t="s">
        <v>131</v>
      </c>
      <c r="C59" s="19" t="s">
        <v>117</v>
      </c>
      <c r="D59" s="20" t="s">
        <v>118</v>
      </c>
      <c r="E59" s="21" t="s">
        <v>3</v>
      </c>
      <c r="F59" s="22">
        <v>1</v>
      </c>
      <c r="G59" s="23">
        <v>300000</v>
      </c>
      <c r="H59" s="24">
        <f t="shared" si="2"/>
        <v>300000</v>
      </c>
      <c r="I59" s="32"/>
    </row>
    <row r="60" spans="1:11" ht="22.5" customHeight="1" x14ac:dyDescent="0.55000000000000004">
      <c r="A60" s="17">
        <v>54</v>
      </c>
      <c r="B60" s="44" t="s">
        <v>119</v>
      </c>
      <c r="C60" s="19" t="s">
        <v>120</v>
      </c>
      <c r="D60" s="20" t="s">
        <v>121</v>
      </c>
      <c r="E60" s="21" t="s">
        <v>3</v>
      </c>
      <c r="F60" s="22">
        <v>1</v>
      </c>
      <c r="G60" s="47">
        <v>1494500</v>
      </c>
      <c r="H60" s="24">
        <f t="shared" ref="H60:H70" si="3">SUM(F60*G60)</f>
        <v>1494500</v>
      </c>
      <c r="I60" s="32"/>
    </row>
    <row r="61" spans="1:11" ht="22.5" customHeight="1" x14ac:dyDescent="0.55000000000000004">
      <c r="A61" s="17">
        <v>55</v>
      </c>
      <c r="B61" s="44" t="s">
        <v>123</v>
      </c>
      <c r="C61" s="19" t="s">
        <v>134</v>
      </c>
      <c r="D61" s="20" t="s">
        <v>124</v>
      </c>
      <c r="E61" s="21" t="s">
        <v>4</v>
      </c>
      <c r="F61" s="22">
        <v>1</v>
      </c>
      <c r="G61" s="47">
        <v>2690</v>
      </c>
      <c r="H61" s="24">
        <f t="shared" si="3"/>
        <v>2690</v>
      </c>
      <c r="I61" s="32"/>
    </row>
    <row r="62" spans="1:11" ht="22.5" customHeight="1" x14ac:dyDescent="0.55000000000000004">
      <c r="A62" s="17">
        <v>56</v>
      </c>
      <c r="B62" s="48">
        <v>23941</v>
      </c>
      <c r="C62" s="49" t="s">
        <v>136</v>
      </c>
      <c r="D62" s="50" t="s">
        <v>135</v>
      </c>
      <c r="E62" s="51" t="s">
        <v>4</v>
      </c>
      <c r="F62" s="52">
        <v>2</v>
      </c>
      <c r="G62" s="53">
        <v>29500</v>
      </c>
      <c r="H62" s="38">
        <f>SUM(F62*G62)</f>
        <v>59000</v>
      </c>
      <c r="I62" s="32"/>
    </row>
    <row r="63" spans="1:11" ht="22.5" customHeight="1" x14ac:dyDescent="0.55000000000000004">
      <c r="A63" s="17">
        <v>57</v>
      </c>
      <c r="B63" s="48">
        <v>23983</v>
      </c>
      <c r="C63" s="49" t="s">
        <v>133</v>
      </c>
      <c r="D63" s="50" t="s">
        <v>132</v>
      </c>
      <c r="E63" s="51" t="s">
        <v>4</v>
      </c>
      <c r="F63" s="52">
        <v>10</v>
      </c>
      <c r="G63" s="53">
        <v>550</v>
      </c>
      <c r="H63" s="38">
        <f t="shared" si="3"/>
        <v>5500</v>
      </c>
      <c r="I63" s="32"/>
    </row>
    <row r="64" spans="1:11" ht="22.5" customHeight="1" x14ac:dyDescent="0.55000000000000004">
      <c r="A64" s="17">
        <v>58</v>
      </c>
      <c r="B64" s="48">
        <v>243406</v>
      </c>
      <c r="C64" s="49" t="s">
        <v>137</v>
      </c>
      <c r="D64" s="50" t="s">
        <v>138</v>
      </c>
      <c r="E64" s="51" t="s">
        <v>4</v>
      </c>
      <c r="F64" s="52">
        <v>2</v>
      </c>
      <c r="G64" s="53">
        <v>23000</v>
      </c>
      <c r="H64" s="54">
        <f t="shared" si="3"/>
        <v>46000</v>
      </c>
      <c r="I64" s="55"/>
    </row>
    <row r="65" spans="1:10" ht="22.5" customHeight="1" x14ac:dyDescent="0.55000000000000004">
      <c r="A65" s="17">
        <v>59</v>
      </c>
      <c r="B65" s="48">
        <v>243406</v>
      </c>
      <c r="C65" s="49" t="s">
        <v>139</v>
      </c>
      <c r="D65" s="50" t="s">
        <v>140</v>
      </c>
      <c r="E65" s="51" t="s">
        <v>4</v>
      </c>
      <c r="F65" s="52">
        <v>1</v>
      </c>
      <c r="G65" s="53">
        <v>64500</v>
      </c>
      <c r="H65" s="38">
        <f t="shared" si="3"/>
        <v>64500</v>
      </c>
      <c r="I65" s="55"/>
    </row>
    <row r="66" spans="1:10" ht="22.5" customHeight="1" x14ac:dyDescent="0.55000000000000004">
      <c r="A66" s="17">
        <v>60</v>
      </c>
      <c r="B66" s="48">
        <v>243751</v>
      </c>
      <c r="C66" s="49" t="s">
        <v>141</v>
      </c>
      <c r="D66" s="50" t="s">
        <v>142</v>
      </c>
      <c r="E66" s="56" t="s">
        <v>4</v>
      </c>
      <c r="F66" s="52">
        <v>1</v>
      </c>
      <c r="G66" s="53">
        <v>48000</v>
      </c>
      <c r="H66" s="54">
        <f t="shared" si="3"/>
        <v>48000</v>
      </c>
      <c r="I66" s="55"/>
    </row>
    <row r="67" spans="1:10" ht="22.5" customHeight="1" x14ac:dyDescent="0.55000000000000004">
      <c r="A67" s="57"/>
      <c r="B67" s="48"/>
      <c r="C67" s="49"/>
      <c r="D67" s="50" t="s">
        <v>143</v>
      </c>
      <c r="E67" s="56"/>
      <c r="F67" s="52"/>
      <c r="G67" s="53"/>
      <c r="H67" s="54">
        <f t="shared" si="3"/>
        <v>0</v>
      </c>
      <c r="I67" s="55"/>
    </row>
    <row r="68" spans="1:10" ht="22.5" customHeight="1" x14ac:dyDescent="0.55000000000000004">
      <c r="A68" s="57">
        <v>61</v>
      </c>
      <c r="B68" s="48">
        <v>243751</v>
      </c>
      <c r="C68" s="49" t="s">
        <v>146</v>
      </c>
      <c r="D68" s="50" t="s">
        <v>144</v>
      </c>
      <c r="E68" s="56" t="s">
        <v>4</v>
      </c>
      <c r="F68" s="52">
        <v>1</v>
      </c>
      <c r="G68" s="53">
        <v>49900</v>
      </c>
      <c r="H68" s="54">
        <f t="shared" si="3"/>
        <v>49900</v>
      </c>
      <c r="I68" s="55"/>
    </row>
    <row r="69" spans="1:10" ht="22.5" customHeight="1" x14ac:dyDescent="0.55000000000000004">
      <c r="A69" s="57"/>
      <c r="B69" s="48"/>
      <c r="C69" s="58"/>
      <c r="D69" s="49" t="s">
        <v>145</v>
      </c>
      <c r="E69" s="56"/>
      <c r="F69" s="52"/>
      <c r="G69" s="53"/>
      <c r="H69" s="54">
        <f t="shared" si="3"/>
        <v>0</v>
      </c>
      <c r="I69" s="55"/>
    </row>
    <row r="70" spans="1:10" ht="22.5" customHeight="1" x14ac:dyDescent="0.55000000000000004">
      <c r="A70" s="57"/>
      <c r="B70" s="48"/>
      <c r="C70" s="49"/>
      <c r="D70" s="50"/>
      <c r="E70" s="56"/>
      <c r="F70" s="52"/>
      <c r="G70" s="53"/>
      <c r="H70" s="54">
        <f t="shared" si="3"/>
        <v>0</v>
      </c>
      <c r="I70" s="55"/>
    </row>
    <row r="71" spans="1:10" x14ac:dyDescent="0.55000000000000004">
      <c r="A71" s="75" t="s">
        <v>7</v>
      </c>
      <c r="B71" s="76"/>
      <c r="C71" s="76"/>
      <c r="D71" s="76"/>
      <c r="E71" s="77"/>
      <c r="F71" s="21"/>
      <c r="G71" s="59" t="s">
        <v>9</v>
      </c>
      <c r="H71" s="60">
        <f>SUM(H49:H70)</f>
        <v>8261339.6000000006</v>
      </c>
      <c r="I71" s="55"/>
    </row>
    <row r="72" spans="1:10" x14ac:dyDescent="0.55000000000000004">
      <c r="A72" s="6"/>
      <c r="B72" s="6"/>
      <c r="C72" s="6"/>
      <c r="D72" s="6"/>
      <c r="E72" s="6"/>
      <c r="F72" s="61"/>
      <c r="G72" s="62"/>
      <c r="H72" s="62"/>
      <c r="I72" s="63"/>
    </row>
    <row r="73" spans="1:10" x14ac:dyDescent="0.55000000000000004">
      <c r="A73" s="58"/>
      <c r="B73" s="58"/>
      <c r="C73" s="58"/>
      <c r="D73" s="58"/>
      <c r="E73" s="58"/>
      <c r="F73" s="61"/>
      <c r="G73" s="58"/>
      <c r="H73" s="58"/>
      <c r="I73" s="63"/>
    </row>
    <row r="74" spans="1:10" x14ac:dyDescent="0.55000000000000004">
      <c r="A74" s="58"/>
      <c r="B74" s="58"/>
      <c r="C74" s="58"/>
      <c r="D74" s="58"/>
      <c r="E74" s="58"/>
      <c r="F74" s="72" t="s">
        <v>5</v>
      </c>
      <c r="G74" s="72"/>
      <c r="H74" s="72"/>
      <c r="I74" s="72"/>
      <c r="J74" s="4"/>
    </row>
    <row r="75" spans="1:10" x14ac:dyDescent="0.55000000000000004">
      <c r="A75" s="58"/>
      <c r="B75" s="58"/>
      <c r="C75" s="58"/>
      <c r="D75" s="58"/>
      <c r="E75" s="58"/>
      <c r="F75" s="72" t="s">
        <v>122</v>
      </c>
      <c r="G75" s="72"/>
      <c r="H75" s="72"/>
      <c r="I75" s="72"/>
      <c r="J75" s="4"/>
    </row>
    <row r="76" spans="1:10" x14ac:dyDescent="0.55000000000000004">
      <c r="A76" s="58"/>
      <c r="B76" s="58"/>
      <c r="C76" s="58"/>
      <c r="D76" s="58"/>
      <c r="E76" s="58"/>
      <c r="F76" s="72" t="s">
        <v>6</v>
      </c>
      <c r="G76" s="72"/>
      <c r="H76" s="72"/>
      <c r="I76" s="72"/>
      <c r="J76" s="4"/>
    </row>
    <row r="77" spans="1:10" x14ac:dyDescent="0.55000000000000004">
      <c r="A77" s="58"/>
      <c r="B77" s="58"/>
      <c r="C77" s="58"/>
      <c r="D77" s="58"/>
      <c r="E77" s="58"/>
      <c r="F77" s="63"/>
      <c r="G77" s="63"/>
      <c r="H77" s="63"/>
      <c r="I77" s="63"/>
      <c r="J77" s="4"/>
    </row>
  </sheetData>
  <mergeCells count="9">
    <mergeCell ref="F76:I76"/>
    <mergeCell ref="A1:I1"/>
    <mergeCell ref="A2:I2"/>
    <mergeCell ref="A3:I3"/>
    <mergeCell ref="A71:E71"/>
    <mergeCell ref="F74:I74"/>
    <mergeCell ref="F75:I75"/>
    <mergeCell ref="A49:C49"/>
    <mergeCell ref="A46:C46"/>
  </mergeCells>
  <phoneticPr fontId="6" type="noConversion"/>
  <printOptions horizontalCentered="1"/>
  <pageMargins left="0.19685039370078741" right="0" top="0.59055118110236227" bottom="0.19685039370078741" header="0" footer="0"/>
  <pageSetup paperSize="9" scale="7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แผนกช่างอิเล็กทรอนิกส์</vt:lpstr>
      <vt:lpstr>แผนกช่างอิเล็กทรอนิกส์!Print_Titles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2025-11-03T03:29:38Z</cp:lastPrinted>
  <dcterms:created xsi:type="dcterms:W3CDTF">2017-11-14T01:32:33Z</dcterms:created>
  <dcterms:modified xsi:type="dcterms:W3CDTF">2025-11-03T03:44:59Z</dcterms:modified>
</cp:coreProperties>
</file>