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แผนก\"/>
    </mc:Choice>
  </mc:AlternateContent>
  <xr:revisionPtr revIDLastSave="0" documentId="13_ncr:1_{5BD3E13B-5F86-43D8-AC97-410A6C559F06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แผนกช่างเชื่อมโลหะ" sheetId="30" r:id="rId1"/>
  </sheets>
  <calcPr calcId="191029"/>
</workbook>
</file>

<file path=xl/calcChain.xml><?xml version="1.0" encoding="utf-8"?>
<calcChain xmlns="http://schemas.openxmlformats.org/spreadsheetml/2006/main">
  <c r="H32" i="30" l="1"/>
  <c r="H22" i="30"/>
  <c r="H31" i="30"/>
  <c r="H30" i="30"/>
  <c r="H29" i="30"/>
  <c r="H28" i="30"/>
  <c r="H27" i="30"/>
  <c r="H26" i="30"/>
  <c r="H25" i="30"/>
  <c r="H24" i="30"/>
  <c r="H5" i="30" l="1"/>
  <c r="H6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3" i="30"/>
  <c r="H33" i="30" l="1"/>
</calcChain>
</file>

<file path=xl/sharedStrings.xml><?xml version="1.0" encoding="utf-8"?>
<sst xmlns="http://schemas.openxmlformats.org/spreadsheetml/2006/main" count="121" uniqueCount="87">
  <si>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</si>
  <si>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</si>
  <si>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</si>
  <si>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</si>
  <si>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</si>
  <si>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</si>
  <si>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</si>
  <si>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</si>
  <si>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</si>
  <si>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3433-002-0002/391-001</t>
  </si>
  <si>
    <t>เครื่องตัดด้วยแก๊สแบบอัตโนมัติชนิดตัดตรง</t>
  </si>
  <si>
    <t>3441-007-0001/391-001</t>
  </si>
  <si>
    <t>เครื่องพับกล่อง ขนาด 1200  มม.</t>
  </si>
  <si>
    <t>3438-009-0001/391-001-391-010</t>
  </si>
  <si>
    <t>บู๊ชเชื่อมไฟฟ้า</t>
  </si>
  <si>
    <t>3455-007-0001/391-001</t>
  </si>
  <si>
    <t>เครื่องตัดแบบคันโยก</t>
  </si>
  <si>
    <t>3431-003-0001/391-001-391-010</t>
  </si>
  <si>
    <t>เครื่องเชื่อมไฟฟ้าแบบAC/DCขนาด250 A</t>
  </si>
  <si>
    <t>4710-007-0003/391-001-391-005</t>
  </si>
  <si>
    <t>ชุดท่อบรรจุแก๊ส ออกซิเจนขนาด40ลิตร</t>
  </si>
  <si>
    <t>7510-012-0001/391-001</t>
  </si>
  <si>
    <t>4530-001-0001/391-002</t>
  </si>
  <si>
    <t>เตาเผาหัวแร้งชนิดใช้แก๊ส</t>
  </si>
  <si>
    <t>3441-001-0001/461-001</t>
  </si>
  <si>
    <t>เครื่องดัดท่อแบบขับเคลื่อนด้วยมอเตอร์</t>
  </si>
  <si>
    <t>3445-002-0002/471-001</t>
  </si>
  <si>
    <t>เครื่องตัดอลูมิเนี่ยม</t>
  </si>
  <si>
    <t>7110-002-0006/492-077-078</t>
  </si>
  <si>
    <t>ตู้กระจก 2 บานเลื่อน 4 ฟุต</t>
  </si>
  <si>
    <t>3431-003-0002/502-001</t>
  </si>
  <si>
    <t>เครื่องเชื่อมไฟฟ้าINVERTER 2ระบบ</t>
  </si>
  <si>
    <t>3431-003-0004/511-001-002</t>
  </si>
  <si>
    <t>3431-003-0003/511-001-002</t>
  </si>
  <si>
    <t>3415-001-0003/511-001</t>
  </si>
  <si>
    <t>3445-002-0002/521-002</t>
  </si>
  <si>
    <t>3470-002-0003/531-009</t>
  </si>
  <si>
    <t>เครื่องเชื่อม  mig 200 พร้อมอุปกรณ์</t>
  </si>
  <si>
    <t>3470-002-0003/531-005-008</t>
  </si>
  <si>
    <t>เครื่องเชื่อม  orbit -220</t>
  </si>
  <si>
    <t>3431-003-0003/571-001-005</t>
  </si>
  <si>
    <t>เครื่องเชื่อมมิก ขนาด 250A</t>
  </si>
  <si>
    <t>ถังแก๊สหุ่งต้ม ขนาด 50 กก.พร้อมอุปกรณ์ปรับความดัน</t>
  </si>
  <si>
    <t>เครื่องเชื่อมทิก ขนาด 250 A WIM MODEL: TG300P</t>
  </si>
  <si>
    <t>เครื่องเชื่อมมิก ขนาด 250 A MODEL : KEMPOWELD 4000</t>
  </si>
  <si>
    <t>หินเจียระไนแบบตั้งพื้น SHINETOOL MODEL : GR12</t>
  </si>
  <si>
    <t>เครื่องไฟเบอร์ตัดเหล็ก Winner แผ่นตัด 16"
พร้อมมอเตอร์ฮิตาชิ ระบบไฟ 220 V 2 เฟส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</si>
  <si>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</si>
  <si>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</si>
  <si>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</si>
  <si>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</si>
  <si>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</si>
  <si>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</si>
  <si>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8 มิ.ย.64</t>
  </si>
  <si>
    <t>7440-010-0002/642-005(13)</t>
  </si>
  <si>
    <t>เครื่องพิมพ์เลเซอร์</t>
  </si>
  <si>
    <t>(นายจักรกฤษณ์  พันธ์ศรี)</t>
  </si>
  <si>
    <t>2539</t>
  </si>
  <si>
    <t>2552</t>
  </si>
  <si>
    <t>2553</t>
  </si>
  <si>
    <t>2557</t>
  </si>
  <si>
    <t>บัญชีรายการ  แผนกวิชาช่างเชื่อมโลหะ คงเหลือ</t>
  </si>
  <si>
    <t>11 ต.ค.64</t>
  </si>
  <si>
    <t>3431-003-0001/653-001(3)</t>
  </si>
  <si>
    <t>บริจาค</t>
  </si>
  <si>
    <t>3431-001-0001/653-001(8)</t>
  </si>
  <si>
    <t>3431-002-0001/653-001(3)</t>
  </si>
  <si>
    <t>เครื่องเชื่อม MIG/MAG 200A. 220V. Inverter Longwell</t>
  </si>
  <si>
    <t>เครื่องเชื่อม MMA 200A. 220V. Inverter Longwell</t>
  </si>
  <si>
    <t>เครื่องเชื่อม TIG/MMA 215A. 220V. Inverter Longwell</t>
  </si>
  <si>
    <t>29-ส.ค.-65</t>
  </si>
  <si>
    <t>เก้าอี้สแตนเลสหัวกลม</t>
  </si>
  <si>
    <t>7110-006-0005/652-031-040 (100)</t>
  </si>
  <si>
    <t>22-พ.ค.-66</t>
  </si>
  <si>
    <t>3220-003-0003/662-001</t>
  </si>
  <si>
    <t>เครื่องเลื่อยกลแบบชัก 14 นิ้ว</t>
  </si>
  <si>
    <t>12-มิ.ย.-66</t>
  </si>
  <si>
    <t>7440-001-0002/662-003-005</t>
  </si>
  <si>
    <t>เครื่องคอมพิวเตอร์ All In One</t>
  </si>
  <si>
    <t>14-มิ.ย.-66</t>
  </si>
  <si>
    <t>3431-002-0001/662-001</t>
  </si>
  <si>
    <t>เครื่องเชื่อมอากอนกระแสไฟฟ้า ขนาด 250A ชนิด inverter</t>
  </si>
  <si>
    <t xml:space="preserve">18 ม.ค. 67 </t>
  </si>
  <si>
    <t xml:space="preserve">3431 - 001 - 0001 / 676 - 001(2) </t>
  </si>
  <si>
    <t xml:space="preserve">เครื่องเชื่อม MMA300 A อินเวอร์เตอร์มีระบบ Arc Force และ Hot Start ขนาด 300 A  </t>
  </si>
  <si>
    <t>จรส.บ.</t>
  </si>
  <si>
    <t>ประจำปี 2568  ณ วันที่ 30 กันยายน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</si>
</sst>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sz val="16"/>
      <color rgb="FF2F75B5"/>
      <name val="TH SarabunPSK"/>
      <family val="2"/>
    </font>
    <font>
      <sz val="8"/>
      <name val="Tahoma"/>
      <family val="2"/>
      <charset val="222"/>
      <scheme val="minor"/>
    </font>
    <font>
      <sz val="16"/>
      <color theme="1"/>
      <name val="TH Sarabun New"/>
      <family val="2"/>
    </font>
    <font>
      <sz val="16"/>
      <name val="TH Sarabun New"/>
      <family val="2"/>
    </font>
    <font>
      <sz val="14"/>
      <name val="TH Sarabun New"/>
      <family val="2"/>
    </font>
    <font>
      <sz val="14"/>
      <color theme="1"/>
      <name val="TH Sarabun Ne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7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/>
    </xf>
    <xf numFmtId="0" fontId="8" fillId="0" borderId="6" xfId="6" applyFont="1" applyBorder="1" applyAlignment="1">
      <alignment horizontal="left"/>
    </xf>
    <xf numFmtId="0" fontId="8" fillId="0" borderId="1" xfId="6" applyFont="1" applyBorder="1"/>
    <xf numFmtId="0" fontId="8" fillId="0" borderId="1" xfId="2" applyFont="1" applyBorder="1" applyAlignment="1">
      <alignment horizontal="center"/>
    </xf>
    <xf numFmtId="0" fontId="8" fillId="0" borderId="2" xfId="6" applyFont="1" applyBorder="1" applyAlignment="1">
      <alignment horizontal="center"/>
    </xf>
    <xf numFmtId="43" fontId="8" fillId="0" borderId="1" xfId="1" applyFont="1" applyBorder="1"/>
    <xf numFmtId="43" fontId="8" fillId="0" borderId="1" xfId="12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6" applyFont="1" applyBorder="1" applyAlignment="1">
      <alignment horizontal="left"/>
    </xf>
    <xf numFmtId="0" fontId="8" fillId="0" borderId="6" xfId="6" applyFont="1" applyBorder="1"/>
    <xf numFmtId="0" fontId="8" fillId="0" borderId="7" xfId="6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6" applyFont="1" applyBorder="1"/>
    <xf numFmtId="0" fontId="8" fillId="0" borderId="1" xfId="8" applyFont="1" applyBorder="1" applyAlignment="1">
      <alignment horizontal="left"/>
    </xf>
    <xf numFmtId="0" fontId="8" fillId="0" borderId="1" xfId="8" applyFont="1" applyBorder="1"/>
    <xf numFmtId="0" fontId="8" fillId="0" borderId="1" xfId="8" applyFont="1" applyBorder="1" applyAlignment="1">
      <alignment horizontal="center"/>
    </xf>
    <xf numFmtId="43" fontId="8" fillId="0" borderId="1" xfId="1" applyFont="1" applyFill="1" applyBorder="1"/>
    <xf numFmtId="43" fontId="8" fillId="0" borderId="1" xfId="12" applyFont="1" applyFill="1" applyBorder="1" applyAlignment="1">
      <alignment horizontal="center"/>
    </xf>
    <xf numFmtId="49" fontId="7" fillId="4" borderId="1" xfId="0" applyNumberFormat="1" applyFont="1" applyFill="1" applyBorder="1" applyAlignment="1">
      <alignment horizontal="center"/>
    </xf>
    <xf numFmtId="0" fontId="7" fillId="4" borderId="1" xfId="8" applyFont="1" applyFill="1" applyBorder="1" applyAlignment="1">
      <alignment horizontal="left"/>
    </xf>
    <xf numFmtId="0" fontId="7" fillId="4" borderId="1" xfId="8" applyFont="1" applyFill="1" applyBorder="1"/>
    <xf numFmtId="0" fontId="7" fillId="4" borderId="1" xfId="2" applyFont="1" applyFill="1" applyBorder="1" applyAlignment="1">
      <alignment horizontal="center"/>
    </xf>
    <xf numFmtId="0" fontId="7" fillId="4" borderId="1" xfId="8" applyFont="1" applyFill="1" applyBorder="1" applyAlignment="1">
      <alignment horizontal="center"/>
    </xf>
    <xf numFmtId="43" fontId="7" fillId="4" borderId="1" xfId="1" applyFont="1" applyFill="1" applyBorder="1"/>
    <xf numFmtId="43" fontId="10" fillId="4" borderId="1" xfId="12" applyFont="1" applyFill="1" applyBorder="1" applyAlignment="1">
      <alignment horizontal="center"/>
    </xf>
    <xf numFmtId="0" fontId="8" fillId="2" borderId="1" xfId="6" applyFont="1" applyFill="1" applyBorder="1" applyAlignment="1">
      <alignment horizontal="left"/>
    </xf>
    <xf numFmtId="0" fontId="8" fillId="2" borderId="1" xfId="6" applyFont="1" applyFill="1" applyBorder="1"/>
    <xf numFmtId="0" fontId="8" fillId="2" borderId="1" xfId="2" applyFont="1" applyFill="1" applyBorder="1" applyAlignment="1">
      <alignment horizontal="center"/>
    </xf>
    <xf numFmtId="0" fontId="8" fillId="2" borderId="1" xfId="6" applyFont="1" applyFill="1" applyBorder="1" applyAlignment="1">
      <alignment horizontal="center"/>
    </xf>
    <xf numFmtId="43" fontId="8" fillId="2" borderId="1" xfId="1" applyFont="1" applyFill="1" applyBorder="1"/>
    <xf numFmtId="43" fontId="8" fillId="2" borderId="1" xfId="12" applyFont="1" applyFill="1" applyBorder="1" applyAlignment="1">
      <alignment horizontal="center"/>
    </xf>
    <xf numFmtId="49" fontId="8" fillId="2" borderId="1" xfId="13" applyNumberFormat="1" applyFont="1" applyFill="1" applyBorder="1" applyAlignment="1">
      <alignment horizontal="center"/>
    </xf>
    <xf numFmtId="0" fontId="8" fillId="2" borderId="5" xfId="6" applyFont="1" applyFill="1" applyBorder="1" applyAlignment="1">
      <alignment horizontal="center"/>
    </xf>
    <xf numFmtId="43" fontId="8" fillId="2" borderId="2" xfId="1" applyFont="1" applyFill="1" applyBorder="1"/>
    <xf numFmtId="43" fontId="8" fillId="2" borderId="4" xfId="12" applyFont="1" applyFill="1" applyBorder="1" applyAlignment="1">
      <alignment horizontal="center"/>
    </xf>
    <xf numFmtId="0" fontId="9" fillId="2" borderId="1" xfId="6" applyFont="1" applyFill="1" applyBorder="1"/>
    <xf numFmtId="15" fontId="8" fillId="2" borderId="1" xfId="6" applyNumberFormat="1" applyFont="1" applyFill="1" applyBorder="1" applyAlignment="1">
      <alignment horizontal="left"/>
    </xf>
    <xf numFmtId="0" fontId="9" fillId="2" borderId="1" xfId="6" applyFont="1" applyFill="1" applyBorder="1" applyAlignment="1">
      <alignment wrapText="1"/>
    </xf>
    <xf numFmtId="0" fontId="8" fillId="2" borderId="4" xfId="2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5" xfId="2" applyFont="1" applyBorder="1" applyAlignment="1">
      <alignment horizontal="center"/>
    </xf>
    <xf numFmtId="43" fontId="7" fillId="0" borderId="2" xfId="0" applyNumberFormat="1" applyFont="1" applyBorder="1"/>
    <xf numFmtId="43" fontId="7" fillId="0" borderId="1" xfId="0" applyNumberFormat="1" applyFont="1" applyBorder="1"/>
    <xf numFmtId="0" fontId="7" fillId="0" borderId="0" xfId="0" applyFont="1"/>
    <xf numFmtId="0" fontId="8" fillId="0" borderId="8" xfId="2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9" xfId="0" applyFont="1" applyBorder="1" applyAlignment="1">
      <alignment horizontal="center"/>
    </xf>
    <xf numFmtId="49" fontId="8" fillId="2" borderId="1" xfId="0" applyNumberFormat="1" applyFont="1" applyFill="1" applyBorder="1" applyAlignment="1">
      <alignment horizontal="center"/>
    </xf>
    <xf numFmtId="0" fontId="8" fillId="2" borderId="2" xfId="6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3" fillId="2" borderId="0" xfId="0" applyFont="1" applyFill="1"/>
    <xf numFmtId="49" fontId="8" fillId="2" borderId="1" xfId="0" applyNumberFormat="1" applyFont="1" applyFill="1" applyBorder="1" applyAlignment="1">
      <alignment horizontal="center" vertical="top"/>
    </xf>
    <xf numFmtId="0" fontId="8" fillId="2" borderId="1" xfId="6" applyFont="1" applyFill="1" applyBorder="1" applyAlignment="1">
      <alignment horizontal="left" vertical="top"/>
    </xf>
    <xf numFmtId="0" fontId="8" fillId="2" borderId="1" xfId="6" applyFont="1" applyFill="1" applyBorder="1" applyAlignment="1">
      <alignment vertical="top" wrapText="1"/>
    </xf>
    <xf numFmtId="0" fontId="8" fillId="2" borderId="1" xfId="2" applyFont="1" applyFill="1" applyBorder="1" applyAlignment="1">
      <alignment horizontal="center" vertical="top"/>
    </xf>
    <xf numFmtId="0" fontId="8" fillId="2" borderId="1" xfId="6" applyFont="1" applyFill="1" applyBorder="1" applyAlignment="1">
      <alignment horizontal="center" vertical="top"/>
    </xf>
    <xf numFmtId="43" fontId="8" fillId="2" borderId="1" xfId="1" applyFont="1" applyFill="1" applyBorder="1" applyAlignment="1">
      <alignment vertical="top"/>
    </xf>
    <xf numFmtId="43" fontId="8" fillId="2" borderId="1" xfId="12" applyFont="1" applyFill="1" applyBorder="1" applyAlignment="1">
      <alignment horizontal="center" vertical="top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70C0"/>
      <color rgb="FF2F75B5"/>
      <color rgb="FF99330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762000</xdr:colOff>
      <xdr:row>0</xdr:row>
      <xdr:rowOff>152400</xdr:rowOff>
    </xdr:from>
    <xdr:to>
      <xdr:col>8</xdr:col>
      <xdr:colOff>476250</xdr:colOff>
      <xdr:row>1</xdr:row>
      <xdr:rowOff>171450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8086725" y="152400"/>
          <a:ext cx="14573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I38"/>
  <sheetViews>
    <sheetView tabSelected="1" topLeftCell="A28" zoomScaleNormal="100" workbookViewId="0">
      <selection activeCell="D10" sqref="D10"/>
    </sheetView>
  </sheetViews>
  <sheetFormatPr defaultColWidth="9" defaultRowHeight="24" x14ac:dyDescent="0.55000000000000004"/>
  <cols>
    <col min="1" max="1" width="5.25" style="1" customWidth="1"/>
    <col min="2" max="2" width="10.75" style="1" customWidth="1"/>
    <col min="3" max="3" width="28.125" style="1" customWidth="1"/>
    <col min="4" max="4" width="45.875" style="1" customWidth="1"/>
    <col min="5" max="5" width="6.875" style="1" customWidth="1"/>
    <col min="6" max="6" width="6.375" style="1" customWidth="1"/>
    <col min="7" max="8" width="12" style="1" customWidth="1"/>
    <col min="9" max="9" width="8.25" style="2" customWidth="1"/>
    <col min="10" max="16384" width="9" style="1"/>
  </cols>
  <sheetData>
    <row r="1" spans="1:9" x14ac:dyDescent="0.55000000000000004">
      <c r="A1" s="53" t="s">
        <v>8</v>
      </c>
      <c r="B1" s="53"/>
      <c r="C1" s="53"/>
      <c r="D1" s="53"/>
      <c r="E1" s="53"/>
      <c r="F1" s="53"/>
      <c r="G1" s="53"/>
      <c r="H1" s="53"/>
      <c r="I1" s="53"/>
    </row>
    <row r="2" spans="1:9" x14ac:dyDescent="0.55000000000000004">
      <c r="A2" s="57" t="s">
        <v>61</v>
      </c>
      <c r="B2" s="57"/>
      <c r="C2" s="57"/>
      <c r="D2" s="57"/>
      <c r="E2" s="57"/>
      <c r="F2" s="57"/>
      <c r="G2" s="57"/>
      <c r="H2" s="57"/>
      <c r="I2" s="57"/>
    </row>
    <row r="3" spans="1:9" x14ac:dyDescent="0.55000000000000004">
      <c r="A3" s="58" t="s">
        <v>86</v>
      </c>
      <c r="B3" s="58"/>
      <c r="C3" s="58"/>
      <c r="D3" s="58"/>
      <c r="E3" s="58"/>
      <c r="F3" s="58"/>
      <c r="G3" s="58"/>
      <c r="H3" s="58"/>
      <c r="I3" s="58"/>
    </row>
    <row r="4" spans="1:9" ht="42.75" customHeight="1" x14ac:dyDescent="0.55000000000000004">
      <c r="A4" s="5" t="s">
        <v>47</v>
      </c>
      <c r="B4" s="5" t="s">
        <v>50</v>
      </c>
      <c r="C4" s="5" t="s">
        <v>51</v>
      </c>
      <c r="D4" s="6" t="s">
        <v>0</v>
      </c>
      <c r="E4" s="5" t="s">
        <v>48</v>
      </c>
      <c r="F4" s="6" t="s">
        <v>1</v>
      </c>
      <c r="G4" s="5" t="s">
        <v>49</v>
      </c>
      <c r="H4" s="5" t="s">
        <v>52</v>
      </c>
      <c r="I4" s="5" t="s">
        <v>2</v>
      </c>
    </row>
    <row r="5" spans="1:9" x14ac:dyDescent="0.55000000000000004">
      <c r="A5" s="7">
        <v>1</v>
      </c>
      <c r="B5" s="8" t="s">
        <v>57</v>
      </c>
      <c r="C5" s="9" t="s">
        <v>9</v>
      </c>
      <c r="D5" s="10" t="s">
        <v>10</v>
      </c>
      <c r="E5" s="11" t="s">
        <v>3</v>
      </c>
      <c r="F5" s="12">
        <v>1</v>
      </c>
      <c r="G5" s="13">
        <v>56074.76</v>
      </c>
      <c r="H5" s="13">
        <f t="shared" ref="H5:H31" si="0">SUM(F5*G5)</f>
        <v>56074.76</v>
      </c>
      <c r="I5" s="14"/>
    </row>
    <row r="6" spans="1:9" x14ac:dyDescent="0.55000000000000004">
      <c r="A6" s="15">
        <v>2</v>
      </c>
      <c r="B6" s="8" t="s">
        <v>57</v>
      </c>
      <c r="C6" s="9" t="s">
        <v>11</v>
      </c>
      <c r="D6" s="10" t="s">
        <v>12</v>
      </c>
      <c r="E6" s="11" t="s">
        <v>3</v>
      </c>
      <c r="F6" s="12">
        <v>1</v>
      </c>
      <c r="G6" s="13">
        <v>158700</v>
      </c>
      <c r="H6" s="13">
        <f t="shared" si="0"/>
        <v>158700</v>
      </c>
      <c r="I6" s="14"/>
    </row>
    <row r="7" spans="1:9" x14ac:dyDescent="0.55000000000000004">
      <c r="A7" s="7">
        <v>3</v>
      </c>
      <c r="B7" s="8" t="s">
        <v>57</v>
      </c>
      <c r="C7" s="9" t="s">
        <v>13</v>
      </c>
      <c r="D7" s="10" t="s">
        <v>14</v>
      </c>
      <c r="E7" s="11" t="s">
        <v>3</v>
      </c>
      <c r="F7" s="12">
        <v>10</v>
      </c>
      <c r="G7" s="13">
        <v>10000</v>
      </c>
      <c r="H7" s="13">
        <f t="shared" si="0"/>
        <v>100000</v>
      </c>
      <c r="I7" s="14"/>
    </row>
    <row r="8" spans="1:9" x14ac:dyDescent="0.55000000000000004">
      <c r="A8" s="15">
        <v>4</v>
      </c>
      <c r="B8" s="8" t="s">
        <v>57</v>
      </c>
      <c r="C8" s="9" t="s">
        <v>15</v>
      </c>
      <c r="D8" s="16" t="s">
        <v>16</v>
      </c>
      <c r="E8" s="11" t="s">
        <v>3</v>
      </c>
      <c r="F8" s="12">
        <v>1</v>
      </c>
      <c r="G8" s="13">
        <v>59920</v>
      </c>
      <c r="H8" s="13">
        <f t="shared" si="0"/>
        <v>59920</v>
      </c>
      <c r="I8" s="14"/>
    </row>
    <row r="9" spans="1:9" x14ac:dyDescent="0.55000000000000004">
      <c r="A9" s="7">
        <v>5</v>
      </c>
      <c r="B9" s="8" t="s">
        <v>57</v>
      </c>
      <c r="C9" s="9" t="s">
        <v>17</v>
      </c>
      <c r="D9" s="17" t="s">
        <v>18</v>
      </c>
      <c r="E9" s="11" t="s">
        <v>3</v>
      </c>
      <c r="F9" s="18">
        <v>5</v>
      </c>
      <c r="G9" s="13">
        <v>40000</v>
      </c>
      <c r="H9" s="13">
        <f t="shared" si="0"/>
        <v>200000</v>
      </c>
      <c r="I9" s="14"/>
    </row>
    <row r="10" spans="1:9" s="62" customFormat="1" x14ac:dyDescent="0.55000000000000004">
      <c r="A10" s="15">
        <v>6</v>
      </c>
      <c r="B10" s="59" t="s">
        <v>57</v>
      </c>
      <c r="C10" s="33" t="s">
        <v>19</v>
      </c>
      <c r="D10" s="34" t="s">
        <v>20</v>
      </c>
      <c r="E10" s="35" t="s">
        <v>3</v>
      </c>
      <c r="F10" s="60">
        <v>3</v>
      </c>
      <c r="G10" s="37">
        <v>4494</v>
      </c>
      <c r="H10" s="37">
        <f t="shared" si="0"/>
        <v>13482</v>
      </c>
      <c r="I10" s="61"/>
    </row>
    <row r="11" spans="1:9" x14ac:dyDescent="0.55000000000000004">
      <c r="A11" s="7">
        <v>7</v>
      </c>
      <c r="B11" s="8" t="s">
        <v>57</v>
      </c>
      <c r="C11" s="9" t="s">
        <v>21</v>
      </c>
      <c r="D11" s="10" t="s">
        <v>42</v>
      </c>
      <c r="E11" s="11" t="s">
        <v>3</v>
      </c>
      <c r="F11" s="12">
        <v>1</v>
      </c>
      <c r="G11" s="13">
        <v>4700</v>
      </c>
      <c r="H11" s="13">
        <f t="shared" si="0"/>
        <v>4700</v>
      </c>
      <c r="I11" s="19"/>
    </row>
    <row r="12" spans="1:9" x14ac:dyDescent="0.55000000000000004">
      <c r="A12" s="15">
        <v>8</v>
      </c>
      <c r="B12" s="8" t="s">
        <v>57</v>
      </c>
      <c r="C12" s="16" t="s">
        <v>22</v>
      </c>
      <c r="D12" s="10" t="s">
        <v>23</v>
      </c>
      <c r="E12" s="11" t="s">
        <v>3</v>
      </c>
      <c r="F12" s="12">
        <v>1</v>
      </c>
      <c r="G12" s="13">
        <v>9950</v>
      </c>
      <c r="H12" s="13">
        <f t="shared" si="0"/>
        <v>9950</v>
      </c>
      <c r="I12" s="19"/>
    </row>
    <row r="13" spans="1:9" x14ac:dyDescent="0.55000000000000004">
      <c r="A13" s="7">
        <v>9</v>
      </c>
      <c r="B13" s="19">
        <v>2546</v>
      </c>
      <c r="C13" s="16" t="s">
        <v>24</v>
      </c>
      <c r="D13" s="10" t="s">
        <v>25</v>
      </c>
      <c r="E13" s="19" t="s">
        <v>3</v>
      </c>
      <c r="F13" s="12">
        <v>1</v>
      </c>
      <c r="G13" s="13">
        <v>60000</v>
      </c>
      <c r="H13" s="13">
        <f t="shared" si="0"/>
        <v>60000</v>
      </c>
      <c r="I13" s="19"/>
    </row>
    <row r="14" spans="1:9" x14ac:dyDescent="0.55000000000000004">
      <c r="A14" s="15">
        <v>10</v>
      </c>
      <c r="B14" s="19">
        <v>2547</v>
      </c>
      <c r="C14" s="16" t="s">
        <v>26</v>
      </c>
      <c r="D14" s="10" t="s">
        <v>27</v>
      </c>
      <c r="E14" s="19" t="s">
        <v>3</v>
      </c>
      <c r="F14" s="12">
        <v>1</v>
      </c>
      <c r="G14" s="13">
        <v>12550</v>
      </c>
      <c r="H14" s="13">
        <f t="shared" si="0"/>
        <v>12550</v>
      </c>
      <c r="I14" s="19"/>
    </row>
    <row r="15" spans="1:9" x14ac:dyDescent="0.55000000000000004">
      <c r="A15" s="7">
        <v>11</v>
      </c>
      <c r="B15" s="19">
        <v>2549</v>
      </c>
      <c r="C15" s="16" t="s">
        <v>28</v>
      </c>
      <c r="D15" s="10" t="s">
        <v>29</v>
      </c>
      <c r="E15" s="19" t="s">
        <v>4</v>
      </c>
      <c r="F15" s="12">
        <v>2</v>
      </c>
      <c r="G15" s="13">
        <v>2800</v>
      </c>
      <c r="H15" s="13">
        <f t="shared" si="0"/>
        <v>5600</v>
      </c>
      <c r="I15" s="19"/>
    </row>
    <row r="16" spans="1:9" x14ac:dyDescent="0.55000000000000004">
      <c r="A16" s="15">
        <v>12</v>
      </c>
      <c r="B16" s="19">
        <v>2550</v>
      </c>
      <c r="C16" s="16" t="s">
        <v>30</v>
      </c>
      <c r="D16" s="10" t="s">
        <v>31</v>
      </c>
      <c r="E16" s="19" t="s">
        <v>4</v>
      </c>
      <c r="F16" s="12">
        <v>1</v>
      </c>
      <c r="G16" s="13">
        <v>30000</v>
      </c>
      <c r="H16" s="13">
        <f t="shared" si="0"/>
        <v>30000</v>
      </c>
      <c r="I16" s="19"/>
    </row>
    <row r="17" spans="1:9" x14ac:dyDescent="0.55000000000000004">
      <c r="A17" s="7">
        <v>13</v>
      </c>
      <c r="B17" s="19">
        <v>2551</v>
      </c>
      <c r="C17" s="16" t="s">
        <v>32</v>
      </c>
      <c r="D17" s="10" t="s">
        <v>43</v>
      </c>
      <c r="E17" s="19" t="s">
        <v>3</v>
      </c>
      <c r="F17" s="12">
        <v>2</v>
      </c>
      <c r="G17" s="13">
        <v>122836</v>
      </c>
      <c r="H17" s="13">
        <f t="shared" si="0"/>
        <v>245672</v>
      </c>
      <c r="I17" s="19"/>
    </row>
    <row r="18" spans="1:9" x14ac:dyDescent="0.55000000000000004">
      <c r="A18" s="15">
        <v>14</v>
      </c>
      <c r="B18" s="19">
        <v>2551</v>
      </c>
      <c r="C18" s="16" t="s">
        <v>33</v>
      </c>
      <c r="D18" s="20" t="s">
        <v>44</v>
      </c>
      <c r="E18" s="19" t="s">
        <v>3</v>
      </c>
      <c r="F18" s="12">
        <v>2</v>
      </c>
      <c r="G18" s="13">
        <v>117432.5</v>
      </c>
      <c r="H18" s="13">
        <f t="shared" si="0"/>
        <v>234865</v>
      </c>
      <c r="I18" s="19"/>
    </row>
    <row r="19" spans="1:9" x14ac:dyDescent="0.55000000000000004">
      <c r="A19" s="7">
        <v>15</v>
      </c>
      <c r="B19" s="19">
        <v>2551</v>
      </c>
      <c r="C19" s="16" t="s">
        <v>34</v>
      </c>
      <c r="D19" s="10" t="s">
        <v>45</v>
      </c>
      <c r="E19" s="19" t="s">
        <v>3</v>
      </c>
      <c r="F19" s="12">
        <v>1</v>
      </c>
      <c r="G19" s="13">
        <v>78463</v>
      </c>
      <c r="H19" s="13">
        <f t="shared" si="0"/>
        <v>78463</v>
      </c>
      <c r="I19" s="19"/>
    </row>
    <row r="20" spans="1:9" s="62" customFormat="1" ht="42.75" customHeight="1" x14ac:dyDescent="0.55000000000000004">
      <c r="A20" s="15">
        <v>16</v>
      </c>
      <c r="B20" s="63" t="s">
        <v>58</v>
      </c>
      <c r="C20" s="64" t="s">
        <v>35</v>
      </c>
      <c r="D20" s="65" t="s">
        <v>46</v>
      </c>
      <c r="E20" s="66" t="s">
        <v>3</v>
      </c>
      <c r="F20" s="67">
        <v>1</v>
      </c>
      <c r="G20" s="68">
        <v>19880</v>
      </c>
      <c r="H20" s="68">
        <f t="shared" si="0"/>
        <v>19880</v>
      </c>
      <c r="I20" s="69"/>
    </row>
    <row r="21" spans="1:9" x14ac:dyDescent="0.55000000000000004">
      <c r="A21" s="7">
        <v>17</v>
      </c>
      <c r="B21" s="8" t="s">
        <v>59</v>
      </c>
      <c r="C21" s="21" t="s">
        <v>36</v>
      </c>
      <c r="D21" s="22" t="s">
        <v>37</v>
      </c>
      <c r="E21" s="11" t="s">
        <v>3</v>
      </c>
      <c r="F21" s="23">
        <v>1</v>
      </c>
      <c r="G21" s="24">
        <v>46500</v>
      </c>
      <c r="H21" s="24">
        <f t="shared" si="0"/>
        <v>46500</v>
      </c>
      <c r="I21" s="25"/>
    </row>
    <row r="22" spans="1:9" s="3" customFormat="1" x14ac:dyDescent="0.55000000000000004">
      <c r="A22" s="15">
        <v>18</v>
      </c>
      <c r="B22" s="26" t="s">
        <v>59</v>
      </c>
      <c r="C22" s="27" t="s">
        <v>38</v>
      </c>
      <c r="D22" s="28" t="s">
        <v>39</v>
      </c>
      <c r="E22" s="29" t="s">
        <v>3</v>
      </c>
      <c r="F22" s="30">
        <v>2</v>
      </c>
      <c r="G22" s="31">
        <v>23000</v>
      </c>
      <c r="H22" s="31">
        <f t="shared" si="0"/>
        <v>46000</v>
      </c>
      <c r="I22" s="32"/>
    </row>
    <row r="23" spans="1:9" x14ac:dyDescent="0.55000000000000004">
      <c r="A23" s="7">
        <v>19</v>
      </c>
      <c r="B23" s="39" t="s">
        <v>60</v>
      </c>
      <c r="C23" s="33" t="s">
        <v>40</v>
      </c>
      <c r="D23" s="34" t="s">
        <v>41</v>
      </c>
      <c r="E23" s="35" t="s">
        <v>3</v>
      </c>
      <c r="F23" s="36">
        <v>5</v>
      </c>
      <c r="G23" s="37">
        <v>98000</v>
      </c>
      <c r="H23" s="13">
        <f t="shared" si="0"/>
        <v>490000</v>
      </c>
      <c r="I23" s="38"/>
    </row>
    <row r="24" spans="1:9" x14ac:dyDescent="0.55000000000000004">
      <c r="A24" s="15">
        <v>20</v>
      </c>
      <c r="B24" s="39" t="s">
        <v>53</v>
      </c>
      <c r="C24" s="33" t="s">
        <v>54</v>
      </c>
      <c r="D24" s="34" t="s">
        <v>55</v>
      </c>
      <c r="E24" s="35" t="s">
        <v>4</v>
      </c>
      <c r="F24" s="40">
        <v>1</v>
      </c>
      <c r="G24" s="41">
        <v>2690</v>
      </c>
      <c r="H24" s="13">
        <f t="shared" si="0"/>
        <v>2690</v>
      </c>
      <c r="I24" s="42"/>
    </row>
    <row r="25" spans="1:9" x14ac:dyDescent="0.55000000000000004">
      <c r="A25" s="7">
        <v>21</v>
      </c>
      <c r="B25" s="39" t="s">
        <v>62</v>
      </c>
      <c r="C25" s="33" t="s">
        <v>63</v>
      </c>
      <c r="D25" s="34" t="s">
        <v>67</v>
      </c>
      <c r="E25" s="35" t="s">
        <v>64</v>
      </c>
      <c r="F25" s="40">
        <v>3</v>
      </c>
      <c r="G25" s="41">
        <v>34000</v>
      </c>
      <c r="H25" s="13">
        <f t="shared" si="0"/>
        <v>102000</v>
      </c>
      <c r="I25" s="42"/>
    </row>
    <row r="26" spans="1:9" x14ac:dyDescent="0.55000000000000004">
      <c r="A26" s="15">
        <v>22</v>
      </c>
      <c r="B26" s="39" t="s">
        <v>62</v>
      </c>
      <c r="C26" s="33" t="s">
        <v>65</v>
      </c>
      <c r="D26" s="34" t="s">
        <v>68</v>
      </c>
      <c r="E26" s="35" t="s">
        <v>64</v>
      </c>
      <c r="F26" s="40">
        <v>8</v>
      </c>
      <c r="G26" s="41">
        <v>12000</v>
      </c>
      <c r="H26" s="13">
        <f t="shared" si="0"/>
        <v>96000</v>
      </c>
      <c r="I26" s="42"/>
    </row>
    <row r="27" spans="1:9" x14ac:dyDescent="0.55000000000000004">
      <c r="A27" s="7">
        <v>23</v>
      </c>
      <c r="B27" s="39" t="s">
        <v>62</v>
      </c>
      <c r="C27" s="33" t="s">
        <v>66</v>
      </c>
      <c r="D27" s="34" t="s">
        <v>69</v>
      </c>
      <c r="E27" s="35" t="s">
        <v>64</v>
      </c>
      <c r="F27" s="40">
        <v>3</v>
      </c>
      <c r="G27" s="41">
        <v>25000</v>
      </c>
      <c r="H27" s="13">
        <f t="shared" si="0"/>
        <v>75000</v>
      </c>
      <c r="I27" s="42"/>
    </row>
    <row r="28" spans="1:9" x14ac:dyDescent="0.55000000000000004">
      <c r="A28" s="15">
        <v>24</v>
      </c>
      <c r="B28" s="39" t="s">
        <v>70</v>
      </c>
      <c r="C28" s="33" t="s">
        <v>72</v>
      </c>
      <c r="D28" s="34" t="s">
        <v>71</v>
      </c>
      <c r="E28" s="35" t="s">
        <v>4</v>
      </c>
      <c r="F28" s="40">
        <v>10</v>
      </c>
      <c r="G28" s="41">
        <v>550</v>
      </c>
      <c r="H28" s="13">
        <f t="shared" si="0"/>
        <v>5500</v>
      </c>
      <c r="I28" s="42"/>
    </row>
    <row r="29" spans="1:9" x14ac:dyDescent="0.55000000000000004">
      <c r="A29" s="7">
        <v>25</v>
      </c>
      <c r="B29" s="39" t="s">
        <v>76</v>
      </c>
      <c r="C29" s="33" t="s">
        <v>74</v>
      </c>
      <c r="D29" s="34" t="s">
        <v>75</v>
      </c>
      <c r="E29" s="35" t="s">
        <v>4</v>
      </c>
      <c r="F29" s="35">
        <v>1</v>
      </c>
      <c r="G29" s="37">
        <v>26058</v>
      </c>
      <c r="H29" s="13">
        <f t="shared" si="0"/>
        <v>26058</v>
      </c>
      <c r="I29" s="42"/>
    </row>
    <row r="30" spans="1:9" x14ac:dyDescent="0.55000000000000004">
      <c r="A30" s="15">
        <v>26</v>
      </c>
      <c r="B30" s="39" t="s">
        <v>73</v>
      </c>
      <c r="C30" s="33" t="s">
        <v>77</v>
      </c>
      <c r="D30" s="34" t="s">
        <v>78</v>
      </c>
      <c r="E30" s="35" t="s">
        <v>4</v>
      </c>
      <c r="F30" s="36">
        <v>3</v>
      </c>
      <c r="G30" s="37">
        <v>20000</v>
      </c>
      <c r="H30" s="13">
        <f t="shared" si="0"/>
        <v>60000</v>
      </c>
      <c r="I30" s="42"/>
    </row>
    <row r="31" spans="1:9" x14ac:dyDescent="0.55000000000000004">
      <c r="A31" s="7">
        <v>27</v>
      </c>
      <c r="B31" s="39" t="s">
        <v>79</v>
      </c>
      <c r="C31" s="33" t="s">
        <v>80</v>
      </c>
      <c r="D31" s="43" t="s">
        <v>81</v>
      </c>
      <c r="E31" s="35" t="s">
        <v>4</v>
      </c>
      <c r="F31" s="36">
        <v>1</v>
      </c>
      <c r="G31" s="37">
        <v>40000</v>
      </c>
      <c r="H31" s="13">
        <f t="shared" si="0"/>
        <v>40000</v>
      </c>
      <c r="I31" s="42"/>
    </row>
    <row r="32" spans="1:9" ht="48" customHeight="1" x14ac:dyDescent="0.55000000000000004">
      <c r="A32" s="15">
        <v>28</v>
      </c>
      <c r="B32" s="39" t="s">
        <v>82</v>
      </c>
      <c r="C32" s="44" t="s">
        <v>83</v>
      </c>
      <c r="D32" s="45" t="s">
        <v>84</v>
      </c>
      <c r="E32" s="46" t="s">
        <v>85</v>
      </c>
      <c r="F32" s="40">
        <v>2</v>
      </c>
      <c r="G32" s="41">
        <v>25000</v>
      </c>
      <c r="H32" s="13">
        <f>SUM(G32*F32)</f>
        <v>50000</v>
      </c>
      <c r="I32" s="42"/>
    </row>
    <row r="33" spans="1:9" x14ac:dyDescent="0.55000000000000004">
      <c r="A33" s="54" t="s">
        <v>7</v>
      </c>
      <c r="B33" s="55"/>
      <c r="C33" s="55"/>
      <c r="D33" s="55"/>
      <c r="E33" s="56"/>
      <c r="F33" s="48"/>
      <c r="G33" s="49"/>
      <c r="H33" s="50">
        <f>SUM(H5:H32)</f>
        <v>2329604.7599999998</v>
      </c>
      <c r="I33" s="47"/>
    </row>
    <row r="34" spans="1:9" x14ac:dyDescent="0.55000000000000004">
      <c r="A34" s="51"/>
      <c r="B34" s="51"/>
      <c r="C34" s="51"/>
      <c r="D34" s="51"/>
      <c r="E34" s="51"/>
      <c r="F34" s="52"/>
      <c r="G34" s="51"/>
      <c r="H34" s="51"/>
      <c r="I34" s="4"/>
    </row>
    <row r="35" spans="1:9" x14ac:dyDescent="0.55000000000000004">
      <c r="A35" s="51"/>
      <c r="B35" s="51"/>
      <c r="C35" s="51"/>
      <c r="D35" s="51"/>
      <c r="E35" s="51"/>
      <c r="F35" s="53" t="s">
        <v>5</v>
      </c>
      <c r="G35" s="53"/>
      <c r="H35" s="53"/>
      <c r="I35" s="53"/>
    </row>
    <row r="36" spans="1:9" x14ac:dyDescent="0.55000000000000004">
      <c r="A36" s="51"/>
      <c r="B36" s="51"/>
      <c r="C36" s="51"/>
      <c r="D36" s="51"/>
      <c r="E36" s="51"/>
      <c r="F36" s="53" t="s">
        <v>56</v>
      </c>
      <c r="G36" s="53"/>
      <c r="H36" s="53"/>
      <c r="I36" s="53"/>
    </row>
    <row r="37" spans="1:9" x14ac:dyDescent="0.55000000000000004">
      <c r="A37" s="51"/>
      <c r="B37" s="51"/>
      <c r="C37" s="51"/>
      <c r="D37" s="51"/>
      <c r="E37" s="51"/>
      <c r="F37" s="53" t="s">
        <v>6</v>
      </c>
      <c r="G37" s="53"/>
      <c r="H37" s="53"/>
      <c r="I37" s="53"/>
    </row>
    <row r="38" spans="1:9" x14ac:dyDescent="0.55000000000000004">
      <c r="A38" s="51"/>
      <c r="B38" s="51"/>
      <c r="C38" s="51"/>
      <c r="D38" s="51"/>
      <c r="E38" s="51"/>
      <c r="F38" s="51"/>
      <c r="G38" s="51"/>
      <c r="H38" s="51"/>
      <c r="I38" s="4"/>
    </row>
  </sheetData>
  <mergeCells count="7">
    <mergeCell ref="A1:I1"/>
    <mergeCell ref="F37:I37"/>
    <mergeCell ref="A33:E33"/>
    <mergeCell ref="F35:I35"/>
    <mergeCell ref="F36:I36"/>
    <mergeCell ref="A2:I2"/>
    <mergeCell ref="A3:I3"/>
  </mergeCells>
  <phoneticPr fontId="6" type="noConversion"/>
  <printOptions horizontalCentered="1"/>
  <pageMargins left="0.19685039370078741" right="0" top="0.39370078740157483" bottom="0" header="0" footer="0"/>
  <pageSetup paperSize="9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แผนกช่างเชื่อมโลหะ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2026-01-26T03:15:23Z</cp:lastPrinted>
  <dcterms:created xsi:type="dcterms:W3CDTF">2017-11-14T01:32:33Z</dcterms:created>
  <dcterms:modified xsi:type="dcterms:W3CDTF">2026-01-26T03:15:27Z</dcterms:modified>
</cp:coreProperties>
</file>