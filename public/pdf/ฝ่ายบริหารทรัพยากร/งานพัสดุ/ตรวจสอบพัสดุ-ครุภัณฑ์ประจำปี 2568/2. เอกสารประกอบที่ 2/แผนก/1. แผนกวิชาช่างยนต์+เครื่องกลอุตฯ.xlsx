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แผนก\"/>
    </mc:Choice>
  </mc:AlternateContent>
  <xr:revisionPtr revIDLastSave="0" documentId="13_ncr:1_{D943D277-9ECC-409D-BF38-80DACFFC505E}" xr6:coauthVersionLast="46" xr6:coauthVersionMax="47" xr10:uidLastSave="{00000000-0000-0000-0000-000000000000}"/>
  <bookViews>
    <workbookView xWindow="-120" yWindow="-120" windowWidth="20730" windowHeight="11310" tabRatio="897" activeTab="1" xr2:uid="{00000000-000D-0000-FFFF-FFFF00000000}"/>
  </bookViews>
  <sheets>
    <sheet name="แผนกช่างยนต์" sheetId="45" r:id="rId1"/>
    <sheet name="สาขาเครื่องกลอุตสาหกรรม" sheetId="46" r:id="rId2"/>
  </sheets>
  <definedNames>
    <definedName name="_xlnm.Print_Titles" localSheetId="0">แผนกช่างยนต์!$1:$4</definedName>
    <definedName name="_xlnm.Print_Titles" localSheetId="1">สาขาเครื่องกลอุตสาหกรรม!#REF!</definedName>
  </definedNames>
  <calcPr calcId="191029"/>
</workbook>
</file>

<file path=xl/calcChain.xml><?xml version="1.0" encoding="utf-8"?>
<calcChain xmlns="http://schemas.openxmlformats.org/spreadsheetml/2006/main">
  <c r="H18" i="46" l="1"/>
  <c r="H49" i="45"/>
  <c r="H48" i="45"/>
  <c r="H47" i="45"/>
  <c r="H6" i="46"/>
  <c r="H7" i="46"/>
  <c r="H8" i="46"/>
  <c r="H9" i="46"/>
  <c r="H10" i="46"/>
  <c r="H11" i="46"/>
  <c r="H12" i="46"/>
  <c r="H13" i="46"/>
  <c r="H14" i="46"/>
  <c r="H15" i="46"/>
  <c r="H16" i="46"/>
  <c r="H17" i="46"/>
  <c r="H5" i="46"/>
  <c r="H46" i="45"/>
  <c r="H45" i="45"/>
  <c r="H38" i="45" l="1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H7" i="45"/>
  <c r="H6" i="45"/>
  <c r="H5" i="45"/>
</calcChain>
</file>

<file path=xl/sharedStrings.xml><?xml version="1.0" encoding="utf-8"?>
<sst xmlns="http://schemas.openxmlformats.org/spreadsheetml/2006/main" count="227" uniqueCount="135">
  <si>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</si>
  <si>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</si>
  <si>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</si>
  <si>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</si>
  <si>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</si>
  <si>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</si>
  <si>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</si>
  <si>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</si>
  <si>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</si>
  <si>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7110-007-0009.3/391-016-023</t>
  </si>
  <si>
    <t>โต๊ะปฏิบัติงาน</t>
  </si>
  <si>
    <t>7125-004-0007/391-001-005</t>
  </si>
  <si>
    <t>ชั้นวางเครื่องมือและชิ้นส่วนแบบเคลื่อนที่</t>
  </si>
  <si>
    <t>3810-003-0001/391-001</t>
  </si>
  <si>
    <t>ปั่นจันรอกโซ่ ขนาด 3 ตัน</t>
  </si>
  <si>
    <t>3442-004-0001/391-001</t>
  </si>
  <si>
    <t>แท่นอัดไฮดรอลิกส์ 50 ตัน</t>
  </si>
  <si>
    <t>3442-002-0001/391-001</t>
  </si>
  <si>
    <t>เครื่องมืออัดอากาศ ขนาด 300  ลิตร</t>
  </si>
  <si>
    <t>4910-003-0001/451-001</t>
  </si>
  <si>
    <t>เครื่องยกรถชนิด 2 เสา</t>
  </si>
  <si>
    <t>2815-001-0003/452-001</t>
  </si>
  <si>
    <t>เครื่องยนต์ อีซูซุ C 223 262962</t>
  </si>
  <si>
    <t>4910-035-0004/461-001</t>
  </si>
  <si>
    <t>เครื่องถอดยางรถยนต์</t>
  </si>
  <si>
    <t>3445-001-0001/461-005</t>
  </si>
  <si>
    <t>เครื่องเจาะตั้งโต๊ะ 13 มม.พร้อมอุปกรณ์</t>
  </si>
  <si>
    <t>3431-003-0001/461-011</t>
  </si>
  <si>
    <t>เครื่องเชื่อมไฟฟ้าแบบ  AC/DC</t>
  </si>
  <si>
    <t>3445-002-0001/461-001</t>
  </si>
  <si>
    <t>เครื่องตัดไฟเบอร์  14 มาลีต้า</t>
  </si>
  <si>
    <t>6910-001-0009/461-001-461-002</t>
  </si>
  <si>
    <t>ชุดฝึกเครื่องยนต์โซลีน</t>
  </si>
  <si>
    <t>6910-001-0011/461-004</t>
  </si>
  <si>
    <t>ชุดฝึกเครื่องยนต์ดีเซล</t>
  </si>
  <si>
    <t>6910-001-0011/461-005</t>
  </si>
  <si>
    <t>6910-001-0012/461-001</t>
  </si>
  <si>
    <t>6910-001-0013/461-001</t>
  </si>
  <si>
    <t>ชุดฝึกเครื่องดีเซลควบคุมด้วยอิเล็กทรอนิกส์</t>
  </si>
  <si>
    <t>ชุดฝึกวงจรอิเล็กทรอนิกส์เบื้องต้น</t>
  </si>
  <si>
    <t>2805-001-0002/482-002-004</t>
  </si>
  <si>
    <t>เครื่องยนต์สูบเฉียง HONDA 5.5 HP</t>
  </si>
  <si>
    <t>4140-001-0002/482-001-003</t>
  </si>
  <si>
    <t>พัดลมโรงงาน 30 นิ้ว</t>
  </si>
  <si>
    <t>5810-004-0001/491-001</t>
  </si>
  <si>
    <t>เครื่องมือพร้อมตู้</t>
  </si>
  <si>
    <t>6910-012-0001/491-001</t>
  </si>
  <si>
    <t>เครื่องปั้มลม</t>
  </si>
  <si>
    <t>6910-001-0018/491-001</t>
  </si>
  <si>
    <t>ชุดการควบคุมของระบบคอมมอลเรลพร้อม</t>
  </si>
  <si>
    <t>6910-001-0019/491-001</t>
  </si>
  <si>
    <t>2815-001-0001/492-001</t>
  </si>
  <si>
    <t>7110-002-0005/502-014-015</t>
  </si>
  <si>
    <t>3432-005-0002/502-001</t>
  </si>
  <si>
    <t>เครื่องเชื่อมจุด ขนาด 4KVA 3460N</t>
  </si>
  <si>
    <t>7110-002-0005/502-017-018</t>
  </si>
  <si>
    <t>ตู้เอกสาร 2 บานเปิด</t>
  </si>
  <si>
    <t>2815-001-0005/523-001</t>
  </si>
  <si>
    <t>4960-002-0001/523-001</t>
  </si>
  <si>
    <t>แท่นประกอบเครื่อง</t>
  </si>
  <si>
    <t>6910-001-0026/531-001-011</t>
  </si>
  <si>
    <t>โต๊ะฝึกปฏิบัติงาน ขนาด 1200*1200*700</t>
  </si>
  <si>
    <t>6910-001-0025/531-001</t>
  </si>
  <si>
    <t>เครื่องวัดละเอียดงานซ่อมเครื่องยนต์</t>
  </si>
  <si>
    <t>6910-001-0035/531-001</t>
  </si>
  <si>
    <t>6910-001-0036/531-001</t>
  </si>
  <si>
    <t>ชุดฝึกไฟฟ้ารถยนต์พร้อมซอฟแวร์</t>
  </si>
  <si>
    <t>เครื่องยนต์ดีเซล อีซูซุ ซุเปอร์คอมมอลเรล รุ่น 4JK1-TC 2500 Ddi</t>
  </si>
  <si>
    <t>ชุดฝึกไฟฟ้าอิเล็กทรอนิกส์ยานยนต์ พร้อมซอฟแวร์</t>
  </si>
  <si>
    <t>4910-002-0001/611-001</t>
  </si>
  <si>
    <t>แบบสามมิติ จำนวน 1 เครื่อง</t>
  </si>
  <si>
    <t>1. เครื่องตั้งศูนย์ล้อระบบคอมพิวเตอร์</t>
  </si>
  <si>
    <t>2. สะพานสำหรับตั้งศูนย์ จำนวน 1 เครื่อง</t>
  </si>
  <si>
    <t>3. เครื่องถ่วงล้อรถยนต์ จำนวน 1 เครื่อง</t>
  </si>
  <si>
    <t>4. เครื่องถอดยางรถยนต์ จำนวน 1 เครื่อง</t>
  </si>
  <si>
    <t>5. มัลติมิเตอร์วัดค่าทางไฟฟ้า จำนวน 1 เครื่อง</t>
  </si>
  <si>
    <t>บริจาค</t>
  </si>
  <si>
    <t>ชุดฝึกเครื่องยนต์แก๊สโซลีนใช้หัวฉีดแบบ อิเล็กทรอนิกส์</t>
  </si>
  <si>
    <t>ชุดอุปกรณ์เซนเซอร์สำหรับระบบ คอมมอลเรล</t>
  </si>
  <si>
    <t xml:space="preserve">เครื่องยนต์ดีเซลเล็กไม่ต่ำกว่า 9.5 แรง พร้อมชุดเกียร์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</si>
  <si>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</si>
  <si>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</si>
  <si>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</si>
  <si>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</si>
  <si>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</si>
  <si>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</si>
  <si>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 xml:space="preserve"> ....................................................</t>
  </si>
  <si>
    <t>ชุดปฏิบัติการช่วงล่างรถยนต์แบบกล้อง 3D ประกอบด้วย</t>
  </si>
  <si>
    <t>เครื่องพิมพ์เลเซอร์</t>
  </si>
  <si>
    <t>7440-010-0002/642-011(13)</t>
  </si>
  <si>
    <t>2539</t>
  </si>
  <si>
    <t>2540</t>
  </si>
  <si>
    <t>2545</t>
  </si>
  <si>
    <t>2546</t>
  </si>
  <si>
    <t>2552</t>
  </si>
  <si>
    <t>2553</t>
  </si>
  <si>
    <t>บัญชีรายการ แผนกวิชาช่างยนต์  คงเหลือ</t>
  </si>
  <si>
    <t>6910-001-0014/461-001-461-002</t>
  </si>
  <si>
    <t>บัญชีรายการ แผนกวิชาช่างยนต์ สาขาเครื่องกลอุตสาหกรรม คงเหลือ</t>
  </si>
  <si>
    <t>7110-007-0009.3/391-024-027</t>
  </si>
  <si>
    <t>7125-004-0007/391-006-010</t>
  </si>
  <si>
    <t>2340-005-002/401-006</t>
  </si>
  <si>
    <t>เครื่องจักรยานยนต์ 1 สูบ 4 จังหวะ ขนาด 90-125 cc</t>
  </si>
  <si>
    <t>2340-005-001/401-006</t>
  </si>
  <si>
    <t>เครื่องจักรยานยนต์ 1 สูบ 4 จังหวะ ขนาด 80-125 cc</t>
  </si>
  <si>
    <t>6910-001-0009/461-003-004</t>
  </si>
  <si>
    <t>ชุดฝึกเครื่องยนต์แก๊สโซลีน</t>
  </si>
  <si>
    <t>6910-001-0011/461-001-003</t>
  </si>
  <si>
    <t>2805-001-0001/482-005</t>
  </si>
  <si>
    <t>เครื่องยนต์ Samto 5.5</t>
  </si>
  <si>
    <t>7110-002-0005/502-018-019</t>
  </si>
  <si>
    <t>ตู้เหล็ก  2  บานทึบ</t>
  </si>
  <si>
    <t>5130-007-0003/641-001</t>
  </si>
  <si>
    <t>สว่านโรตารี่</t>
  </si>
  <si>
    <t>5120-024-0001/641-001</t>
  </si>
  <si>
    <t>หินเจียร์ 4  นิ้ว</t>
  </si>
  <si>
    <t>5120-024-0002/641-001</t>
  </si>
  <si>
    <t>หินเจียร์ 7 นิ้ว</t>
  </si>
  <si>
    <t>5120-024-0003/641-001</t>
  </si>
  <si>
    <t>บล็อกแบตเตอรี่ไร้สาย</t>
  </si>
  <si>
    <t>5130-007-0002/641-001</t>
  </si>
  <si>
    <t>สว่านแบตเตอรี่ไร้สาย</t>
  </si>
  <si>
    <t>....................................................</t>
  </si>
  <si>
    <t>2548</t>
  </si>
  <si>
    <t>2550</t>
  </si>
  <si>
    <t>30 ก.ย.64</t>
  </si>
  <si>
    <t>6910-001-0015/656-001</t>
  </si>
  <si>
    <t>อุดหนุน</t>
  </si>
  <si>
    <t>ชุดฝึกระบบกู้คืนพลังงานในรถยนต์ไฟฟ้าพร้อมอุปกรณ์
สื่อการเรียนรู้แบบอินเตอร์แอคทีฟ</t>
  </si>
  <si>
    <t>เก้าอี้สแตนเลสหัวกลม</t>
  </si>
  <si>
    <t>7110-006-0005/652-041-100 (100)</t>
  </si>
  <si>
    <t>7440-001-0001/662-001Z(5)</t>
  </si>
  <si>
    <t>เครื่องคอมพิวเตอร์ pc</t>
  </si>
  <si>
    <t>ประจำปี 2568  ณ วันที่ 30 กันยายน 2568</t>
  </si>
  <si>
    <t>(นายพัฒนกฤษณ์  นามคำมี)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</si>
</sst>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b/>
      <sz val="14"/>
      <color theme="1"/>
      <name val="TH SarabunPSK"/>
      <family val="2"/>
    </font>
    <font>
      <b/>
      <sz val="14"/>
      <color theme="1"/>
      <name val="TH Sarabun New"/>
      <family val="2"/>
    </font>
    <font>
      <b/>
      <sz val="12"/>
      <color theme="1"/>
      <name val="TH Sarabun New"/>
      <family val="2"/>
    </font>
    <font>
      <b/>
      <sz val="16"/>
      <color theme="1"/>
      <name val="TH Sarabun New"/>
      <family val="2"/>
    </font>
    <font>
      <sz val="14"/>
      <color theme="1"/>
      <name val="TH Sarabun New"/>
      <family val="2"/>
    </font>
    <font>
      <sz val="16"/>
      <color theme="1"/>
      <name val="TH Sarabun New"/>
      <family val="2"/>
    </font>
    <font>
      <sz val="14"/>
      <name val="TH Sarabun New"/>
      <family val="2"/>
    </font>
    <font>
      <sz val="16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/>
    </xf>
    <xf numFmtId="0" fontId="7" fillId="0" borderId="0" xfId="2" applyFont="1" applyAlignment="1">
      <alignment horizontal="center"/>
    </xf>
    <xf numFmtId="43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1" xfId="2" applyFont="1" applyBorder="1" applyAlignment="1">
      <alignment horizontal="center"/>
    </xf>
    <xf numFmtId="43" fontId="9" fillId="0" borderId="1" xfId="0" applyNumberFormat="1" applyFont="1" applyBorder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49" fontId="15" fillId="3" borderId="1" xfId="0" applyNumberFormat="1" applyFont="1" applyFill="1" applyBorder="1" applyAlignment="1">
      <alignment horizontal="center"/>
    </xf>
    <xf numFmtId="0" fontId="15" fillId="0" borderId="1" xfId="6" applyFont="1" applyBorder="1" applyAlignment="1">
      <alignment horizontal="left"/>
    </xf>
    <xf numFmtId="0" fontId="15" fillId="0" borderId="1" xfId="6" applyFont="1" applyBorder="1"/>
    <xf numFmtId="0" fontId="15" fillId="0" borderId="1" xfId="2" applyFont="1" applyBorder="1" applyAlignment="1">
      <alignment horizontal="center"/>
    </xf>
    <xf numFmtId="0" fontId="15" fillId="0" borderId="1" xfId="6" applyFont="1" applyBorder="1" applyAlignment="1">
      <alignment horizontal="center"/>
    </xf>
    <xf numFmtId="43" fontId="15" fillId="0" borderId="1" xfId="1" applyFont="1" applyBorder="1"/>
    <xf numFmtId="43" fontId="16" fillId="0" borderId="1" xfId="12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43" fontId="15" fillId="0" borderId="1" xfId="1" applyFont="1" applyBorder="1" applyAlignment="1">
      <alignment horizontal="right"/>
    </xf>
    <xf numFmtId="49" fontId="15" fillId="0" borderId="1" xfId="6" applyNumberFormat="1" applyFont="1" applyBorder="1" applyAlignment="1">
      <alignment horizontal="left"/>
    </xf>
    <xf numFmtId="43" fontId="15" fillId="0" borderId="1" xfId="1" applyFont="1" applyBorder="1" applyAlignment="1">
      <alignment horizontal="center"/>
    </xf>
    <xf numFmtId="49" fontId="15" fillId="0" borderId="1" xfId="13" applyNumberFormat="1" applyFont="1" applyBorder="1" applyAlignment="1">
      <alignment horizontal="center"/>
    </xf>
    <xf numFmtId="49" fontId="15" fillId="0" borderId="1" xfId="7" applyNumberFormat="1" applyFont="1" applyBorder="1" applyAlignment="1">
      <alignment horizontal="center"/>
    </xf>
    <xf numFmtId="0" fontId="15" fillId="0" borderId="1" xfId="8" applyFont="1" applyBorder="1" applyAlignment="1">
      <alignment horizontal="left"/>
    </xf>
    <xf numFmtId="0" fontId="15" fillId="0" borderId="1" xfId="8" applyFont="1" applyBorder="1"/>
    <xf numFmtId="0" fontId="15" fillId="0" borderId="1" xfId="8" applyFont="1" applyBorder="1" applyAlignment="1">
      <alignment horizontal="center"/>
    </xf>
    <xf numFmtId="15" fontId="13" fillId="2" borderId="1" xfId="0" applyNumberFormat="1" applyFont="1" applyFill="1" applyBorder="1" applyAlignment="1">
      <alignment horizontal="center"/>
    </xf>
    <xf numFmtId="0" fontId="15" fillId="2" borderId="1" xfId="6" applyFont="1" applyFill="1" applyBorder="1" applyAlignment="1">
      <alignment horizontal="left"/>
    </xf>
    <xf numFmtId="0" fontId="15" fillId="2" borderId="1" xfId="6" applyFont="1" applyFill="1" applyBorder="1"/>
    <xf numFmtId="0" fontId="13" fillId="2" borderId="1" xfId="0" applyFont="1" applyFill="1" applyBorder="1" applyAlignment="1">
      <alignment horizontal="center"/>
    </xf>
    <xf numFmtId="0" fontId="15" fillId="2" borderId="1" xfId="6" applyFont="1" applyFill="1" applyBorder="1" applyAlignment="1">
      <alignment horizontal="center"/>
    </xf>
    <xf numFmtId="43" fontId="15" fillId="2" borderId="1" xfId="1" applyFont="1" applyFill="1" applyBorder="1"/>
    <xf numFmtId="0" fontId="14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6" applyFont="1" applyFill="1" applyBorder="1" applyAlignment="1">
      <alignment horizontal="left" indent="1"/>
    </xf>
    <xf numFmtId="0" fontId="15" fillId="2" borderId="1" xfId="6" applyFont="1" applyFill="1" applyBorder="1" applyAlignment="1">
      <alignment horizontal="left" indent="3"/>
    </xf>
    <xf numFmtId="0" fontId="13" fillId="0" borderId="1" xfId="0" applyFont="1" applyBorder="1"/>
    <xf numFmtId="0" fontId="15" fillId="2" borderId="1" xfId="0" applyFont="1" applyFill="1" applyBorder="1" applyAlignment="1">
      <alignment horizontal="center" vertical="top"/>
    </xf>
    <xf numFmtId="15" fontId="13" fillId="2" borderId="1" xfId="0" applyNumberFormat="1" applyFont="1" applyFill="1" applyBorder="1" applyAlignment="1">
      <alignment horizontal="center" vertical="top"/>
    </xf>
    <xf numFmtId="0" fontId="15" fillId="2" borderId="1" xfId="6" applyFont="1" applyFill="1" applyBorder="1" applyAlignment="1">
      <alignment horizontal="left" vertical="top"/>
    </xf>
    <xf numFmtId="0" fontId="13" fillId="0" borderId="1" xfId="0" applyFont="1" applyBorder="1" applyAlignment="1">
      <alignment vertical="top" wrapText="1"/>
    </xf>
    <xf numFmtId="0" fontId="13" fillId="2" borderId="1" xfId="0" applyFont="1" applyFill="1" applyBorder="1" applyAlignment="1">
      <alignment horizontal="center" vertical="top"/>
    </xf>
    <xf numFmtId="0" fontId="15" fillId="2" borderId="1" xfId="6" applyFont="1" applyFill="1" applyBorder="1" applyAlignment="1">
      <alignment horizontal="center" vertical="top"/>
    </xf>
    <xf numFmtId="43" fontId="15" fillId="2" borderId="1" xfId="1" applyFont="1" applyFill="1" applyBorder="1" applyAlignment="1">
      <alignment vertical="top"/>
    </xf>
    <xf numFmtId="43" fontId="12" fillId="0" borderId="1" xfId="0" applyNumberFormat="1" applyFont="1" applyBorder="1"/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49" fontId="16" fillId="0" borderId="5" xfId="6" applyNumberFormat="1" applyFont="1" applyBorder="1" applyAlignment="1">
      <alignment horizontal="left" vertical="center"/>
    </xf>
    <xf numFmtId="49" fontId="16" fillId="0" borderId="7" xfId="6" applyNumberFormat="1" applyFont="1" applyBorder="1" applyAlignment="1">
      <alignment horizontal="left" vertical="center"/>
    </xf>
    <xf numFmtId="0" fontId="16" fillId="0" borderId="1" xfId="2" applyFont="1" applyBorder="1" applyAlignment="1">
      <alignment horizontal="center"/>
    </xf>
    <xf numFmtId="0" fontId="16" fillId="0" borderId="7" xfId="6" applyFont="1" applyBorder="1" applyAlignment="1">
      <alignment horizontal="center" vertical="center"/>
    </xf>
    <xf numFmtId="43" fontId="16" fillId="0" borderId="5" xfId="14" applyFont="1" applyBorder="1" applyAlignment="1">
      <alignment horizontal="center"/>
    </xf>
    <xf numFmtId="43" fontId="16" fillId="0" borderId="1" xfId="14" applyFont="1" applyFill="1" applyBorder="1"/>
    <xf numFmtId="43" fontId="16" fillId="0" borderId="1" xfId="15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/>
    </xf>
    <xf numFmtId="49" fontId="15" fillId="0" borderId="7" xfId="6" applyNumberFormat="1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/>
    </xf>
    <xf numFmtId="49" fontId="16" fillId="0" borderId="1" xfId="6" applyNumberFormat="1" applyFont="1" applyBorder="1" applyAlignment="1">
      <alignment horizontal="left"/>
    </xf>
    <xf numFmtId="0" fontId="16" fillId="0" borderId="1" xfId="6" applyFont="1" applyBorder="1" applyAlignment="1">
      <alignment horizontal="center"/>
    </xf>
    <xf numFmtId="43" fontId="16" fillId="0" borderId="1" xfId="14" applyFont="1" applyBorder="1" applyAlignment="1">
      <alignment horizontal="center"/>
    </xf>
    <xf numFmtId="0" fontId="14" fillId="0" borderId="1" xfId="0" applyFont="1" applyBorder="1"/>
    <xf numFmtId="43" fontId="14" fillId="0" borderId="1" xfId="14" applyFont="1" applyBorder="1"/>
    <xf numFmtId="0" fontId="14" fillId="0" borderId="4" xfId="0" applyFont="1" applyBorder="1"/>
    <xf numFmtId="0" fontId="14" fillId="0" borderId="0" xfId="0" applyFont="1"/>
    <xf numFmtId="0" fontId="14" fillId="0" borderId="0" xfId="0" applyFont="1" applyAlignment="1">
      <alignment horizontal="left"/>
    </xf>
    <xf numFmtId="0" fontId="16" fillId="0" borderId="6" xfId="2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9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9" applyFont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</cellXfs>
  <cellStyles count="16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เครื่องหมายจุลภาค 9 2" xfId="15" xr:uid="{82F02599-9511-4392-91AC-555A1A635690}"/>
    <cellStyle name="จุลภาค" xfId="1" builtinId="3"/>
    <cellStyle name="จุลภาค 2" xfId="14" xr:uid="{87E4A67C-9A24-4592-BF24-D0CAA3C7E894}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70C0"/>
      <color rgb="FF99330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923925</xdr:colOff>
      <xdr:row>0</xdr:row>
      <xdr:rowOff>133350</xdr:rowOff>
    </xdr:from>
    <xdr:to>
      <xdr:col>8</xdr:col>
      <xdr:colOff>409575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105775" y="13335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790575</xdr:colOff>
      <xdr:row>0</xdr:row>
      <xdr:rowOff>133350</xdr:rowOff>
    </xdr:from>
    <xdr:to>
      <xdr:col>8</xdr:col>
      <xdr:colOff>400050</xdr:colOff>
      <xdr:row>1</xdr:row>
      <xdr:rowOff>152400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4E8DE28A-1D80-444C-952B-48EA4CC5814B}"/>
            </a:ext>
          </a:extLst>
        </xdr:cNvPr>
        <xdr:cNvSpPr txBox="1"/>
      </xdr:nvSpPr>
      <xdr:spPr>
        <a:xfrm>
          <a:off x="7410450" y="133350"/>
          <a:ext cx="14097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I55"/>
  <sheetViews>
    <sheetView zoomScale="110" zoomScaleNormal="110" workbookViewId="0">
      <selection activeCell="D9" sqref="D9"/>
    </sheetView>
  </sheetViews>
  <sheetFormatPr defaultColWidth="9" defaultRowHeight="24" x14ac:dyDescent="0.55000000000000004"/>
  <cols>
    <col min="1" max="1" width="5.25" style="1" customWidth="1"/>
    <col min="2" max="2" width="11.625" style="3" customWidth="1"/>
    <col min="3" max="3" width="26.25" style="2" customWidth="1"/>
    <col min="4" max="4" width="44.5" style="1" customWidth="1"/>
    <col min="5" max="5" width="7" style="1" customWidth="1"/>
    <col min="6" max="6" width="5.625" style="1" customWidth="1"/>
    <col min="7" max="8" width="13.75" style="1" customWidth="1"/>
    <col min="9" max="9" width="7.75" style="3" customWidth="1"/>
    <col min="10" max="16384" width="9" style="1"/>
  </cols>
  <sheetData>
    <row r="1" spans="1:9" x14ac:dyDescent="0.55000000000000004">
      <c r="A1" s="81" t="s">
        <v>8</v>
      </c>
      <c r="B1" s="81"/>
      <c r="C1" s="81"/>
      <c r="D1" s="81"/>
      <c r="E1" s="81"/>
      <c r="F1" s="81"/>
      <c r="G1" s="81"/>
      <c r="H1" s="81"/>
      <c r="I1" s="81"/>
    </row>
    <row r="2" spans="1:9" x14ac:dyDescent="0.55000000000000004">
      <c r="A2" s="82" t="s">
        <v>96</v>
      </c>
      <c r="B2" s="82"/>
      <c r="C2" s="82"/>
      <c r="D2" s="82"/>
      <c r="E2" s="82"/>
      <c r="F2" s="82"/>
      <c r="G2" s="82"/>
      <c r="H2" s="82"/>
      <c r="I2" s="82"/>
    </row>
    <row r="3" spans="1:9" x14ac:dyDescent="0.55000000000000004">
      <c r="A3" s="83" t="s">
        <v>133</v>
      </c>
      <c r="B3" s="83"/>
      <c r="C3" s="83"/>
      <c r="D3" s="83"/>
      <c r="E3" s="83"/>
      <c r="F3" s="83"/>
      <c r="G3" s="83"/>
      <c r="H3" s="83"/>
      <c r="I3" s="83"/>
    </row>
    <row r="4" spans="1:9" ht="42.75" customHeight="1" x14ac:dyDescent="0.55000000000000004">
      <c r="A4" s="13" t="s">
        <v>80</v>
      </c>
      <c r="B4" s="13" t="s">
        <v>83</v>
      </c>
      <c r="C4" s="13" t="s">
        <v>84</v>
      </c>
      <c r="D4" s="14" t="s">
        <v>0</v>
      </c>
      <c r="E4" s="13" t="s">
        <v>81</v>
      </c>
      <c r="F4" s="14" t="s">
        <v>1</v>
      </c>
      <c r="G4" s="13" t="s">
        <v>82</v>
      </c>
      <c r="H4" s="15" t="s">
        <v>85</v>
      </c>
      <c r="I4" s="16" t="s">
        <v>2</v>
      </c>
    </row>
    <row r="5" spans="1:9" ht="19.5" customHeight="1" x14ac:dyDescent="0.55000000000000004">
      <c r="A5" s="18">
        <v>1</v>
      </c>
      <c r="B5" s="19" t="s">
        <v>90</v>
      </c>
      <c r="C5" s="20" t="s">
        <v>9</v>
      </c>
      <c r="D5" s="21" t="s">
        <v>10</v>
      </c>
      <c r="E5" s="22" t="s">
        <v>4</v>
      </c>
      <c r="F5" s="23">
        <v>8</v>
      </c>
      <c r="G5" s="24">
        <v>4850</v>
      </c>
      <c r="H5" s="24">
        <f t="shared" ref="H5:H23" si="0">SUM(F5*G5)</f>
        <v>38800</v>
      </c>
      <c r="I5" s="25"/>
    </row>
    <row r="6" spans="1:9" ht="19.5" customHeight="1" x14ac:dyDescent="0.55000000000000004">
      <c r="A6" s="26">
        <v>2</v>
      </c>
      <c r="B6" s="19" t="s">
        <v>90</v>
      </c>
      <c r="C6" s="20" t="s">
        <v>11</v>
      </c>
      <c r="D6" s="20" t="s">
        <v>12</v>
      </c>
      <c r="E6" s="22" t="s">
        <v>4</v>
      </c>
      <c r="F6" s="23">
        <v>5</v>
      </c>
      <c r="G6" s="24">
        <v>5000</v>
      </c>
      <c r="H6" s="24">
        <f t="shared" si="0"/>
        <v>25000</v>
      </c>
      <c r="I6" s="25"/>
    </row>
    <row r="7" spans="1:9" ht="19.5" customHeight="1" x14ac:dyDescent="0.55000000000000004">
      <c r="A7" s="18">
        <v>3</v>
      </c>
      <c r="B7" s="19" t="s">
        <v>90</v>
      </c>
      <c r="C7" s="20" t="s">
        <v>13</v>
      </c>
      <c r="D7" s="20" t="s">
        <v>14</v>
      </c>
      <c r="E7" s="22" t="s">
        <v>4</v>
      </c>
      <c r="F7" s="23">
        <v>1</v>
      </c>
      <c r="G7" s="24">
        <v>24000</v>
      </c>
      <c r="H7" s="24">
        <f t="shared" si="0"/>
        <v>24000</v>
      </c>
      <c r="I7" s="27"/>
    </row>
    <row r="8" spans="1:9" ht="19.5" customHeight="1" x14ac:dyDescent="0.55000000000000004">
      <c r="A8" s="26">
        <v>4</v>
      </c>
      <c r="B8" s="19" t="s">
        <v>90</v>
      </c>
      <c r="C8" s="20" t="s">
        <v>15</v>
      </c>
      <c r="D8" s="20" t="s">
        <v>16</v>
      </c>
      <c r="E8" s="22" t="s">
        <v>4</v>
      </c>
      <c r="F8" s="23">
        <v>1</v>
      </c>
      <c r="G8" s="24">
        <v>82000</v>
      </c>
      <c r="H8" s="24">
        <f t="shared" si="0"/>
        <v>82000</v>
      </c>
      <c r="I8" s="27"/>
    </row>
    <row r="9" spans="1:9" ht="19.5" customHeight="1" x14ac:dyDescent="0.55000000000000004">
      <c r="A9" s="18">
        <v>5</v>
      </c>
      <c r="B9" s="19" t="s">
        <v>90</v>
      </c>
      <c r="C9" s="20" t="s">
        <v>17</v>
      </c>
      <c r="D9" s="20" t="s">
        <v>18</v>
      </c>
      <c r="E9" s="22" t="s">
        <v>4</v>
      </c>
      <c r="F9" s="23">
        <v>1</v>
      </c>
      <c r="G9" s="24">
        <v>98000</v>
      </c>
      <c r="H9" s="24">
        <f t="shared" si="0"/>
        <v>98000</v>
      </c>
      <c r="I9" s="27"/>
    </row>
    <row r="10" spans="1:9" ht="19.5" customHeight="1" x14ac:dyDescent="0.55000000000000004">
      <c r="A10" s="26">
        <v>6</v>
      </c>
      <c r="B10" s="28" t="s">
        <v>92</v>
      </c>
      <c r="C10" s="20" t="s">
        <v>19</v>
      </c>
      <c r="D10" s="20" t="s">
        <v>20</v>
      </c>
      <c r="E10" s="29" t="s">
        <v>4</v>
      </c>
      <c r="F10" s="23">
        <v>1</v>
      </c>
      <c r="G10" s="30">
        <v>159500</v>
      </c>
      <c r="H10" s="24">
        <f t="shared" si="0"/>
        <v>159500</v>
      </c>
      <c r="I10" s="25"/>
    </row>
    <row r="11" spans="1:9" ht="19.5" customHeight="1" x14ac:dyDescent="0.55000000000000004">
      <c r="A11" s="18">
        <v>7</v>
      </c>
      <c r="B11" s="19" t="s">
        <v>92</v>
      </c>
      <c r="C11" s="20" t="s">
        <v>21</v>
      </c>
      <c r="D11" s="20" t="s">
        <v>22</v>
      </c>
      <c r="E11" s="22" t="s">
        <v>5</v>
      </c>
      <c r="F11" s="23">
        <v>1</v>
      </c>
      <c r="G11" s="30">
        <v>30000</v>
      </c>
      <c r="H11" s="24">
        <f t="shared" si="0"/>
        <v>30000</v>
      </c>
      <c r="I11" s="25"/>
    </row>
    <row r="12" spans="1:9" ht="19.5" customHeight="1" x14ac:dyDescent="0.55000000000000004">
      <c r="A12" s="26">
        <v>8</v>
      </c>
      <c r="B12" s="28" t="s">
        <v>93</v>
      </c>
      <c r="C12" s="20" t="s">
        <v>23</v>
      </c>
      <c r="D12" s="31" t="s">
        <v>24</v>
      </c>
      <c r="E12" s="22" t="s">
        <v>4</v>
      </c>
      <c r="F12" s="23">
        <v>1</v>
      </c>
      <c r="G12" s="32">
        <v>79000</v>
      </c>
      <c r="H12" s="24">
        <f t="shared" si="0"/>
        <v>79000</v>
      </c>
      <c r="I12" s="25"/>
    </row>
    <row r="13" spans="1:9" ht="19.5" customHeight="1" x14ac:dyDescent="0.55000000000000004">
      <c r="A13" s="18">
        <v>9</v>
      </c>
      <c r="B13" s="28" t="s">
        <v>93</v>
      </c>
      <c r="C13" s="20" t="s">
        <v>25</v>
      </c>
      <c r="D13" s="21" t="s">
        <v>26</v>
      </c>
      <c r="E13" s="22" t="s">
        <v>4</v>
      </c>
      <c r="F13" s="23">
        <v>1</v>
      </c>
      <c r="G13" s="24">
        <v>9309</v>
      </c>
      <c r="H13" s="24">
        <f t="shared" si="0"/>
        <v>9309</v>
      </c>
      <c r="I13" s="25"/>
    </row>
    <row r="14" spans="1:9" ht="19.5" customHeight="1" x14ac:dyDescent="0.55000000000000004">
      <c r="A14" s="26">
        <v>10</v>
      </c>
      <c r="B14" s="28" t="s">
        <v>93</v>
      </c>
      <c r="C14" s="20" t="s">
        <v>27</v>
      </c>
      <c r="D14" s="31" t="s">
        <v>28</v>
      </c>
      <c r="E14" s="22" t="s">
        <v>4</v>
      </c>
      <c r="F14" s="23">
        <v>1</v>
      </c>
      <c r="G14" s="32">
        <v>36490</v>
      </c>
      <c r="H14" s="24">
        <f t="shared" si="0"/>
        <v>36490</v>
      </c>
      <c r="I14" s="25"/>
    </row>
    <row r="15" spans="1:9" ht="19.5" customHeight="1" x14ac:dyDescent="0.55000000000000004">
      <c r="A15" s="18">
        <v>11</v>
      </c>
      <c r="B15" s="28" t="s">
        <v>93</v>
      </c>
      <c r="C15" s="20" t="s">
        <v>29</v>
      </c>
      <c r="D15" s="31" t="s">
        <v>30</v>
      </c>
      <c r="E15" s="22" t="s">
        <v>4</v>
      </c>
      <c r="F15" s="23">
        <v>1</v>
      </c>
      <c r="G15" s="24">
        <v>9309</v>
      </c>
      <c r="H15" s="24">
        <f t="shared" si="0"/>
        <v>9309</v>
      </c>
      <c r="I15" s="25"/>
    </row>
    <row r="16" spans="1:9" ht="19.5" customHeight="1" x14ac:dyDescent="0.55000000000000004">
      <c r="A16" s="26">
        <v>12</v>
      </c>
      <c r="B16" s="28" t="s">
        <v>93</v>
      </c>
      <c r="C16" s="20" t="s">
        <v>31</v>
      </c>
      <c r="D16" s="21" t="s">
        <v>32</v>
      </c>
      <c r="E16" s="22" t="s">
        <v>4</v>
      </c>
      <c r="F16" s="23">
        <v>4</v>
      </c>
      <c r="G16" s="24">
        <v>55961</v>
      </c>
      <c r="H16" s="24">
        <f t="shared" si="0"/>
        <v>223844</v>
      </c>
      <c r="I16" s="25"/>
    </row>
    <row r="17" spans="1:9" ht="19.5" customHeight="1" x14ac:dyDescent="0.55000000000000004">
      <c r="A17" s="18">
        <v>13</v>
      </c>
      <c r="B17" s="28" t="s">
        <v>93</v>
      </c>
      <c r="C17" s="20" t="s">
        <v>33</v>
      </c>
      <c r="D17" s="21" t="s">
        <v>34</v>
      </c>
      <c r="E17" s="22" t="s">
        <v>4</v>
      </c>
      <c r="F17" s="23">
        <v>4</v>
      </c>
      <c r="G17" s="24">
        <v>70000</v>
      </c>
      <c r="H17" s="24">
        <f t="shared" si="0"/>
        <v>280000</v>
      </c>
      <c r="I17" s="27"/>
    </row>
    <row r="18" spans="1:9" ht="19.5" customHeight="1" x14ac:dyDescent="0.55000000000000004">
      <c r="A18" s="26">
        <v>14</v>
      </c>
      <c r="B18" s="28" t="s">
        <v>93</v>
      </c>
      <c r="C18" s="20" t="s">
        <v>35</v>
      </c>
      <c r="D18" s="21" t="s">
        <v>34</v>
      </c>
      <c r="E18" s="22" t="s">
        <v>4</v>
      </c>
      <c r="F18" s="23">
        <v>1</v>
      </c>
      <c r="G18" s="24">
        <v>80000</v>
      </c>
      <c r="H18" s="24">
        <f t="shared" si="0"/>
        <v>80000</v>
      </c>
      <c r="I18" s="27"/>
    </row>
    <row r="19" spans="1:9" ht="19.5" customHeight="1" x14ac:dyDescent="0.55000000000000004">
      <c r="A19" s="18">
        <v>15</v>
      </c>
      <c r="B19" s="28" t="s">
        <v>93</v>
      </c>
      <c r="C19" s="20" t="s">
        <v>36</v>
      </c>
      <c r="D19" s="21" t="s">
        <v>77</v>
      </c>
      <c r="E19" s="22" t="s">
        <v>4</v>
      </c>
      <c r="F19" s="23">
        <v>1</v>
      </c>
      <c r="G19" s="24">
        <v>95000</v>
      </c>
      <c r="H19" s="24">
        <f t="shared" si="0"/>
        <v>95000</v>
      </c>
      <c r="I19" s="27"/>
    </row>
    <row r="20" spans="1:9" ht="19.5" customHeight="1" x14ac:dyDescent="0.55000000000000004">
      <c r="A20" s="26">
        <v>16</v>
      </c>
      <c r="B20" s="28" t="s">
        <v>93</v>
      </c>
      <c r="C20" s="20" t="s">
        <v>37</v>
      </c>
      <c r="D20" s="21" t="s">
        <v>38</v>
      </c>
      <c r="E20" s="22" t="s">
        <v>4</v>
      </c>
      <c r="F20" s="23">
        <v>1</v>
      </c>
      <c r="G20" s="24">
        <v>147490</v>
      </c>
      <c r="H20" s="24">
        <f t="shared" si="0"/>
        <v>147490</v>
      </c>
      <c r="I20" s="27"/>
    </row>
    <row r="21" spans="1:9" ht="19.5" customHeight="1" x14ac:dyDescent="0.55000000000000004">
      <c r="A21" s="18">
        <v>17</v>
      </c>
      <c r="B21" s="28" t="s">
        <v>93</v>
      </c>
      <c r="C21" s="20" t="s">
        <v>97</v>
      </c>
      <c r="D21" s="21" t="s">
        <v>39</v>
      </c>
      <c r="E21" s="22" t="s">
        <v>4</v>
      </c>
      <c r="F21" s="23">
        <v>2</v>
      </c>
      <c r="G21" s="24">
        <v>28490</v>
      </c>
      <c r="H21" s="24">
        <f t="shared" si="0"/>
        <v>56980</v>
      </c>
      <c r="I21" s="27"/>
    </row>
    <row r="22" spans="1:9" ht="19.5" customHeight="1" x14ac:dyDescent="0.55000000000000004">
      <c r="A22" s="26">
        <v>18</v>
      </c>
      <c r="B22" s="29">
        <v>2548</v>
      </c>
      <c r="C22" s="20" t="s">
        <v>40</v>
      </c>
      <c r="D22" s="21" t="s">
        <v>41</v>
      </c>
      <c r="E22" s="29" t="s">
        <v>5</v>
      </c>
      <c r="F22" s="23">
        <v>3</v>
      </c>
      <c r="G22" s="24">
        <v>6440</v>
      </c>
      <c r="H22" s="24">
        <f t="shared" si="0"/>
        <v>19320</v>
      </c>
      <c r="I22" s="27"/>
    </row>
    <row r="23" spans="1:9" ht="19.5" customHeight="1" x14ac:dyDescent="0.55000000000000004">
      <c r="A23" s="18">
        <v>19</v>
      </c>
      <c r="B23" s="29">
        <v>2548</v>
      </c>
      <c r="C23" s="20" t="s">
        <v>42</v>
      </c>
      <c r="D23" s="21" t="s">
        <v>43</v>
      </c>
      <c r="E23" s="29" t="s">
        <v>5</v>
      </c>
      <c r="F23" s="23">
        <v>3</v>
      </c>
      <c r="G23" s="24">
        <v>4466</v>
      </c>
      <c r="H23" s="24">
        <f t="shared" si="0"/>
        <v>13398</v>
      </c>
      <c r="I23" s="27"/>
    </row>
    <row r="24" spans="1:9" ht="19.5" customHeight="1" x14ac:dyDescent="0.55000000000000004">
      <c r="A24" s="26">
        <v>20</v>
      </c>
      <c r="B24" s="29">
        <v>2549</v>
      </c>
      <c r="C24" s="20" t="s">
        <v>44</v>
      </c>
      <c r="D24" s="21" t="s">
        <v>45</v>
      </c>
      <c r="E24" s="29" t="s">
        <v>4</v>
      </c>
      <c r="F24" s="23">
        <v>1</v>
      </c>
      <c r="G24" s="24">
        <v>16332</v>
      </c>
      <c r="H24" s="24">
        <f t="shared" ref="H24:H38" si="1">SUM(F24*G24)</f>
        <v>16332</v>
      </c>
      <c r="I24" s="27"/>
    </row>
    <row r="25" spans="1:9" ht="19.5" customHeight="1" x14ac:dyDescent="0.55000000000000004">
      <c r="A25" s="26">
        <v>21</v>
      </c>
      <c r="B25" s="29">
        <v>2549</v>
      </c>
      <c r="C25" s="20" t="s">
        <v>46</v>
      </c>
      <c r="D25" s="21" t="s">
        <v>47</v>
      </c>
      <c r="E25" s="29" t="s">
        <v>4</v>
      </c>
      <c r="F25" s="23">
        <v>1</v>
      </c>
      <c r="G25" s="24">
        <v>16355</v>
      </c>
      <c r="H25" s="24">
        <f t="shared" si="1"/>
        <v>16355</v>
      </c>
      <c r="I25" s="27"/>
    </row>
    <row r="26" spans="1:9" ht="19.5" customHeight="1" x14ac:dyDescent="0.55000000000000004">
      <c r="A26" s="18">
        <v>22</v>
      </c>
      <c r="B26" s="29">
        <v>2549</v>
      </c>
      <c r="C26" s="20" t="s">
        <v>48</v>
      </c>
      <c r="D26" s="21" t="s">
        <v>49</v>
      </c>
      <c r="E26" s="29" t="s">
        <v>4</v>
      </c>
      <c r="F26" s="23">
        <v>1</v>
      </c>
      <c r="G26" s="24">
        <v>797000</v>
      </c>
      <c r="H26" s="24">
        <f t="shared" si="1"/>
        <v>797000</v>
      </c>
      <c r="I26" s="27"/>
    </row>
    <row r="27" spans="1:9" ht="19.5" customHeight="1" x14ac:dyDescent="0.55000000000000004">
      <c r="A27" s="26">
        <v>23</v>
      </c>
      <c r="B27" s="29">
        <v>2549</v>
      </c>
      <c r="C27" s="20" t="s">
        <v>50</v>
      </c>
      <c r="D27" s="21" t="s">
        <v>78</v>
      </c>
      <c r="E27" s="22" t="s">
        <v>4</v>
      </c>
      <c r="F27" s="23">
        <v>1</v>
      </c>
      <c r="G27" s="24">
        <v>995000</v>
      </c>
      <c r="H27" s="24">
        <f t="shared" si="1"/>
        <v>995000</v>
      </c>
      <c r="I27" s="25"/>
    </row>
    <row r="28" spans="1:9" ht="19.5" customHeight="1" x14ac:dyDescent="0.55000000000000004">
      <c r="A28" s="18">
        <v>24</v>
      </c>
      <c r="B28" s="29">
        <v>2549</v>
      </c>
      <c r="C28" s="20" t="s">
        <v>51</v>
      </c>
      <c r="D28" s="21" t="s">
        <v>79</v>
      </c>
      <c r="E28" s="22" t="s">
        <v>5</v>
      </c>
      <c r="F28" s="23">
        <v>1</v>
      </c>
      <c r="G28" s="24">
        <v>56400</v>
      </c>
      <c r="H28" s="24">
        <f t="shared" si="1"/>
        <v>56400</v>
      </c>
      <c r="I28" s="25"/>
    </row>
    <row r="29" spans="1:9" ht="19.5" customHeight="1" x14ac:dyDescent="0.55000000000000004">
      <c r="A29" s="26">
        <v>25</v>
      </c>
      <c r="B29" s="18">
        <v>2550</v>
      </c>
      <c r="C29" s="20" t="s">
        <v>52</v>
      </c>
      <c r="D29" s="21" t="s">
        <v>3</v>
      </c>
      <c r="E29" s="22" t="s">
        <v>5</v>
      </c>
      <c r="F29" s="23">
        <v>2</v>
      </c>
      <c r="G29" s="24">
        <v>3000</v>
      </c>
      <c r="H29" s="24">
        <f t="shared" si="1"/>
        <v>6000</v>
      </c>
      <c r="I29" s="25"/>
    </row>
    <row r="30" spans="1:9" ht="19.5" customHeight="1" x14ac:dyDescent="0.55000000000000004">
      <c r="A30" s="18">
        <v>26</v>
      </c>
      <c r="B30" s="18">
        <v>2550</v>
      </c>
      <c r="C30" s="20" t="s">
        <v>53</v>
      </c>
      <c r="D30" s="31" t="s">
        <v>54</v>
      </c>
      <c r="E30" s="22" t="s">
        <v>5</v>
      </c>
      <c r="F30" s="23">
        <v>1</v>
      </c>
      <c r="G30" s="30">
        <v>60000</v>
      </c>
      <c r="H30" s="24">
        <f t="shared" si="1"/>
        <v>60000</v>
      </c>
      <c r="I30" s="25"/>
    </row>
    <row r="31" spans="1:9" ht="19.5" customHeight="1" x14ac:dyDescent="0.55000000000000004">
      <c r="A31" s="26">
        <v>27</v>
      </c>
      <c r="B31" s="18">
        <v>2550</v>
      </c>
      <c r="C31" s="20" t="s">
        <v>55</v>
      </c>
      <c r="D31" s="21" t="s">
        <v>56</v>
      </c>
      <c r="E31" s="22" t="s">
        <v>5</v>
      </c>
      <c r="F31" s="23">
        <v>2</v>
      </c>
      <c r="G31" s="24">
        <v>3000</v>
      </c>
      <c r="H31" s="24">
        <f t="shared" si="1"/>
        <v>6000</v>
      </c>
      <c r="I31" s="25"/>
    </row>
    <row r="32" spans="1:9" ht="19.5" customHeight="1" x14ac:dyDescent="0.55000000000000004">
      <c r="A32" s="18">
        <v>28</v>
      </c>
      <c r="B32" s="28" t="s">
        <v>94</v>
      </c>
      <c r="C32" s="20" t="s">
        <v>57</v>
      </c>
      <c r="D32" s="21" t="s">
        <v>67</v>
      </c>
      <c r="E32" s="22" t="s">
        <v>76</v>
      </c>
      <c r="F32" s="23">
        <v>1</v>
      </c>
      <c r="G32" s="24">
        <v>200000</v>
      </c>
      <c r="H32" s="24">
        <f t="shared" si="1"/>
        <v>200000</v>
      </c>
      <c r="I32" s="25"/>
    </row>
    <row r="33" spans="1:9" ht="19.5" customHeight="1" x14ac:dyDescent="0.55000000000000004">
      <c r="A33" s="26">
        <v>29</v>
      </c>
      <c r="B33" s="33" t="s">
        <v>94</v>
      </c>
      <c r="C33" s="20" t="s">
        <v>58</v>
      </c>
      <c r="D33" s="21" t="s">
        <v>59</v>
      </c>
      <c r="E33" s="22" t="s">
        <v>76</v>
      </c>
      <c r="F33" s="23">
        <v>1</v>
      </c>
      <c r="G33" s="24">
        <v>31796</v>
      </c>
      <c r="H33" s="24">
        <f t="shared" si="1"/>
        <v>31796</v>
      </c>
      <c r="I33" s="27"/>
    </row>
    <row r="34" spans="1:9" ht="19.5" customHeight="1" x14ac:dyDescent="0.55000000000000004">
      <c r="A34" s="18">
        <v>30</v>
      </c>
      <c r="B34" s="34" t="s">
        <v>95</v>
      </c>
      <c r="C34" s="35" t="s">
        <v>60</v>
      </c>
      <c r="D34" s="36" t="s">
        <v>61</v>
      </c>
      <c r="E34" s="22" t="s">
        <v>4</v>
      </c>
      <c r="F34" s="37">
        <v>11</v>
      </c>
      <c r="G34" s="24">
        <v>77000</v>
      </c>
      <c r="H34" s="24">
        <f t="shared" si="1"/>
        <v>847000</v>
      </c>
      <c r="I34" s="27"/>
    </row>
    <row r="35" spans="1:9" ht="19.5" customHeight="1" x14ac:dyDescent="0.55000000000000004">
      <c r="A35" s="26">
        <v>31</v>
      </c>
      <c r="B35" s="34" t="s">
        <v>95</v>
      </c>
      <c r="C35" s="35" t="s">
        <v>62</v>
      </c>
      <c r="D35" s="36" t="s">
        <v>63</v>
      </c>
      <c r="E35" s="22" t="s">
        <v>4</v>
      </c>
      <c r="F35" s="37">
        <v>1</v>
      </c>
      <c r="G35" s="24">
        <v>157000</v>
      </c>
      <c r="H35" s="24">
        <f t="shared" si="1"/>
        <v>157000</v>
      </c>
      <c r="I35" s="27"/>
    </row>
    <row r="36" spans="1:9" ht="19.5" customHeight="1" x14ac:dyDescent="0.55000000000000004">
      <c r="A36" s="18">
        <v>32</v>
      </c>
      <c r="B36" s="34" t="s">
        <v>95</v>
      </c>
      <c r="C36" s="20" t="s">
        <v>64</v>
      </c>
      <c r="D36" s="21" t="s">
        <v>68</v>
      </c>
      <c r="E36" s="22" t="s">
        <v>4</v>
      </c>
      <c r="F36" s="23">
        <v>1</v>
      </c>
      <c r="G36" s="24">
        <v>370000</v>
      </c>
      <c r="H36" s="24">
        <f t="shared" si="1"/>
        <v>370000</v>
      </c>
      <c r="I36" s="27"/>
    </row>
    <row r="37" spans="1:9" ht="19.5" customHeight="1" x14ac:dyDescent="0.55000000000000004">
      <c r="A37" s="26">
        <v>33</v>
      </c>
      <c r="B37" s="34" t="s">
        <v>95</v>
      </c>
      <c r="C37" s="20" t="s">
        <v>65</v>
      </c>
      <c r="D37" s="21" t="s">
        <v>66</v>
      </c>
      <c r="E37" s="22" t="s">
        <v>4</v>
      </c>
      <c r="F37" s="23">
        <v>1</v>
      </c>
      <c r="G37" s="24">
        <v>199800</v>
      </c>
      <c r="H37" s="24">
        <f t="shared" si="1"/>
        <v>199800</v>
      </c>
      <c r="I37" s="27"/>
    </row>
    <row r="38" spans="1:9" ht="19.5" customHeight="1" x14ac:dyDescent="0.55000000000000004">
      <c r="A38" s="18">
        <v>34</v>
      </c>
      <c r="B38" s="38">
        <v>22327</v>
      </c>
      <c r="C38" s="39" t="s">
        <v>69</v>
      </c>
      <c r="D38" s="40" t="s">
        <v>87</v>
      </c>
      <c r="E38" s="41" t="s">
        <v>4</v>
      </c>
      <c r="F38" s="42">
        <v>1</v>
      </c>
      <c r="G38" s="43">
        <v>1429940</v>
      </c>
      <c r="H38" s="24">
        <f t="shared" si="1"/>
        <v>1429940</v>
      </c>
      <c r="I38" s="44"/>
    </row>
    <row r="39" spans="1:9" ht="19.5" customHeight="1" x14ac:dyDescent="0.55000000000000004">
      <c r="A39" s="45"/>
      <c r="B39" s="38"/>
      <c r="C39" s="39"/>
      <c r="D39" s="46" t="s">
        <v>71</v>
      </c>
      <c r="E39" s="41"/>
      <c r="F39" s="42"/>
      <c r="G39" s="43"/>
      <c r="H39" s="43"/>
      <c r="I39" s="44"/>
    </row>
    <row r="40" spans="1:9" ht="19.5" customHeight="1" x14ac:dyDescent="0.55000000000000004">
      <c r="A40" s="45"/>
      <c r="B40" s="38"/>
      <c r="C40" s="39"/>
      <c r="D40" s="47" t="s">
        <v>70</v>
      </c>
      <c r="E40" s="41"/>
      <c r="F40" s="42"/>
      <c r="G40" s="43"/>
      <c r="H40" s="43"/>
      <c r="I40" s="44"/>
    </row>
    <row r="41" spans="1:9" ht="19.5" customHeight="1" x14ac:dyDescent="0.55000000000000004">
      <c r="A41" s="45"/>
      <c r="B41" s="38"/>
      <c r="C41" s="39"/>
      <c r="D41" s="46" t="s">
        <v>72</v>
      </c>
      <c r="E41" s="41"/>
      <c r="F41" s="42"/>
      <c r="G41" s="43"/>
      <c r="H41" s="43"/>
      <c r="I41" s="44"/>
    </row>
    <row r="42" spans="1:9" ht="19.5" customHeight="1" x14ac:dyDescent="0.55000000000000004">
      <c r="A42" s="45"/>
      <c r="B42" s="38"/>
      <c r="C42" s="39"/>
      <c r="D42" s="46" t="s">
        <v>73</v>
      </c>
      <c r="E42" s="41"/>
      <c r="F42" s="42"/>
      <c r="G42" s="43"/>
      <c r="H42" s="43"/>
      <c r="I42" s="44"/>
    </row>
    <row r="43" spans="1:9" ht="19.5" customHeight="1" x14ac:dyDescent="0.55000000000000004">
      <c r="A43" s="45"/>
      <c r="B43" s="38"/>
      <c r="C43" s="39"/>
      <c r="D43" s="46" t="s">
        <v>74</v>
      </c>
      <c r="E43" s="41"/>
      <c r="F43" s="42"/>
      <c r="G43" s="43"/>
      <c r="H43" s="43"/>
      <c r="I43" s="44"/>
    </row>
    <row r="44" spans="1:9" ht="19.5" customHeight="1" x14ac:dyDescent="0.55000000000000004">
      <c r="A44" s="45"/>
      <c r="B44" s="38"/>
      <c r="C44" s="39"/>
      <c r="D44" s="46" t="s">
        <v>75</v>
      </c>
      <c r="E44" s="41"/>
      <c r="F44" s="42"/>
      <c r="G44" s="43"/>
      <c r="H44" s="43"/>
      <c r="I44" s="44"/>
    </row>
    <row r="45" spans="1:9" ht="19.5" customHeight="1" x14ac:dyDescent="0.55000000000000004">
      <c r="A45" s="45">
        <v>35</v>
      </c>
      <c r="B45" s="38">
        <v>23536</v>
      </c>
      <c r="C45" s="39" t="s">
        <v>89</v>
      </c>
      <c r="D45" s="48" t="s">
        <v>88</v>
      </c>
      <c r="E45" s="41" t="s">
        <v>5</v>
      </c>
      <c r="F45" s="42">
        <v>1</v>
      </c>
      <c r="G45" s="43">
        <v>2690</v>
      </c>
      <c r="H45" s="43">
        <f>SUM(F45*G45)</f>
        <v>2690</v>
      </c>
      <c r="I45" s="44"/>
    </row>
    <row r="46" spans="1:9" ht="19.5" customHeight="1" x14ac:dyDescent="0.55000000000000004">
      <c r="A46" s="49">
        <v>36</v>
      </c>
      <c r="B46" s="50">
        <v>23734</v>
      </c>
      <c r="C46" s="51" t="s">
        <v>126</v>
      </c>
      <c r="D46" s="52" t="s">
        <v>128</v>
      </c>
      <c r="E46" s="53" t="s">
        <v>127</v>
      </c>
      <c r="F46" s="54">
        <v>1</v>
      </c>
      <c r="G46" s="55">
        <v>489000</v>
      </c>
      <c r="H46" s="55">
        <f>SUM(F46*G46)</f>
        <v>489000</v>
      </c>
      <c r="I46" s="44"/>
    </row>
    <row r="47" spans="1:9" ht="19.5" customHeight="1" x14ac:dyDescent="0.55000000000000004">
      <c r="A47" s="45">
        <v>37</v>
      </c>
      <c r="B47" s="50">
        <v>23983</v>
      </c>
      <c r="C47" s="51" t="s">
        <v>130</v>
      </c>
      <c r="D47" s="52" t="s">
        <v>129</v>
      </c>
      <c r="E47" s="53" t="s">
        <v>5</v>
      </c>
      <c r="F47" s="54">
        <v>60</v>
      </c>
      <c r="G47" s="55">
        <v>550</v>
      </c>
      <c r="H47" s="55">
        <f>SUM(F47*G47)</f>
        <v>33000</v>
      </c>
      <c r="I47" s="44"/>
    </row>
    <row r="48" spans="1:9" ht="19.5" customHeight="1" x14ac:dyDescent="0.55000000000000004">
      <c r="A48" s="49">
        <v>38</v>
      </c>
      <c r="B48" s="50">
        <v>243406</v>
      </c>
      <c r="C48" s="51" t="s">
        <v>131</v>
      </c>
      <c r="D48" s="52" t="s">
        <v>132</v>
      </c>
      <c r="E48" s="53" t="s">
        <v>5</v>
      </c>
      <c r="F48" s="54">
        <v>5</v>
      </c>
      <c r="G48" s="55">
        <v>20000</v>
      </c>
      <c r="H48" s="55">
        <f>SUM(F48*G48)</f>
        <v>100000</v>
      </c>
      <c r="I48" s="44"/>
    </row>
    <row r="49" spans="1:9" x14ac:dyDescent="0.55000000000000004">
      <c r="A49" s="84" t="s">
        <v>7</v>
      </c>
      <c r="B49" s="84"/>
      <c r="C49" s="84"/>
      <c r="D49" s="84"/>
      <c r="E49" s="84"/>
      <c r="F49" s="11"/>
      <c r="G49" s="12"/>
      <c r="H49" s="12">
        <f>SUM(H5:H48)</f>
        <v>7320753</v>
      </c>
      <c r="I49" s="6"/>
    </row>
    <row r="50" spans="1:9" x14ac:dyDescent="0.55000000000000004">
      <c r="A50" s="4"/>
      <c r="B50" s="4"/>
      <c r="C50" s="4"/>
      <c r="D50" s="4"/>
      <c r="E50" s="4"/>
      <c r="F50" s="7"/>
      <c r="G50" s="8"/>
      <c r="H50" s="8"/>
      <c r="I50" s="4"/>
    </row>
    <row r="51" spans="1:9" x14ac:dyDescent="0.55000000000000004">
      <c r="A51" s="9"/>
      <c r="B51" s="4"/>
      <c r="C51" s="10"/>
      <c r="D51" s="9"/>
      <c r="E51" s="9"/>
      <c r="F51" s="7"/>
      <c r="G51" s="9"/>
      <c r="H51" s="9"/>
      <c r="I51" s="4"/>
    </row>
    <row r="52" spans="1:9" x14ac:dyDescent="0.55000000000000004">
      <c r="A52" s="9"/>
      <c r="B52" s="4"/>
      <c r="C52" s="10"/>
      <c r="D52" s="9"/>
      <c r="E52" s="9"/>
      <c r="F52" s="81" t="s">
        <v>86</v>
      </c>
      <c r="G52" s="81"/>
      <c r="H52" s="81"/>
      <c r="I52" s="81"/>
    </row>
    <row r="53" spans="1:9" x14ac:dyDescent="0.55000000000000004">
      <c r="A53" s="9"/>
      <c r="B53" s="4"/>
      <c r="C53" s="10"/>
      <c r="D53" s="9"/>
      <c r="E53" s="9"/>
      <c r="F53" s="81" t="s">
        <v>134</v>
      </c>
      <c r="G53" s="81"/>
      <c r="H53" s="81"/>
      <c r="I53" s="81"/>
    </row>
    <row r="54" spans="1:9" x14ac:dyDescent="0.55000000000000004">
      <c r="A54" s="9"/>
      <c r="B54" s="4"/>
      <c r="C54" s="10"/>
      <c r="D54" s="9"/>
      <c r="E54" s="9"/>
      <c r="F54" s="81" t="s">
        <v>6</v>
      </c>
      <c r="G54" s="81"/>
      <c r="H54" s="81"/>
      <c r="I54" s="81"/>
    </row>
    <row r="55" spans="1:9" x14ac:dyDescent="0.55000000000000004">
      <c r="A55" s="9"/>
      <c r="B55" s="4"/>
      <c r="C55" s="10"/>
      <c r="D55" s="9"/>
      <c r="E55" s="9"/>
      <c r="F55" s="9"/>
      <c r="G55" s="9"/>
      <c r="H55" s="9"/>
      <c r="I55" s="4"/>
    </row>
  </sheetData>
  <mergeCells count="7">
    <mergeCell ref="F54:I54"/>
    <mergeCell ref="A1:I1"/>
    <mergeCell ref="A2:I2"/>
    <mergeCell ref="A3:I3"/>
    <mergeCell ref="A49:E49"/>
    <mergeCell ref="F52:I52"/>
    <mergeCell ref="F53:I53"/>
  </mergeCells>
  <printOptions horizontalCentered="1"/>
  <pageMargins left="0.19685039370078741" right="0" top="0.39370078740157483" bottom="0.19685039370078741" header="0" footer="0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C823-EF69-43AC-ADAF-73040BEA2B4E}">
  <sheetPr>
    <tabColor rgb="FFC00000"/>
  </sheetPr>
  <dimension ref="A1:I22"/>
  <sheetViews>
    <sheetView tabSelected="1" zoomScale="110" zoomScaleNormal="110" workbookViewId="0">
      <selection activeCell="D26" sqref="D26"/>
    </sheetView>
  </sheetViews>
  <sheetFormatPr defaultColWidth="9" defaultRowHeight="24" x14ac:dyDescent="0.55000000000000004"/>
  <cols>
    <col min="1" max="1" width="5.25" style="1" customWidth="1"/>
    <col min="2" max="2" width="10.5" style="3" customWidth="1"/>
    <col min="3" max="3" width="27.375" style="2" customWidth="1"/>
    <col min="4" max="4" width="37.875" style="1" customWidth="1"/>
    <col min="5" max="5" width="7.375" style="1" customWidth="1"/>
    <col min="6" max="6" width="6.875" style="1" customWidth="1"/>
    <col min="7" max="7" width="13" style="1" customWidth="1"/>
    <col min="8" max="8" width="14.625" style="1" customWidth="1"/>
    <col min="9" max="9" width="12.375" style="3" customWidth="1"/>
    <col min="10" max="16384" width="9" style="1"/>
  </cols>
  <sheetData>
    <row r="1" spans="1:9" x14ac:dyDescent="0.55000000000000004">
      <c r="A1" s="86" t="s">
        <v>8</v>
      </c>
      <c r="B1" s="86"/>
      <c r="C1" s="86"/>
      <c r="D1" s="86"/>
      <c r="E1" s="86"/>
      <c r="F1" s="86"/>
      <c r="G1" s="86"/>
      <c r="H1" s="86"/>
      <c r="I1" s="86"/>
    </row>
    <row r="2" spans="1:9" x14ac:dyDescent="0.55000000000000004">
      <c r="A2" s="87" t="s">
        <v>98</v>
      </c>
      <c r="B2" s="87"/>
      <c r="C2" s="87"/>
      <c r="D2" s="87"/>
      <c r="E2" s="87"/>
      <c r="F2" s="87"/>
      <c r="G2" s="87"/>
      <c r="H2" s="87"/>
      <c r="I2" s="87"/>
    </row>
    <row r="3" spans="1:9" x14ac:dyDescent="0.55000000000000004">
      <c r="A3" s="88" t="s">
        <v>133</v>
      </c>
      <c r="B3" s="88"/>
      <c r="C3" s="88"/>
      <c r="D3" s="88"/>
      <c r="E3" s="88"/>
      <c r="F3" s="88"/>
      <c r="G3" s="88"/>
      <c r="H3" s="88"/>
      <c r="I3" s="88"/>
    </row>
    <row r="4" spans="1:9" ht="48" x14ac:dyDescent="0.55000000000000004">
      <c r="A4" s="17" t="s">
        <v>80</v>
      </c>
      <c r="B4" s="17" t="s">
        <v>83</v>
      </c>
      <c r="C4" s="17" t="s">
        <v>84</v>
      </c>
      <c r="D4" s="58" t="s">
        <v>0</v>
      </c>
      <c r="E4" s="17" t="s">
        <v>81</v>
      </c>
      <c r="F4" s="58" t="s">
        <v>1</v>
      </c>
      <c r="G4" s="17" t="s">
        <v>82</v>
      </c>
      <c r="H4" s="17" t="s">
        <v>85</v>
      </c>
      <c r="I4" s="17" t="s">
        <v>2</v>
      </c>
    </row>
    <row r="5" spans="1:9" x14ac:dyDescent="0.55000000000000004">
      <c r="A5" s="59">
        <v>1</v>
      </c>
      <c r="B5" s="60" t="s">
        <v>90</v>
      </c>
      <c r="C5" s="61" t="s">
        <v>99</v>
      </c>
      <c r="D5" s="62" t="s">
        <v>10</v>
      </c>
      <c r="E5" s="63" t="s">
        <v>4</v>
      </c>
      <c r="F5" s="64">
        <v>4</v>
      </c>
      <c r="G5" s="65">
        <v>4850</v>
      </c>
      <c r="H5" s="66">
        <f>SUM(F5*G5)</f>
        <v>19400</v>
      </c>
      <c r="I5" s="67"/>
    </row>
    <row r="6" spans="1:9" x14ac:dyDescent="0.55000000000000004">
      <c r="A6" s="68">
        <v>2</v>
      </c>
      <c r="B6" s="69" t="s">
        <v>90</v>
      </c>
      <c r="C6" s="61" t="s">
        <v>100</v>
      </c>
      <c r="D6" s="62" t="s">
        <v>12</v>
      </c>
      <c r="E6" s="63" t="s">
        <v>4</v>
      </c>
      <c r="F6" s="64">
        <v>5</v>
      </c>
      <c r="G6" s="65">
        <v>5000</v>
      </c>
      <c r="H6" s="66">
        <f t="shared" ref="H6:H17" si="0">SUM(F6*G6)</f>
        <v>25000</v>
      </c>
      <c r="I6" s="67"/>
    </row>
    <row r="7" spans="1:9" x14ac:dyDescent="0.55000000000000004">
      <c r="A7" s="59">
        <v>3</v>
      </c>
      <c r="B7" s="60" t="s">
        <v>91</v>
      </c>
      <c r="C7" s="61" t="s">
        <v>101</v>
      </c>
      <c r="D7" s="70" t="s">
        <v>102</v>
      </c>
      <c r="E7" s="63" t="s">
        <v>4</v>
      </c>
      <c r="F7" s="64">
        <v>1</v>
      </c>
      <c r="G7" s="65">
        <v>8400</v>
      </c>
      <c r="H7" s="66">
        <f t="shared" si="0"/>
        <v>8400</v>
      </c>
      <c r="I7" s="67"/>
    </row>
    <row r="8" spans="1:9" x14ac:dyDescent="0.55000000000000004">
      <c r="A8" s="68">
        <v>4</v>
      </c>
      <c r="B8" s="60" t="s">
        <v>91</v>
      </c>
      <c r="C8" s="71" t="s">
        <v>103</v>
      </c>
      <c r="D8" s="70" t="s">
        <v>104</v>
      </c>
      <c r="E8" s="63" t="s">
        <v>4</v>
      </c>
      <c r="F8" s="59">
        <v>1</v>
      </c>
      <c r="G8" s="65">
        <v>8400</v>
      </c>
      <c r="H8" s="66">
        <f t="shared" si="0"/>
        <v>8400</v>
      </c>
      <c r="I8" s="67"/>
    </row>
    <row r="9" spans="1:9" x14ac:dyDescent="0.55000000000000004">
      <c r="A9" s="59">
        <v>5</v>
      </c>
      <c r="B9" s="60" t="s">
        <v>93</v>
      </c>
      <c r="C9" s="61" t="s">
        <v>105</v>
      </c>
      <c r="D9" s="62" t="s">
        <v>106</v>
      </c>
      <c r="E9" s="63" t="s">
        <v>4</v>
      </c>
      <c r="F9" s="64">
        <v>1</v>
      </c>
      <c r="G9" s="65">
        <v>55961</v>
      </c>
      <c r="H9" s="66">
        <f t="shared" si="0"/>
        <v>55961</v>
      </c>
      <c r="I9" s="67"/>
    </row>
    <row r="10" spans="1:9" x14ac:dyDescent="0.55000000000000004">
      <c r="A10" s="68">
        <v>6</v>
      </c>
      <c r="B10" s="60" t="s">
        <v>93</v>
      </c>
      <c r="C10" s="61" t="s">
        <v>107</v>
      </c>
      <c r="D10" s="62" t="s">
        <v>34</v>
      </c>
      <c r="E10" s="63" t="s">
        <v>4</v>
      </c>
      <c r="F10" s="64">
        <v>3</v>
      </c>
      <c r="G10" s="65">
        <v>70000</v>
      </c>
      <c r="H10" s="66">
        <f t="shared" si="0"/>
        <v>210000</v>
      </c>
      <c r="I10" s="67"/>
    </row>
    <row r="11" spans="1:9" s="5" customFormat="1" x14ac:dyDescent="0.55000000000000004">
      <c r="A11" s="59">
        <v>7</v>
      </c>
      <c r="B11" s="60" t="s">
        <v>123</v>
      </c>
      <c r="C11" s="61" t="s">
        <v>108</v>
      </c>
      <c r="D11" s="62" t="s">
        <v>109</v>
      </c>
      <c r="E11" s="63" t="s">
        <v>5</v>
      </c>
      <c r="F11" s="64">
        <v>1</v>
      </c>
      <c r="G11" s="65">
        <v>3478</v>
      </c>
      <c r="H11" s="66">
        <f t="shared" si="0"/>
        <v>3478</v>
      </c>
      <c r="I11" s="67"/>
    </row>
    <row r="12" spans="1:9" x14ac:dyDescent="0.55000000000000004">
      <c r="A12" s="59">
        <v>8</v>
      </c>
      <c r="B12" s="60" t="s">
        <v>124</v>
      </c>
      <c r="C12" s="61" t="s">
        <v>110</v>
      </c>
      <c r="D12" s="62" t="s">
        <v>111</v>
      </c>
      <c r="E12" s="63" t="s">
        <v>5</v>
      </c>
      <c r="F12" s="64">
        <v>2</v>
      </c>
      <c r="G12" s="65">
        <v>3000</v>
      </c>
      <c r="H12" s="66">
        <f t="shared" si="0"/>
        <v>6000</v>
      </c>
      <c r="I12" s="67"/>
    </row>
    <row r="13" spans="1:9" x14ac:dyDescent="0.55000000000000004">
      <c r="A13" s="59">
        <v>9</v>
      </c>
      <c r="B13" s="60" t="s">
        <v>125</v>
      </c>
      <c r="C13" s="72" t="s">
        <v>112</v>
      </c>
      <c r="D13" s="72" t="s">
        <v>113</v>
      </c>
      <c r="E13" s="63" t="s">
        <v>4</v>
      </c>
      <c r="F13" s="73">
        <v>1</v>
      </c>
      <c r="G13" s="74">
        <v>3500</v>
      </c>
      <c r="H13" s="66">
        <f t="shared" si="0"/>
        <v>3500</v>
      </c>
      <c r="I13" s="67"/>
    </row>
    <row r="14" spans="1:9" x14ac:dyDescent="0.55000000000000004">
      <c r="A14" s="59">
        <v>10</v>
      </c>
      <c r="B14" s="60" t="s">
        <v>125</v>
      </c>
      <c r="C14" s="72" t="s">
        <v>114</v>
      </c>
      <c r="D14" s="72" t="s">
        <v>115</v>
      </c>
      <c r="E14" s="63" t="s">
        <v>4</v>
      </c>
      <c r="F14" s="73">
        <v>1</v>
      </c>
      <c r="G14" s="74">
        <v>1500</v>
      </c>
      <c r="H14" s="66">
        <f t="shared" si="0"/>
        <v>1500</v>
      </c>
      <c r="I14" s="67"/>
    </row>
    <row r="15" spans="1:9" x14ac:dyDescent="0.55000000000000004">
      <c r="A15" s="59">
        <v>11</v>
      </c>
      <c r="B15" s="60" t="s">
        <v>125</v>
      </c>
      <c r="C15" s="72" t="s">
        <v>116</v>
      </c>
      <c r="D15" s="72" t="s">
        <v>117</v>
      </c>
      <c r="E15" s="63" t="s">
        <v>4</v>
      </c>
      <c r="F15" s="73">
        <v>1</v>
      </c>
      <c r="G15" s="74">
        <v>4000</v>
      </c>
      <c r="H15" s="66">
        <f t="shared" si="0"/>
        <v>4000</v>
      </c>
      <c r="I15" s="67"/>
    </row>
    <row r="16" spans="1:9" x14ac:dyDescent="0.55000000000000004">
      <c r="A16" s="59">
        <v>12</v>
      </c>
      <c r="B16" s="60" t="s">
        <v>125</v>
      </c>
      <c r="C16" s="72" t="s">
        <v>118</v>
      </c>
      <c r="D16" s="72" t="s">
        <v>119</v>
      </c>
      <c r="E16" s="63" t="s">
        <v>4</v>
      </c>
      <c r="F16" s="73">
        <v>1</v>
      </c>
      <c r="G16" s="74">
        <v>3500</v>
      </c>
      <c r="H16" s="66">
        <f t="shared" si="0"/>
        <v>3500</v>
      </c>
      <c r="I16" s="67"/>
    </row>
    <row r="17" spans="1:9" x14ac:dyDescent="0.55000000000000004">
      <c r="A17" s="59">
        <v>13</v>
      </c>
      <c r="B17" s="60" t="s">
        <v>125</v>
      </c>
      <c r="C17" s="75" t="s">
        <v>120</v>
      </c>
      <c r="D17" s="75" t="s">
        <v>121</v>
      </c>
      <c r="E17" s="63" t="s">
        <v>4</v>
      </c>
      <c r="F17" s="27">
        <v>1</v>
      </c>
      <c r="G17" s="76">
        <v>2000</v>
      </c>
      <c r="H17" s="66">
        <f t="shared" si="0"/>
        <v>2000</v>
      </c>
      <c r="I17" s="67"/>
    </row>
    <row r="18" spans="1:9" x14ac:dyDescent="0.55000000000000004">
      <c r="A18" s="89" t="s">
        <v>7</v>
      </c>
      <c r="B18" s="90"/>
      <c r="C18" s="90"/>
      <c r="D18" s="90"/>
      <c r="E18" s="90"/>
      <c r="F18" s="90"/>
      <c r="G18" s="90"/>
      <c r="H18" s="56">
        <f>SUM(H5:H17)</f>
        <v>351139</v>
      </c>
      <c r="I18" s="77"/>
    </row>
    <row r="19" spans="1:9" x14ac:dyDescent="0.55000000000000004">
      <c r="A19" s="78"/>
      <c r="B19" s="78"/>
      <c r="C19" s="78"/>
      <c r="D19" s="79"/>
      <c r="E19" s="78"/>
      <c r="F19" s="80"/>
      <c r="G19" s="78"/>
      <c r="H19" s="78"/>
      <c r="I19" s="57"/>
    </row>
    <row r="20" spans="1:9" x14ac:dyDescent="0.55000000000000004">
      <c r="A20" s="78"/>
      <c r="B20" s="78"/>
      <c r="C20" s="78"/>
      <c r="D20" s="79"/>
      <c r="E20" s="78"/>
      <c r="F20" s="86" t="s">
        <v>122</v>
      </c>
      <c r="G20" s="86"/>
      <c r="H20" s="86"/>
      <c r="I20" s="86"/>
    </row>
    <row r="21" spans="1:9" x14ac:dyDescent="0.55000000000000004">
      <c r="A21" s="78"/>
      <c r="B21" s="78"/>
      <c r="C21" s="78"/>
      <c r="D21" s="79"/>
      <c r="E21" s="78"/>
      <c r="F21" s="85" t="s">
        <v>134</v>
      </c>
      <c r="G21" s="85"/>
      <c r="H21" s="85"/>
      <c r="I21" s="85"/>
    </row>
    <row r="22" spans="1:9" x14ac:dyDescent="0.55000000000000004">
      <c r="A22" s="78"/>
      <c r="B22" s="78"/>
      <c r="C22" s="78"/>
      <c r="D22" s="79"/>
      <c r="E22" s="78"/>
      <c r="F22" s="85" t="s">
        <v>6</v>
      </c>
      <c r="G22" s="85"/>
      <c r="H22" s="85"/>
      <c r="I22" s="85"/>
    </row>
  </sheetData>
  <mergeCells count="7">
    <mergeCell ref="F22:I22"/>
    <mergeCell ref="A1:I1"/>
    <mergeCell ref="A2:I2"/>
    <mergeCell ref="A3:I3"/>
    <mergeCell ref="A18:G18"/>
    <mergeCell ref="F20:I20"/>
    <mergeCell ref="F21:I21"/>
  </mergeCells>
  <printOptions horizontalCentered="1"/>
  <pageMargins left="0.19685039370078741" right="0" top="0.39370078740157483" bottom="0.19685039370078741" header="0" footer="0"/>
  <pageSetup paperSize="9" scale="7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แผนกช่างยนต์</vt:lpstr>
      <vt:lpstr>สาขาเครื่องกลอุตสาหกรรม</vt:lpstr>
      <vt:lpstr>แผนกช่างยนต์!Print_Titles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2025-09-23T07:25:11Z</cp:lastPrinted>
  <dcterms:created xsi:type="dcterms:W3CDTF">2017-11-14T01:32:33Z</dcterms:created>
  <dcterms:modified xsi:type="dcterms:W3CDTF">2025-10-28T03:12:54Z</dcterms:modified>
</cp:coreProperties>
</file>