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1. ฝ่ายบริหารทรัพยากร\"/>
    </mc:Choice>
  </mc:AlternateContent>
  <xr:revisionPtr revIDLastSave="0" documentId="13_ncr:1_{B7A1A3AE-958E-4A42-8548-4CAA95EDD8A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72" i="46" l="1"/>
  <c r="K158" i="46"/>
  <c r="K144" i="46"/>
  <c r="K128" i="46"/>
  <c r="K114" i="46"/>
  <c r="K98" i="46"/>
  <c r="K84" i="46"/>
  <c r="K68" i="46"/>
  <c r="K54" i="46"/>
  <c r="K38" i="46"/>
  <c r="K23" i="46"/>
  <c r="K9" i="46"/>
  <c r="K10" i="46"/>
  <c r="K11" i="46"/>
  <c r="K12" i="46"/>
  <c r="K13" i="46"/>
  <c r="K14" i="46"/>
  <c r="K15" i="46"/>
  <c r="K16" i="46"/>
  <c r="K17" i="46"/>
  <c r="K18" i="46"/>
  <c r="K19" i="46"/>
  <c r="K20" i="46"/>
  <c r="K21" i="46"/>
  <c r="K22" i="46"/>
  <c r="K166" i="46" l="1"/>
  <c r="K167" i="46"/>
  <c r="K168" i="46"/>
  <c r="K169" i="46"/>
  <c r="K170" i="46"/>
  <c r="K165" i="46"/>
  <c r="K164" i="46"/>
  <c r="K162" i="46"/>
  <c r="K163" i="46"/>
  <c r="K161" i="46"/>
  <c r="K141" i="46"/>
  <c r="K142" i="46"/>
  <c r="K143" i="46"/>
  <c r="K159" i="46"/>
  <c r="K160" i="46"/>
  <c r="K140" i="46"/>
  <c r="K139" i="46"/>
  <c r="K134" i="46"/>
  <c r="K135" i="46"/>
  <c r="K136" i="46"/>
  <c r="K137" i="46"/>
  <c r="K138" i="46"/>
  <c r="K110" i="46"/>
  <c r="K111" i="46"/>
  <c r="K112" i="46"/>
  <c r="K113" i="46"/>
  <c r="K129" i="46"/>
  <c r="K130" i="46"/>
  <c r="K131" i="46"/>
  <c r="K132" i="46"/>
  <c r="K133" i="46"/>
  <c r="K109" i="46"/>
  <c r="K108" i="46"/>
  <c r="K107" i="46"/>
  <c r="K106" i="46"/>
  <c r="K105" i="46"/>
  <c r="K104" i="46"/>
  <c r="K103" i="46"/>
  <c r="K102" i="46"/>
  <c r="K101" i="46"/>
  <c r="K100" i="46"/>
  <c r="K99" i="46"/>
  <c r="K83" i="46"/>
  <c r="K82" i="46"/>
  <c r="K81" i="46"/>
  <c r="K80" i="46"/>
  <c r="K79" i="46"/>
  <c r="K78" i="46"/>
  <c r="K77" i="46"/>
  <c r="K76" i="46"/>
  <c r="K75" i="46"/>
  <c r="K71" i="46"/>
  <c r="K72" i="46"/>
  <c r="K73" i="46"/>
  <c r="K74" i="46"/>
  <c r="K51" i="46"/>
  <c r="K52" i="46"/>
  <c r="K53" i="46"/>
  <c r="K69" i="46"/>
  <c r="K70" i="46"/>
  <c r="K50" i="46"/>
  <c r="K49" i="46"/>
  <c r="K39" i="46"/>
  <c r="K40" i="46"/>
  <c r="K41" i="46"/>
  <c r="K42" i="46"/>
  <c r="K43" i="46"/>
  <c r="K44" i="46"/>
  <c r="K45" i="46"/>
  <c r="K46" i="46"/>
  <c r="K47" i="46"/>
  <c r="K48" i="46"/>
  <c r="K8" i="46"/>
</calcChain>
</file>

<file path=xl/sharedStrings.xml><?xml version="1.0" encoding="utf-8"?>
<sst xmlns="http://schemas.openxmlformats.org/spreadsheetml/2006/main" count="638" uniqueCount="227">
  <si>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</si>
  <si>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</si>
  <si>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</si>
  <si>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</si>
  <si>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</si>
  <si>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</si>
  <si>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</si>
  <si>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</si>
  <si>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</si>
  <si>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</si>
  <si>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</si>
  <si>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</si>
  <si>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</si>
  <si>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</si>
  <si>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</si>
  <si>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</si>
  <si>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</si>
  <si>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</si>
  <si>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</si>
  <si>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</si>
  <si>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</si>
  <si>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</si>
  <si>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2539</t>
  </si>
  <si>
    <t>7110-006-0003/391-001-400</t>
  </si>
  <si>
    <t>เก้าอี้สำหรับห้องประชุม</t>
  </si>
  <si>
    <t>7110-006-0004/391-001-200</t>
  </si>
  <si>
    <t>เก้าอี้ฟังคำบรรยาย</t>
  </si>
  <si>
    <t>7110-006-0004/392-001-075</t>
  </si>
  <si>
    <t>7110-007-0010/391-001</t>
  </si>
  <si>
    <t>โต๊ะประชุม ขนาด 12 คน</t>
  </si>
  <si>
    <t>4110-002-0002/391-001-002</t>
  </si>
  <si>
    <t>เครื่องทำน้ำเย็นสแตนดาร์ด</t>
  </si>
  <si>
    <t>7110-007-0003/391-001-015</t>
  </si>
  <si>
    <t>โต๊ะทำงานระดับ 3-6</t>
  </si>
  <si>
    <t>7110-007-0005/391-001</t>
  </si>
  <si>
    <t>โต๊ะทำงานระดับ 7-9</t>
  </si>
  <si>
    <t>2540</t>
  </si>
  <si>
    <t>7110-006-0004/401-201-400</t>
  </si>
  <si>
    <t>7110-007-0010/401-002</t>
  </si>
  <si>
    <t>7110-006-0001/403-001</t>
  </si>
  <si>
    <t>เก้าอี้สำนักงานล้อเลื่อนหลังโยก</t>
  </si>
  <si>
    <t>7110-006-0001/403-002</t>
  </si>
  <si>
    <t>7110-007-0003/403-001</t>
  </si>
  <si>
    <t>7110-007-0005/403-001-002</t>
  </si>
  <si>
    <t>4210-001-0001/403-001-005</t>
  </si>
  <si>
    <t>เครื่องปรับอากาศ</t>
  </si>
  <si>
    <t>2541</t>
  </si>
  <si>
    <t>9925-009-0001/412-001</t>
  </si>
  <si>
    <t>โต๊ะหมู่บูชา (หมู่ 9 หน้า 8)</t>
  </si>
  <si>
    <t>3750-002-0001/412-001</t>
  </si>
  <si>
    <t>รถตัดหญ้า 5.5</t>
  </si>
  <si>
    <t>2542</t>
  </si>
  <si>
    <t>4110-002-0002/422-001</t>
  </si>
  <si>
    <t>เครื่องทำน้ำเย็น</t>
  </si>
  <si>
    <t>9925-009-0001/422-002</t>
  </si>
  <si>
    <t>โต๊ะหมู่บูชา (หมู่ 5)</t>
  </si>
  <si>
    <t>7110-006-0005/424-001-072</t>
  </si>
  <si>
    <t>เก้าอี้รับประทานอาหาร</t>
  </si>
  <si>
    <t>7110-007-0018/424-001-036</t>
  </si>
  <si>
    <t>โต๊ะรับประทานอาหาร</t>
  </si>
  <si>
    <t>7110-007-0019/424-001-020</t>
  </si>
  <si>
    <t>โต๊ะอเนกประสงค์</t>
  </si>
  <si>
    <t>7110-001-0001/432-001-015</t>
  </si>
  <si>
    <t>โต๊ะทำงานระดับ 1 - 2 พร้อมเก้าอี้</t>
  </si>
  <si>
    <t>7110-001-0001/434-001-015</t>
  </si>
  <si>
    <t>7110-006-0004/432-076-120</t>
  </si>
  <si>
    <t>7110-0006-0004/434-001-080</t>
  </si>
  <si>
    <t>3570-002-0001/432-001</t>
  </si>
  <si>
    <t>ชุดรับแขก</t>
  </si>
  <si>
    <t>7110-006-0001/432-001</t>
  </si>
  <si>
    <t>งปม.</t>
  </si>
  <si>
    <t>บกศ.</t>
  </si>
  <si>
    <t>บริจาค</t>
  </si>
  <si>
    <t>ปกศ.</t>
  </si>
  <si>
    <t>-</t>
  </si>
  <si>
    <t>4110-002-0002/433-001-004</t>
  </si>
  <si>
    <t>4140-001-0001/432-001(3)</t>
  </si>
  <si>
    <t>พัดลมอุตสาหกรรม 20 "</t>
  </si>
  <si>
    <t>3750-002-0001/432-003</t>
  </si>
  <si>
    <t>รถตัดหญ้า 4 ล้อ</t>
  </si>
  <si>
    <t>3750-002-0001/432-004</t>
  </si>
  <si>
    <t>เครื่องตัดหญ้าแบบสายสพาย</t>
  </si>
  <si>
    <t>7490-015-0001/432-001</t>
  </si>
  <si>
    <t>เครื่องตัดสติกเกอร์ ROLAND</t>
  </si>
  <si>
    <t>2544</t>
  </si>
  <si>
    <t>7110-006-0004/444-081-160</t>
  </si>
  <si>
    <t>4140-001-0001/442-006</t>
  </si>
  <si>
    <t>พัดลมติดผนัง</t>
  </si>
  <si>
    <t>5130-007-0001/442-001</t>
  </si>
  <si>
    <t>เครื่องเจียมือถือ 4" มากีต้า</t>
  </si>
  <si>
    <t>5130-009-0001/442-001</t>
  </si>
  <si>
    <t>สว่านโรตารี่ GBH - 2 BOSCH</t>
  </si>
  <si>
    <t>2545</t>
  </si>
  <si>
    <t>3220-003-0001/452-001</t>
  </si>
  <si>
    <t>จิกซอร์ 4300 มากีต้า</t>
  </si>
  <si>
    <t>4330-001-0002/452-002</t>
  </si>
  <si>
    <t>ปั้มน้ำมิตซู  ขนาด 2" 2 PH</t>
  </si>
  <si>
    <t>2546</t>
  </si>
  <si>
    <t>7110-001-0001/462-016-019</t>
  </si>
  <si>
    <t>โต๊ะทำงานระดับระดับ 1 - 2 พร้อมเก้าอี้</t>
  </si>
  <si>
    <t>7110-006-0004/462-121-200</t>
  </si>
  <si>
    <t>7110-007-0003/462-001-002</t>
  </si>
  <si>
    <t>7110-007-0005/462-001</t>
  </si>
  <si>
    <t>4110-002-0002/462-002</t>
  </si>
  <si>
    <t>เครื่องทำน้ำเย็น 4 หัว</t>
  </si>
  <si>
    <t>4140-001-0001/463-001-002</t>
  </si>
  <si>
    <t>4140-001-0001/463-003-018</t>
  </si>
  <si>
    <t>5130-009-0001/462-002</t>
  </si>
  <si>
    <t>สว่านไฟฟ้ากระแทก</t>
  </si>
  <si>
    <t>7110-001-0001/472-036-038</t>
  </si>
  <si>
    <t>7110-001-0001/472-027-035</t>
  </si>
  <si>
    <t>7110-001-0001/472-039-042</t>
  </si>
  <si>
    <t>4210-001-0001/472-001</t>
  </si>
  <si>
    <t>4210-001-0001/472-001-002</t>
  </si>
  <si>
    <t>4210-001-0001/472-003-004</t>
  </si>
  <si>
    <t>4210-001-0001/473-006</t>
  </si>
  <si>
    <t>7110-001-0001/481-001-005</t>
  </si>
  <si>
    <t>7110-006-0006/481-001-280</t>
  </si>
  <si>
    <t>เก้าอี้ขาคู่หน้าไม้ยาง</t>
  </si>
  <si>
    <t>5210-002-0001/482-001</t>
  </si>
  <si>
    <t>เลื่อยวงเดือน 9 นิ้ว</t>
  </si>
  <si>
    <t>3510-003-0001/484-001</t>
  </si>
  <si>
    <t>เครื่องซักผ้า</t>
  </si>
  <si>
    <t>2549</t>
  </si>
  <si>
    <t>7110-001-0001/492-048-068</t>
  </si>
  <si>
    <t>7110-0006-0004/494-161-580</t>
  </si>
  <si>
    <t>4110-002-0002/492-003-004</t>
  </si>
  <si>
    <t>เครื่องทำน้ำเย็น 5 หัว</t>
  </si>
  <si>
    <t>4110-002-0002/492-005-006</t>
  </si>
  <si>
    <t>เครื่องทำน้ำเย็น  6  หัว</t>
  </si>
  <si>
    <t>9925-009-0002/492-003</t>
  </si>
  <si>
    <t>โต๊ะหมู่บูชา ขนาด 9 * 9</t>
  </si>
  <si>
    <t>4210-001-0001/494-001-002</t>
  </si>
  <si>
    <t>2550</t>
  </si>
  <si>
    <t>7110-006-0004/504-581-700</t>
  </si>
  <si>
    <t>4330-001-0002/502-003</t>
  </si>
  <si>
    <t>ปั้มหอยโข่ง</t>
  </si>
  <si>
    <t>7440-001-0001/502-055</t>
  </si>
  <si>
    <t>เครื่องคอมพิวเตอร์</t>
  </si>
  <si>
    <t>7110-007-0001/502-009</t>
  </si>
  <si>
    <t>โต๊ะเครื่องคอมพิวเตอร์</t>
  </si>
  <si>
    <t>4140-001-0002/514-001-008</t>
  </si>
  <si>
    <t>พัดลมไอน้ำ</t>
  </si>
  <si>
    <t>7110-001-0003/512-006</t>
  </si>
  <si>
    <t>โต๊ะเหล็ก 5 ฟุต TC - 3060  BESTER</t>
  </si>
  <si>
    <t>7110-006-0007/512-005</t>
  </si>
  <si>
    <t>เก้าอี้สำนักงาน  S - 35 หนัง</t>
  </si>
  <si>
    <t>8350-001-0001/521-007-013</t>
  </si>
  <si>
    <t>ผ้าม่านพร้อมอุปกรณ์</t>
  </si>
  <si>
    <t>3450-002-0001/521-001</t>
  </si>
  <si>
    <t>เครื่องขัดพื้น CLEAN WORLD 18 นิ้ว TIP</t>
  </si>
  <si>
    <t>7430-008-0002/531-017</t>
  </si>
  <si>
    <t>HP Laserjet P1005</t>
  </si>
  <si>
    <t>4140-001-0003/532-001-009</t>
  </si>
  <si>
    <t>พัดลมไอน้ำขนาด 26"  พร้อมอุปกรณ์</t>
  </si>
  <si>
    <t>8350-001-0001/531-014-015</t>
  </si>
  <si>
    <t>ผ้าม่านพร้อมติดตั้ง ขนาด 376*200 ซ.ม.</t>
  </si>
  <si>
    <t>8350-001-0001/531-016-017</t>
  </si>
  <si>
    <t>ผ้าม่านพร้อมติดตั้ง ขนาด 356*230 ซ.ม.</t>
  </si>
  <si>
    <t>8350-001-0001/531-018-019</t>
  </si>
  <si>
    <t>ผ้าม่านพร้อมติดตั้ง ขนาด 260*230 ซ.ม.</t>
  </si>
  <si>
    <t>8350-001-0001/531-020-021</t>
  </si>
  <si>
    <t>ผ้าม่านพร้อมติดตั้ง ขนาด 96*105 ซ.ม.</t>
  </si>
  <si>
    <t>8350-001-0001/531-022-023</t>
  </si>
  <si>
    <t>ผ้าม่านพร้อมติดตั้ง ขนาด 360*220 ซ.ม.</t>
  </si>
  <si>
    <t>8350-001-0001/531-024-025</t>
  </si>
  <si>
    <t>ผ้าม่านพร้อมติดตั้ง ขนาด 260*220 ซ.ม.</t>
  </si>
  <si>
    <t>8350-001-0001/531-026-027</t>
  </si>
  <si>
    <t>ผ้าม่านพร้อมติดตั้ง ขนาด 100*95 ซ.ม.</t>
  </si>
  <si>
    <t>6720-005-0002/531-005</t>
  </si>
  <si>
    <t>กล้องถ่ายภาพนิ่ง</t>
  </si>
  <si>
    <t>2555</t>
  </si>
  <si>
    <t>4120-001-0003/551-008-009</t>
  </si>
  <si>
    <t>เครื่องปรับอากาศมิสซูบิซิ 32,000 บีทียู</t>
  </si>
  <si>
    <t>7110-007-0013/551-001-016</t>
  </si>
  <si>
    <t>ชุดโต๊ะประชุม 16 ที่นั่ง พร้อมเก้าอี้</t>
  </si>
  <si>
    <t>7110-007-0014/551-017-024</t>
  </si>
  <si>
    <t>ชุดโต๊ะประชุม 8 ที่นั่ง พร้อมเก้าอี้</t>
  </si>
  <si>
    <t>4610-007-0001/551-001-002</t>
  </si>
  <si>
    <t>เครื่องกรองน้ำ</t>
  </si>
  <si>
    <t>4110-003-0001/551-001-002</t>
  </si>
  <si>
    <t>ตู้น้ำกิน 6 ก๊อก ขนาด 3/8</t>
  </si>
  <si>
    <t xml:space="preserve">ปั๊มน้ำ MITSUBISHI 380V 2 นิ้ว 3แรง </t>
  </si>
  <si>
    <t>ขาหัก</t>
  </si>
  <si>
    <t>ท่อน้ำยารั่ว</t>
  </si>
  <si>
    <t>ผุ ขาหัก</t>
  </si>
  <si>
    <t>ล้อหัก แตก</t>
  </si>
  <si>
    <t>ขึ้นสนิม หัก</t>
  </si>
  <si>
    <t>คอยเย็นรั่ว</t>
  </si>
  <si>
    <t>ขาหัก ผุ</t>
  </si>
  <si>
    <t>สตาร์ทไม่ติด</t>
  </si>
  <si>
    <t>ไฟไม่เข้า</t>
  </si>
  <si>
    <t>พนักพิงหัก</t>
  </si>
  <si>
    <t>พื้นแตก</t>
  </si>
  <si>
    <t>ท่อน้ำยาแตก</t>
  </si>
  <si>
    <t>ลูกปืนแตก มอเตอร์ไหม้</t>
  </si>
  <si>
    <t>ลูกสูบติด</t>
  </si>
  <si>
    <t>ถังน้ำมันรั่ว</t>
  </si>
  <si>
    <t>ขึ้นสนิม หัก มอเตอร์ไหม้</t>
  </si>
  <si>
    <t>เฟืองรูด</t>
  </si>
  <si>
    <t>ขดลวดไหม้</t>
  </si>
  <si>
    <t>ฐานเครื่องแตก</t>
  </si>
  <si>
    <t>ขึ้นสนิม</t>
  </si>
  <si>
    <t>ใบพัดแตก มอเตอร์ไหม้</t>
  </si>
  <si>
    <t>เฟืองแตก</t>
  </si>
  <si>
    <t>ขึ้นสนิม  ขาหัก</t>
  </si>
  <si>
    <t>คอยร้อนไหม้</t>
  </si>
  <si>
    <t>ขาหัก พื้นหลุด</t>
  </si>
  <si>
    <t>เครื่องไหม้</t>
  </si>
  <si>
    <t>คอมเพรสเซอร์ไม่ทำงาน</t>
  </si>
  <si>
    <t>คอมเพรสเซอร์ไหม้</t>
  </si>
  <si>
    <t>โต๊ะขหัก</t>
  </si>
  <si>
    <t>เมนบอร์ดไหม้</t>
  </si>
  <si>
    <t>ขึ้นสนิม ผุ</t>
  </si>
  <si>
    <t>ขึ้นสนิม ขาหัก</t>
  </si>
  <si>
    <t>ขึ้นรา ขาด</t>
  </si>
  <si>
    <t>ไฟช็อต</t>
  </si>
  <si>
    <t>ปริ้นไม่ได้</t>
  </si>
  <si>
    <t>ระบบไอน้ำไม่ทำงาน</t>
  </si>
  <si>
    <t>ขาด</t>
  </si>
  <si>
    <t>เปิดกล้องไม่ติด</t>
  </si>
  <si>
    <t>ถังรั่ว</t>
  </si>
  <si>
    <t>ประจำปี 2565 สิ้นงวดเมื่อวันที่ 30 กันยายน 2565 ของงานอาคารสถานที่</t>
  </si>
  <si>
    <t>(นายสุขสันต์  สิทธิมวล)</t>
  </si>
  <si>
    <t>......................................................</t>
  </si>
  <si>
    <t>ยอดยกไป</t>
  </si>
  <si>
    <t>ยอดยกมา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</si>
</sst>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88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49" fontId="3" fillId="0" borderId="1" xfId="7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13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 applyProtection="1">
      <alignment horizontal="center"/>
      <protection locked="0"/>
    </xf>
    <xf numFmtId="0" fontId="3" fillId="0" borderId="1" xfId="6" applyFont="1" applyBorder="1" applyAlignment="1">
      <alignment horizontal="left" vertical="center"/>
    </xf>
    <xf numFmtId="0" fontId="3" fillId="0" borderId="5" xfId="6" applyFont="1" applyBorder="1" applyAlignment="1">
      <alignment horizontal="left"/>
    </xf>
    <xf numFmtId="0" fontId="3" fillId="0" borderId="6" xfId="6" applyFont="1" applyBorder="1" applyAlignment="1">
      <alignment horizontal="left" vertical="center"/>
    </xf>
    <xf numFmtId="0" fontId="3" fillId="0" borderId="1" xfId="2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43" fontId="3" fillId="0" borderId="5" xfId="1" applyFont="1" applyFill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3" fontId="3" fillId="0" borderId="1" xfId="1" applyFont="1" applyFill="1" applyBorder="1"/>
    <xf numFmtId="49" fontId="3" fillId="0" borderId="1" xfId="6" applyNumberFormat="1" applyFont="1" applyBorder="1"/>
    <xf numFmtId="0" fontId="3" fillId="2" borderId="1" xfId="0" applyFont="1" applyFill="1" applyBorder="1"/>
    <xf numFmtId="43" fontId="3" fillId="0" borderId="1" xfId="12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3" fontId="3" fillId="0" borderId="1" xfId="12" applyFont="1" applyBorder="1" applyAlignment="1">
      <alignment horizontal="left"/>
    </xf>
    <xf numFmtId="43" fontId="3" fillId="0" borderId="1" xfId="12" applyNumberFormat="1" applyFont="1" applyBorder="1" applyAlignment="1"/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 applyProtection="1">
      <alignment horizontal="center"/>
      <protection locked="0"/>
    </xf>
    <xf numFmtId="0" fontId="3" fillId="0" borderId="5" xfId="0" applyFont="1" applyBorder="1" applyAlignment="1">
      <alignment horizontal="center"/>
    </xf>
    <xf numFmtId="49" fontId="3" fillId="0" borderId="5" xfId="7" applyNumberFormat="1" applyFont="1" applyBorder="1" applyAlignment="1">
      <alignment horizontal="center"/>
    </xf>
    <xf numFmtId="0" fontId="3" fillId="0" borderId="5" xfId="2" applyFont="1" applyFill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3" fillId="0" borderId="5" xfId="6" applyFont="1" applyFill="1" applyBorder="1" applyAlignment="1">
      <alignment horizontal="center"/>
    </xf>
    <xf numFmtId="43" fontId="3" fillId="0" borderId="5" xfId="12" applyNumberFormat="1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6" applyFont="1" applyBorder="1" applyAlignment="1">
      <alignment horizontal="left"/>
    </xf>
    <xf numFmtId="43" fontId="3" fillId="0" borderId="0" xfId="1" applyFont="1" applyFill="1" applyBorder="1" applyAlignment="1">
      <alignment horizontal="center"/>
    </xf>
    <xf numFmtId="43" fontId="3" fillId="0" borderId="0" xfId="1" applyFont="1" applyBorder="1"/>
    <xf numFmtId="43" fontId="3" fillId="0" borderId="0" xfId="12" applyNumberFormat="1" applyFont="1" applyBorder="1" applyAlignment="1">
      <alignment horizontal="left"/>
    </xf>
    <xf numFmtId="43" fontId="6" fillId="0" borderId="10" xfId="0" applyNumberFormat="1" applyFont="1" applyBorder="1"/>
    <xf numFmtId="0" fontId="4" fillId="0" borderId="10" xfId="0" applyFont="1" applyBorder="1" applyAlignment="1">
      <alignment horizontal="center"/>
    </xf>
    <xf numFmtId="0" fontId="3" fillId="0" borderId="0" xfId="2" applyFont="1" applyAlignment="1">
      <alignment horizontal="center"/>
    </xf>
    <xf numFmtId="43" fontId="4" fillId="0" borderId="0" xfId="0" applyNumberFormat="1" applyFont="1"/>
    <xf numFmtId="0" fontId="8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43" fontId="7" fillId="0" borderId="5" xfId="1" applyFont="1" applyFill="1" applyBorder="1" applyAlignment="1">
      <alignment horizontal="center"/>
    </xf>
    <xf numFmtId="43" fontId="7" fillId="0" borderId="5" xfId="1" applyFont="1" applyBorder="1"/>
    <xf numFmtId="0" fontId="4" fillId="0" borderId="0" xfId="0" applyFont="1" applyFill="1" applyBorder="1" applyAlignment="1">
      <alignment horizontal="center"/>
    </xf>
    <xf numFmtId="0" fontId="3" fillId="0" borderId="0" xfId="6" applyFont="1" applyBorder="1" applyAlignment="1">
      <alignment horizontal="center"/>
    </xf>
    <xf numFmtId="0" fontId="3" fillId="3" borderId="0" xfId="0" applyFont="1" applyFill="1" applyBorder="1" applyAlignment="1">
      <alignment horizontal="center" vertical="center"/>
    </xf>
    <xf numFmtId="49" fontId="3" fillId="0" borderId="0" xfId="13" applyNumberFormat="1" applyFont="1" applyBorder="1" applyAlignment="1">
      <alignment horizontal="center"/>
    </xf>
    <xf numFmtId="43" fontId="7" fillId="0" borderId="11" xfId="1" applyFont="1" applyBorder="1"/>
    <xf numFmtId="0" fontId="4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12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1066799</xdr:colOff>
      <xdr:row>173</xdr:row>
      <xdr:rowOff>76201</xdr:rowOff>
    </xdr:from>
    <xdr:to>
      <xdr:col>11</xdr:col>
      <xdr:colOff>1419224</xdr:colOff>
      <xdr:row>177</xdr:row>
      <xdr:rowOff>247653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691936" y="54297264"/>
          <a:ext cx="1390652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1228723</xdr:colOff>
      <xdr:row>23</xdr:row>
      <xdr:rowOff>200026</xdr:rowOff>
    </xdr:from>
    <xdr:to>
      <xdr:col>11</xdr:col>
      <xdr:colOff>1552572</xdr:colOff>
      <xdr:row>28</xdr:row>
      <xdr:rowOff>114301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DA6B165C-7321-488D-9C6B-B0272E167414}"/>
            </a:ext>
          </a:extLst>
        </xdr:cNvPr>
        <xdr:cNvSpPr txBox="1"/>
      </xdr:nvSpPr>
      <xdr:spPr>
        <a:xfrm rot="5400000">
          <a:off x="11810998" y="7962901"/>
          <a:ext cx="1447800" cy="323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1228723</xdr:colOff>
      <xdr:row>54</xdr:row>
      <xdr:rowOff>200025</xdr:rowOff>
    </xdr:from>
    <xdr:to>
      <xdr:col>11</xdr:col>
      <xdr:colOff>1552572</xdr:colOff>
      <xdr:row>59</xdr:row>
      <xdr:rowOff>85728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B2DEBE2A-8846-41BE-AE1B-7149DAF51FFD}"/>
            </a:ext>
          </a:extLst>
        </xdr:cNvPr>
        <xdr:cNvSpPr txBox="1"/>
      </xdr:nvSpPr>
      <xdr:spPr>
        <a:xfrm rot="5400000">
          <a:off x="11825284" y="16054389"/>
          <a:ext cx="1419228" cy="323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1228723</xdr:colOff>
      <xdr:row>84</xdr:row>
      <xdr:rowOff>200025</xdr:rowOff>
    </xdr:from>
    <xdr:to>
      <xdr:col>11</xdr:col>
      <xdr:colOff>1552572</xdr:colOff>
      <xdr:row>89</xdr:row>
      <xdr:rowOff>85728</xdr:rowOff>
    </xdr:to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E26266D7-6C78-4698-9B3A-CB192172B364}"/>
            </a:ext>
          </a:extLst>
        </xdr:cNvPr>
        <xdr:cNvSpPr txBox="1"/>
      </xdr:nvSpPr>
      <xdr:spPr>
        <a:xfrm rot="5400000">
          <a:off x="11825284" y="16054389"/>
          <a:ext cx="1419228" cy="323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1228723</xdr:colOff>
      <xdr:row>114</xdr:row>
      <xdr:rowOff>200025</xdr:rowOff>
    </xdr:from>
    <xdr:to>
      <xdr:col>11</xdr:col>
      <xdr:colOff>1552572</xdr:colOff>
      <xdr:row>119</xdr:row>
      <xdr:rowOff>85728</xdr:rowOff>
    </xdr:to>
    <xdr:sp macro="" textlink="">
      <xdr:nvSpPr>
        <xdr:cNvPr id="7" name="กล่องข้อความ 6">
          <a:extLst>
            <a:ext uri="{FF2B5EF4-FFF2-40B4-BE49-F238E27FC236}">
              <a16:creationId xmlns:a16="http://schemas.microsoft.com/office/drawing/2014/main" id="{FCE426BD-3917-4A37-8902-5F47E0722888}"/>
            </a:ext>
          </a:extLst>
        </xdr:cNvPr>
        <xdr:cNvSpPr txBox="1"/>
      </xdr:nvSpPr>
      <xdr:spPr>
        <a:xfrm rot="5400000">
          <a:off x="11825284" y="31923039"/>
          <a:ext cx="1419228" cy="323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1228723</xdr:colOff>
      <xdr:row>144</xdr:row>
      <xdr:rowOff>200025</xdr:rowOff>
    </xdr:from>
    <xdr:to>
      <xdr:col>11</xdr:col>
      <xdr:colOff>1552572</xdr:colOff>
      <xdr:row>149</xdr:row>
      <xdr:rowOff>85728</xdr:rowOff>
    </xdr:to>
    <xdr:sp macro="" textlink="">
      <xdr:nvSpPr>
        <xdr:cNvPr id="8" name="กล่องข้อความ 7">
          <a:extLst>
            <a:ext uri="{FF2B5EF4-FFF2-40B4-BE49-F238E27FC236}">
              <a16:creationId xmlns:a16="http://schemas.microsoft.com/office/drawing/2014/main" id="{13869808-253C-41CD-B041-01E6704AA3CC}"/>
            </a:ext>
          </a:extLst>
        </xdr:cNvPr>
        <xdr:cNvSpPr txBox="1"/>
      </xdr:nvSpPr>
      <xdr:spPr>
        <a:xfrm rot="5400000">
          <a:off x="11825284" y="39866889"/>
          <a:ext cx="1419228" cy="323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79"/>
  <sheetViews>
    <sheetView tabSelected="1" zoomScaleNormal="100" workbookViewId="0">
      <selection activeCell="N13" sqref="N13"/>
    </sheetView>
  </sheetViews>
  <sheetFormatPr defaultColWidth="9" defaultRowHeight="24"/>
  <cols>
    <col min="1" max="1" width="6" style="2" customWidth="1"/>
    <col min="2" max="2" width="15.42578125" style="23" customWidth="1"/>
    <col min="3" max="3" width="33.7109375" style="17" customWidth="1"/>
    <col min="4" max="4" width="40" style="2" customWidth="1"/>
    <col min="5" max="5" width="8.5703125" style="2" customWidth="1"/>
    <col min="6" max="6" width="9.28515625" style="2" customWidth="1"/>
    <col min="7" max="7" width="6.5703125" style="2" customWidth="1"/>
    <col min="8" max="8" width="8" style="2" customWidth="1"/>
    <col min="9" max="9" width="7.5703125" style="2" customWidth="1"/>
    <col min="10" max="10" width="15.85546875" style="2" customWidth="1"/>
    <col min="11" max="11" width="16.85546875" style="2" customWidth="1"/>
    <col min="12" max="12" width="27" style="23" customWidth="1"/>
    <col min="13" max="16384" width="9" style="2"/>
  </cols>
  <sheetData>
    <row r="1" spans="1:12">
      <c r="L1" s="23" t="s">
        <v>20</v>
      </c>
    </row>
    <row r="2" spans="1:12">
      <c r="A2" s="71" t="s">
        <v>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>
      <c r="A3" s="72" t="s">
        <v>7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2">
      <c r="A4" s="73" t="s">
        <v>222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ht="12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2" ht="28.5" customHeight="1">
      <c r="A6" s="74" t="s">
        <v>8</v>
      </c>
      <c r="B6" s="74" t="s">
        <v>19</v>
      </c>
      <c r="C6" s="74" t="s">
        <v>16</v>
      </c>
      <c r="D6" s="76" t="s">
        <v>0</v>
      </c>
      <c r="E6" s="74" t="s">
        <v>11</v>
      </c>
      <c r="F6" s="74" t="s">
        <v>10</v>
      </c>
      <c r="G6" s="78" t="s">
        <v>12</v>
      </c>
      <c r="H6" s="80" t="s">
        <v>1</v>
      </c>
      <c r="I6" s="81"/>
      <c r="J6" s="74" t="s">
        <v>15</v>
      </c>
      <c r="K6" s="74" t="s">
        <v>9</v>
      </c>
      <c r="L6" s="74" t="s">
        <v>14</v>
      </c>
    </row>
    <row r="7" spans="1:12" ht="45.75" customHeight="1">
      <c r="A7" s="75"/>
      <c r="B7" s="75"/>
      <c r="C7" s="75"/>
      <c r="D7" s="77"/>
      <c r="E7" s="75"/>
      <c r="F7" s="75"/>
      <c r="G7" s="79"/>
      <c r="H7" s="13" t="s">
        <v>13</v>
      </c>
      <c r="I7" s="12" t="s">
        <v>3</v>
      </c>
      <c r="J7" s="75"/>
      <c r="K7" s="75"/>
      <c r="L7" s="75"/>
    </row>
    <row r="8" spans="1:12">
      <c r="A8" s="10">
        <v>1</v>
      </c>
      <c r="B8" s="7" t="s">
        <v>22</v>
      </c>
      <c r="C8" s="3" t="s">
        <v>23</v>
      </c>
      <c r="D8" s="26" t="s">
        <v>24</v>
      </c>
      <c r="E8" s="29" t="s">
        <v>70</v>
      </c>
      <c r="F8" s="4">
        <v>26</v>
      </c>
      <c r="G8" s="4" t="s">
        <v>74</v>
      </c>
      <c r="H8" s="29">
        <v>331</v>
      </c>
      <c r="I8" s="29">
        <v>331</v>
      </c>
      <c r="J8" s="6">
        <v>500</v>
      </c>
      <c r="K8" s="6">
        <f>SUM(I8*J8)</f>
        <v>165500</v>
      </c>
      <c r="L8" s="38" t="s">
        <v>183</v>
      </c>
    </row>
    <row r="9" spans="1:12">
      <c r="A9" s="15">
        <v>2</v>
      </c>
      <c r="B9" s="7" t="s">
        <v>22</v>
      </c>
      <c r="C9" s="27" t="s">
        <v>25</v>
      </c>
      <c r="D9" s="28" t="s">
        <v>26</v>
      </c>
      <c r="E9" s="29" t="s">
        <v>70</v>
      </c>
      <c r="F9" s="4">
        <v>26</v>
      </c>
      <c r="G9" s="4" t="s">
        <v>74</v>
      </c>
      <c r="H9" s="29">
        <v>83</v>
      </c>
      <c r="I9" s="29">
        <v>83</v>
      </c>
      <c r="J9" s="32">
        <v>600</v>
      </c>
      <c r="K9" s="6">
        <f t="shared" ref="K9:K22" si="0">SUM(I9*J9)</f>
        <v>49800</v>
      </c>
      <c r="L9" s="38" t="s">
        <v>183</v>
      </c>
    </row>
    <row r="10" spans="1:12">
      <c r="A10" s="10">
        <v>3</v>
      </c>
      <c r="B10" s="7" t="s">
        <v>22</v>
      </c>
      <c r="C10" s="3" t="s">
        <v>27</v>
      </c>
      <c r="D10" s="1" t="s">
        <v>26</v>
      </c>
      <c r="E10" s="29" t="s">
        <v>71</v>
      </c>
      <c r="F10" s="4">
        <v>26</v>
      </c>
      <c r="G10" s="4" t="s">
        <v>74</v>
      </c>
      <c r="H10" s="29">
        <v>27</v>
      </c>
      <c r="I10" s="29">
        <v>27</v>
      </c>
      <c r="J10" s="33">
        <v>600</v>
      </c>
      <c r="K10" s="6">
        <f t="shared" si="0"/>
        <v>16200</v>
      </c>
      <c r="L10" s="38" t="s">
        <v>183</v>
      </c>
    </row>
    <row r="11" spans="1:12">
      <c r="A11" s="15">
        <v>4</v>
      </c>
      <c r="B11" s="7" t="s">
        <v>22</v>
      </c>
      <c r="C11" s="3" t="s">
        <v>28</v>
      </c>
      <c r="D11" s="1" t="s">
        <v>29</v>
      </c>
      <c r="E11" s="29" t="s">
        <v>70</v>
      </c>
      <c r="F11" s="4">
        <v>26</v>
      </c>
      <c r="G11" s="4" t="s">
        <v>74</v>
      </c>
      <c r="H11" s="29">
        <v>1</v>
      </c>
      <c r="I11" s="29">
        <v>1</v>
      </c>
      <c r="J11" s="33">
        <v>15000</v>
      </c>
      <c r="K11" s="6">
        <f t="shared" si="0"/>
        <v>15000</v>
      </c>
      <c r="L11" s="38" t="s">
        <v>183</v>
      </c>
    </row>
    <row r="12" spans="1:12">
      <c r="A12" s="10">
        <v>5</v>
      </c>
      <c r="B12" s="7" t="s">
        <v>22</v>
      </c>
      <c r="C12" s="3" t="s">
        <v>30</v>
      </c>
      <c r="D12" s="3" t="s">
        <v>31</v>
      </c>
      <c r="E12" s="29" t="s">
        <v>70</v>
      </c>
      <c r="F12" s="4">
        <v>26</v>
      </c>
      <c r="G12" s="4" t="s">
        <v>74</v>
      </c>
      <c r="H12" s="29">
        <v>2</v>
      </c>
      <c r="I12" s="29">
        <v>2</v>
      </c>
      <c r="J12" s="33">
        <v>2350</v>
      </c>
      <c r="K12" s="6">
        <f t="shared" si="0"/>
        <v>4700</v>
      </c>
      <c r="L12" s="38" t="s">
        <v>184</v>
      </c>
    </row>
    <row r="13" spans="1:12">
      <c r="A13" s="15">
        <v>6</v>
      </c>
      <c r="B13" s="7" t="s">
        <v>22</v>
      </c>
      <c r="C13" s="3" t="s">
        <v>32</v>
      </c>
      <c r="D13" s="3" t="s">
        <v>33</v>
      </c>
      <c r="E13" s="29" t="s">
        <v>70</v>
      </c>
      <c r="F13" s="4">
        <v>26</v>
      </c>
      <c r="G13" s="4" t="s">
        <v>74</v>
      </c>
      <c r="H13" s="29">
        <v>15</v>
      </c>
      <c r="I13" s="29">
        <v>15</v>
      </c>
      <c r="J13" s="33">
        <v>2250</v>
      </c>
      <c r="K13" s="6">
        <f t="shared" si="0"/>
        <v>33750</v>
      </c>
      <c r="L13" s="38" t="s">
        <v>185</v>
      </c>
    </row>
    <row r="14" spans="1:12">
      <c r="A14" s="10">
        <v>7</v>
      </c>
      <c r="B14" s="7" t="s">
        <v>22</v>
      </c>
      <c r="C14" s="3" t="s">
        <v>34</v>
      </c>
      <c r="D14" s="3" t="s">
        <v>35</v>
      </c>
      <c r="E14" s="29" t="s">
        <v>70</v>
      </c>
      <c r="F14" s="4">
        <v>26</v>
      </c>
      <c r="G14" s="4" t="s">
        <v>74</v>
      </c>
      <c r="H14" s="29">
        <v>1</v>
      </c>
      <c r="I14" s="29">
        <v>1</v>
      </c>
      <c r="J14" s="33">
        <v>3800</v>
      </c>
      <c r="K14" s="6">
        <f t="shared" si="0"/>
        <v>3800</v>
      </c>
      <c r="L14" s="38" t="s">
        <v>185</v>
      </c>
    </row>
    <row r="15" spans="1:12">
      <c r="A15" s="15">
        <v>8</v>
      </c>
      <c r="B15" s="7" t="s">
        <v>36</v>
      </c>
      <c r="C15" s="3" t="s">
        <v>37</v>
      </c>
      <c r="D15" s="1" t="s">
        <v>26</v>
      </c>
      <c r="E15" s="29" t="s">
        <v>70</v>
      </c>
      <c r="F15" s="4">
        <v>25</v>
      </c>
      <c r="G15" s="4" t="s">
        <v>74</v>
      </c>
      <c r="H15" s="29">
        <v>156</v>
      </c>
      <c r="I15" s="29">
        <v>156</v>
      </c>
      <c r="J15" s="33">
        <v>600</v>
      </c>
      <c r="K15" s="6">
        <f t="shared" si="0"/>
        <v>93600</v>
      </c>
      <c r="L15" s="38" t="s">
        <v>185</v>
      </c>
    </row>
    <row r="16" spans="1:12">
      <c r="A16" s="10">
        <v>9</v>
      </c>
      <c r="B16" s="7" t="s">
        <v>36</v>
      </c>
      <c r="C16" s="3" t="s">
        <v>38</v>
      </c>
      <c r="D16" s="1" t="s">
        <v>29</v>
      </c>
      <c r="E16" s="29" t="s">
        <v>70</v>
      </c>
      <c r="F16" s="4">
        <v>25</v>
      </c>
      <c r="G16" s="4" t="s">
        <v>74</v>
      </c>
      <c r="H16" s="31">
        <v>1</v>
      </c>
      <c r="I16" s="31">
        <v>1</v>
      </c>
      <c r="J16" s="33">
        <v>13000</v>
      </c>
      <c r="K16" s="6">
        <f t="shared" si="0"/>
        <v>13000</v>
      </c>
      <c r="L16" s="38" t="s">
        <v>183</v>
      </c>
    </row>
    <row r="17" spans="1:12">
      <c r="A17" s="15">
        <v>10</v>
      </c>
      <c r="B17" s="7" t="s">
        <v>36</v>
      </c>
      <c r="C17" s="3" t="s">
        <v>39</v>
      </c>
      <c r="D17" s="3" t="s">
        <v>40</v>
      </c>
      <c r="E17" s="29" t="s">
        <v>72</v>
      </c>
      <c r="F17" s="4">
        <v>25</v>
      </c>
      <c r="G17" s="4" t="s">
        <v>74</v>
      </c>
      <c r="H17" s="31">
        <v>1</v>
      </c>
      <c r="I17" s="31">
        <v>1</v>
      </c>
      <c r="J17" s="33">
        <v>3000</v>
      </c>
      <c r="K17" s="6">
        <f t="shared" si="0"/>
        <v>3000</v>
      </c>
      <c r="L17" s="38" t="s">
        <v>183</v>
      </c>
    </row>
    <row r="18" spans="1:12">
      <c r="A18" s="10">
        <v>11</v>
      </c>
      <c r="B18" s="7" t="s">
        <v>36</v>
      </c>
      <c r="C18" s="3" t="s">
        <v>41</v>
      </c>
      <c r="D18" s="3" t="s">
        <v>40</v>
      </c>
      <c r="E18" s="29" t="s">
        <v>72</v>
      </c>
      <c r="F18" s="4">
        <v>25</v>
      </c>
      <c r="G18" s="4" t="s">
        <v>74</v>
      </c>
      <c r="H18" s="31">
        <v>1</v>
      </c>
      <c r="I18" s="31">
        <v>1</v>
      </c>
      <c r="J18" s="33">
        <v>2500</v>
      </c>
      <c r="K18" s="6">
        <f t="shared" si="0"/>
        <v>2500</v>
      </c>
      <c r="L18" s="38" t="s">
        <v>186</v>
      </c>
    </row>
    <row r="19" spans="1:12">
      <c r="A19" s="15">
        <v>12</v>
      </c>
      <c r="B19" s="7" t="s">
        <v>36</v>
      </c>
      <c r="C19" s="3" t="s">
        <v>42</v>
      </c>
      <c r="D19" s="3" t="s">
        <v>33</v>
      </c>
      <c r="E19" s="29" t="s">
        <v>72</v>
      </c>
      <c r="F19" s="4">
        <v>25</v>
      </c>
      <c r="G19" s="4" t="s">
        <v>74</v>
      </c>
      <c r="H19" s="31">
        <v>1</v>
      </c>
      <c r="I19" s="31">
        <v>1</v>
      </c>
      <c r="J19" s="33">
        <v>2100</v>
      </c>
      <c r="K19" s="6">
        <f t="shared" si="0"/>
        <v>2100</v>
      </c>
      <c r="L19" s="38" t="s">
        <v>187</v>
      </c>
    </row>
    <row r="20" spans="1:12">
      <c r="A20" s="10">
        <v>13</v>
      </c>
      <c r="B20" s="7" t="s">
        <v>36</v>
      </c>
      <c r="C20" s="3" t="s">
        <v>43</v>
      </c>
      <c r="D20" s="3" t="s">
        <v>35</v>
      </c>
      <c r="E20" s="29" t="s">
        <v>72</v>
      </c>
      <c r="F20" s="4">
        <v>25</v>
      </c>
      <c r="G20" s="4" t="s">
        <v>74</v>
      </c>
      <c r="H20" s="31">
        <v>2</v>
      </c>
      <c r="I20" s="31">
        <v>2</v>
      </c>
      <c r="J20" s="33">
        <v>3500</v>
      </c>
      <c r="K20" s="6">
        <f t="shared" si="0"/>
        <v>7000</v>
      </c>
      <c r="L20" s="38" t="s">
        <v>187</v>
      </c>
    </row>
    <row r="21" spans="1:12">
      <c r="A21" s="15">
        <v>14</v>
      </c>
      <c r="B21" s="7" t="s">
        <v>36</v>
      </c>
      <c r="C21" s="3" t="s">
        <v>44</v>
      </c>
      <c r="D21" s="1" t="s">
        <v>45</v>
      </c>
      <c r="E21" s="29" t="s">
        <v>72</v>
      </c>
      <c r="F21" s="4">
        <v>25</v>
      </c>
      <c r="G21" s="4" t="s">
        <v>74</v>
      </c>
      <c r="H21" s="31">
        <v>5</v>
      </c>
      <c r="I21" s="31">
        <v>5</v>
      </c>
      <c r="J21" s="33">
        <v>23000</v>
      </c>
      <c r="K21" s="6">
        <f t="shared" si="0"/>
        <v>115000</v>
      </c>
      <c r="L21" s="38" t="s">
        <v>188</v>
      </c>
    </row>
    <row r="22" spans="1:12">
      <c r="A22" s="10">
        <v>15</v>
      </c>
      <c r="B22" s="9" t="s">
        <v>46</v>
      </c>
      <c r="C22" s="3" t="s">
        <v>47</v>
      </c>
      <c r="D22" s="3" t="s">
        <v>48</v>
      </c>
      <c r="E22" s="29" t="s">
        <v>71</v>
      </c>
      <c r="F22" s="4">
        <v>24</v>
      </c>
      <c r="G22" s="4" t="s">
        <v>74</v>
      </c>
      <c r="H22" s="31">
        <v>1</v>
      </c>
      <c r="I22" s="31">
        <v>1</v>
      </c>
      <c r="J22" s="33">
        <v>3500</v>
      </c>
      <c r="K22" s="6">
        <f t="shared" si="0"/>
        <v>3500</v>
      </c>
      <c r="L22" s="38" t="s">
        <v>189</v>
      </c>
    </row>
    <row r="23" spans="1:12" ht="24.75" thickBot="1">
      <c r="A23" s="62"/>
      <c r="B23" s="62"/>
      <c r="C23" s="62"/>
      <c r="D23" s="62"/>
      <c r="E23" s="62"/>
      <c r="F23" s="62"/>
      <c r="G23" s="62"/>
      <c r="H23" s="62"/>
      <c r="I23" s="62"/>
      <c r="J23" s="61" t="s">
        <v>225</v>
      </c>
      <c r="K23" s="56">
        <f>SUM(K8:K22)</f>
        <v>528450</v>
      </c>
      <c r="L23" s="57"/>
    </row>
    <row r="24" spans="1:12" ht="24.75" thickTop="1">
      <c r="A24" s="43"/>
      <c r="B24" s="43"/>
      <c r="C24" s="43"/>
      <c r="D24" s="43"/>
      <c r="E24" s="43"/>
      <c r="F24" s="43"/>
      <c r="G24" s="43"/>
      <c r="H24" s="43"/>
      <c r="I24" s="58"/>
      <c r="J24" s="59"/>
      <c r="K24" s="59"/>
    </row>
    <row r="25" spans="1:12">
      <c r="B25" s="60" t="s">
        <v>2</v>
      </c>
      <c r="C25" s="17" t="s">
        <v>17</v>
      </c>
      <c r="I25" s="58"/>
    </row>
    <row r="26" spans="1:12">
      <c r="C26" s="17" t="s">
        <v>18</v>
      </c>
      <c r="L26" s="2"/>
    </row>
    <row r="27" spans="1:12">
      <c r="L27" s="2"/>
    </row>
    <row r="28" spans="1:12">
      <c r="H28" s="85" t="s">
        <v>224</v>
      </c>
      <c r="I28" s="85"/>
      <c r="J28" s="85"/>
      <c r="K28" s="85"/>
      <c r="L28" s="2"/>
    </row>
    <row r="29" spans="1:12" s="8" customFormat="1">
      <c r="A29" s="2"/>
      <c r="B29" s="23"/>
      <c r="C29" s="17"/>
      <c r="D29" s="2"/>
      <c r="E29" s="2"/>
      <c r="F29" s="2"/>
      <c r="G29" s="2"/>
      <c r="H29" s="85" t="s">
        <v>223</v>
      </c>
      <c r="I29" s="85"/>
      <c r="J29" s="85"/>
      <c r="K29" s="85"/>
      <c r="L29" s="23"/>
    </row>
    <row r="30" spans="1:12" s="8" customFormat="1">
      <c r="A30" s="2"/>
      <c r="B30" s="23"/>
      <c r="C30" s="17"/>
      <c r="D30" s="2"/>
      <c r="E30" s="2"/>
      <c r="F30" s="2"/>
      <c r="G30" s="2"/>
      <c r="H30" s="85" t="s">
        <v>4</v>
      </c>
      <c r="I30" s="85"/>
      <c r="J30" s="85"/>
      <c r="K30" s="85"/>
      <c r="L30" s="23"/>
    </row>
    <row r="31" spans="1:12">
      <c r="L31" s="23" t="s">
        <v>20</v>
      </c>
    </row>
    <row r="32" spans="1:12">
      <c r="A32" s="71" t="s">
        <v>6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</row>
    <row r="33" spans="1:12">
      <c r="A33" s="72" t="s">
        <v>7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</row>
    <row r="34" spans="1:12">
      <c r="A34" s="73" t="s">
        <v>222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</row>
    <row r="35" spans="1:12" ht="12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</row>
    <row r="36" spans="1:12" s="8" customFormat="1">
      <c r="A36" s="74" t="s">
        <v>8</v>
      </c>
      <c r="B36" s="74" t="s">
        <v>19</v>
      </c>
      <c r="C36" s="74" t="s">
        <v>16</v>
      </c>
      <c r="D36" s="76" t="s">
        <v>0</v>
      </c>
      <c r="E36" s="74" t="s">
        <v>11</v>
      </c>
      <c r="F36" s="74" t="s">
        <v>10</v>
      </c>
      <c r="G36" s="78" t="s">
        <v>12</v>
      </c>
      <c r="H36" s="80" t="s">
        <v>1</v>
      </c>
      <c r="I36" s="81"/>
      <c r="J36" s="74" t="s">
        <v>15</v>
      </c>
      <c r="K36" s="74" t="s">
        <v>9</v>
      </c>
      <c r="L36" s="74" t="s">
        <v>14</v>
      </c>
    </row>
    <row r="37" spans="1:12" s="8" customFormat="1" ht="48">
      <c r="A37" s="75"/>
      <c r="B37" s="75"/>
      <c r="C37" s="75"/>
      <c r="D37" s="77"/>
      <c r="E37" s="75"/>
      <c r="F37" s="75"/>
      <c r="G37" s="79"/>
      <c r="H37" s="13" t="s">
        <v>13</v>
      </c>
      <c r="I37" s="12" t="s">
        <v>3</v>
      </c>
      <c r="J37" s="75"/>
      <c r="K37" s="75"/>
      <c r="L37" s="75"/>
    </row>
    <row r="38" spans="1:12">
      <c r="A38" s="45"/>
      <c r="B38" s="46"/>
      <c r="C38" s="27"/>
      <c r="D38" s="27"/>
      <c r="E38" s="47"/>
      <c r="F38" s="48"/>
      <c r="G38" s="48"/>
      <c r="H38" s="49"/>
      <c r="I38" s="49"/>
      <c r="J38" s="63" t="s">
        <v>226</v>
      </c>
      <c r="K38" s="64">
        <f>SUM(K23)</f>
        <v>528450</v>
      </c>
      <c r="L38" s="50"/>
    </row>
    <row r="39" spans="1:12">
      <c r="A39" s="15">
        <v>16</v>
      </c>
      <c r="B39" s="9" t="s">
        <v>46</v>
      </c>
      <c r="C39" s="3" t="s">
        <v>49</v>
      </c>
      <c r="D39" s="3" t="s">
        <v>50</v>
      </c>
      <c r="E39" s="29" t="s">
        <v>71</v>
      </c>
      <c r="F39" s="4">
        <v>24</v>
      </c>
      <c r="G39" s="4" t="s">
        <v>74</v>
      </c>
      <c r="H39" s="31">
        <v>1</v>
      </c>
      <c r="I39" s="31">
        <v>1</v>
      </c>
      <c r="J39" s="33">
        <v>9530</v>
      </c>
      <c r="K39" s="6">
        <f t="shared" ref="K39:K48" si="1">SUM(I39*J39)</f>
        <v>9530</v>
      </c>
      <c r="L39" s="38" t="s">
        <v>190</v>
      </c>
    </row>
    <row r="40" spans="1:12">
      <c r="A40" s="10">
        <v>17</v>
      </c>
      <c r="B40" s="9" t="s">
        <v>51</v>
      </c>
      <c r="C40" s="3" t="s">
        <v>52</v>
      </c>
      <c r="D40" s="3" t="s">
        <v>53</v>
      </c>
      <c r="E40" s="29" t="s">
        <v>71</v>
      </c>
      <c r="F40" s="4">
        <v>23</v>
      </c>
      <c r="G40" s="4" t="s">
        <v>74</v>
      </c>
      <c r="H40" s="31">
        <v>1</v>
      </c>
      <c r="I40" s="31">
        <v>1</v>
      </c>
      <c r="J40" s="33">
        <v>27500</v>
      </c>
      <c r="K40" s="6">
        <f t="shared" si="1"/>
        <v>27500</v>
      </c>
      <c r="L40" s="38" t="s">
        <v>191</v>
      </c>
    </row>
    <row r="41" spans="1:12">
      <c r="A41" s="15">
        <v>18</v>
      </c>
      <c r="B41" s="9" t="s">
        <v>51</v>
      </c>
      <c r="C41" s="3" t="s">
        <v>54</v>
      </c>
      <c r="D41" s="3" t="s">
        <v>55</v>
      </c>
      <c r="E41" s="29" t="s">
        <v>71</v>
      </c>
      <c r="F41" s="4">
        <v>23</v>
      </c>
      <c r="G41" s="4" t="s">
        <v>74</v>
      </c>
      <c r="H41" s="31">
        <v>1</v>
      </c>
      <c r="I41" s="31">
        <v>1</v>
      </c>
      <c r="J41" s="33">
        <v>1100</v>
      </c>
      <c r="K41" s="6">
        <f t="shared" si="1"/>
        <v>1100</v>
      </c>
      <c r="L41" s="38" t="s">
        <v>183</v>
      </c>
    </row>
    <row r="42" spans="1:12">
      <c r="A42" s="10">
        <v>19</v>
      </c>
      <c r="B42" s="9" t="s">
        <v>51</v>
      </c>
      <c r="C42" s="3" t="s">
        <v>56</v>
      </c>
      <c r="D42" s="3" t="s">
        <v>57</v>
      </c>
      <c r="E42" s="29" t="s">
        <v>73</v>
      </c>
      <c r="F42" s="4">
        <v>23</v>
      </c>
      <c r="G42" s="4" t="s">
        <v>74</v>
      </c>
      <c r="H42" s="31">
        <v>72</v>
      </c>
      <c r="I42" s="31">
        <v>72</v>
      </c>
      <c r="J42" s="33">
        <v>300</v>
      </c>
      <c r="K42" s="6">
        <f t="shared" si="1"/>
        <v>21600</v>
      </c>
      <c r="L42" s="38" t="s">
        <v>192</v>
      </c>
    </row>
    <row r="43" spans="1:12">
      <c r="A43" s="15">
        <v>20</v>
      </c>
      <c r="B43" s="9" t="s">
        <v>51</v>
      </c>
      <c r="C43" s="3" t="s">
        <v>58</v>
      </c>
      <c r="D43" s="3" t="s">
        <v>59</v>
      </c>
      <c r="E43" s="29" t="s">
        <v>73</v>
      </c>
      <c r="F43" s="4">
        <v>23</v>
      </c>
      <c r="G43" s="4" t="s">
        <v>74</v>
      </c>
      <c r="H43" s="31">
        <v>36</v>
      </c>
      <c r="I43" s="31">
        <v>36</v>
      </c>
      <c r="J43" s="33">
        <v>1100</v>
      </c>
      <c r="K43" s="6">
        <f t="shared" si="1"/>
        <v>39600</v>
      </c>
      <c r="L43" s="38" t="s">
        <v>187</v>
      </c>
    </row>
    <row r="44" spans="1:12">
      <c r="A44" s="10">
        <v>21</v>
      </c>
      <c r="B44" s="9" t="s">
        <v>51</v>
      </c>
      <c r="C44" s="3" t="s">
        <v>60</v>
      </c>
      <c r="D44" s="3" t="s">
        <v>61</v>
      </c>
      <c r="E44" s="29" t="s">
        <v>73</v>
      </c>
      <c r="F44" s="4">
        <v>23</v>
      </c>
      <c r="G44" s="4" t="s">
        <v>74</v>
      </c>
      <c r="H44" s="31">
        <v>20</v>
      </c>
      <c r="I44" s="31">
        <v>20</v>
      </c>
      <c r="J44" s="33">
        <v>180</v>
      </c>
      <c r="K44" s="6">
        <f t="shared" si="1"/>
        <v>3600</v>
      </c>
      <c r="L44" s="38" t="s">
        <v>193</v>
      </c>
    </row>
    <row r="45" spans="1:12">
      <c r="A45" s="15">
        <v>22</v>
      </c>
      <c r="B45" s="14">
        <v>2543</v>
      </c>
      <c r="C45" s="3" t="s">
        <v>62</v>
      </c>
      <c r="D45" s="3" t="s">
        <v>63</v>
      </c>
      <c r="E45" s="30" t="s">
        <v>71</v>
      </c>
      <c r="F45" s="4">
        <v>22</v>
      </c>
      <c r="G45" s="4" t="s">
        <v>74</v>
      </c>
      <c r="H45" s="29">
        <v>15</v>
      </c>
      <c r="I45" s="29">
        <v>15</v>
      </c>
      <c r="J45" s="33">
        <v>1800</v>
      </c>
      <c r="K45" s="6">
        <f t="shared" si="1"/>
        <v>27000</v>
      </c>
      <c r="L45" s="38" t="s">
        <v>187</v>
      </c>
    </row>
    <row r="46" spans="1:12">
      <c r="A46" s="10">
        <v>23</v>
      </c>
      <c r="B46" s="14">
        <v>2543</v>
      </c>
      <c r="C46" s="3" t="s">
        <v>64</v>
      </c>
      <c r="D46" s="3" t="s">
        <v>63</v>
      </c>
      <c r="E46" s="29" t="s">
        <v>73</v>
      </c>
      <c r="F46" s="4">
        <v>22</v>
      </c>
      <c r="G46" s="4" t="s">
        <v>74</v>
      </c>
      <c r="H46" s="29">
        <v>15</v>
      </c>
      <c r="I46" s="29">
        <v>15</v>
      </c>
      <c r="J46" s="33">
        <v>1800</v>
      </c>
      <c r="K46" s="6">
        <f t="shared" si="1"/>
        <v>27000</v>
      </c>
      <c r="L46" s="38" t="s">
        <v>187</v>
      </c>
    </row>
    <row r="47" spans="1:12">
      <c r="A47" s="15">
        <v>24</v>
      </c>
      <c r="B47" s="14">
        <v>2543</v>
      </c>
      <c r="C47" s="3" t="s">
        <v>65</v>
      </c>
      <c r="D47" s="1" t="s">
        <v>26</v>
      </c>
      <c r="E47" s="30" t="s">
        <v>71</v>
      </c>
      <c r="F47" s="4">
        <v>22</v>
      </c>
      <c r="G47" s="4" t="s">
        <v>74</v>
      </c>
      <c r="H47" s="29">
        <v>45</v>
      </c>
      <c r="I47" s="29">
        <v>45</v>
      </c>
      <c r="J47" s="33">
        <v>580</v>
      </c>
      <c r="K47" s="6">
        <f t="shared" si="1"/>
        <v>26100</v>
      </c>
      <c r="L47" s="38" t="s">
        <v>183</v>
      </c>
    </row>
    <row r="48" spans="1:12">
      <c r="A48" s="10">
        <v>25</v>
      </c>
      <c r="B48" s="14">
        <v>2543</v>
      </c>
      <c r="C48" s="3" t="s">
        <v>66</v>
      </c>
      <c r="D48" s="1" t="s">
        <v>26</v>
      </c>
      <c r="E48" s="30" t="s">
        <v>71</v>
      </c>
      <c r="F48" s="4">
        <v>22</v>
      </c>
      <c r="G48" s="4" t="s">
        <v>74</v>
      </c>
      <c r="H48" s="29">
        <v>80</v>
      </c>
      <c r="I48" s="29">
        <v>80</v>
      </c>
      <c r="J48" s="33">
        <v>580</v>
      </c>
      <c r="K48" s="6">
        <f t="shared" si="1"/>
        <v>46400</v>
      </c>
      <c r="L48" s="38" t="s">
        <v>183</v>
      </c>
    </row>
    <row r="49" spans="1:12">
      <c r="A49" s="15">
        <v>26</v>
      </c>
      <c r="B49" s="14">
        <v>2543</v>
      </c>
      <c r="C49" s="3" t="s">
        <v>67</v>
      </c>
      <c r="D49" s="1" t="s">
        <v>68</v>
      </c>
      <c r="E49" s="30" t="s">
        <v>71</v>
      </c>
      <c r="F49" s="4">
        <v>22</v>
      </c>
      <c r="G49" s="4" t="s">
        <v>74</v>
      </c>
      <c r="H49" s="4">
        <v>1</v>
      </c>
      <c r="I49" s="5">
        <v>1</v>
      </c>
      <c r="J49" s="33">
        <v>5700</v>
      </c>
      <c r="K49" s="6">
        <f>SUM(I49*J49)</f>
        <v>5700</v>
      </c>
      <c r="L49" s="39" t="s">
        <v>183</v>
      </c>
    </row>
    <row r="50" spans="1:12">
      <c r="A50" s="10">
        <v>27</v>
      </c>
      <c r="B50" s="14">
        <v>2543</v>
      </c>
      <c r="C50" s="3" t="s">
        <v>69</v>
      </c>
      <c r="D50" s="3" t="s">
        <v>40</v>
      </c>
      <c r="E50" s="30" t="s">
        <v>71</v>
      </c>
      <c r="F50" s="4">
        <v>22</v>
      </c>
      <c r="G50" s="4" t="s">
        <v>74</v>
      </c>
      <c r="H50" s="4">
        <v>1</v>
      </c>
      <c r="I50" s="5">
        <v>1</v>
      </c>
      <c r="J50" s="33">
        <v>2500</v>
      </c>
      <c r="K50" s="6">
        <f>SUM(I50*J50)</f>
        <v>2500</v>
      </c>
      <c r="L50" s="39" t="s">
        <v>192</v>
      </c>
    </row>
    <row r="51" spans="1:12">
      <c r="A51" s="15">
        <v>28</v>
      </c>
      <c r="B51" s="14">
        <v>2543</v>
      </c>
      <c r="C51" s="3" t="s">
        <v>75</v>
      </c>
      <c r="D51" s="3" t="s">
        <v>31</v>
      </c>
      <c r="E51" s="29" t="s">
        <v>72</v>
      </c>
      <c r="F51" s="4">
        <v>22</v>
      </c>
      <c r="G51" s="4" t="s">
        <v>74</v>
      </c>
      <c r="H51" s="29">
        <v>4</v>
      </c>
      <c r="I51" s="29">
        <v>4</v>
      </c>
      <c r="J51" s="33">
        <v>3000</v>
      </c>
      <c r="K51" s="6">
        <f>SUM(I51*J51)</f>
        <v>12000</v>
      </c>
      <c r="L51" s="39" t="s">
        <v>194</v>
      </c>
    </row>
    <row r="52" spans="1:12">
      <c r="A52" s="10">
        <v>29</v>
      </c>
      <c r="B52" s="14">
        <v>2543</v>
      </c>
      <c r="C52" s="3" t="s">
        <v>76</v>
      </c>
      <c r="D52" s="3" t="s">
        <v>77</v>
      </c>
      <c r="E52" s="34" t="s">
        <v>71</v>
      </c>
      <c r="F52" s="4">
        <v>22</v>
      </c>
      <c r="G52" s="4" t="s">
        <v>74</v>
      </c>
      <c r="H52" s="29">
        <v>2</v>
      </c>
      <c r="I52" s="29">
        <v>2</v>
      </c>
      <c r="J52" s="33">
        <v>3424</v>
      </c>
      <c r="K52" s="6">
        <f>SUM(I52*J52)</f>
        <v>6848</v>
      </c>
      <c r="L52" s="39" t="s">
        <v>195</v>
      </c>
    </row>
    <row r="53" spans="1:12">
      <c r="A53" s="15">
        <v>30</v>
      </c>
      <c r="B53" s="14">
        <v>2543</v>
      </c>
      <c r="C53" s="3" t="s">
        <v>78</v>
      </c>
      <c r="D53" s="1" t="s">
        <v>79</v>
      </c>
      <c r="E53" s="34" t="s">
        <v>71</v>
      </c>
      <c r="F53" s="4">
        <v>22</v>
      </c>
      <c r="G53" s="4" t="s">
        <v>74</v>
      </c>
      <c r="H53" s="29">
        <v>1</v>
      </c>
      <c r="I53" s="29">
        <v>1</v>
      </c>
      <c r="J53" s="33">
        <v>10561</v>
      </c>
      <c r="K53" s="6">
        <f>SUM(I53*J53)</f>
        <v>10561</v>
      </c>
      <c r="L53" s="39" t="s">
        <v>196</v>
      </c>
    </row>
    <row r="54" spans="1:12" ht="24.75" thickBot="1">
      <c r="A54" s="62"/>
      <c r="B54" s="62"/>
      <c r="C54" s="62"/>
      <c r="D54" s="62"/>
      <c r="E54" s="62"/>
      <c r="F54" s="62"/>
      <c r="G54" s="62"/>
      <c r="H54" s="62"/>
      <c r="I54" s="62"/>
      <c r="J54" s="61" t="s">
        <v>225</v>
      </c>
      <c r="K54" s="56">
        <f>SUM(K38:K53)</f>
        <v>795489</v>
      </c>
      <c r="L54" s="57"/>
    </row>
    <row r="55" spans="1:12" s="8" customFormat="1" ht="24.75" thickTop="1">
      <c r="A55" s="51"/>
      <c r="B55" s="42"/>
      <c r="C55" s="52"/>
      <c r="D55" s="52"/>
      <c r="E55" s="65"/>
      <c r="F55" s="20"/>
      <c r="G55" s="20"/>
      <c r="H55" s="20"/>
      <c r="I55" s="66"/>
      <c r="J55" s="53"/>
      <c r="K55" s="54"/>
      <c r="L55" s="16"/>
    </row>
    <row r="56" spans="1:12">
      <c r="B56" s="60" t="s">
        <v>2</v>
      </c>
      <c r="C56" s="17" t="s">
        <v>17</v>
      </c>
      <c r="I56" s="58"/>
    </row>
    <row r="57" spans="1:12">
      <c r="C57" s="17" t="s">
        <v>18</v>
      </c>
      <c r="L57" s="2"/>
    </row>
    <row r="58" spans="1:12">
      <c r="H58" s="85" t="s">
        <v>224</v>
      </c>
      <c r="I58" s="85"/>
      <c r="J58" s="85"/>
      <c r="K58" s="85"/>
      <c r="L58" s="2"/>
    </row>
    <row r="59" spans="1:12" s="8" customFormat="1">
      <c r="A59" s="2"/>
      <c r="B59" s="23"/>
      <c r="C59" s="17"/>
      <c r="D59" s="2"/>
      <c r="E59" s="2"/>
      <c r="F59" s="2"/>
      <c r="G59" s="2"/>
      <c r="H59" s="85" t="s">
        <v>223</v>
      </c>
      <c r="I59" s="85"/>
      <c r="J59" s="85"/>
      <c r="K59" s="85"/>
      <c r="L59" s="23"/>
    </row>
    <row r="60" spans="1:12" s="8" customFormat="1">
      <c r="A60" s="2"/>
      <c r="B60" s="23"/>
      <c r="C60" s="17"/>
      <c r="D60" s="2"/>
      <c r="E60" s="2"/>
      <c r="F60" s="2"/>
      <c r="G60" s="2"/>
      <c r="H60" s="85" t="s">
        <v>4</v>
      </c>
      <c r="I60" s="85"/>
      <c r="J60" s="85"/>
      <c r="K60" s="85"/>
      <c r="L60" s="23"/>
    </row>
    <row r="61" spans="1:12" s="8" customFormat="1">
      <c r="A61" s="2"/>
      <c r="B61" s="23"/>
      <c r="C61" s="17"/>
      <c r="D61" s="2"/>
      <c r="E61" s="2"/>
      <c r="F61" s="2"/>
      <c r="G61" s="2"/>
      <c r="H61" s="23"/>
      <c r="I61" s="23"/>
      <c r="J61" s="23"/>
      <c r="K61" s="23"/>
      <c r="L61" s="23" t="s">
        <v>20</v>
      </c>
    </row>
    <row r="62" spans="1:12">
      <c r="A62" s="71" t="s">
        <v>6</v>
      </c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</row>
    <row r="63" spans="1:12">
      <c r="A63" s="72" t="s">
        <v>7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</row>
    <row r="64" spans="1:12">
      <c r="A64" s="73" t="s">
        <v>222</v>
      </c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</row>
    <row r="65" spans="1:12" ht="12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</row>
    <row r="66" spans="1:12">
      <c r="A66" s="74" t="s">
        <v>8</v>
      </c>
      <c r="B66" s="74" t="s">
        <v>19</v>
      </c>
      <c r="C66" s="74" t="s">
        <v>16</v>
      </c>
      <c r="D66" s="76" t="s">
        <v>0</v>
      </c>
      <c r="E66" s="74" t="s">
        <v>11</v>
      </c>
      <c r="F66" s="74" t="s">
        <v>10</v>
      </c>
      <c r="G66" s="78" t="s">
        <v>12</v>
      </c>
      <c r="H66" s="80" t="s">
        <v>1</v>
      </c>
      <c r="I66" s="81"/>
      <c r="J66" s="74" t="s">
        <v>15</v>
      </c>
      <c r="K66" s="74" t="s">
        <v>9</v>
      </c>
      <c r="L66" s="74" t="s">
        <v>14</v>
      </c>
    </row>
    <row r="67" spans="1:12" ht="48">
      <c r="A67" s="75"/>
      <c r="B67" s="75"/>
      <c r="C67" s="75"/>
      <c r="D67" s="77"/>
      <c r="E67" s="75"/>
      <c r="F67" s="75"/>
      <c r="G67" s="79"/>
      <c r="H67" s="13" t="s">
        <v>13</v>
      </c>
      <c r="I67" s="12" t="s">
        <v>3</v>
      </c>
      <c r="J67" s="75"/>
      <c r="K67" s="75"/>
      <c r="L67" s="75"/>
    </row>
    <row r="68" spans="1:12">
      <c r="A68" s="45"/>
      <c r="B68" s="46"/>
      <c r="C68" s="27"/>
      <c r="D68" s="27"/>
      <c r="E68" s="47"/>
      <c r="F68" s="48"/>
      <c r="G68" s="48"/>
      <c r="H68" s="49"/>
      <c r="I68" s="49"/>
      <c r="J68" s="63" t="s">
        <v>226</v>
      </c>
      <c r="K68" s="64">
        <f>SUM(K54)</f>
        <v>795489</v>
      </c>
      <c r="L68" s="50"/>
    </row>
    <row r="69" spans="1:12">
      <c r="A69" s="10">
        <v>31</v>
      </c>
      <c r="B69" s="14">
        <v>2543</v>
      </c>
      <c r="C69" s="3" t="s">
        <v>80</v>
      </c>
      <c r="D69" s="1" t="s">
        <v>81</v>
      </c>
      <c r="E69" s="29" t="s">
        <v>71</v>
      </c>
      <c r="F69" s="4">
        <v>22</v>
      </c>
      <c r="G69" s="4" t="s">
        <v>74</v>
      </c>
      <c r="H69" s="31">
        <v>1</v>
      </c>
      <c r="I69" s="31">
        <v>1</v>
      </c>
      <c r="J69" s="33">
        <v>11535.6</v>
      </c>
      <c r="K69" s="6">
        <f t="shared" ref="K69:K103" si="2">SUM(I69*J69)</f>
        <v>11535.6</v>
      </c>
      <c r="L69" s="39" t="s">
        <v>197</v>
      </c>
    </row>
    <row r="70" spans="1:12">
      <c r="A70" s="15">
        <v>32</v>
      </c>
      <c r="B70" s="14">
        <v>2543</v>
      </c>
      <c r="C70" s="3" t="s">
        <v>82</v>
      </c>
      <c r="D70" s="1" t="s">
        <v>83</v>
      </c>
      <c r="E70" s="29" t="s">
        <v>71</v>
      </c>
      <c r="F70" s="4">
        <v>22</v>
      </c>
      <c r="G70" s="4" t="s">
        <v>74</v>
      </c>
      <c r="H70" s="31">
        <v>1</v>
      </c>
      <c r="I70" s="31">
        <v>1</v>
      </c>
      <c r="J70" s="33">
        <v>25000</v>
      </c>
      <c r="K70" s="6">
        <f t="shared" si="2"/>
        <v>25000</v>
      </c>
      <c r="L70" s="39" t="s">
        <v>191</v>
      </c>
    </row>
    <row r="71" spans="1:12">
      <c r="A71" s="10">
        <v>33</v>
      </c>
      <c r="B71" s="7" t="s">
        <v>84</v>
      </c>
      <c r="C71" s="3" t="s">
        <v>85</v>
      </c>
      <c r="D71" s="1" t="s">
        <v>26</v>
      </c>
      <c r="E71" s="29" t="s">
        <v>70</v>
      </c>
      <c r="F71" s="4">
        <v>21</v>
      </c>
      <c r="G71" s="4" t="s">
        <v>74</v>
      </c>
      <c r="H71" s="31">
        <v>80</v>
      </c>
      <c r="I71" s="31">
        <v>80</v>
      </c>
      <c r="J71" s="35">
        <v>580</v>
      </c>
      <c r="K71" s="6">
        <f t="shared" si="2"/>
        <v>46400</v>
      </c>
      <c r="L71" s="38" t="s">
        <v>192</v>
      </c>
    </row>
    <row r="72" spans="1:12">
      <c r="A72" s="15">
        <v>34</v>
      </c>
      <c r="B72" s="7" t="s">
        <v>84</v>
      </c>
      <c r="C72" s="3" t="s">
        <v>86</v>
      </c>
      <c r="D72" s="3" t="s">
        <v>87</v>
      </c>
      <c r="E72" s="29" t="s">
        <v>71</v>
      </c>
      <c r="F72" s="4">
        <v>21</v>
      </c>
      <c r="G72" s="4" t="s">
        <v>74</v>
      </c>
      <c r="H72" s="31">
        <v>1</v>
      </c>
      <c r="I72" s="31">
        <v>1</v>
      </c>
      <c r="J72" s="35">
        <v>1400</v>
      </c>
      <c r="K72" s="6">
        <f t="shared" si="2"/>
        <v>1400</v>
      </c>
      <c r="L72" s="38" t="s">
        <v>198</v>
      </c>
    </row>
    <row r="73" spans="1:12">
      <c r="A73" s="10">
        <v>35</v>
      </c>
      <c r="B73" s="7" t="s">
        <v>84</v>
      </c>
      <c r="C73" s="3" t="s">
        <v>88</v>
      </c>
      <c r="D73" s="1" t="s">
        <v>89</v>
      </c>
      <c r="E73" s="29" t="s">
        <v>71</v>
      </c>
      <c r="F73" s="4">
        <v>21</v>
      </c>
      <c r="G73" s="4" t="s">
        <v>74</v>
      </c>
      <c r="H73" s="31">
        <v>1</v>
      </c>
      <c r="I73" s="31">
        <v>1</v>
      </c>
      <c r="J73" s="35">
        <v>2920</v>
      </c>
      <c r="K73" s="6">
        <f t="shared" si="2"/>
        <v>2920</v>
      </c>
      <c r="L73" s="38" t="s">
        <v>199</v>
      </c>
    </row>
    <row r="74" spans="1:12">
      <c r="A74" s="15">
        <v>36</v>
      </c>
      <c r="B74" s="7" t="s">
        <v>84</v>
      </c>
      <c r="C74" s="3" t="s">
        <v>90</v>
      </c>
      <c r="D74" s="3" t="s">
        <v>91</v>
      </c>
      <c r="E74" s="29" t="s">
        <v>71</v>
      </c>
      <c r="F74" s="4">
        <v>21</v>
      </c>
      <c r="G74" s="4" t="s">
        <v>74</v>
      </c>
      <c r="H74" s="31">
        <v>1</v>
      </c>
      <c r="I74" s="31">
        <v>1</v>
      </c>
      <c r="J74" s="35">
        <v>5880</v>
      </c>
      <c r="K74" s="6">
        <f>SUM(I74*J74)</f>
        <v>5880</v>
      </c>
      <c r="L74" s="38" t="s">
        <v>200</v>
      </c>
    </row>
    <row r="75" spans="1:12">
      <c r="A75" s="10">
        <v>37</v>
      </c>
      <c r="B75" s="7" t="s">
        <v>92</v>
      </c>
      <c r="C75" s="3" t="s">
        <v>93</v>
      </c>
      <c r="D75" s="1" t="s">
        <v>94</v>
      </c>
      <c r="E75" s="29" t="s">
        <v>71</v>
      </c>
      <c r="F75" s="4">
        <v>20</v>
      </c>
      <c r="G75" s="4" t="s">
        <v>74</v>
      </c>
      <c r="H75" s="4">
        <v>1</v>
      </c>
      <c r="I75" s="5">
        <v>1</v>
      </c>
      <c r="J75" s="6">
        <v>5280.45</v>
      </c>
      <c r="K75" s="6">
        <f>SUM(I75*J75)</f>
        <v>5280.45</v>
      </c>
      <c r="L75" s="38" t="s">
        <v>200</v>
      </c>
    </row>
    <row r="76" spans="1:12">
      <c r="A76" s="15">
        <v>38</v>
      </c>
      <c r="B76" s="7" t="s">
        <v>92</v>
      </c>
      <c r="C76" s="3" t="s">
        <v>95</v>
      </c>
      <c r="D76" s="3" t="s">
        <v>96</v>
      </c>
      <c r="E76" s="29" t="s">
        <v>71</v>
      </c>
      <c r="F76" s="4">
        <v>20</v>
      </c>
      <c r="G76" s="4" t="s">
        <v>74</v>
      </c>
      <c r="H76" s="4">
        <v>1</v>
      </c>
      <c r="I76" s="5">
        <v>1</v>
      </c>
      <c r="J76" s="6">
        <v>7700</v>
      </c>
      <c r="K76" s="6">
        <f>SUM(I76*J76)</f>
        <v>7700</v>
      </c>
      <c r="L76" s="39" t="s">
        <v>201</v>
      </c>
    </row>
    <row r="77" spans="1:12">
      <c r="A77" s="10">
        <v>39</v>
      </c>
      <c r="B77" s="11" t="s">
        <v>97</v>
      </c>
      <c r="C77" s="3" t="s">
        <v>98</v>
      </c>
      <c r="D77" s="3" t="s">
        <v>99</v>
      </c>
      <c r="E77" s="29" t="s">
        <v>71</v>
      </c>
      <c r="F77" s="4">
        <v>19</v>
      </c>
      <c r="G77" s="4" t="s">
        <v>74</v>
      </c>
      <c r="H77" s="4">
        <v>4</v>
      </c>
      <c r="I77" s="5">
        <v>4</v>
      </c>
      <c r="J77" s="6">
        <v>1600</v>
      </c>
      <c r="K77" s="6">
        <f>SUM(I77*J77)</f>
        <v>6400</v>
      </c>
      <c r="L77" s="39" t="s">
        <v>187</v>
      </c>
    </row>
    <row r="78" spans="1:12">
      <c r="A78" s="15">
        <v>40</v>
      </c>
      <c r="B78" s="11" t="s">
        <v>97</v>
      </c>
      <c r="C78" s="3" t="s">
        <v>100</v>
      </c>
      <c r="D78" s="1" t="s">
        <v>26</v>
      </c>
      <c r="E78" s="29" t="s">
        <v>71</v>
      </c>
      <c r="F78" s="4">
        <v>19</v>
      </c>
      <c r="G78" s="4" t="s">
        <v>74</v>
      </c>
      <c r="H78" s="4">
        <v>80</v>
      </c>
      <c r="I78" s="5">
        <v>80</v>
      </c>
      <c r="J78" s="6">
        <v>460</v>
      </c>
      <c r="K78" s="6">
        <f>SUM(I78*J78)</f>
        <v>36800</v>
      </c>
      <c r="L78" s="41" t="s">
        <v>192</v>
      </c>
    </row>
    <row r="79" spans="1:12">
      <c r="A79" s="10">
        <v>41</v>
      </c>
      <c r="B79" s="11" t="s">
        <v>97</v>
      </c>
      <c r="C79" s="3" t="s">
        <v>101</v>
      </c>
      <c r="D79" s="3" t="s">
        <v>33</v>
      </c>
      <c r="E79" s="29" t="s">
        <v>71</v>
      </c>
      <c r="F79" s="4">
        <v>19</v>
      </c>
      <c r="G79" s="4" t="s">
        <v>74</v>
      </c>
      <c r="H79" s="4">
        <v>2</v>
      </c>
      <c r="I79" s="5">
        <v>2</v>
      </c>
      <c r="J79" s="6">
        <v>2950</v>
      </c>
      <c r="K79" s="6">
        <f>SUM(I79*J79)</f>
        <v>5900</v>
      </c>
      <c r="L79" s="38" t="s">
        <v>187</v>
      </c>
    </row>
    <row r="80" spans="1:12">
      <c r="A80" s="15">
        <v>42</v>
      </c>
      <c r="B80" s="11" t="s">
        <v>97</v>
      </c>
      <c r="C80" s="3" t="s">
        <v>102</v>
      </c>
      <c r="D80" s="3" t="s">
        <v>35</v>
      </c>
      <c r="E80" s="29" t="s">
        <v>71</v>
      </c>
      <c r="F80" s="4">
        <v>19</v>
      </c>
      <c r="G80" s="4" t="s">
        <v>74</v>
      </c>
      <c r="H80" s="4">
        <v>1</v>
      </c>
      <c r="I80" s="5">
        <v>1</v>
      </c>
      <c r="J80" s="6">
        <v>5700</v>
      </c>
      <c r="K80" s="6">
        <f>SUM(I80*J80)</f>
        <v>5700</v>
      </c>
      <c r="L80" s="38" t="s">
        <v>202</v>
      </c>
    </row>
    <row r="81" spans="1:12">
      <c r="A81" s="10">
        <v>43</v>
      </c>
      <c r="B81" s="11" t="s">
        <v>97</v>
      </c>
      <c r="C81" s="3" t="s">
        <v>103</v>
      </c>
      <c r="D81" s="3" t="s">
        <v>104</v>
      </c>
      <c r="E81" s="29" t="s">
        <v>71</v>
      </c>
      <c r="F81" s="4">
        <v>19</v>
      </c>
      <c r="G81" s="4" t="s">
        <v>74</v>
      </c>
      <c r="H81" s="4">
        <v>1</v>
      </c>
      <c r="I81" s="5">
        <v>1</v>
      </c>
      <c r="J81" s="6">
        <v>19620</v>
      </c>
      <c r="K81" s="6">
        <f>SUM(I81*J81)</f>
        <v>19620</v>
      </c>
      <c r="L81" s="38" t="s">
        <v>202</v>
      </c>
    </row>
    <row r="82" spans="1:12">
      <c r="A82" s="15">
        <v>44</v>
      </c>
      <c r="B82" s="11" t="s">
        <v>97</v>
      </c>
      <c r="C82" s="3" t="s">
        <v>105</v>
      </c>
      <c r="D82" s="3" t="s">
        <v>87</v>
      </c>
      <c r="E82" s="29" t="s">
        <v>72</v>
      </c>
      <c r="F82" s="4">
        <v>19</v>
      </c>
      <c r="G82" s="4" t="s">
        <v>74</v>
      </c>
      <c r="H82" s="4">
        <v>2</v>
      </c>
      <c r="I82" s="5">
        <v>2</v>
      </c>
      <c r="J82" s="6">
        <v>300</v>
      </c>
      <c r="K82" s="6">
        <f>SUM(I82*J82)</f>
        <v>600</v>
      </c>
      <c r="L82" s="38" t="s">
        <v>200</v>
      </c>
    </row>
    <row r="83" spans="1:12">
      <c r="A83" s="10">
        <v>45</v>
      </c>
      <c r="B83" s="11" t="s">
        <v>97</v>
      </c>
      <c r="C83" s="3" t="s">
        <v>106</v>
      </c>
      <c r="D83" s="3" t="s">
        <v>87</v>
      </c>
      <c r="E83" s="29" t="s">
        <v>72</v>
      </c>
      <c r="F83" s="4">
        <v>19</v>
      </c>
      <c r="G83" s="4" t="s">
        <v>74</v>
      </c>
      <c r="H83" s="4">
        <v>16</v>
      </c>
      <c r="I83" s="5">
        <v>16</v>
      </c>
      <c r="J83" s="6">
        <v>1000</v>
      </c>
      <c r="K83" s="6">
        <f>SUM(I83*J83)</f>
        <v>16000</v>
      </c>
      <c r="L83" s="38" t="s">
        <v>203</v>
      </c>
    </row>
    <row r="84" spans="1:12" ht="24.75" thickBot="1">
      <c r="A84" s="62"/>
      <c r="B84" s="62"/>
      <c r="C84" s="62"/>
      <c r="D84" s="62"/>
      <c r="E84" s="62"/>
      <c r="F84" s="62"/>
      <c r="G84" s="62"/>
      <c r="H84" s="62"/>
      <c r="I84" s="62"/>
      <c r="J84" s="61" t="s">
        <v>225</v>
      </c>
      <c r="K84" s="56">
        <f>SUM(K68:K83)</f>
        <v>992625.04999999993</v>
      </c>
      <c r="L84" s="57"/>
    </row>
    <row r="85" spans="1:12" ht="24.75" thickTop="1">
      <c r="A85" s="51"/>
      <c r="B85" s="42"/>
      <c r="C85" s="52"/>
      <c r="D85" s="52"/>
      <c r="E85" s="65"/>
      <c r="F85" s="20"/>
      <c r="G85" s="20"/>
      <c r="H85" s="20"/>
      <c r="I85" s="66"/>
      <c r="J85" s="53"/>
      <c r="K85" s="54"/>
      <c r="L85" s="16"/>
    </row>
    <row r="86" spans="1:12">
      <c r="B86" s="60" t="s">
        <v>2</v>
      </c>
      <c r="C86" s="17" t="s">
        <v>17</v>
      </c>
      <c r="I86" s="58"/>
    </row>
    <row r="87" spans="1:12">
      <c r="C87" s="17" t="s">
        <v>18</v>
      </c>
      <c r="L87" s="2"/>
    </row>
    <row r="88" spans="1:12">
      <c r="H88" s="85" t="s">
        <v>224</v>
      </c>
      <c r="I88" s="85"/>
      <c r="J88" s="85"/>
      <c r="K88" s="85"/>
      <c r="L88" s="2"/>
    </row>
    <row r="89" spans="1:12">
      <c r="H89" s="85" t="s">
        <v>223</v>
      </c>
      <c r="I89" s="85"/>
      <c r="J89" s="85"/>
      <c r="K89" s="85"/>
    </row>
    <row r="90" spans="1:12">
      <c r="H90" s="85" t="s">
        <v>4</v>
      </c>
      <c r="I90" s="85"/>
      <c r="J90" s="85"/>
      <c r="K90" s="85"/>
    </row>
    <row r="91" spans="1:12" s="8" customFormat="1">
      <c r="A91" s="2"/>
      <c r="B91" s="23"/>
      <c r="C91" s="17"/>
      <c r="D91" s="2"/>
      <c r="E91" s="2"/>
      <c r="F91" s="2"/>
      <c r="G91" s="2"/>
      <c r="H91" s="23"/>
      <c r="I91" s="23"/>
      <c r="J91" s="23"/>
      <c r="K91" s="23"/>
      <c r="L91" s="23" t="s">
        <v>20</v>
      </c>
    </row>
    <row r="92" spans="1:12">
      <c r="A92" s="71" t="s">
        <v>6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</row>
    <row r="93" spans="1:12">
      <c r="A93" s="72" t="s">
        <v>7</v>
      </c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</row>
    <row r="94" spans="1:12">
      <c r="A94" s="73" t="s">
        <v>222</v>
      </c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</row>
    <row r="95" spans="1:12" ht="13.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</row>
    <row r="96" spans="1:12">
      <c r="A96" s="74" t="s">
        <v>8</v>
      </c>
      <c r="B96" s="74" t="s">
        <v>19</v>
      </c>
      <c r="C96" s="74" t="s">
        <v>16</v>
      </c>
      <c r="D96" s="76" t="s">
        <v>0</v>
      </c>
      <c r="E96" s="74" t="s">
        <v>11</v>
      </c>
      <c r="F96" s="74" t="s">
        <v>10</v>
      </c>
      <c r="G96" s="78" t="s">
        <v>12</v>
      </c>
      <c r="H96" s="80" t="s">
        <v>1</v>
      </c>
      <c r="I96" s="81"/>
      <c r="J96" s="74" t="s">
        <v>15</v>
      </c>
      <c r="K96" s="74" t="s">
        <v>9</v>
      </c>
      <c r="L96" s="74" t="s">
        <v>14</v>
      </c>
    </row>
    <row r="97" spans="1:12" ht="48">
      <c r="A97" s="75"/>
      <c r="B97" s="75"/>
      <c r="C97" s="75"/>
      <c r="D97" s="77"/>
      <c r="E97" s="75"/>
      <c r="F97" s="75"/>
      <c r="G97" s="79"/>
      <c r="H97" s="13" t="s">
        <v>13</v>
      </c>
      <c r="I97" s="12" t="s">
        <v>3</v>
      </c>
      <c r="J97" s="75"/>
      <c r="K97" s="75"/>
      <c r="L97" s="75"/>
    </row>
    <row r="98" spans="1:12">
      <c r="A98" s="45"/>
      <c r="B98" s="46"/>
      <c r="C98" s="27"/>
      <c r="D98" s="27"/>
      <c r="E98" s="47"/>
      <c r="F98" s="48"/>
      <c r="G98" s="48"/>
      <c r="H98" s="49"/>
      <c r="I98" s="49"/>
      <c r="J98" s="63" t="s">
        <v>226</v>
      </c>
      <c r="K98" s="64">
        <f>SUM(K84)</f>
        <v>992625.04999999993</v>
      </c>
      <c r="L98" s="50"/>
    </row>
    <row r="99" spans="1:12">
      <c r="A99" s="15">
        <v>46</v>
      </c>
      <c r="B99" s="11" t="s">
        <v>97</v>
      </c>
      <c r="C99" s="3" t="s">
        <v>107</v>
      </c>
      <c r="D99" s="3" t="s">
        <v>108</v>
      </c>
      <c r="E99" s="30" t="s">
        <v>71</v>
      </c>
      <c r="F99" s="4">
        <v>19</v>
      </c>
      <c r="G99" s="4" t="s">
        <v>74</v>
      </c>
      <c r="H99" s="4">
        <v>1</v>
      </c>
      <c r="I99" s="5">
        <v>1</v>
      </c>
      <c r="J99" s="6">
        <v>7420</v>
      </c>
      <c r="K99" s="6">
        <f>SUM(I99*J99)</f>
        <v>7420</v>
      </c>
      <c r="L99" s="38" t="s">
        <v>204</v>
      </c>
    </row>
    <row r="100" spans="1:12">
      <c r="A100" s="15">
        <v>47</v>
      </c>
      <c r="B100" s="14">
        <v>2547</v>
      </c>
      <c r="C100" s="3" t="s">
        <v>109</v>
      </c>
      <c r="D100" s="3" t="s">
        <v>99</v>
      </c>
      <c r="E100" s="30" t="s">
        <v>71</v>
      </c>
      <c r="F100" s="31">
        <v>18</v>
      </c>
      <c r="G100" s="4" t="s">
        <v>74</v>
      </c>
      <c r="H100" s="31">
        <v>3</v>
      </c>
      <c r="I100" s="31">
        <v>3</v>
      </c>
      <c r="J100" s="6">
        <v>1600</v>
      </c>
      <c r="K100" s="6">
        <f t="shared" si="2"/>
        <v>4800</v>
      </c>
      <c r="L100" s="38" t="s">
        <v>187</v>
      </c>
    </row>
    <row r="101" spans="1:12">
      <c r="A101" s="15">
        <v>48</v>
      </c>
      <c r="B101" s="14">
        <v>2547</v>
      </c>
      <c r="C101" s="3" t="s">
        <v>110</v>
      </c>
      <c r="D101" s="3" t="s">
        <v>99</v>
      </c>
      <c r="E101" s="30" t="s">
        <v>71</v>
      </c>
      <c r="F101" s="31">
        <v>18</v>
      </c>
      <c r="G101" s="4" t="s">
        <v>74</v>
      </c>
      <c r="H101" s="31">
        <v>9</v>
      </c>
      <c r="I101" s="31">
        <v>9</v>
      </c>
      <c r="J101" s="6">
        <v>1600</v>
      </c>
      <c r="K101" s="6">
        <f t="shared" si="2"/>
        <v>14400</v>
      </c>
      <c r="L101" s="38" t="s">
        <v>187</v>
      </c>
    </row>
    <row r="102" spans="1:12">
      <c r="A102" s="15">
        <v>49</v>
      </c>
      <c r="B102" s="14">
        <v>2547</v>
      </c>
      <c r="C102" s="3" t="s">
        <v>111</v>
      </c>
      <c r="D102" s="3" t="s">
        <v>99</v>
      </c>
      <c r="E102" s="30" t="s">
        <v>71</v>
      </c>
      <c r="F102" s="31">
        <v>18</v>
      </c>
      <c r="G102" s="4" t="s">
        <v>74</v>
      </c>
      <c r="H102" s="31">
        <v>4</v>
      </c>
      <c r="I102" s="31">
        <v>4</v>
      </c>
      <c r="J102" s="6">
        <v>38000</v>
      </c>
      <c r="K102" s="6">
        <f t="shared" si="2"/>
        <v>152000</v>
      </c>
      <c r="L102" s="38" t="s">
        <v>205</v>
      </c>
    </row>
    <row r="103" spans="1:12">
      <c r="A103" s="15">
        <v>50</v>
      </c>
      <c r="B103" s="14">
        <v>2547</v>
      </c>
      <c r="C103" s="3" t="s">
        <v>112</v>
      </c>
      <c r="D103" s="1" t="s">
        <v>45</v>
      </c>
      <c r="E103" s="30" t="s">
        <v>71</v>
      </c>
      <c r="F103" s="31">
        <v>18</v>
      </c>
      <c r="G103" s="4" t="s">
        <v>74</v>
      </c>
      <c r="H103" s="31">
        <v>1</v>
      </c>
      <c r="I103" s="31">
        <v>1</v>
      </c>
      <c r="J103" s="6">
        <v>43500</v>
      </c>
      <c r="K103" s="6">
        <f t="shared" si="2"/>
        <v>43500</v>
      </c>
      <c r="L103" s="38" t="s">
        <v>206</v>
      </c>
    </row>
    <row r="104" spans="1:12">
      <c r="A104" s="15">
        <v>51</v>
      </c>
      <c r="B104" s="14">
        <v>2547</v>
      </c>
      <c r="C104" s="3" t="s">
        <v>113</v>
      </c>
      <c r="D104" s="1" t="s">
        <v>45</v>
      </c>
      <c r="E104" s="30" t="s">
        <v>71</v>
      </c>
      <c r="F104" s="31">
        <v>18</v>
      </c>
      <c r="G104" s="4" t="s">
        <v>74</v>
      </c>
      <c r="H104" s="31">
        <v>2</v>
      </c>
      <c r="I104" s="31">
        <v>2</v>
      </c>
      <c r="J104" s="6">
        <v>43500</v>
      </c>
      <c r="K104" s="6">
        <f t="shared" ref="K104:K107" si="3">SUM(I104*J104)</f>
        <v>87000</v>
      </c>
      <c r="L104" s="38" t="s">
        <v>188</v>
      </c>
    </row>
    <row r="105" spans="1:12">
      <c r="A105" s="15">
        <v>52</v>
      </c>
      <c r="B105" s="14">
        <v>2547</v>
      </c>
      <c r="C105" s="3" t="s">
        <v>114</v>
      </c>
      <c r="D105" s="1" t="s">
        <v>45</v>
      </c>
      <c r="E105" s="30" t="s">
        <v>71</v>
      </c>
      <c r="F105" s="31">
        <v>18</v>
      </c>
      <c r="G105" s="4" t="s">
        <v>74</v>
      </c>
      <c r="H105" s="31">
        <v>2</v>
      </c>
      <c r="I105" s="31">
        <v>2</v>
      </c>
      <c r="J105" s="6">
        <v>43500</v>
      </c>
      <c r="K105" s="6">
        <f t="shared" si="3"/>
        <v>87000</v>
      </c>
      <c r="L105" s="38" t="s">
        <v>188</v>
      </c>
    </row>
    <row r="106" spans="1:12">
      <c r="A106" s="15">
        <v>53</v>
      </c>
      <c r="B106" s="14">
        <v>2547</v>
      </c>
      <c r="C106" s="3" t="s">
        <v>115</v>
      </c>
      <c r="D106" s="1" t="s">
        <v>45</v>
      </c>
      <c r="E106" s="29" t="s">
        <v>72</v>
      </c>
      <c r="F106" s="31">
        <v>18</v>
      </c>
      <c r="G106" s="4" t="s">
        <v>74</v>
      </c>
      <c r="H106" s="31">
        <v>1</v>
      </c>
      <c r="I106" s="31">
        <v>1</v>
      </c>
      <c r="J106" s="6">
        <v>38000</v>
      </c>
      <c r="K106" s="6">
        <f t="shared" si="3"/>
        <v>38000</v>
      </c>
      <c r="L106" s="38" t="s">
        <v>184</v>
      </c>
    </row>
    <row r="107" spans="1:12">
      <c r="A107" s="15">
        <v>54</v>
      </c>
      <c r="B107" s="14">
        <v>2548</v>
      </c>
      <c r="C107" s="3" t="s">
        <v>116</v>
      </c>
      <c r="D107" s="3" t="s">
        <v>99</v>
      </c>
      <c r="E107" s="30" t="s">
        <v>70</v>
      </c>
      <c r="F107" s="4">
        <v>17</v>
      </c>
      <c r="G107" s="4" t="s">
        <v>74</v>
      </c>
      <c r="H107" s="31">
        <v>5</v>
      </c>
      <c r="I107" s="31">
        <v>5</v>
      </c>
      <c r="J107" s="6">
        <v>1600</v>
      </c>
      <c r="K107" s="6">
        <f t="shared" si="3"/>
        <v>8000</v>
      </c>
      <c r="L107" s="38" t="s">
        <v>187</v>
      </c>
    </row>
    <row r="108" spans="1:12">
      <c r="A108" s="15">
        <v>55</v>
      </c>
      <c r="B108" s="14">
        <v>2548</v>
      </c>
      <c r="C108" s="3" t="s">
        <v>117</v>
      </c>
      <c r="D108" s="3" t="s">
        <v>118</v>
      </c>
      <c r="E108" s="29" t="s">
        <v>70</v>
      </c>
      <c r="F108" s="4">
        <v>17</v>
      </c>
      <c r="G108" s="4" t="s">
        <v>74</v>
      </c>
      <c r="H108" s="31">
        <v>280</v>
      </c>
      <c r="I108" s="31">
        <v>280</v>
      </c>
      <c r="J108" s="6">
        <v>200</v>
      </c>
      <c r="K108" s="6">
        <f>SUM(I108*J108)</f>
        <v>56000</v>
      </c>
      <c r="L108" s="38" t="s">
        <v>207</v>
      </c>
    </row>
    <row r="109" spans="1:12">
      <c r="A109" s="15">
        <v>56</v>
      </c>
      <c r="B109" s="14">
        <v>2548</v>
      </c>
      <c r="C109" s="3" t="s">
        <v>119</v>
      </c>
      <c r="D109" s="3" t="s">
        <v>120</v>
      </c>
      <c r="E109" s="29" t="s">
        <v>70</v>
      </c>
      <c r="F109" s="4">
        <v>17</v>
      </c>
      <c r="G109" s="4" t="s">
        <v>74</v>
      </c>
      <c r="H109" s="31">
        <v>1</v>
      </c>
      <c r="I109" s="31">
        <v>1</v>
      </c>
      <c r="J109" s="6">
        <v>4534</v>
      </c>
      <c r="K109" s="6">
        <f>SUM(I109*J109)</f>
        <v>4534</v>
      </c>
      <c r="L109" s="38" t="s">
        <v>202</v>
      </c>
    </row>
    <row r="110" spans="1:12">
      <c r="A110" s="15">
        <v>57</v>
      </c>
      <c r="B110" s="14">
        <v>2548</v>
      </c>
      <c r="C110" s="3" t="s">
        <v>121</v>
      </c>
      <c r="D110" s="3" t="s">
        <v>122</v>
      </c>
      <c r="E110" s="30" t="s">
        <v>71</v>
      </c>
      <c r="F110" s="4">
        <v>17</v>
      </c>
      <c r="G110" s="4" t="s">
        <v>74</v>
      </c>
      <c r="H110" s="31">
        <v>1</v>
      </c>
      <c r="I110" s="31">
        <v>1</v>
      </c>
      <c r="J110" s="33">
        <v>11490</v>
      </c>
      <c r="K110" s="6">
        <f>SUM(I110*J110)</f>
        <v>11490</v>
      </c>
      <c r="L110" s="38" t="s">
        <v>208</v>
      </c>
    </row>
    <row r="111" spans="1:12">
      <c r="A111" s="15">
        <v>58</v>
      </c>
      <c r="B111" s="7" t="s">
        <v>123</v>
      </c>
      <c r="C111" s="3" t="s">
        <v>124</v>
      </c>
      <c r="D111" s="3" t="s">
        <v>99</v>
      </c>
      <c r="E111" s="29" t="s">
        <v>71</v>
      </c>
      <c r="F111" s="4">
        <v>16</v>
      </c>
      <c r="G111" s="4" t="s">
        <v>74</v>
      </c>
      <c r="H111" s="31">
        <v>20</v>
      </c>
      <c r="I111" s="31">
        <v>20</v>
      </c>
      <c r="J111" s="35">
        <v>1800</v>
      </c>
      <c r="K111" s="6">
        <f>SUM(I111*J111)</f>
        <v>36000</v>
      </c>
      <c r="L111" s="38" t="s">
        <v>202</v>
      </c>
    </row>
    <row r="112" spans="1:12">
      <c r="A112" s="15">
        <v>59</v>
      </c>
      <c r="B112" s="7" t="s">
        <v>123</v>
      </c>
      <c r="C112" s="3" t="s">
        <v>125</v>
      </c>
      <c r="D112" s="1" t="s">
        <v>26</v>
      </c>
      <c r="E112" s="29" t="s">
        <v>71</v>
      </c>
      <c r="F112" s="4">
        <v>16</v>
      </c>
      <c r="G112" s="4" t="s">
        <v>74</v>
      </c>
      <c r="H112" s="31">
        <v>420</v>
      </c>
      <c r="I112" s="31">
        <v>420</v>
      </c>
      <c r="J112" s="35">
        <v>750</v>
      </c>
      <c r="K112" s="6">
        <f>SUM(I112*J112)</f>
        <v>315000</v>
      </c>
      <c r="L112" s="38" t="s">
        <v>183</v>
      </c>
    </row>
    <row r="113" spans="1:12">
      <c r="A113" s="15">
        <v>60</v>
      </c>
      <c r="B113" s="7" t="s">
        <v>123</v>
      </c>
      <c r="C113" s="3" t="s">
        <v>126</v>
      </c>
      <c r="D113" s="3" t="s">
        <v>127</v>
      </c>
      <c r="E113" s="29" t="s">
        <v>71</v>
      </c>
      <c r="F113" s="4">
        <v>16</v>
      </c>
      <c r="G113" s="4" t="s">
        <v>74</v>
      </c>
      <c r="H113" s="31">
        <v>2</v>
      </c>
      <c r="I113" s="31">
        <v>2</v>
      </c>
      <c r="J113" s="33">
        <v>19320</v>
      </c>
      <c r="K113" s="6">
        <f>SUM(I113*J113)</f>
        <v>38640</v>
      </c>
      <c r="L113" s="40" t="s">
        <v>209</v>
      </c>
    </row>
    <row r="114" spans="1:12" ht="24.75" thickBot="1">
      <c r="A114" s="62"/>
      <c r="B114" s="62"/>
      <c r="C114" s="62"/>
      <c r="D114" s="62"/>
      <c r="E114" s="62"/>
      <c r="F114" s="62"/>
      <c r="G114" s="62"/>
      <c r="H114" s="62"/>
      <c r="I114" s="62"/>
      <c r="J114" s="61" t="s">
        <v>225</v>
      </c>
      <c r="K114" s="56">
        <f>SUM(K98:K113)</f>
        <v>1896409.0499999998</v>
      </c>
      <c r="L114" s="57"/>
    </row>
    <row r="115" spans="1:12" ht="24.75" thickTop="1">
      <c r="A115" s="67"/>
      <c r="B115" s="68"/>
      <c r="C115" s="52"/>
      <c r="D115" s="52"/>
      <c r="E115" s="65"/>
      <c r="F115" s="20"/>
      <c r="G115" s="20"/>
      <c r="H115" s="20"/>
      <c r="I115" s="66"/>
      <c r="J115" s="54"/>
      <c r="K115" s="54"/>
      <c r="L115" s="55"/>
    </row>
    <row r="116" spans="1:12">
      <c r="B116" s="60" t="s">
        <v>2</v>
      </c>
      <c r="C116" s="17" t="s">
        <v>17</v>
      </c>
      <c r="I116" s="58"/>
    </row>
    <row r="117" spans="1:12">
      <c r="C117" s="17" t="s">
        <v>18</v>
      </c>
      <c r="L117" s="2"/>
    </row>
    <row r="118" spans="1:12">
      <c r="H118" s="85" t="s">
        <v>224</v>
      </c>
      <c r="I118" s="85"/>
      <c r="J118" s="85"/>
      <c r="K118" s="85"/>
      <c r="L118" s="2"/>
    </row>
    <row r="119" spans="1:12">
      <c r="H119" s="85" t="s">
        <v>223</v>
      </c>
      <c r="I119" s="85"/>
      <c r="J119" s="85"/>
      <c r="K119" s="85"/>
    </row>
    <row r="120" spans="1:12">
      <c r="H120" s="85" t="s">
        <v>4</v>
      </c>
      <c r="I120" s="85"/>
      <c r="J120" s="85"/>
      <c r="K120" s="85"/>
    </row>
    <row r="121" spans="1:12">
      <c r="H121" s="23"/>
      <c r="I121" s="23"/>
      <c r="J121" s="23"/>
      <c r="K121" s="23"/>
      <c r="L121" s="23" t="s">
        <v>20</v>
      </c>
    </row>
    <row r="122" spans="1:12">
      <c r="A122" s="71" t="s">
        <v>6</v>
      </c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</row>
    <row r="123" spans="1:12">
      <c r="A123" s="72" t="s">
        <v>7</v>
      </c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</row>
    <row r="124" spans="1:12">
      <c r="A124" s="73" t="s">
        <v>222</v>
      </c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</row>
    <row r="125" spans="1:12" ht="12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</row>
    <row r="126" spans="1:12">
      <c r="A126" s="74" t="s">
        <v>8</v>
      </c>
      <c r="B126" s="74" t="s">
        <v>19</v>
      </c>
      <c r="C126" s="74" t="s">
        <v>16</v>
      </c>
      <c r="D126" s="76" t="s">
        <v>0</v>
      </c>
      <c r="E126" s="74" t="s">
        <v>11</v>
      </c>
      <c r="F126" s="74" t="s">
        <v>10</v>
      </c>
      <c r="G126" s="78" t="s">
        <v>12</v>
      </c>
      <c r="H126" s="80" t="s">
        <v>1</v>
      </c>
      <c r="I126" s="81"/>
      <c r="J126" s="74" t="s">
        <v>15</v>
      </c>
      <c r="K126" s="74" t="s">
        <v>9</v>
      </c>
      <c r="L126" s="74" t="s">
        <v>14</v>
      </c>
    </row>
    <row r="127" spans="1:12" ht="48">
      <c r="A127" s="75"/>
      <c r="B127" s="75"/>
      <c r="C127" s="75"/>
      <c r="D127" s="77"/>
      <c r="E127" s="75"/>
      <c r="F127" s="75"/>
      <c r="G127" s="79"/>
      <c r="H127" s="13" t="s">
        <v>13</v>
      </c>
      <c r="I127" s="12" t="s">
        <v>3</v>
      </c>
      <c r="J127" s="75"/>
      <c r="K127" s="75"/>
      <c r="L127" s="75"/>
    </row>
    <row r="128" spans="1:12">
      <c r="A128" s="45"/>
      <c r="B128" s="46"/>
      <c r="C128" s="27"/>
      <c r="D128" s="27"/>
      <c r="E128" s="47"/>
      <c r="F128" s="48"/>
      <c r="G128" s="48"/>
      <c r="H128" s="49"/>
      <c r="I128" s="49"/>
      <c r="J128" s="63" t="s">
        <v>226</v>
      </c>
      <c r="K128" s="64">
        <f>SUM(K114)</f>
        <v>1896409.0499999998</v>
      </c>
      <c r="L128" s="50"/>
    </row>
    <row r="129" spans="1:12">
      <c r="A129" s="15">
        <v>61</v>
      </c>
      <c r="B129" s="7" t="s">
        <v>123</v>
      </c>
      <c r="C129" s="3" t="s">
        <v>128</v>
      </c>
      <c r="D129" s="3" t="s">
        <v>129</v>
      </c>
      <c r="E129" s="29" t="s">
        <v>71</v>
      </c>
      <c r="F129" s="4">
        <v>16</v>
      </c>
      <c r="G129" s="4" t="s">
        <v>74</v>
      </c>
      <c r="H129" s="31">
        <v>2</v>
      </c>
      <c r="I129" s="31">
        <v>2</v>
      </c>
      <c r="J129" s="33">
        <v>23000</v>
      </c>
      <c r="K129" s="6">
        <f t="shared" ref="K129:K134" si="4">SUM(I129*J129)</f>
        <v>46000</v>
      </c>
      <c r="L129" s="40" t="s">
        <v>210</v>
      </c>
    </row>
    <row r="130" spans="1:12">
      <c r="A130" s="15">
        <v>62</v>
      </c>
      <c r="B130" s="7" t="s">
        <v>123</v>
      </c>
      <c r="C130" s="3" t="s">
        <v>130</v>
      </c>
      <c r="D130" s="3" t="s">
        <v>131</v>
      </c>
      <c r="E130" s="29" t="s">
        <v>71</v>
      </c>
      <c r="F130" s="4">
        <v>16</v>
      </c>
      <c r="G130" s="4" t="s">
        <v>74</v>
      </c>
      <c r="H130" s="31">
        <v>1</v>
      </c>
      <c r="I130" s="31">
        <v>1</v>
      </c>
      <c r="J130" s="33">
        <v>6500</v>
      </c>
      <c r="K130" s="6">
        <f t="shared" si="4"/>
        <v>6500</v>
      </c>
      <c r="L130" s="39" t="s">
        <v>211</v>
      </c>
    </row>
    <row r="131" spans="1:12">
      <c r="A131" s="15">
        <v>63</v>
      </c>
      <c r="B131" s="7" t="s">
        <v>123</v>
      </c>
      <c r="C131" s="3" t="s">
        <v>132</v>
      </c>
      <c r="D131" s="1" t="s">
        <v>45</v>
      </c>
      <c r="E131" s="29" t="s">
        <v>73</v>
      </c>
      <c r="F131" s="4">
        <v>16</v>
      </c>
      <c r="G131" s="4" t="s">
        <v>74</v>
      </c>
      <c r="H131" s="31">
        <v>2</v>
      </c>
      <c r="I131" s="31">
        <v>2</v>
      </c>
      <c r="J131" s="33">
        <v>39000</v>
      </c>
      <c r="K131" s="6">
        <f t="shared" si="4"/>
        <v>78000</v>
      </c>
      <c r="L131" s="39" t="s">
        <v>210</v>
      </c>
    </row>
    <row r="132" spans="1:12">
      <c r="A132" s="15">
        <v>64</v>
      </c>
      <c r="B132" s="11" t="s">
        <v>133</v>
      </c>
      <c r="C132" s="3" t="s">
        <v>134</v>
      </c>
      <c r="D132" s="1" t="s">
        <v>26</v>
      </c>
      <c r="E132" s="29" t="s">
        <v>73</v>
      </c>
      <c r="F132" s="4">
        <v>15</v>
      </c>
      <c r="G132" s="4" t="s">
        <v>74</v>
      </c>
      <c r="H132" s="31">
        <v>120</v>
      </c>
      <c r="I132" s="31">
        <v>120</v>
      </c>
      <c r="J132" s="35">
        <v>750</v>
      </c>
      <c r="K132" s="6">
        <f t="shared" si="4"/>
        <v>90000</v>
      </c>
      <c r="L132" s="39" t="s">
        <v>183</v>
      </c>
    </row>
    <row r="133" spans="1:12">
      <c r="A133" s="15">
        <v>65</v>
      </c>
      <c r="B133" s="11" t="s">
        <v>133</v>
      </c>
      <c r="C133" s="3" t="s">
        <v>135</v>
      </c>
      <c r="D133" s="3" t="s">
        <v>136</v>
      </c>
      <c r="E133" s="29" t="s">
        <v>71</v>
      </c>
      <c r="F133" s="4">
        <v>16</v>
      </c>
      <c r="G133" s="4" t="s">
        <v>74</v>
      </c>
      <c r="H133" s="31">
        <v>1</v>
      </c>
      <c r="I133" s="31">
        <v>1</v>
      </c>
      <c r="J133" s="35">
        <v>1980</v>
      </c>
      <c r="K133" s="6">
        <f t="shared" si="4"/>
        <v>1980</v>
      </c>
      <c r="L133" s="39" t="s">
        <v>200</v>
      </c>
    </row>
    <row r="134" spans="1:12">
      <c r="A134" s="15">
        <v>66</v>
      </c>
      <c r="B134" s="11" t="s">
        <v>133</v>
      </c>
      <c r="C134" s="3" t="s">
        <v>137</v>
      </c>
      <c r="D134" s="3" t="s">
        <v>138</v>
      </c>
      <c r="E134" s="29" t="s">
        <v>71</v>
      </c>
      <c r="F134" s="4">
        <v>16</v>
      </c>
      <c r="G134" s="4" t="s">
        <v>74</v>
      </c>
      <c r="H134" s="31">
        <v>1</v>
      </c>
      <c r="I134" s="31">
        <v>1</v>
      </c>
      <c r="J134" s="33">
        <v>17300</v>
      </c>
      <c r="K134" s="6">
        <f t="shared" si="4"/>
        <v>17300</v>
      </c>
      <c r="L134" s="39" t="s">
        <v>212</v>
      </c>
    </row>
    <row r="135" spans="1:12">
      <c r="A135" s="15">
        <v>67</v>
      </c>
      <c r="B135" s="11" t="s">
        <v>133</v>
      </c>
      <c r="C135" s="3" t="s">
        <v>139</v>
      </c>
      <c r="D135" s="3" t="s">
        <v>140</v>
      </c>
      <c r="E135" s="30" t="s">
        <v>71</v>
      </c>
      <c r="F135" s="4">
        <v>16</v>
      </c>
      <c r="G135" s="4" t="s">
        <v>74</v>
      </c>
      <c r="H135" s="31">
        <v>1</v>
      </c>
      <c r="I135" s="31">
        <v>1</v>
      </c>
      <c r="J135" s="32">
        <v>1700</v>
      </c>
      <c r="K135" s="6">
        <f>SUM(I135*J135)</f>
        <v>1700</v>
      </c>
      <c r="L135" s="39" t="s">
        <v>212</v>
      </c>
    </row>
    <row r="136" spans="1:12">
      <c r="A136" s="15">
        <v>68</v>
      </c>
      <c r="B136" s="14">
        <v>2551</v>
      </c>
      <c r="C136" s="3" t="s">
        <v>141</v>
      </c>
      <c r="D136" s="3" t="s">
        <v>142</v>
      </c>
      <c r="E136" s="30" t="s">
        <v>73</v>
      </c>
      <c r="F136" s="4">
        <v>14</v>
      </c>
      <c r="G136" s="4" t="s">
        <v>74</v>
      </c>
      <c r="H136" s="31">
        <v>8</v>
      </c>
      <c r="I136" s="31">
        <v>8</v>
      </c>
      <c r="J136" s="35">
        <v>3000</v>
      </c>
      <c r="K136" s="6">
        <f>SUM(I136*J136)</f>
        <v>24000</v>
      </c>
      <c r="L136" s="39" t="s">
        <v>200</v>
      </c>
    </row>
    <row r="137" spans="1:12">
      <c r="A137" s="15">
        <v>69</v>
      </c>
      <c r="B137" s="14">
        <v>2551</v>
      </c>
      <c r="C137" s="3" t="s">
        <v>143</v>
      </c>
      <c r="D137" s="1" t="s">
        <v>144</v>
      </c>
      <c r="E137" s="30" t="s">
        <v>71</v>
      </c>
      <c r="F137" s="4">
        <v>14</v>
      </c>
      <c r="G137" s="4" t="s">
        <v>74</v>
      </c>
      <c r="H137" s="31">
        <v>1</v>
      </c>
      <c r="I137" s="31">
        <v>1</v>
      </c>
      <c r="J137" s="33">
        <v>5684.5</v>
      </c>
      <c r="K137" s="6">
        <f>SUM(I137*J137)</f>
        <v>5684.5</v>
      </c>
      <c r="L137" s="39" t="s">
        <v>213</v>
      </c>
    </row>
    <row r="138" spans="1:12">
      <c r="A138" s="15">
        <v>70</v>
      </c>
      <c r="B138" s="14">
        <v>2551</v>
      </c>
      <c r="C138" s="3" t="s">
        <v>145</v>
      </c>
      <c r="D138" s="1" t="s">
        <v>146</v>
      </c>
      <c r="E138" s="30" t="s">
        <v>71</v>
      </c>
      <c r="F138" s="4">
        <v>14</v>
      </c>
      <c r="G138" s="4" t="s">
        <v>74</v>
      </c>
      <c r="H138" s="31">
        <v>1</v>
      </c>
      <c r="I138" s="31">
        <v>1</v>
      </c>
      <c r="J138" s="33">
        <v>1006.25</v>
      </c>
      <c r="K138" s="6">
        <f>SUM(I138*J138)</f>
        <v>1006.25</v>
      </c>
      <c r="L138" s="39" t="s">
        <v>214</v>
      </c>
    </row>
    <row r="139" spans="1:12">
      <c r="A139" s="15">
        <v>71</v>
      </c>
      <c r="B139" s="14">
        <v>2552</v>
      </c>
      <c r="C139" s="3" t="s">
        <v>147</v>
      </c>
      <c r="D139" s="1" t="s">
        <v>148</v>
      </c>
      <c r="E139" s="30" t="s">
        <v>70</v>
      </c>
      <c r="F139" s="4">
        <v>13</v>
      </c>
      <c r="G139" s="4" t="s">
        <v>74</v>
      </c>
      <c r="H139" s="4">
        <v>7</v>
      </c>
      <c r="I139" s="5">
        <v>7</v>
      </c>
      <c r="J139" s="6">
        <v>3500</v>
      </c>
      <c r="K139" s="6">
        <f>SUM(I139*J139)</f>
        <v>24500</v>
      </c>
      <c r="L139" s="39" t="s">
        <v>215</v>
      </c>
    </row>
    <row r="140" spans="1:12">
      <c r="A140" s="15">
        <v>72</v>
      </c>
      <c r="B140" s="14">
        <v>2552</v>
      </c>
      <c r="C140" s="3" t="s">
        <v>149</v>
      </c>
      <c r="D140" s="36" t="s">
        <v>150</v>
      </c>
      <c r="E140" s="30" t="s">
        <v>70</v>
      </c>
      <c r="F140" s="4">
        <v>13</v>
      </c>
      <c r="G140" s="4" t="s">
        <v>74</v>
      </c>
      <c r="H140" s="4">
        <v>1</v>
      </c>
      <c r="I140" s="5">
        <v>1</v>
      </c>
      <c r="J140" s="6">
        <v>17909.32</v>
      </c>
      <c r="K140" s="6">
        <f>SUM(I140*J140)</f>
        <v>17909.32</v>
      </c>
      <c r="L140" s="39" t="s">
        <v>216</v>
      </c>
    </row>
    <row r="141" spans="1:12">
      <c r="A141" s="15">
        <v>73</v>
      </c>
      <c r="B141" s="14">
        <v>2553</v>
      </c>
      <c r="C141" s="3" t="s">
        <v>151</v>
      </c>
      <c r="D141" s="36" t="s">
        <v>152</v>
      </c>
      <c r="E141" s="30" t="s">
        <v>70</v>
      </c>
      <c r="F141" s="4">
        <v>12</v>
      </c>
      <c r="G141" s="4" t="s">
        <v>74</v>
      </c>
      <c r="H141" s="31">
        <v>1</v>
      </c>
      <c r="I141" s="31">
        <v>1</v>
      </c>
      <c r="J141" s="35">
        <v>3700</v>
      </c>
      <c r="K141" s="6">
        <f>SUM(I141*J141)</f>
        <v>3700</v>
      </c>
      <c r="L141" s="39" t="s">
        <v>217</v>
      </c>
    </row>
    <row r="142" spans="1:12">
      <c r="A142" s="15">
        <v>74</v>
      </c>
      <c r="B142" s="14">
        <v>2553</v>
      </c>
      <c r="C142" s="3" t="s">
        <v>153</v>
      </c>
      <c r="D142" s="36" t="s">
        <v>154</v>
      </c>
      <c r="E142" s="30" t="s">
        <v>71</v>
      </c>
      <c r="F142" s="4">
        <v>12</v>
      </c>
      <c r="G142" s="4" t="s">
        <v>74</v>
      </c>
      <c r="H142" s="31">
        <v>9</v>
      </c>
      <c r="I142" s="31">
        <v>9</v>
      </c>
      <c r="J142" s="35">
        <v>11000</v>
      </c>
      <c r="K142" s="6">
        <f>SUM(I142*J142)</f>
        <v>99000</v>
      </c>
      <c r="L142" s="39" t="s">
        <v>218</v>
      </c>
    </row>
    <row r="143" spans="1:12">
      <c r="A143" s="15">
        <v>75</v>
      </c>
      <c r="B143" s="14">
        <v>2553</v>
      </c>
      <c r="C143" s="3" t="s">
        <v>155</v>
      </c>
      <c r="D143" s="36" t="s">
        <v>156</v>
      </c>
      <c r="E143" s="30" t="s">
        <v>70</v>
      </c>
      <c r="F143" s="4">
        <v>12</v>
      </c>
      <c r="G143" s="4" t="s">
        <v>74</v>
      </c>
      <c r="H143" s="31">
        <v>2</v>
      </c>
      <c r="I143" s="31">
        <v>2</v>
      </c>
      <c r="J143" s="35">
        <v>4000</v>
      </c>
      <c r="K143" s="6">
        <f>SUM(I143*J143)</f>
        <v>8000</v>
      </c>
      <c r="L143" s="39" t="s">
        <v>219</v>
      </c>
    </row>
    <row r="144" spans="1:12" ht="24.75" thickBot="1">
      <c r="A144" s="62"/>
      <c r="B144" s="62"/>
      <c r="C144" s="62"/>
      <c r="D144" s="62"/>
      <c r="E144" s="62"/>
      <c r="F144" s="62"/>
      <c r="G144" s="62"/>
      <c r="H144" s="62"/>
      <c r="I144" s="62"/>
      <c r="J144" s="87" t="s">
        <v>225</v>
      </c>
      <c r="K144" s="56">
        <f>SUM(K128:K143)</f>
        <v>2321689.1199999996</v>
      </c>
      <c r="L144" s="57"/>
    </row>
    <row r="145" spans="1:12" ht="24.75" thickTop="1">
      <c r="A145" s="67"/>
      <c r="B145" s="68"/>
      <c r="C145" s="52"/>
      <c r="D145" s="52"/>
      <c r="E145" s="65"/>
      <c r="F145" s="20"/>
      <c r="G145" s="20"/>
      <c r="H145" s="20"/>
      <c r="I145" s="66"/>
      <c r="J145" s="54"/>
      <c r="K145" s="54"/>
      <c r="L145" s="55"/>
    </row>
    <row r="146" spans="1:12">
      <c r="B146" s="60" t="s">
        <v>2</v>
      </c>
      <c r="C146" s="17" t="s">
        <v>17</v>
      </c>
      <c r="I146" s="58"/>
    </row>
    <row r="147" spans="1:12">
      <c r="C147" s="17" t="s">
        <v>18</v>
      </c>
      <c r="L147" s="2"/>
    </row>
    <row r="148" spans="1:12">
      <c r="H148" s="85" t="s">
        <v>224</v>
      </c>
      <c r="I148" s="85"/>
      <c r="J148" s="85"/>
      <c r="K148" s="85"/>
      <c r="L148" s="2"/>
    </row>
    <row r="149" spans="1:12">
      <c r="H149" s="85" t="s">
        <v>223</v>
      </c>
      <c r="I149" s="85"/>
      <c r="J149" s="85"/>
      <c r="K149" s="85"/>
    </row>
    <row r="150" spans="1:12">
      <c r="H150" s="85" t="s">
        <v>4</v>
      </c>
      <c r="I150" s="85"/>
      <c r="J150" s="85"/>
      <c r="K150" s="85"/>
    </row>
    <row r="151" spans="1:12">
      <c r="H151" s="23"/>
      <c r="I151" s="23"/>
      <c r="J151" s="23"/>
      <c r="K151" s="23"/>
      <c r="L151" s="23" t="s">
        <v>20</v>
      </c>
    </row>
    <row r="152" spans="1:12">
      <c r="A152" s="71" t="s">
        <v>6</v>
      </c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</row>
    <row r="153" spans="1:12">
      <c r="A153" s="72" t="s">
        <v>7</v>
      </c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</row>
    <row r="154" spans="1:12">
      <c r="A154" s="73" t="s">
        <v>222</v>
      </c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</row>
    <row r="155" spans="1:12" ht="12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</row>
    <row r="156" spans="1:12">
      <c r="A156" s="74" t="s">
        <v>8</v>
      </c>
      <c r="B156" s="74" t="s">
        <v>19</v>
      </c>
      <c r="C156" s="74" t="s">
        <v>16</v>
      </c>
      <c r="D156" s="76" t="s">
        <v>0</v>
      </c>
      <c r="E156" s="74" t="s">
        <v>11</v>
      </c>
      <c r="F156" s="74" t="s">
        <v>10</v>
      </c>
      <c r="G156" s="78" t="s">
        <v>12</v>
      </c>
      <c r="H156" s="80" t="s">
        <v>1</v>
      </c>
      <c r="I156" s="81"/>
      <c r="J156" s="74" t="s">
        <v>15</v>
      </c>
      <c r="K156" s="74" t="s">
        <v>9</v>
      </c>
      <c r="L156" s="74" t="s">
        <v>14</v>
      </c>
    </row>
    <row r="157" spans="1:12" ht="48">
      <c r="A157" s="75"/>
      <c r="B157" s="75"/>
      <c r="C157" s="75"/>
      <c r="D157" s="77"/>
      <c r="E157" s="75"/>
      <c r="F157" s="75"/>
      <c r="G157" s="79"/>
      <c r="H157" s="13" t="s">
        <v>13</v>
      </c>
      <c r="I157" s="12" t="s">
        <v>3</v>
      </c>
      <c r="J157" s="75"/>
      <c r="K157" s="75"/>
      <c r="L157" s="75"/>
    </row>
    <row r="158" spans="1:12">
      <c r="A158" s="45"/>
      <c r="B158" s="46"/>
      <c r="C158" s="27"/>
      <c r="D158" s="27"/>
      <c r="E158" s="47"/>
      <c r="F158" s="48"/>
      <c r="G158" s="48"/>
      <c r="H158" s="49"/>
      <c r="I158" s="49"/>
      <c r="J158" s="63" t="s">
        <v>226</v>
      </c>
      <c r="K158" s="64">
        <f>SUM(K144)</f>
        <v>2321689.1199999996</v>
      </c>
      <c r="L158" s="50"/>
    </row>
    <row r="159" spans="1:12">
      <c r="A159" s="15">
        <v>76</v>
      </c>
      <c r="B159" s="14">
        <v>2553</v>
      </c>
      <c r="C159" s="3" t="s">
        <v>157</v>
      </c>
      <c r="D159" s="36" t="s">
        <v>158</v>
      </c>
      <c r="E159" s="29" t="s">
        <v>70</v>
      </c>
      <c r="F159" s="4">
        <v>12</v>
      </c>
      <c r="G159" s="4" t="s">
        <v>74</v>
      </c>
      <c r="H159" s="31">
        <v>2</v>
      </c>
      <c r="I159" s="31">
        <v>2</v>
      </c>
      <c r="J159" s="35">
        <v>4000</v>
      </c>
      <c r="K159" s="6">
        <f>SUM(I159*J159)</f>
        <v>8000</v>
      </c>
      <c r="L159" s="39" t="s">
        <v>219</v>
      </c>
    </row>
    <row r="160" spans="1:12">
      <c r="A160" s="15">
        <v>77</v>
      </c>
      <c r="B160" s="14">
        <v>2553</v>
      </c>
      <c r="C160" s="3" t="s">
        <v>159</v>
      </c>
      <c r="D160" s="36" t="s">
        <v>160</v>
      </c>
      <c r="E160" s="29" t="s">
        <v>70</v>
      </c>
      <c r="F160" s="4">
        <v>12</v>
      </c>
      <c r="G160" s="4" t="s">
        <v>74</v>
      </c>
      <c r="H160" s="31">
        <v>2</v>
      </c>
      <c r="I160" s="31">
        <v>2</v>
      </c>
      <c r="J160" s="35">
        <v>2500</v>
      </c>
      <c r="K160" s="6">
        <f>SUM(I160*J160)</f>
        <v>5000</v>
      </c>
      <c r="L160" s="39" t="s">
        <v>219</v>
      </c>
    </row>
    <row r="161" spans="1:12">
      <c r="A161" s="15">
        <v>78</v>
      </c>
      <c r="B161" s="14">
        <v>2553</v>
      </c>
      <c r="C161" s="3" t="s">
        <v>161</v>
      </c>
      <c r="D161" s="36" t="s">
        <v>162</v>
      </c>
      <c r="E161" s="29" t="s">
        <v>70</v>
      </c>
      <c r="F161" s="4">
        <v>12</v>
      </c>
      <c r="G161" s="4" t="s">
        <v>74</v>
      </c>
      <c r="H161" s="31">
        <v>2</v>
      </c>
      <c r="I161" s="31">
        <v>2</v>
      </c>
      <c r="J161" s="35">
        <v>1000</v>
      </c>
      <c r="K161" s="6">
        <f>SUM(I161*J161)</f>
        <v>2000</v>
      </c>
      <c r="L161" s="39" t="s">
        <v>219</v>
      </c>
    </row>
    <row r="162" spans="1:12">
      <c r="A162" s="15">
        <v>79</v>
      </c>
      <c r="B162" s="14">
        <v>2553</v>
      </c>
      <c r="C162" s="3" t="s">
        <v>163</v>
      </c>
      <c r="D162" s="36" t="s">
        <v>164</v>
      </c>
      <c r="E162" s="29" t="s">
        <v>70</v>
      </c>
      <c r="F162" s="4">
        <v>12</v>
      </c>
      <c r="G162" s="4" t="s">
        <v>74</v>
      </c>
      <c r="H162" s="31">
        <v>2</v>
      </c>
      <c r="I162" s="31">
        <v>2</v>
      </c>
      <c r="J162" s="35">
        <v>4000</v>
      </c>
      <c r="K162" s="6">
        <f t="shared" ref="K162:K170" si="5">SUM(I162*J162)</f>
        <v>8000</v>
      </c>
      <c r="L162" s="39" t="s">
        <v>219</v>
      </c>
    </row>
    <row r="163" spans="1:12">
      <c r="A163" s="15">
        <v>80</v>
      </c>
      <c r="B163" s="14">
        <v>2553</v>
      </c>
      <c r="C163" s="3" t="s">
        <v>165</v>
      </c>
      <c r="D163" s="36" t="s">
        <v>166</v>
      </c>
      <c r="E163" s="29" t="s">
        <v>70</v>
      </c>
      <c r="F163" s="4">
        <v>12</v>
      </c>
      <c r="G163" s="4" t="s">
        <v>74</v>
      </c>
      <c r="H163" s="31">
        <v>2</v>
      </c>
      <c r="I163" s="31">
        <v>2</v>
      </c>
      <c r="J163" s="35">
        <v>3200</v>
      </c>
      <c r="K163" s="6">
        <f t="shared" si="5"/>
        <v>6400</v>
      </c>
      <c r="L163" s="39" t="s">
        <v>219</v>
      </c>
    </row>
    <row r="164" spans="1:12">
      <c r="A164" s="15">
        <v>81</v>
      </c>
      <c r="B164" s="14">
        <v>2553</v>
      </c>
      <c r="C164" s="3" t="s">
        <v>167</v>
      </c>
      <c r="D164" s="36" t="s">
        <v>168</v>
      </c>
      <c r="E164" s="29" t="s">
        <v>70</v>
      </c>
      <c r="F164" s="4">
        <v>12</v>
      </c>
      <c r="G164" s="4" t="s">
        <v>74</v>
      </c>
      <c r="H164" s="31">
        <v>2</v>
      </c>
      <c r="I164" s="31">
        <v>2</v>
      </c>
      <c r="J164" s="35">
        <v>1300</v>
      </c>
      <c r="K164" s="6">
        <f t="shared" si="5"/>
        <v>2600</v>
      </c>
      <c r="L164" s="39" t="s">
        <v>219</v>
      </c>
    </row>
    <row r="165" spans="1:12">
      <c r="A165" s="15">
        <v>82</v>
      </c>
      <c r="B165" s="14">
        <v>2553</v>
      </c>
      <c r="C165" s="3" t="s">
        <v>169</v>
      </c>
      <c r="D165" s="36" t="s">
        <v>170</v>
      </c>
      <c r="E165" s="29" t="s">
        <v>70</v>
      </c>
      <c r="F165" s="4">
        <v>12</v>
      </c>
      <c r="G165" s="4" t="s">
        <v>74</v>
      </c>
      <c r="H165" s="4">
        <v>1</v>
      </c>
      <c r="I165" s="5">
        <v>1</v>
      </c>
      <c r="J165" s="6">
        <v>7900</v>
      </c>
      <c r="K165" s="6">
        <f t="shared" si="5"/>
        <v>7900</v>
      </c>
      <c r="L165" s="40" t="s">
        <v>220</v>
      </c>
    </row>
    <row r="166" spans="1:12">
      <c r="A166" s="15">
        <v>83</v>
      </c>
      <c r="B166" s="11" t="s">
        <v>171</v>
      </c>
      <c r="C166" s="3" t="s">
        <v>172</v>
      </c>
      <c r="D166" s="36" t="s">
        <v>173</v>
      </c>
      <c r="E166" s="29" t="s">
        <v>70</v>
      </c>
      <c r="F166" s="4">
        <v>10</v>
      </c>
      <c r="G166" s="4" t="s">
        <v>74</v>
      </c>
      <c r="H166" s="31">
        <v>2</v>
      </c>
      <c r="I166" s="31">
        <v>2</v>
      </c>
      <c r="J166" s="35">
        <v>49500</v>
      </c>
      <c r="K166" s="6">
        <f t="shared" si="5"/>
        <v>99000</v>
      </c>
      <c r="L166" s="39" t="s">
        <v>210</v>
      </c>
    </row>
    <row r="167" spans="1:12">
      <c r="A167" s="15">
        <v>84</v>
      </c>
      <c r="B167" s="11" t="s">
        <v>171</v>
      </c>
      <c r="C167" s="3" t="s">
        <v>174</v>
      </c>
      <c r="D167" s="36" t="s">
        <v>175</v>
      </c>
      <c r="E167" s="29" t="s">
        <v>70</v>
      </c>
      <c r="F167" s="4">
        <v>10</v>
      </c>
      <c r="G167" s="4" t="s">
        <v>74</v>
      </c>
      <c r="H167" s="31">
        <v>1</v>
      </c>
      <c r="I167" s="31">
        <v>1</v>
      </c>
      <c r="J167" s="35">
        <v>22440</v>
      </c>
      <c r="K167" s="6">
        <f t="shared" si="5"/>
        <v>22440</v>
      </c>
      <c r="L167" s="39" t="s">
        <v>183</v>
      </c>
    </row>
    <row r="168" spans="1:12">
      <c r="A168" s="15">
        <v>85</v>
      </c>
      <c r="B168" s="11" t="s">
        <v>171</v>
      </c>
      <c r="C168" s="3" t="s">
        <v>176</v>
      </c>
      <c r="D168" s="36" t="s">
        <v>177</v>
      </c>
      <c r="E168" s="29" t="s">
        <v>70</v>
      </c>
      <c r="F168" s="4">
        <v>10</v>
      </c>
      <c r="G168" s="4" t="s">
        <v>74</v>
      </c>
      <c r="H168" s="31">
        <v>1</v>
      </c>
      <c r="I168" s="31">
        <v>1</v>
      </c>
      <c r="J168" s="35">
        <v>12000</v>
      </c>
      <c r="K168" s="6">
        <f t="shared" si="5"/>
        <v>12000</v>
      </c>
      <c r="L168" s="39" t="s">
        <v>183</v>
      </c>
    </row>
    <row r="169" spans="1:12">
      <c r="A169" s="15">
        <v>86</v>
      </c>
      <c r="B169" s="11" t="s">
        <v>171</v>
      </c>
      <c r="C169" s="3" t="s">
        <v>178</v>
      </c>
      <c r="D169" s="36" t="s">
        <v>179</v>
      </c>
      <c r="E169" s="29" t="s">
        <v>70</v>
      </c>
      <c r="F169" s="4">
        <v>10</v>
      </c>
      <c r="G169" s="4" t="s">
        <v>74</v>
      </c>
      <c r="H169" s="31">
        <v>2</v>
      </c>
      <c r="I169" s="31">
        <v>2</v>
      </c>
      <c r="J169" s="35">
        <v>2000</v>
      </c>
      <c r="K169" s="6">
        <f t="shared" si="5"/>
        <v>4000</v>
      </c>
      <c r="L169" s="39" t="s">
        <v>221</v>
      </c>
    </row>
    <row r="170" spans="1:12">
      <c r="A170" s="15">
        <v>87</v>
      </c>
      <c r="B170" s="11" t="s">
        <v>171</v>
      </c>
      <c r="C170" s="3" t="s">
        <v>180</v>
      </c>
      <c r="D170" s="36" t="s">
        <v>181</v>
      </c>
      <c r="E170" s="29" t="s">
        <v>70</v>
      </c>
      <c r="F170" s="4">
        <v>10</v>
      </c>
      <c r="G170" s="4" t="s">
        <v>74</v>
      </c>
      <c r="H170" s="31">
        <v>2</v>
      </c>
      <c r="I170" s="31">
        <v>2</v>
      </c>
      <c r="J170" s="35">
        <v>31000</v>
      </c>
      <c r="K170" s="6">
        <f t="shared" si="5"/>
        <v>62000</v>
      </c>
      <c r="L170" s="39" t="s">
        <v>210</v>
      </c>
    </row>
    <row r="171" spans="1:12">
      <c r="A171" s="15">
        <v>88</v>
      </c>
      <c r="B171" s="10"/>
      <c r="C171" s="3"/>
      <c r="D171" s="37" t="s">
        <v>182</v>
      </c>
      <c r="E171" s="29" t="s">
        <v>71</v>
      </c>
      <c r="F171" s="4"/>
      <c r="G171" s="4" t="s">
        <v>74</v>
      </c>
      <c r="H171" s="34">
        <v>1</v>
      </c>
      <c r="I171" s="34">
        <v>1</v>
      </c>
      <c r="J171" s="6">
        <v>10500</v>
      </c>
      <c r="K171" s="6">
        <v>10500</v>
      </c>
      <c r="L171" s="39" t="s">
        <v>200</v>
      </c>
    </row>
    <row r="172" spans="1:12" ht="24.75" thickBot="1">
      <c r="A172" s="82" t="s">
        <v>5</v>
      </c>
      <c r="B172" s="83"/>
      <c r="C172" s="83"/>
      <c r="D172" s="83"/>
      <c r="E172" s="83"/>
      <c r="F172" s="83"/>
      <c r="G172" s="83"/>
      <c r="H172" s="83"/>
      <c r="I172" s="83"/>
      <c r="J172" s="84"/>
      <c r="K172" s="69">
        <f>SUM(K158:K171)</f>
        <v>2571529.1199999996</v>
      </c>
      <c r="L172" s="70"/>
    </row>
    <row r="173" spans="1:12" ht="14.25" customHeight="1" thickTop="1">
      <c r="A173" s="24"/>
      <c r="B173" s="24"/>
      <c r="C173" s="24"/>
      <c r="D173" s="24"/>
      <c r="E173" s="24"/>
      <c r="F173" s="24"/>
      <c r="G173" s="24"/>
      <c r="H173" s="24"/>
      <c r="I173" s="20"/>
      <c r="J173" s="19"/>
      <c r="K173" s="19"/>
      <c r="L173" s="22"/>
    </row>
    <row r="174" spans="1:12">
      <c r="A174" s="8"/>
      <c r="B174" s="21" t="s">
        <v>2</v>
      </c>
      <c r="C174" s="16" t="s">
        <v>17</v>
      </c>
      <c r="D174" s="8"/>
      <c r="E174" s="8"/>
      <c r="F174" s="8"/>
      <c r="G174" s="8"/>
      <c r="H174" s="8"/>
      <c r="I174" s="20"/>
      <c r="J174" s="8"/>
      <c r="K174" s="8"/>
      <c r="L174" s="22"/>
    </row>
    <row r="175" spans="1:12">
      <c r="A175" s="8"/>
      <c r="B175" s="22"/>
      <c r="C175" s="16" t="s">
        <v>18</v>
      </c>
      <c r="D175" s="8"/>
      <c r="E175" s="8"/>
      <c r="F175" s="8"/>
      <c r="G175" s="8"/>
      <c r="H175" s="18"/>
      <c r="I175" s="18"/>
      <c r="J175" s="18"/>
      <c r="K175" s="18"/>
      <c r="L175" s="18"/>
    </row>
    <row r="176" spans="1:12">
      <c r="A176" s="8"/>
      <c r="B176" s="22"/>
      <c r="C176" s="16"/>
      <c r="D176" s="8"/>
      <c r="E176" s="8"/>
      <c r="F176" s="8"/>
      <c r="G176" s="8"/>
      <c r="H176" s="18"/>
      <c r="I176" s="18"/>
      <c r="J176" s="18"/>
      <c r="K176" s="18"/>
      <c r="L176" s="18"/>
    </row>
    <row r="177" spans="1:12">
      <c r="A177" s="8"/>
      <c r="B177" s="22"/>
      <c r="C177" s="16"/>
      <c r="D177" s="8"/>
      <c r="E177" s="8"/>
      <c r="F177" s="8"/>
      <c r="G177" s="8"/>
      <c r="H177" s="86" t="s">
        <v>21</v>
      </c>
      <c r="I177" s="86"/>
      <c r="J177" s="86"/>
      <c r="K177" s="86"/>
      <c r="L177" s="18"/>
    </row>
    <row r="178" spans="1:12">
      <c r="H178" s="86" t="s">
        <v>223</v>
      </c>
      <c r="I178" s="86"/>
      <c r="J178" s="86"/>
      <c r="K178" s="86"/>
    </row>
    <row r="179" spans="1:12">
      <c r="H179" s="86" t="s">
        <v>4</v>
      </c>
      <c r="I179" s="86"/>
      <c r="J179" s="86"/>
      <c r="K179" s="86"/>
    </row>
  </sheetData>
  <mergeCells count="103">
    <mergeCell ref="A154:L154"/>
    <mergeCell ref="A156:A157"/>
    <mergeCell ref="B156:B157"/>
    <mergeCell ref="C156:C157"/>
    <mergeCell ref="D156:D157"/>
    <mergeCell ref="E156:E157"/>
    <mergeCell ref="F156:F157"/>
    <mergeCell ref="G156:G157"/>
    <mergeCell ref="H156:I156"/>
    <mergeCell ref="J156:J157"/>
    <mergeCell ref="K156:K157"/>
    <mergeCell ref="L156:L157"/>
    <mergeCell ref="A152:L152"/>
    <mergeCell ref="A153:L153"/>
    <mergeCell ref="H148:K148"/>
    <mergeCell ref="H149:K149"/>
    <mergeCell ref="H150:K150"/>
    <mergeCell ref="A124:L124"/>
    <mergeCell ref="A126:A127"/>
    <mergeCell ref="B126:B127"/>
    <mergeCell ref="C126:C127"/>
    <mergeCell ref="D126:D127"/>
    <mergeCell ref="E126:E127"/>
    <mergeCell ref="F126:F127"/>
    <mergeCell ref="G126:G127"/>
    <mergeCell ref="H126:I126"/>
    <mergeCell ref="J126:J127"/>
    <mergeCell ref="K126:K127"/>
    <mergeCell ref="L126:L127"/>
    <mergeCell ref="H118:K118"/>
    <mergeCell ref="H119:K119"/>
    <mergeCell ref="H120:K120"/>
    <mergeCell ref="A122:L122"/>
    <mergeCell ref="A123:L123"/>
    <mergeCell ref="A94:L94"/>
    <mergeCell ref="A96:A97"/>
    <mergeCell ref="B96:B97"/>
    <mergeCell ref="C96:C97"/>
    <mergeCell ref="D96:D97"/>
    <mergeCell ref="E96:E97"/>
    <mergeCell ref="F96:F97"/>
    <mergeCell ref="G96:G97"/>
    <mergeCell ref="H96:I96"/>
    <mergeCell ref="J96:J97"/>
    <mergeCell ref="K96:K97"/>
    <mergeCell ref="L96:L97"/>
    <mergeCell ref="H179:K179"/>
    <mergeCell ref="H178:K178"/>
    <mergeCell ref="H177:K177"/>
    <mergeCell ref="H88:K88"/>
    <mergeCell ref="H89:K89"/>
    <mergeCell ref="H90:K90"/>
    <mergeCell ref="A63:L63"/>
    <mergeCell ref="A64:L64"/>
    <mergeCell ref="A66:A67"/>
    <mergeCell ref="B66:B67"/>
    <mergeCell ref="C66:C67"/>
    <mergeCell ref="D66:D67"/>
    <mergeCell ref="E66:E67"/>
    <mergeCell ref="F66:F67"/>
    <mergeCell ref="G66:G67"/>
    <mergeCell ref="H66:I66"/>
    <mergeCell ref="J66:J67"/>
    <mergeCell ref="K66:K67"/>
    <mergeCell ref="L66:L67"/>
    <mergeCell ref="A172:J172"/>
    <mergeCell ref="H28:K28"/>
    <mergeCell ref="H29:K29"/>
    <mergeCell ref="H30:K30"/>
    <mergeCell ref="A32:L32"/>
    <mergeCell ref="A33:L33"/>
    <mergeCell ref="A34:L34"/>
    <mergeCell ref="A36:A37"/>
    <mergeCell ref="B36:B37"/>
    <mergeCell ref="C36:C37"/>
    <mergeCell ref="D36:D37"/>
    <mergeCell ref="E36:E37"/>
    <mergeCell ref="F36:F37"/>
    <mergeCell ref="G36:G37"/>
    <mergeCell ref="H36:I36"/>
    <mergeCell ref="J36:J37"/>
    <mergeCell ref="K36:K37"/>
    <mergeCell ref="L36:L37"/>
    <mergeCell ref="A62:L62"/>
    <mergeCell ref="H58:K58"/>
    <mergeCell ref="H59:K59"/>
    <mergeCell ref="H60:K60"/>
    <mergeCell ref="A92:L92"/>
    <mergeCell ref="A93:L93"/>
    <mergeCell ref="A2:L2"/>
    <mergeCell ref="A3:L3"/>
    <mergeCell ref="A4:L4"/>
    <mergeCell ref="A6:A7"/>
    <mergeCell ref="B6:B7"/>
    <mergeCell ref="C6:C7"/>
    <mergeCell ref="D6:D7"/>
    <mergeCell ref="E6:E7"/>
    <mergeCell ref="F6:F7"/>
    <mergeCell ref="G6:G7"/>
    <mergeCell ref="H6:I6"/>
    <mergeCell ref="J6:J7"/>
    <mergeCell ref="K6:K7"/>
    <mergeCell ref="L6:L7"/>
  </mergeCells>
  <printOptions horizontalCentered="1"/>
  <pageMargins left="0.19685039370078741" right="0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ต้นฉบับ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2022-10-17T03:42:09Z</cp:lastPrinted>
  <dcterms:created xsi:type="dcterms:W3CDTF">2017-11-14T01:32:33Z</dcterms:created>
  <dcterms:modified xsi:type="dcterms:W3CDTF">2022-10-17T03:51:07Z</dcterms:modified>
</cp:coreProperties>
</file>