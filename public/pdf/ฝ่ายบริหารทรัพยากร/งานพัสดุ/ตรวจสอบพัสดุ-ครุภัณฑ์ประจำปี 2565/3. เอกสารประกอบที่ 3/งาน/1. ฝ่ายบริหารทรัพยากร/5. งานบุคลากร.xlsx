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29"/>
  <workbookPr/>
  <mc:AlternateContent xmlns:mc="http://schemas.openxmlformats.org/markup-compatibility/2006">
    <mc:Choice Requires="x15">
      <x15ac:absPath xmlns:x15ac="http://schemas.microsoft.com/office/spreadsheetml/2010/11/ac" url="C:\Users\Pasdoo\Documents\งานพัสดุ ธนพร\ตรวจครุภัณฑ์ประจำปี\ตรวจสอบพัสดุ-ครุภัณฑ์ประจำปี 2565\เอกสารประกอบที่ 3\งาน\1. ฝ่ายบริหารทรัพยากร\"/>
    </mc:Choice>
  </mc:AlternateContent>
  <xr:revisionPtr revIDLastSave="0" documentId="13_ncr:1_{37BEC00D-E934-46EE-B6F6-A2F5A2D23EA8}" xr6:coauthVersionLast="47" xr6:coauthVersionMax="47" xr10:uidLastSave="{00000000-0000-0000-0000-000000000000}"/>
  <bookViews>
    <workbookView xWindow="-120" yWindow="-120" windowWidth="24240" windowHeight="13140" tabRatio="897" xr2:uid="{00000000-000D-0000-FFFF-FFFF00000000}"/>
  </bookViews>
  <sheets>
    <sheet name="งานบุคลากร" sheetId="46" r:id="rId1"/>
  </sheets>
  <definedNames>
    <definedName name="_xlnm.Print_Titles" localSheetId="0">งานบุคลากร!$2:$5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K13" i="46" l="1"/>
  <c r="K8" i="46"/>
  <c r="K9" i="46"/>
  <c r="K10" i="46"/>
  <c r="K11" i="46"/>
  <c r="K12" i="46"/>
  <c r="K7" i="46"/>
</calcChain>
</file>

<file path=xl/sharedStrings.xml><?xml version="1.0" encoding="utf-8"?>
<sst xmlns="http://schemas.openxmlformats.org/spreadsheetml/2006/main" count="55" uniqueCount="47">
  <si>
    <t>รายการ ขนาด ลักษณะ</t>
  </si>
  <si>
    <t>จำนวน</t>
  </si>
  <si>
    <t>หมายเหตุ</t>
  </si>
  <si>
    <t>ชำรุด</t>
  </si>
  <si>
    <t>หัวหน้าหน่วยจ่าย/หน่วยเบิก</t>
  </si>
  <si>
    <t>รวมเป็นเงิน</t>
  </si>
  <si>
    <t xml:space="preserve"> สถานศึกษา วิทยาลัยเทคนิคกันทรลักษ์</t>
  </si>
  <si>
    <t>บัญชีรายการ ครุภัณฑ์ ชำรุด เสื่อมคุณภาพ ไม่ใช้ราชการ ของสถานศึกษา</t>
  </si>
  <si>
    <t>ลำดับ
ที่</t>
  </si>
  <si>
    <t>เป็นเงิน</t>
  </si>
  <si>
    <t>ระยะเวลา
ใช้งาน</t>
  </si>
  <si>
    <t>ได้มา
โดยวิธีใด</t>
  </si>
  <si>
    <t>เคย
ซ่อม
กี่ครั้ง</t>
  </si>
  <si>
    <t>เต็มตาม
บัญชี</t>
  </si>
  <si>
    <t>คำชี้แจง
ประกอบ
ของชำรุด</t>
  </si>
  <si>
    <t>หน่วยละ</t>
  </si>
  <si>
    <t xml:space="preserve">หมายเลขประจำ
วัสดุครุภัณฑ์ </t>
  </si>
  <si>
    <t>1. ให้แยกบัญชี เช่น บัญชีรายการครุภัณฑ์มูลค่าต่ำกว่าเกณฑ์ หรือ บัญชีรายการครุภัณฑ์ชำรุด เป็นต้น</t>
  </si>
  <si>
    <t>2. ในช่อง "เป็นเงิน" ให้ลงจำนวนเงินรวมตามจำนวนของที่ชำรุดเท่านั้น</t>
  </si>
  <si>
    <t>วัน เดือน ปี 
ที่ได้มา</t>
  </si>
  <si>
    <t>เอกสารหมายเลข...................</t>
  </si>
  <si>
    <t>2549</t>
  </si>
  <si>
    <t>7440-001-0001/492-049</t>
  </si>
  <si>
    <t>6310-004-0001/531-001</t>
  </si>
  <si>
    <t>7110-006-0006/531-001</t>
  </si>
  <si>
    <t>6130-001-0001/531-006</t>
  </si>
  <si>
    <t>7440-001-0001/566-001</t>
  </si>
  <si>
    <t>7430-008-0002/566-001</t>
  </si>
  <si>
    <t>เครื่องคอมพิวเตอร์ GVIEW</t>
  </si>
  <si>
    <t>เครื่องสแกนลายนิ้วมือ รุ่น X938</t>
  </si>
  <si>
    <t>เก้าอี้สำนักงาน (ขาเหล็ก)</t>
  </si>
  <si>
    <t>เครื่องสำรองไฟ</t>
  </si>
  <si>
    <t>เครื่องคอมพิวเตอร์พร้อมจอ 20"HP</t>
  </si>
  <si>
    <t>เครื่องปริ้นเตอร์ Inkjet in one Epson 2106</t>
  </si>
  <si>
    <t>บกศ.</t>
  </si>
  <si>
    <t>งปม.</t>
  </si>
  <si>
    <t>อุดหนุน</t>
  </si>
  <si>
    <t>-</t>
  </si>
  <si>
    <t>( นางสาวเพ็ญธิดา  แก้วคำ )</t>
  </si>
  <si>
    <t>เบาะนั่งขาด</t>
  </si>
  <si>
    <t>บอร์ด ชำรุด เปิดเครื่องไม่ติด</t>
  </si>
  <si>
    <t>อะไหล่บอร์ด ชำรุด ไฟไม่เข้า</t>
  </si>
  <si>
    <t>ฮาสดิส ชำรุด จอไม่แสดงภาพ</t>
  </si>
  <si>
    <t>หน้าจอชำรุด เปิดไม่ติด</t>
  </si>
  <si>
    <t>แกนหนุมกระดาษ ไม่ทำงาน สั่งปริ้นไม่ได้</t>
  </si>
  <si>
    <t>ประจำปี 2565 สิ้นงวดเมื่อวันที่ 30 กันยายน 2565 ของงานบุคลากร</t>
  </si>
  <si>
    <t xml:space="preserve"> ...................................................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</si>
</sst>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1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4"/>
      <name val="Cordia New"/>
      <family val="2"/>
    </font>
    <font>
      <sz val="16"/>
      <name val="TH SarabunPSK"/>
      <family val="2"/>
    </font>
    <font>
      <sz val="16"/>
      <color theme="1"/>
      <name val="TH SarabunPSK"/>
      <family val="2"/>
    </font>
    <font>
      <sz val="10"/>
      <name val="Arial"/>
      <family val="2"/>
    </font>
    <font>
      <b/>
      <sz val="16"/>
      <color theme="1"/>
      <name val="TH SarabunPSK"/>
      <family val="2"/>
    </font>
    <font>
      <b/>
      <sz val="16"/>
      <name val="TH SarabunPSK"/>
      <family val="2"/>
    </font>
    <font>
      <u/>
      <sz val="16"/>
      <color theme="1"/>
      <name val="TH SarabunPSK"/>
      <family val="2"/>
    </font>
    <font>
      <sz val="16"/>
      <color theme="1"/>
      <name val="TH SarabunIT๙"/>
      <family val="2"/>
    </font>
    <font>
      <sz val="16"/>
      <color theme="0" tint="-0.89999084444715716"/>
      <name val="TH SarabunIT๙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</cellStyleXfs>
  <cellXfs count="42">
    <xf numFmtId="0" fontId="0" fillId="0" borderId="0" xfId="0"/>
    <xf numFmtId="0" fontId="3" fillId="0" borderId="1" xfId="6" applyFont="1" applyBorder="1"/>
    <xf numFmtId="0" fontId="4" fillId="0" borderId="0" xfId="0" applyFont="1"/>
    <xf numFmtId="0" fontId="3" fillId="0" borderId="1" xfId="6" applyFont="1" applyBorder="1" applyAlignment="1">
      <alignment horizontal="left"/>
    </xf>
    <xf numFmtId="0" fontId="3" fillId="0" borderId="1" xfId="2" applyFont="1" applyBorder="1" applyAlignment="1">
      <alignment horizontal="center"/>
    </xf>
    <xf numFmtId="0" fontId="3" fillId="0" borderId="1" xfId="6" applyFont="1" applyBorder="1" applyAlignment="1">
      <alignment horizontal="center"/>
    </xf>
    <xf numFmtId="43" fontId="3" fillId="0" borderId="1" xfId="1" applyFont="1" applyBorder="1"/>
    <xf numFmtId="0" fontId="4" fillId="0" borderId="0" xfId="0" applyFont="1" applyBorder="1"/>
    <xf numFmtId="0" fontId="3" fillId="0" borderId="1" xfId="0" applyFont="1" applyBorder="1" applyAlignment="1">
      <alignment horizontal="center"/>
    </xf>
    <xf numFmtId="49" fontId="3" fillId="2" borderId="1" xfId="0" applyNumberFormat="1" applyFont="1" applyFill="1" applyBorder="1" applyAlignment="1">
      <alignment horizontal="center"/>
    </xf>
    <xf numFmtId="0" fontId="4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 wrapText="1"/>
    </xf>
    <xf numFmtId="0" fontId="3" fillId="2" borderId="1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applyFont="1" applyBorder="1" applyAlignment="1"/>
    <xf numFmtId="43" fontId="4" fillId="0" borderId="0" xfId="0" applyNumberFormat="1" applyFont="1" applyBorder="1" applyAlignment="1"/>
    <xf numFmtId="0" fontId="3" fillId="0" borderId="0" xfId="2" applyFont="1" applyBorder="1" applyAlignment="1">
      <alignment horizontal="center"/>
    </xf>
    <xf numFmtId="0" fontId="8" fillId="0" borderId="0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6" fillId="0" borderId="0" xfId="0" applyFont="1" applyBorder="1" applyAlignment="1">
      <alignment horizontal="center"/>
    </xf>
    <xf numFmtId="43" fontId="3" fillId="0" borderId="1" xfId="12" applyNumberFormat="1" applyFont="1" applyBorder="1" applyAlignment="1">
      <alignment horizontal="left"/>
    </xf>
    <xf numFmtId="0" fontId="10" fillId="0" borderId="1" xfId="0" applyFont="1" applyBorder="1" applyAlignment="1">
      <alignment horizontal="left"/>
    </xf>
    <xf numFmtId="0" fontId="9" fillId="0" borderId="1" xfId="0" applyFont="1" applyBorder="1" applyAlignment="1">
      <alignment horizontal="left" vertical="center"/>
    </xf>
    <xf numFmtId="43" fontId="3" fillId="0" borderId="6" xfId="1" applyFont="1" applyBorder="1"/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9" applyFont="1" applyAlignment="1">
      <alignment horizontal="center" vertical="center"/>
    </xf>
    <xf numFmtId="0" fontId="6" fillId="0" borderId="0" xfId="0" applyFont="1" applyBorder="1" applyAlignment="1" applyProtection="1">
      <alignment horizontal="center"/>
      <protection locked="0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top" wrapText="1"/>
    </xf>
    <xf numFmtId="0" fontId="4" fillId="0" borderId="5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</cellXfs>
  <cellStyles count="14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จุลภาค" xfId="1" builtinId="3"/>
    <cellStyle name="ปกติ" xfId="0" builtinId="0"/>
    <cellStyle name="ปกติ 10" xfId="4" xr:uid="{00000000-0005-0000-0000-000004000000}"/>
    <cellStyle name="ปกติ 12" xfId="7" xr:uid="{00000000-0005-0000-0000-000005000000}"/>
    <cellStyle name="ปกติ 14" xfId="3" xr:uid="{00000000-0005-0000-0000-000006000000}"/>
    <cellStyle name="ปกติ 19" xfId="13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9" xr:uid="{00000000-0005-0000-0000-00000A000000}"/>
    <cellStyle name="ปกติ 4" xfId="10" xr:uid="{00000000-0005-0000-0000-00000B000000}"/>
    <cellStyle name="ปกติ 5" xfId="11" xr:uid="{00000000-0005-0000-0000-00000C000000}"/>
    <cellStyle name="ปกติ_รายการครุภัณฑ์ ปี 52 ที่แก้ไขเรียงลำดับใหม่ 23 ก.พ.53" xfId="6" xr:uid="{00000000-0005-0000-0000-00000D000000}"/>
  </cellStyles>
  <dxfs count="0"/>
  <tableStyles count="0" defaultTableStyle="TableStyleMedium2" defaultPivotStyle="PivotStyleLight16"/>
  <colors>
    <mruColors>
      <color rgb="FF7030A0"/>
      <color rgb="FF993300"/>
      <color rgb="FF0070C0"/>
      <color rgb="FFFF0066"/>
      <color rgb="FF2F7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1752600</xdr:colOff>
      <xdr:row>14</xdr:row>
      <xdr:rowOff>66675</xdr:rowOff>
    </xdr:from>
    <xdr:to>
      <xdr:col>11</xdr:col>
      <xdr:colOff>2076450</xdr:colOff>
      <xdr:row>18</xdr:row>
      <xdr:rowOff>228600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 rot="5400000">
          <a:off x="10701337" y="5214938"/>
          <a:ext cx="1381125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 3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L20"/>
  <sheetViews>
    <sheetView tabSelected="1" topLeftCell="A4" zoomScaleNormal="100" workbookViewId="0">
      <selection activeCell="H23" sqref="H23"/>
    </sheetView>
  </sheetViews>
  <sheetFormatPr defaultColWidth="9" defaultRowHeight="24"/>
  <cols>
    <col min="1" max="1" width="5.28515625" style="2" customWidth="1"/>
    <col min="2" max="2" width="11.42578125" style="21" customWidth="1"/>
    <col min="3" max="3" width="26.5703125" style="14" customWidth="1"/>
    <col min="4" max="4" width="38.28515625" style="2" customWidth="1"/>
    <col min="5" max="5" width="7.5703125" style="2" customWidth="1"/>
    <col min="6" max="6" width="8.5703125" style="2" customWidth="1"/>
    <col min="7" max="7" width="6.5703125" style="2" customWidth="1"/>
    <col min="8" max="9" width="7.5703125" style="2" customWidth="1"/>
    <col min="10" max="10" width="11.28515625" style="2" customWidth="1"/>
    <col min="11" max="11" width="11.42578125" style="2" customWidth="1"/>
    <col min="12" max="12" width="34.28515625" style="21" customWidth="1"/>
    <col min="13" max="16384" width="9" style="2"/>
  </cols>
  <sheetData>
    <row r="1" spans="1:12">
      <c r="L1" s="21" t="s">
        <v>20</v>
      </c>
    </row>
    <row r="2" spans="1:12">
      <c r="A2" s="33" t="s">
        <v>6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</row>
    <row r="3" spans="1:12">
      <c r="A3" s="34" t="s">
        <v>7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</row>
    <row r="4" spans="1:12">
      <c r="A4" s="35" t="s">
        <v>45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</row>
    <row r="5" spans="1:12" ht="28.5" customHeight="1">
      <c r="A5" s="27" t="s">
        <v>8</v>
      </c>
      <c r="B5" s="27" t="s">
        <v>19</v>
      </c>
      <c r="C5" s="27" t="s">
        <v>16</v>
      </c>
      <c r="D5" s="36" t="s">
        <v>0</v>
      </c>
      <c r="E5" s="27" t="s">
        <v>11</v>
      </c>
      <c r="F5" s="27" t="s">
        <v>10</v>
      </c>
      <c r="G5" s="38" t="s">
        <v>12</v>
      </c>
      <c r="H5" s="40" t="s">
        <v>1</v>
      </c>
      <c r="I5" s="41"/>
      <c r="J5" s="27" t="s">
        <v>15</v>
      </c>
      <c r="K5" s="27" t="s">
        <v>9</v>
      </c>
      <c r="L5" s="27" t="s">
        <v>14</v>
      </c>
    </row>
    <row r="6" spans="1:12" ht="45" customHeight="1">
      <c r="A6" s="28"/>
      <c r="B6" s="28"/>
      <c r="C6" s="28"/>
      <c r="D6" s="37"/>
      <c r="E6" s="28"/>
      <c r="F6" s="28"/>
      <c r="G6" s="39"/>
      <c r="H6" s="11" t="s">
        <v>13</v>
      </c>
      <c r="I6" s="10" t="s">
        <v>3</v>
      </c>
      <c r="J6" s="28"/>
      <c r="K6" s="28"/>
      <c r="L6" s="28"/>
    </row>
    <row r="7" spans="1:12">
      <c r="A7" s="12">
        <v>1</v>
      </c>
      <c r="B7" s="9" t="s">
        <v>21</v>
      </c>
      <c r="C7" s="3" t="s">
        <v>22</v>
      </c>
      <c r="D7" s="1" t="s">
        <v>28</v>
      </c>
      <c r="E7" s="4" t="s">
        <v>34</v>
      </c>
      <c r="F7" s="4">
        <v>16</v>
      </c>
      <c r="G7" s="4" t="s">
        <v>37</v>
      </c>
      <c r="H7" s="4">
        <v>1</v>
      </c>
      <c r="I7" s="5">
        <v>1</v>
      </c>
      <c r="J7" s="6">
        <v>19088.8</v>
      </c>
      <c r="K7" s="6">
        <f>SUM(I7*J7)</f>
        <v>19088.8</v>
      </c>
      <c r="L7" s="23" t="s">
        <v>42</v>
      </c>
    </row>
    <row r="8" spans="1:12">
      <c r="A8" s="12">
        <v>2</v>
      </c>
      <c r="B8" s="8">
        <v>2553</v>
      </c>
      <c r="C8" s="3" t="s">
        <v>23</v>
      </c>
      <c r="D8" s="1" t="s">
        <v>29</v>
      </c>
      <c r="E8" s="4" t="s">
        <v>35</v>
      </c>
      <c r="F8" s="4">
        <v>12</v>
      </c>
      <c r="G8" s="4" t="s">
        <v>37</v>
      </c>
      <c r="H8" s="4">
        <v>1</v>
      </c>
      <c r="I8" s="5">
        <v>1</v>
      </c>
      <c r="J8" s="6">
        <v>18000</v>
      </c>
      <c r="K8" s="6">
        <f t="shared" ref="K8:K12" si="0">SUM(I8*J8)</f>
        <v>18000</v>
      </c>
      <c r="L8" s="24" t="s">
        <v>40</v>
      </c>
    </row>
    <row r="9" spans="1:12">
      <c r="A9" s="12">
        <v>3</v>
      </c>
      <c r="B9" s="8">
        <v>2553</v>
      </c>
      <c r="C9" s="3" t="s">
        <v>24</v>
      </c>
      <c r="D9" s="1" t="s">
        <v>30</v>
      </c>
      <c r="E9" s="4" t="s">
        <v>35</v>
      </c>
      <c r="F9" s="4">
        <v>12</v>
      </c>
      <c r="G9" s="4" t="s">
        <v>37</v>
      </c>
      <c r="H9" s="4">
        <v>1</v>
      </c>
      <c r="I9" s="5">
        <v>1</v>
      </c>
      <c r="J9" s="6">
        <v>1150</v>
      </c>
      <c r="K9" s="6">
        <f t="shared" si="0"/>
        <v>1150</v>
      </c>
      <c r="L9" s="23" t="s">
        <v>39</v>
      </c>
    </row>
    <row r="10" spans="1:12">
      <c r="A10" s="12">
        <v>4</v>
      </c>
      <c r="B10" s="8">
        <v>2553</v>
      </c>
      <c r="C10" s="3" t="s">
        <v>25</v>
      </c>
      <c r="D10" s="1" t="s">
        <v>31</v>
      </c>
      <c r="E10" s="4" t="s">
        <v>35</v>
      </c>
      <c r="F10" s="4">
        <v>12</v>
      </c>
      <c r="G10" s="4" t="s">
        <v>37</v>
      </c>
      <c r="H10" s="4">
        <v>1</v>
      </c>
      <c r="I10" s="5">
        <v>1</v>
      </c>
      <c r="J10" s="6">
        <v>2590</v>
      </c>
      <c r="K10" s="6">
        <f t="shared" si="0"/>
        <v>2590</v>
      </c>
      <c r="L10" s="25" t="s">
        <v>41</v>
      </c>
    </row>
    <row r="11" spans="1:12">
      <c r="A11" s="12">
        <v>5</v>
      </c>
      <c r="B11" s="8">
        <v>2556</v>
      </c>
      <c r="C11" s="3" t="s">
        <v>26</v>
      </c>
      <c r="D11" s="1" t="s">
        <v>32</v>
      </c>
      <c r="E11" s="4" t="s">
        <v>36</v>
      </c>
      <c r="F11" s="4">
        <v>9</v>
      </c>
      <c r="G11" s="4" t="s">
        <v>37</v>
      </c>
      <c r="H11" s="4">
        <v>2</v>
      </c>
      <c r="I11" s="5">
        <v>1</v>
      </c>
      <c r="J11" s="6">
        <v>22649</v>
      </c>
      <c r="K11" s="6">
        <f t="shared" si="0"/>
        <v>22649</v>
      </c>
      <c r="L11" s="23" t="s">
        <v>43</v>
      </c>
    </row>
    <row r="12" spans="1:12" ht="24.75" thickBot="1">
      <c r="A12" s="12">
        <v>6</v>
      </c>
      <c r="B12" s="8">
        <v>2556</v>
      </c>
      <c r="C12" s="3" t="s">
        <v>27</v>
      </c>
      <c r="D12" s="1" t="s">
        <v>33</v>
      </c>
      <c r="E12" s="4" t="s">
        <v>36</v>
      </c>
      <c r="F12" s="4">
        <v>9</v>
      </c>
      <c r="G12" s="4" t="s">
        <v>37</v>
      </c>
      <c r="H12" s="4">
        <v>2</v>
      </c>
      <c r="I12" s="5">
        <v>1</v>
      </c>
      <c r="J12" s="6">
        <v>7337</v>
      </c>
      <c r="K12" s="6">
        <f t="shared" si="0"/>
        <v>7337</v>
      </c>
      <c r="L12" s="23" t="s">
        <v>44</v>
      </c>
    </row>
    <row r="13" spans="1:12" ht="24.75" thickBot="1">
      <c r="A13" s="29" t="s">
        <v>5</v>
      </c>
      <c r="B13" s="30"/>
      <c r="C13" s="30"/>
      <c r="D13" s="30"/>
      <c r="E13" s="30"/>
      <c r="F13" s="30"/>
      <c r="G13" s="30"/>
      <c r="H13" s="30"/>
      <c r="I13" s="30"/>
      <c r="J13" s="31"/>
      <c r="K13" s="26">
        <f>SUM(K7:K12)</f>
        <v>70814.8</v>
      </c>
      <c r="L13" s="19"/>
    </row>
    <row r="14" spans="1:12" ht="24.75" thickTop="1">
      <c r="A14" s="22"/>
      <c r="B14" s="22"/>
      <c r="C14" s="22"/>
      <c r="D14" s="22"/>
      <c r="E14" s="22"/>
      <c r="F14" s="22"/>
      <c r="G14" s="22"/>
      <c r="H14" s="22"/>
      <c r="I14" s="17"/>
      <c r="J14" s="16"/>
      <c r="K14" s="16"/>
      <c r="L14" s="20"/>
    </row>
    <row r="15" spans="1:12">
      <c r="A15" s="7"/>
      <c r="B15" s="18" t="s">
        <v>2</v>
      </c>
      <c r="C15" s="13" t="s">
        <v>17</v>
      </c>
      <c r="D15" s="7"/>
      <c r="E15" s="7"/>
      <c r="F15" s="7"/>
      <c r="G15" s="7"/>
      <c r="H15" s="7"/>
      <c r="I15" s="17"/>
      <c r="J15" s="7"/>
      <c r="K15" s="7"/>
      <c r="L15" s="20"/>
    </row>
    <row r="16" spans="1:12">
      <c r="A16" s="7"/>
      <c r="B16" s="20"/>
      <c r="C16" s="13" t="s">
        <v>18</v>
      </c>
      <c r="D16" s="7"/>
      <c r="E16" s="7"/>
      <c r="F16" s="7"/>
      <c r="G16" s="7"/>
      <c r="H16" s="15"/>
      <c r="I16" s="15"/>
      <c r="J16" s="15"/>
      <c r="K16" s="15"/>
      <c r="L16" s="15"/>
    </row>
    <row r="17" spans="1:12">
      <c r="A17" s="7"/>
      <c r="B17" s="20"/>
      <c r="C17" s="13"/>
      <c r="D17" s="7"/>
      <c r="E17" s="7"/>
      <c r="F17" s="7"/>
      <c r="G17" s="7"/>
      <c r="H17" s="15"/>
      <c r="I17" s="15"/>
      <c r="J17" s="15"/>
      <c r="K17" s="15"/>
      <c r="L17" s="15"/>
    </row>
    <row r="18" spans="1:12">
      <c r="A18" s="7"/>
      <c r="B18" s="20"/>
      <c r="C18" s="13"/>
      <c r="D18" s="7"/>
      <c r="E18" s="7"/>
      <c r="F18" s="7"/>
      <c r="G18" s="7"/>
      <c r="H18" s="32" t="s">
        <v>46</v>
      </c>
      <c r="I18" s="32"/>
      <c r="J18" s="32"/>
      <c r="K18" s="32"/>
      <c r="L18" s="15"/>
    </row>
    <row r="19" spans="1:12">
      <c r="H19" s="32" t="s">
        <v>38</v>
      </c>
      <c r="I19" s="32"/>
      <c r="J19" s="32"/>
      <c r="K19" s="32"/>
    </row>
    <row r="20" spans="1:12">
      <c r="H20" s="32" t="s">
        <v>4</v>
      </c>
      <c r="I20" s="32"/>
      <c r="J20" s="32"/>
      <c r="K20" s="32"/>
    </row>
  </sheetData>
  <mergeCells count="18">
    <mergeCell ref="H20:K20"/>
    <mergeCell ref="H19:K19"/>
    <mergeCell ref="H5:I5"/>
    <mergeCell ref="J5:J6"/>
    <mergeCell ref="K5:K6"/>
    <mergeCell ref="L5:L6"/>
    <mergeCell ref="A13:J13"/>
    <mergeCell ref="H18:K18"/>
    <mergeCell ref="A2:L2"/>
    <mergeCell ref="A3:L3"/>
    <mergeCell ref="A4:L4"/>
    <mergeCell ref="A5:A6"/>
    <mergeCell ref="B5:B6"/>
    <mergeCell ref="C5:C6"/>
    <mergeCell ref="D5:D6"/>
    <mergeCell ref="E5:E6"/>
    <mergeCell ref="F5:F6"/>
    <mergeCell ref="G5:G6"/>
  </mergeCells>
  <printOptions horizontalCentered="1"/>
  <pageMargins left="0.19685039370078741" right="0" top="0.59055118110236227" bottom="0.19685039370078741" header="0" footer="0"/>
  <pageSetup paperSize="9" scale="80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1</vt:i4>
      </vt:variant>
      <vt:variant>
        <vt:lpstr>ช่วงที่มีชื่อ</vt:lpstr>
      </vt:variant>
      <vt:variant>
        <vt:i4>1</vt:i4>
      </vt:variant>
    </vt:vector>
  </HeadingPairs>
  <TitlesOfParts>
    <vt:vector size="2" baseType="lpstr">
      <vt:lpstr>งานบุคลากร</vt:lpstr>
      <vt:lpstr>งานบุคลากร!Print_Titles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Pasdoo</cp:lastModifiedBy>
  <cp:lastPrinted>2022-10-12T03:56:50Z</cp:lastPrinted>
  <dcterms:created xsi:type="dcterms:W3CDTF">2017-11-14T01:32:33Z</dcterms:created>
  <dcterms:modified xsi:type="dcterms:W3CDTF">2022-10-12T03:57:40Z</dcterms:modified>
</cp:coreProperties>
</file>