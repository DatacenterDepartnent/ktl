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629"/>
  <workbookPr/>
  <mc:AlternateContent xmlns:mc="http://schemas.openxmlformats.org/markup-compatibility/2006">
    <mc:Choice Requires="x15">
      <x15ac:absPath xmlns:x15ac="http://schemas.microsoft.com/office/spreadsheetml/2010/11/ac" url="C:\Users\Pasdoo\Documents\งานพัสดุ ธนพร\ตรวจครุภัณฑ์ประจำปี\ตรวจสอบพัสดุ-ครุภัณฑ์ประจำปี 2565\เอกสารประกอบที่ 3\งาน\4. ฝ่ายพัฒนากิจการนักเรียน นักศึกษา\"/>
    </mc:Choice>
  </mc:AlternateContent>
  <xr:revisionPtr revIDLastSave="0" documentId="13_ncr:1_{A3BD2F7E-C03D-4428-A2BA-DDB0E974D4D1}" xr6:coauthVersionLast="47" xr6:coauthVersionMax="47" xr10:uidLastSave="{00000000-0000-0000-0000-000000000000}"/>
  <bookViews>
    <workbookView xWindow="-120" yWindow="-120" windowWidth="24240" windowHeight="13140" tabRatio="897" xr2:uid="{00000000-000D-0000-FFFF-FFFF00000000}"/>
  </bookViews>
  <sheets>
    <sheet name="งานแนะแนว" sheetId="3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K12" i="33" l="1"/>
  <c r="K8" i="33"/>
  <c r="K9" i="33"/>
  <c r="K10" i="33"/>
  <c r="K11" i="33"/>
  <c r="K7" i="33"/>
</calcChain>
</file>

<file path=xl/sharedStrings.xml><?xml version="1.0" encoding="utf-8"?>
<sst xmlns="http://schemas.openxmlformats.org/spreadsheetml/2006/main" count="51" uniqueCount="42">
  <si>
    <t>รายการ ขนาด ลักษณะ</t>
  </si>
  <si>
    <t>จำนวน</t>
  </si>
  <si>
    <t>หมายเหตุ</t>
  </si>
  <si>
    <t>ชำรุด</t>
  </si>
  <si>
    <t>....................................................</t>
  </si>
  <si>
    <t>หัวหน้าหน่วยจ่าย/หน่วยเบิก</t>
  </si>
  <si>
    <t>รวมเป็นเงิน</t>
  </si>
  <si>
    <t xml:space="preserve"> สถานศึกษา วิทยาลัยเทคนิคกันทรลักษ์</t>
  </si>
  <si>
    <t>เป็นเงิน</t>
  </si>
  <si>
    <t>ระยะเวลา
ใช้งาน</t>
  </si>
  <si>
    <t>ได้มา
โดยวิธีใด</t>
  </si>
  <si>
    <t>เคย
ซ่อม
กี่ครั้ง</t>
  </si>
  <si>
    <t>เต็มตาม
บัญชี</t>
  </si>
  <si>
    <t>คำชี้แจง
ประกอบ
ของชำรุด</t>
  </si>
  <si>
    <t>หน่วยละ</t>
  </si>
  <si>
    <t xml:space="preserve">หมายเลขประจำ
วัสดุครุภัณฑ์ </t>
  </si>
  <si>
    <t>1. ให้แยกบัญชี เช่น บัญชีรายการครุภัณฑ์มูลค่าต่ำกว่าเกณฑ์ หรือ บัญชีรายการครุภัณฑ์ชำรุด เป็นต้น</t>
  </si>
  <si>
    <t>2. ในช่อง "เป็นเงิน" ให้ลงจำนวนเงินรวมตามจำนวนของที่ชำรุดเท่านั้น</t>
  </si>
  <si>
    <t>วัน เดือน ปี 
ที่ได้มา</t>
  </si>
  <si>
    <t>บัญชีรายการ ครุภัณฑ์  ชำรุด เสื่อมคุณภาพ ไม่ใช้ราชการ ของสถานศึกษา</t>
  </si>
  <si>
    <t>(นางสาวพิมพ์ภัทรา  เลิศเรืองศิริ)</t>
  </si>
  <si>
    <t>ลำดับที่</t>
  </si>
  <si>
    <t>7125002-0002/391-004</t>
  </si>
  <si>
    <t>ตู้เหล็ก 4 ลิ้นชัก KINGKONG</t>
  </si>
  <si>
    <t>งปม.</t>
  </si>
  <si>
    <t>7440001/473-006</t>
  </si>
  <si>
    <t>เครื่องคอมพิวเตอร์</t>
  </si>
  <si>
    <t>บริจาค</t>
  </si>
  <si>
    <t>ตู้เกิดสนิมและผุพังจำนวนมากใช้งานไม่ได้</t>
  </si>
  <si>
    <t>7125-002-0002/401-010</t>
  </si>
  <si>
    <t>ตู้เหล็ก 4 ลิ้นชัก PRERIDENT</t>
  </si>
  <si>
    <t>7125-002-0002/462-002</t>
  </si>
  <si>
    <t>บกศ.</t>
  </si>
  <si>
    <t>7110-002-0002/462-001</t>
  </si>
  <si>
    <t xml:space="preserve">ตู้เหล็ก 15 ลิ้นชัก </t>
  </si>
  <si>
    <t>-</t>
  </si>
  <si>
    <t xml:space="preserve">เครื่อง CPUและหน้าจอเปิดไม่ติด </t>
  </si>
  <si>
    <t>ผุพังเป็นสนิม</t>
  </si>
  <si>
    <t>ผุพังเป็นสนิม เปิดไม่ได้</t>
  </si>
  <si>
    <t>ประจำปี 2565 สิ้นงวดเมื่อวันที่ 30 กันยายน 2565 ของงานแนะแนวอาชีพและจัดหางาน</t>
  </si>
  <si>
    <t>เอกสารหมายเลข............……….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</si>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</sst>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8">
    <font>
      <sz val="11"/>
      <color theme="1"/>
      <name val="Calibri"/>
      <family val="2"/>
      <charset val="222"/>
      <scheme val="minor"/>
    </font>
    <font>
      <sz val="11"/>
      <color theme="1"/>
      <name val="Calibri"/>
      <family val="2"/>
      <charset val="222"/>
      <scheme val="minor"/>
    </font>
    <font>
      <sz val="14"/>
      <name val="Cordia New"/>
      <family val="2"/>
    </font>
    <font>
      <sz val="16"/>
      <name val="TH SarabunPSK"/>
      <family val="2"/>
    </font>
    <font>
      <sz val="16"/>
      <color theme="1"/>
      <name val="TH SarabunPSK"/>
      <family val="2"/>
    </font>
    <font>
      <b/>
      <sz val="16"/>
      <color theme="1"/>
      <name val="TH SarabunPSK"/>
      <family val="2"/>
    </font>
    <font>
      <b/>
      <sz val="16"/>
      <name val="TH SarabunPSK"/>
      <family val="2"/>
    </font>
    <font>
      <u/>
      <sz val="16"/>
      <color theme="1"/>
      <name val="TH SarabunPSK"/>
      <family val="2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</borders>
  <cellStyleXfs count="13">
    <xf numFmtId="0" fontId="0" fillId="0" borderId="0"/>
    <xf numFmtId="43" fontId="1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</cellStyleXfs>
  <cellXfs count="55">
    <xf numFmtId="0" fontId="0" fillId="0" borderId="0" xfId="0"/>
    <xf numFmtId="0" fontId="3" fillId="0" borderId="1" xfId="6" applyFont="1" applyBorder="1"/>
    <xf numFmtId="0" fontId="4" fillId="0" borderId="0" xfId="0" applyFont="1"/>
    <xf numFmtId="0" fontId="3" fillId="0" borderId="1" xfId="6" applyFont="1" applyBorder="1" applyAlignment="1">
      <alignment horizontal="left"/>
    </xf>
    <xf numFmtId="0" fontId="3" fillId="0" borderId="1" xfId="2" applyFont="1" applyBorder="1" applyAlignment="1">
      <alignment horizontal="center"/>
    </xf>
    <xf numFmtId="0" fontId="4" fillId="0" borderId="0" xfId="0" applyFont="1" applyBorder="1"/>
    <xf numFmtId="0" fontId="4" fillId="0" borderId="0" xfId="0" applyFont="1" applyFill="1" applyAlignment="1">
      <alignment horizontal="center"/>
    </xf>
    <xf numFmtId="0" fontId="4" fillId="0" borderId="0" xfId="0" applyFont="1" applyFill="1" applyBorder="1" applyAlignment="1">
      <alignment horizontal="center"/>
    </xf>
    <xf numFmtId="0" fontId="3" fillId="0" borderId="1" xfId="0" applyFont="1" applyBorder="1" applyAlignment="1">
      <alignment horizontal="center"/>
    </xf>
    <xf numFmtId="43" fontId="3" fillId="0" borderId="1" xfId="1" applyFont="1" applyFill="1" applyBorder="1" applyAlignment="1">
      <alignment horizontal="center"/>
    </xf>
    <xf numFmtId="0" fontId="3" fillId="0" borderId="1" xfId="6" applyFont="1" applyFill="1" applyBorder="1" applyAlignment="1">
      <alignment horizontal="center"/>
    </xf>
    <xf numFmtId="0" fontId="4" fillId="0" borderId="1" xfId="0" applyFont="1" applyBorder="1" applyAlignment="1">
      <alignment horizontal="center" vertical="top"/>
    </xf>
    <xf numFmtId="0" fontId="3" fillId="0" borderId="1" xfId="6" applyFont="1" applyFill="1" applyBorder="1"/>
    <xf numFmtId="0" fontId="4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center"/>
    </xf>
    <xf numFmtId="43" fontId="4" fillId="0" borderId="0" xfId="0" applyNumberFormat="1" applyFont="1"/>
    <xf numFmtId="0" fontId="4" fillId="0" borderId="0" xfId="0" applyFont="1" applyBorder="1" applyAlignment="1">
      <alignment horizontal="left"/>
    </xf>
    <xf numFmtId="0" fontId="4" fillId="0" borderId="0" xfId="0" applyFont="1" applyAlignment="1">
      <alignment horizontal="left"/>
    </xf>
    <xf numFmtId="0" fontId="4" fillId="0" borderId="0" xfId="0" applyFont="1" applyFill="1"/>
    <xf numFmtId="43" fontId="3" fillId="0" borderId="0" xfId="11" applyNumberFormat="1" applyFont="1" applyBorder="1" applyAlignment="1"/>
    <xf numFmtId="0" fontId="4" fillId="0" borderId="0" xfId="0" applyFont="1" applyBorder="1" applyAlignment="1"/>
    <xf numFmtId="43" fontId="4" fillId="0" borderId="0" xfId="0" applyNumberFormat="1" applyFont="1" applyBorder="1"/>
    <xf numFmtId="0" fontId="3" fillId="0" borderId="0" xfId="2" applyFont="1" applyBorder="1" applyAlignment="1">
      <alignment horizontal="center"/>
    </xf>
    <xf numFmtId="0" fontId="3" fillId="0" borderId="1" xfId="6" applyFont="1" applyFill="1" applyBorder="1" applyAlignment="1">
      <alignment horizontal="left"/>
    </xf>
    <xf numFmtId="0" fontId="7" fillId="0" borderId="0" xfId="0" applyFont="1" applyBorder="1" applyAlignment="1">
      <alignment horizontal="center"/>
    </xf>
    <xf numFmtId="43" fontId="4" fillId="0" borderId="8" xfId="0" applyNumberFormat="1" applyFont="1" applyBorder="1" applyAlignment="1"/>
    <xf numFmtId="0" fontId="4" fillId="0" borderId="0" xfId="0" applyFont="1" applyBorder="1" applyAlignment="1">
      <alignment horizontal="center"/>
    </xf>
    <xf numFmtId="0" fontId="4" fillId="0" borderId="0" xfId="0" applyFont="1" applyBorder="1" applyAlignment="1">
      <alignment horizontal="center" vertical="center"/>
    </xf>
    <xf numFmtId="0" fontId="4" fillId="0" borderId="0" xfId="0" applyFont="1" applyAlignment="1">
      <alignment horizontal="center"/>
    </xf>
    <xf numFmtId="0" fontId="3" fillId="0" borderId="0" xfId="8" applyFont="1" applyAlignment="1">
      <alignment horizontal="center" vertical="center"/>
    </xf>
    <xf numFmtId="0" fontId="4" fillId="0" borderId="8" xfId="0" applyFont="1" applyFill="1" applyBorder="1" applyAlignment="1">
      <alignment horizontal="center"/>
    </xf>
    <xf numFmtId="0" fontId="3" fillId="0" borderId="1" xfId="6" applyFont="1" applyFill="1" applyBorder="1" applyAlignment="1">
      <alignment horizontal="left" vertical="top"/>
    </xf>
    <xf numFmtId="0" fontId="3" fillId="0" borderId="1" xfId="6" applyFont="1" applyFill="1" applyBorder="1" applyAlignment="1">
      <alignment vertical="top"/>
    </xf>
    <xf numFmtId="0" fontId="3" fillId="0" borderId="1" xfId="2" applyFont="1" applyBorder="1" applyAlignment="1">
      <alignment horizontal="center" vertical="top"/>
    </xf>
    <xf numFmtId="0" fontId="3" fillId="0" borderId="1" xfId="6" applyFont="1" applyFill="1" applyBorder="1" applyAlignment="1">
      <alignment horizontal="center" vertical="top"/>
    </xf>
    <xf numFmtId="43" fontId="3" fillId="0" borderId="1" xfId="1" applyFont="1" applyFill="1" applyBorder="1" applyAlignment="1">
      <alignment horizontal="center" vertical="top"/>
    </xf>
    <xf numFmtId="0" fontId="3" fillId="0" borderId="1" xfId="2" applyNumberFormat="1" applyFont="1" applyBorder="1" applyAlignment="1">
      <alignment horizontal="center"/>
    </xf>
    <xf numFmtId="0" fontId="3" fillId="0" borderId="1" xfId="2" applyNumberFormat="1" applyFont="1" applyBorder="1" applyAlignment="1">
      <alignment horizontal="center" vertical="top" wrapText="1"/>
    </xf>
    <xf numFmtId="43" fontId="3" fillId="0" borderId="1" xfId="11" applyNumberFormat="1" applyFont="1" applyFill="1" applyBorder="1" applyAlignment="1">
      <alignment horizontal="left" vertical="top" wrapText="1"/>
    </xf>
    <xf numFmtId="43" fontId="3" fillId="0" borderId="1" xfId="11" applyNumberFormat="1" applyFont="1" applyFill="1" applyBorder="1" applyAlignment="1">
      <alignment horizontal="left"/>
    </xf>
    <xf numFmtId="0" fontId="4" fillId="0" borderId="0" xfId="0" applyFont="1" applyBorder="1" applyAlignment="1">
      <alignment horizontal="center"/>
    </xf>
    <xf numFmtId="0" fontId="4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5" fillId="0" borderId="8" xfId="0" applyFont="1" applyBorder="1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8" applyFont="1" applyAlignment="1">
      <alignment horizontal="center" vertical="center"/>
    </xf>
    <xf numFmtId="0" fontId="5" fillId="0" borderId="0" xfId="0" applyFont="1" applyBorder="1" applyAlignment="1" applyProtection="1">
      <alignment horizontal="center"/>
      <protection locked="0"/>
    </xf>
    <xf numFmtId="0" fontId="4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top" wrapText="1"/>
    </xf>
    <xf numFmtId="0" fontId="4" fillId="0" borderId="5" xfId="0" applyFont="1" applyBorder="1" applyAlignment="1">
      <alignment horizontal="center" vertical="top" wrapText="1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</cellXfs>
  <cellStyles count="13">
    <cellStyle name="เครื่องหมายจุลภาค 9" xfId="11" xr:uid="{00000000-0005-0000-0000-000001000000}"/>
    <cellStyle name="จุลภาค" xfId="1" builtinId="3"/>
    <cellStyle name="ปกติ" xfId="0" builtinId="0"/>
    <cellStyle name="ปกติ 10" xfId="4" xr:uid="{00000000-0005-0000-0000-000003000000}"/>
    <cellStyle name="ปกติ 12" xfId="7" xr:uid="{00000000-0005-0000-0000-000004000000}"/>
    <cellStyle name="ปกติ 14" xfId="3" xr:uid="{00000000-0005-0000-0000-000005000000}"/>
    <cellStyle name="ปกติ 19" xfId="12" xr:uid="{00000000-0005-0000-0000-000006000000}"/>
    <cellStyle name="ปกติ 21" xfId="2" xr:uid="{00000000-0005-0000-0000-000007000000}"/>
    <cellStyle name="ปกติ 22" xfId="5" xr:uid="{00000000-0005-0000-0000-000008000000}"/>
    <cellStyle name="ปกติ 3" xfId="8" xr:uid="{00000000-0005-0000-0000-000009000000}"/>
    <cellStyle name="ปกติ 4" xfId="9" xr:uid="{00000000-0005-0000-0000-00000A000000}"/>
    <cellStyle name="ปกติ 5" xfId="10" xr:uid="{00000000-0005-0000-0000-00000B000000}"/>
    <cellStyle name="ปกติ_รายการครุภัณฑ์ ปี 52 ที่แก้ไขเรียงลำดับใหม่ 23 ก.พ.53" xfId="6" xr:uid="{00000000-0005-0000-0000-00000C000000}"/>
  </cellStyles>
  <dxfs count="0"/>
  <tableStyles count="0" defaultTableStyle="TableStyleMedium2" defaultPivotStyle="PivotStyleLight16"/>
  <colors>
    <mruColors>
      <color rgb="FF7030A0"/>
      <color rgb="FF993300"/>
      <color rgb="FF0070C0"/>
      <color rgb="FFFF0066"/>
      <color rgb="FF2F75B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1685923</xdr:colOff>
      <xdr:row>13</xdr:row>
      <xdr:rowOff>95252</xdr:rowOff>
    </xdr:from>
    <xdr:to>
      <xdr:col>11</xdr:col>
      <xdr:colOff>2038346</xdr:colOff>
      <xdr:row>17</xdr:row>
      <xdr:rowOff>285756</xdr:rowOff>
    </xdr:to>
    <xdr:sp macro="" textlink="">
      <xdr:nvSpPr>
        <xdr:cNvPr id="2" name="กล่องข้อความ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 rot="5400000">
          <a:off x="10996608" y="5024442"/>
          <a:ext cx="1409704" cy="35242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เอกสารประกอบที่ 3</a:t>
          </a:r>
          <a:endParaRPr lang="en-US" sz="1600"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70C0"/>
  </sheetPr>
  <dimension ref="A1:P19"/>
  <sheetViews>
    <sheetView tabSelected="1" zoomScaleNormal="100" workbookViewId="0">
      <selection activeCell="M4" sqref="M4"/>
    </sheetView>
  </sheetViews>
  <sheetFormatPr defaultColWidth="9" defaultRowHeight="24" customHeight="1"/>
  <cols>
    <col min="1" max="1" width="6.140625" style="2" customWidth="1"/>
    <col min="2" max="2" width="12.85546875" style="2" customWidth="1"/>
    <col min="3" max="3" width="29.5703125" style="2" customWidth="1"/>
    <col min="4" max="4" width="32.28515625" style="2" customWidth="1"/>
    <col min="5" max="5" width="8" style="2" customWidth="1"/>
    <col min="6" max="6" width="8.7109375" style="2" customWidth="1"/>
    <col min="7" max="7" width="7.85546875" style="2" customWidth="1"/>
    <col min="8" max="8" width="7.28515625" style="2" customWidth="1"/>
    <col min="9" max="9" width="6.7109375" style="2" customWidth="1"/>
    <col min="10" max="10" width="13" style="2" customWidth="1"/>
    <col min="11" max="11" width="15.140625" style="2" customWidth="1"/>
    <col min="12" max="12" width="34.5703125" style="6" customWidth="1"/>
    <col min="13" max="13" width="18.28515625" style="2" customWidth="1"/>
    <col min="14" max="14" width="12.7109375" style="2" customWidth="1"/>
    <col min="15" max="15" width="9" style="2"/>
    <col min="16" max="16" width="12.42578125" style="2" bestFit="1" customWidth="1"/>
    <col min="17" max="16384" width="9" style="2"/>
  </cols>
  <sheetData>
    <row r="1" spans="1:14" ht="24" customHeight="1">
      <c r="L1" s="28" t="s">
        <v>40</v>
      </c>
    </row>
    <row r="2" spans="1:14" ht="24" customHeight="1">
      <c r="A2" s="46" t="s">
        <v>7</v>
      </c>
      <c r="B2" s="46"/>
      <c r="C2" s="46"/>
      <c r="D2" s="46"/>
      <c r="E2" s="46"/>
      <c r="F2" s="46"/>
      <c r="G2" s="46"/>
      <c r="H2" s="46"/>
      <c r="I2" s="46"/>
      <c r="J2" s="46"/>
      <c r="K2" s="46"/>
      <c r="L2" s="46"/>
      <c r="M2" s="28"/>
    </row>
    <row r="3" spans="1:14" ht="24" customHeight="1">
      <c r="A3" s="47" t="s">
        <v>19</v>
      </c>
      <c r="B3" s="47"/>
      <c r="C3" s="47"/>
      <c r="D3" s="47"/>
      <c r="E3" s="47"/>
      <c r="F3" s="47"/>
      <c r="G3" s="47"/>
      <c r="H3" s="47"/>
      <c r="I3" s="47"/>
      <c r="J3" s="47"/>
      <c r="K3" s="47"/>
      <c r="L3" s="47"/>
      <c r="M3" s="29"/>
    </row>
    <row r="4" spans="1:14" ht="24" customHeight="1">
      <c r="A4" s="48" t="s">
        <v>39</v>
      </c>
      <c r="B4" s="48"/>
      <c r="C4" s="48"/>
      <c r="D4" s="48"/>
      <c r="E4" s="48"/>
      <c r="F4" s="48"/>
      <c r="G4" s="48"/>
      <c r="H4" s="48"/>
      <c r="I4" s="48"/>
      <c r="J4" s="48"/>
      <c r="K4" s="48"/>
      <c r="L4" s="48"/>
      <c r="M4" s="26"/>
    </row>
    <row r="5" spans="1:14" ht="24" customHeight="1">
      <c r="A5" s="41" t="s">
        <v>21</v>
      </c>
      <c r="B5" s="41" t="s">
        <v>18</v>
      </c>
      <c r="C5" s="41" t="s">
        <v>15</v>
      </c>
      <c r="D5" s="49" t="s">
        <v>0</v>
      </c>
      <c r="E5" s="41" t="s">
        <v>10</v>
      </c>
      <c r="F5" s="41" t="s">
        <v>9</v>
      </c>
      <c r="G5" s="51" t="s">
        <v>11</v>
      </c>
      <c r="H5" s="53" t="s">
        <v>1</v>
      </c>
      <c r="I5" s="54"/>
      <c r="J5" s="41" t="s">
        <v>14</v>
      </c>
      <c r="K5" s="41" t="s">
        <v>8</v>
      </c>
      <c r="L5" s="41" t="s">
        <v>13</v>
      </c>
      <c r="M5" s="27"/>
    </row>
    <row r="6" spans="1:14" ht="58.5" customHeight="1">
      <c r="A6" s="42"/>
      <c r="B6" s="42"/>
      <c r="C6" s="42"/>
      <c r="D6" s="50"/>
      <c r="E6" s="42"/>
      <c r="F6" s="42"/>
      <c r="G6" s="52"/>
      <c r="H6" s="13" t="s">
        <v>12</v>
      </c>
      <c r="I6" s="11" t="s">
        <v>3</v>
      </c>
      <c r="J6" s="42"/>
      <c r="K6" s="42"/>
      <c r="L6" s="42"/>
      <c r="M6" s="19"/>
      <c r="N6" s="15"/>
    </row>
    <row r="7" spans="1:14" ht="24" customHeight="1">
      <c r="A7" s="8">
        <v>1</v>
      </c>
      <c r="B7" s="14">
        <v>2539</v>
      </c>
      <c r="C7" s="23" t="s">
        <v>22</v>
      </c>
      <c r="D7" s="12" t="s">
        <v>23</v>
      </c>
      <c r="E7" s="4" t="s">
        <v>24</v>
      </c>
      <c r="F7" s="4">
        <v>26</v>
      </c>
      <c r="G7" s="36" t="s">
        <v>35</v>
      </c>
      <c r="H7" s="10">
        <v>1</v>
      </c>
      <c r="I7" s="10">
        <v>1</v>
      </c>
      <c r="J7" s="9">
        <v>2300</v>
      </c>
      <c r="K7" s="9">
        <f>SUM(I7*J7)</f>
        <v>2300</v>
      </c>
      <c r="L7" s="39" t="s">
        <v>28</v>
      </c>
      <c r="M7" s="19"/>
      <c r="N7" s="15"/>
    </row>
    <row r="8" spans="1:14" ht="24" customHeight="1">
      <c r="A8" s="8">
        <v>2</v>
      </c>
      <c r="B8" s="14">
        <v>2540</v>
      </c>
      <c r="C8" s="3" t="s">
        <v>29</v>
      </c>
      <c r="D8" s="1" t="s">
        <v>30</v>
      </c>
      <c r="E8" s="4" t="s">
        <v>24</v>
      </c>
      <c r="F8" s="4">
        <v>25</v>
      </c>
      <c r="G8" s="36" t="s">
        <v>35</v>
      </c>
      <c r="H8" s="10">
        <v>1</v>
      </c>
      <c r="I8" s="10">
        <v>1</v>
      </c>
      <c r="J8" s="9">
        <v>2200</v>
      </c>
      <c r="K8" s="9">
        <f t="shared" ref="K8:K11" si="0">SUM(I8*J8)</f>
        <v>2200</v>
      </c>
      <c r="L8" s="39" t="s">
        <v>37</v>
      </c>
      <c r="M8" s="19"/>
      <c r="N8" s="15"/>
    </row>
    <row r="9" spans="1:14" ht="24" customHeight="1">
      <c r="A9" s="8">
        <v>3</v>
      </c>
      <c r="B9" s="14">
        <v>2546</v>
      </c>
      <c r="C9" s="3" t="s">
        <v>31</v>
      </c>
      <c r="D9" s="1" t="s">
        <v>30</v>
      </c>
      <c r="E9" s="4" t="s">
        <v>32</v>
      </c>
      <c r="F9" s="4">
        <v>19</v>
      </c>
      <c r="G9" s="36" t="s">
        <v>35</v>
      </c>
      <c r="H9" s="10">
        <v>1</v>
      </c>
      <c r="I9" s="10">
        <v>1</v>
      </c>
      <c r="J9" s="9">
        <v>2600</v>
      </c>
      <c r="K9" s="9">
        <f t="shared" si="0"/>
        <v>2600</v>
      </c>
      <c r="L9" s="39" t="s">
        <v>37</v>
      </c>
      <c r="M9" s="19"/>
      <c r="N9" s="15"/>
    </row>
    <row r="10" spans="1:14" ht="24" customHeight="1">
      <c r="A10" s="8">
        <v>4</v>
      </c>
      <c r="B10" s="14">
        <v>2546</v>
      </c>
      <c r="C10" s="3" t="s">
        <v>33</v>
      </c>
      <c r="D10" s="1" t="s">
        <v>34</v>
      </c>
      <c r="E10" s="4" t="s">
        <v>32</v>
      </c>
      <c r="F10" s="4">
        <v>19</v>
      </c>
      <c r="G10" s="36" t="s">
        <v>35</v>
      </c>
      <c r="H10" s="10">
        <v>1</v>
      </c>
      <c r="I10" s="10">
        <v>1</v>
      </c>
      <c r="J10" s="9">
        <v>2300</v>
      </c>
      <c r="K10" s="9">
        <f t="shared" si="0"/>
        <v>2300</v>
      </c>
      <c r="L10" s="39" t="s">
        <v>38</v>
      </c>
      <c r="M10" s="21"/>
      <c r="N10" s="15"/>
    </row>
    <row r="11" spans="1:14" ht="24" customHeight="1">
      <c r="A11" s="8">
        <v>5</v>
      </c>
      <c r="B11" s="11">
        <v>2547</v>
      </c>
      <c r="C11" s="31" t="s">
        <v>25</v>
      </c>
      <c r="D11" s="32" t="s">
        <v>26</v>
      </c>
      <c r="E11" s="33" t="s">
        <v>27</v>
      </c>
      <c r="F11" s="33">
        <v>18</v>
      </c>
      <c r="G11" s="37" t="s">
        <v>35</v>
      </c>
      <c r="H11" s="34">
        <v>1</v>
      </c>
      <c r="I11" s="34">
        <v>1</v>
      </c>
      <c r="J11" s="35">
        <v>29000</v>
      </c>
      <c r="K11" s="9">
        <f t="shared" si="0"/>
        <v>29000</v>
      </c>
      <c r="L11" s="38" t="s">
        <v>36</v>
      </c>
      <c r="M11" s="21"/>
      <c r="N11" s="15"/>
    </row>
    <row r="12" spans="1:14" ht="24" customHeight="1" thickBot="1">
      <c r="A12" s="43" t="s">
        <v>6</v>
      </c>
      <c r="B12" s="44"/>
      <c r="C12" s="44"/>
      <c r="D12" s="44"/>
      <c r="E12" s="44"/>
      <c r="F12" s="44"/>
      <c r="G12" s="44"/>
      <c r="H12" s="44"/>
      <c r="I12" s="44"/>
      <c r="J12" s="45"/>
      <c r="K12" s="25">
        <f>SUM(K7:K11)</f>
        <v>38400</v>
      </c>
      <c r="L12" s="30"/>
      <c r="M12" s="21"/>
      <c r="N12" s="15"/>
    </row>
    <row r="13" spans="1:14" ht="24" customHeight="1" thickTop="1">
      <c r="A13" s="5"/>
      <c r="B13" s="5"/>
      <c r="C13" s="5"/>
      <c r="D13" s="5"/>
      <c r="E13" s="5"/>
      <c r="F13" s="5"/>
      <c r="G13" s="5"/>
      <c r="H13" s="5"/>
      <c r="I13" s="22"/>
      <c r="J13" s="5"/>
      <c r="K13" s="5"/>
      <c r="L13" s="7"/>
      <c r="M13" s="5"/>
      <c r="N13" s="15"/>
    </row>
    <row r="14" spans="1:14" ht="24" customHeight="1">
      <c r="A14" s="5"/>
      <c r="B14" s="24" t="s">
        <v>2</v>
      </c>
      <c r="C14" s="16" t="s">
        <v>16</v>
      </c>
      <c r="D14" s="5"/>
      <c r="E14" s="5"/>
      <c r="F14" s="5"/>
      <c r="G14" s="5"/>
      <c r="H14" s="5"/>
      <c r="L14" s="20"/>
      <c r="M14" s="5"/>
      <c r="N14" s="15"/>
    </row>
    <row r="15" spans="1:14" ht="24" customHeight="1">
      <c r="A15" s="5"/>
      <c r="B15" s="26"/>
      <c r="C15" s="16" t="s">
        <v>17</v>
      </c>
      <c r="D15" s="5"/>
      <c r="E15" s="5"/>
      <c r="F15" s="5"/>
      <c r="G15" s="5"/>
      <c r="H15" s="5"/>
      <c r="I15" s="40" t="s">
        <v>41</v>
      </c>
      <c r="J15" s="40"/>
      <c r="K15" s="40"/>
      <c r="L15" s="20"/>
      <c r="M15" s="5"/>
    </row>
    <row r="16" spans="1:14" ht="24" customHeight="1">
      <c r="A16" s="5"/>
      <c r="D16" s="17"/>
      <c r="E16" s="18"/>
      <c r="F16" s="18"/>
      <c r="G16" s="5"/>
      <c r="H16" s="5"/>
      <c r="I16" s="40" t="s">
        <v>41</v>
      </c>
      <c r="J16" s="40"/>
      <c r="K16" s="40"/>
      <c r="L16" s="20"/>
      <c r="M16" s="26"/>
    </row>
    <row r="17" spans="9:16" ht="24" customHeight="1">
      <c r="I17" s="40" t="s">
        <v>4</v>
      </c>
      <c r="J17" s="40"/>
      <c r="K17" s="40"/>
      <c r="M17" s="26"/>
      <c r="P17" s="15"/>
    </row>
    <row r="18" spans="9:16" ht="24" customHeight="1">
      <c r="I18" s="40" t="s">
        <v>20</v>
      </c>
      <c r="J18" s="40"/>
      <c r="K18" s="40"/>
      <c r="M18" s="26"/>
    </row>
    <row r="19" spans="9:16" ht="24" customHeight="1">
      <c r="I19" s="40" t="s">
        <v>5</v>
      </c>
      <c r="J19" s="40"/>
      <c r="K19" s="40"/>
    </row>
  </sheetData>
  <mergeCells count="20">
    <mergeCell ref="A2:L2"/>
    <mergeCell ref="A3:L3"/>
    <mergeCell ref="A4:L4"/>
    <mergeCell ref="A5:A6"/>
    <mergeCell ref="B5:B6"/>
    <mergeCell ref="C5:C6"/>
    <mergeCell ref="D5:D6"/>
    <mergeCell ref="E5:E6"/>
    <mergeCell ref="F5:F6"/>
    <mergeCell ref="G5:G6"/>
    <mergeCell ref="H5:I5"/>
    <mergeCell ref="J5:J6"/>
    <mergeCell ref="I18:K18"/>
    <mergeCell ref="I19:K19"/>
    <mergeCell ref="I17:K17"/>
    <mergeCell ref="K5:K6"/>
    <mergeCell ref="L5:L6"/>
    <mergeCell ref="A12:J12"/>
    <mergeCell ref="I15:K15"/>
    <mergeCell ref="I16:K16"/>
  </mergeCells>
  <printOptions horizontalCentered="1"/>
  <pageMargins left="0.19685039370078741" right="0" top="0.59055118110236227" bottom="0.19685039370078741" header="0" footer="0"/>
  <pageSetup paperSize="9" scale="80" orientation="landscape" horizontalDpi="360" verticalDpi="36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งานแนะแนว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AP2017</dc:creator>
  <cp:lastModifiedBy>Pasdoo</cp:lastModifiedBy>
  <cp:lastPrinted>2022-10-18T02:47:39Z</cp:lastPrinted>
  <dcterms:created xsi:type="dcterms:W3CDTF">2017-11-14T01:32:33Z</dcterms:created>
  <dcterms:modified xsi:type="dcterms:W3CDTF">2022-10-18T02:49:11Z</dcterms:modified>
</cp:coreProperties>
</file>