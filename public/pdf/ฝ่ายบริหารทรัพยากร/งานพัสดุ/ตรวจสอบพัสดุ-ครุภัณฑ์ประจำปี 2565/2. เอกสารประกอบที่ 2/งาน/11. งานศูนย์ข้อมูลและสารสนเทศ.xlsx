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2\งาน\"/>
    </mc:Choice>
  </mc:AlternateContent>
  <xr:revisionPtr revIDLastSave="0" documentId="13_ncr:1_{F93BEC18-C7DF-4E53-966A-C81B107E289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ศูนย์ข้อมูลฯ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6" i="15" l="1"/>
  <c r="H25" i="15"/>
  <c r="H5" i="15" l="1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7" i="15" s="1"/>
</calcChain>
</file>

<file path=xl/sharedStrings.xml><?xml version="1.0" encoding="utf-8"?>
<sst xmlns="http://schemas.openxmlformats.org/spreadsheetml/2006/main" count="81" uniqueCount="61">
  <si>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</si>
  <si>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</si>
  <si>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</si>
  <si>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</si>
  <si>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</si>
  <si>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</si>
  <si>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เครื่องสำรองไฟฟ้า</t>
  </si>
  <si>
    <t>คอมพิวเตอร์โน๊ตบุ๊ค</t>
  </si>
  <si>
    <t>อุดหนุน</t>
  </si>
  <si>
    <t>....................................................</t>
  </si>
  <si>
    <t>หัวหน้าหน่วยจ่าย/หน่วยเบิก</t>
  </si>
  <si>
    <t>4140-001-0001/493-039</t>
  </si>
  <si>
    <t>7440-001-0001/531-071</t>
  </si>
  <si>
    <t>6340-010-0001/531-001-006</t>
  </si>
  <si>
    <t>5850-003-0001/531-001-002</t>
  </si>
  <si>
    <t>7440-010-0011/531-001</t>
  </si>
  <si>
    <t>7440-010-0012/531-001</t>
  </si>
  <si>
    <t>7110-006-0006/531-016</t>
  </si>
  <si>
    <t>7110-002-0006/531-030</t>
  </si>
  <si>
    <t>7110-007-0004/531-009</t>
  </si>
  <si>
    <t>6130-001-0001/531-010</t>
  </si>
  <si>
    <t>7440-010-0014/531-001-005</t>
  </si>
  <si>
    <t>7440-010-0015/531-001-005</t>
  </si>
  <si>
    <t>7440-010-0016/576-001</t>
  </si>
  <si>
    <t>7440-001-0001/576-001-004</t>
  </si>
  <si>
    <t>7430-008-0006/576-001-003</t>
  </si>
  <si>
    <t>7440-001-0003/586-001(3)</t>
  </si>
  <si>
    <t>7440-001-0001/586-001(2)</t>
  </si>
  <si>
    <t xml:space="preserve">พัดลมตั้งพื้น 16 นิ้ว MD </t>
  </si>
  <si>
    <t>เครื่องคอมพิวเตอร์แม่ข่าย IBM Server</t>
  </si>
  <si>
    <t>Media Converter Single mode</t>
  </si>
  <si>
    <t>ตู้ Rack ขนาด  9  นิ้ว  แบบแขวน</t>
  </si>
  <si>
    <t>อุปกรณ์จัดเก็บ  Log File</t>
  </si>
  <si>
    <t>อุปกรณ์บริหารจัดการเครือข่าย  และอินเตอร์เน็ต</t>
  </si>
  <si>
    <t>เก้าอี้ (ขาเหล็ก)  5 แฉก</t>
  </si>
  <si>
    <t>ตู้  2บานเลื่อนกระจก</t>
  </si>
  <si>
    <t>โต๊ะเหล็ก  4  ฟุต</t>
  </si>
  <si>
    <t>เครื่องแปลงสัญญาณอินเตอร์เน็ต8  ช่อง</t>
  </si>
  <si>
    <t>เครื่องแปลงสัญญาณอินเตอร์ แบบไร้สาย</t>
  </si>
  <si>
    <t>UPS True online SYNDOME</t>
  </si>
  <si>
    <t>เครื่องพิมพ์ HP Laserjet P1102</t>
  </si>
  <si>
    <t>เครื่องไมโครคอมพิวเตอร์ Acer tc-605 18.5 led</t>
  </si>
  <si>
    <t>รวมเป็นเงิน</t>
  </si>
  <si>
    <t>4120-001-0001/632-001</t>
  </si>
  <si>
    <t>แอร์ 1200 BTU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</si>
  <si>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</si>
  <si>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</si>
  <si>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</si>
  <si>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</si>
  <si>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</si>
  <si>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</si>
  <si>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</si>
  <si>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โปรแกรมจัดเก็บ Log File ตามพรบ. คอมพิวเตอร์ พ.ศ.2552</t>
  </si>
  <si>
    <t>7440-009-0006/642-001</t>
  </si>
  <si>
    <t>อุปกรณ์กระจายสัญญาณ (ขนาด 24 ช่อง)</t>
  </si>
  <si>
    <t>7440-001-0013/642-001</t>
  </si>
  <si>
    <t>อุปกรณ์กระจายสัญญาณไร้สาย</t>
  </si>
  <si>
    <t>บัญชีรายการ งานศูนย์ข้อมูลและสารสนเทศ  คงเหลือ</t>
  </si>
  <si>
    <t>6130-001-0001/642-001</t>
  </si>
  <si>
    <t>ประจำปี 2565  ณ วันที่ 30 กันยายน 2565</t>
  </si>
  <si>
    <t>(นายณัทพงศ์  โยธี)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</si>
</sst>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36">
    <xf numFmtId="0" fontId="0" fillId="0" borderId="0" xfId="0"/>
    <xf numFmtId="0" fontId="5" fillId="0" borderId="0" xfId="0" applyFont="1"/>
    <xf numFmtId="49" fontId="2" fillId="0" borderId="1" xfId="8" applyNumberFormat="1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5" fillId="0" borderId="1" xfId="0" applyFont="1" applyBorder="1"/>
    <xf numFmtId="0" fontId="4" fillId="0" borderId="1" xfId="2" applyFont="1" applyBorder="1" applyAlignment="1">
      <alignment horizontal="center"/>
    </xf>
    <xf numFmtId="0" fontId="4" fillId="0" borderId="1" xfId="5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43" fontId="4" fillId="0" borderId="1" xfId="1" applyFont="1" applyBorder="1"/>
    <xf numFmtId="43" fontId="5" fillId="0" borderId="1" xfId="1" applyFont="1" applyBorder="1"/>
    <xf numFmtId="49" fontId="4" fillId="0" borderId="1" xfId="0" applyNumberFormat="1" applyFont="1" applyBorder="1" applyAlignment="1">
      <alignment horizontal="left"/>
    </xf>
    <xf numFmtId="43" fontId="4" fillId="0" borderId="1" xfId="5" applyNumberFormat="1" applyFont="1" applyBorder="1" applyAlignment="1"/>
    <xf numFmtId="15" fontId="5" fillId="0" borderId="1" xfId="0" applyNumberFormat="1" applyFont="1" applyBorder="1" applyAlignment="1">
      <alignment horizontal="center"/>
    </xf>
    <xf numFmtId="43" fontId="4" fillId="0" borderId="0" xfId="5" applyNumberFormat="1" applyFont="1" applyBorder="1" applyAlignment="1"/>
    <xf numFmtId="0" fontId="5" fillId="0" borderId="1" xfId="0" applyFont="1" applyBorder="1" applyAlignment="1">
      <alignment horizontal="center" vertical="center"/>
    </xf>
    <xf numFmtId="0" fontId="4" fillId="0" borderId="1" xfId="6" applyFont="1" applyBorder="1" applyAlignment="1">
      <alignment horizontal="left" vertical="center"/>
    </xf>
    <xf numFmtId="49" fontId="4" fillId="0" borderId="1" xfId="8" applyNumberFormat="1" applyFont="1" applyBorder="1" applyAlignment="1">
      <alignment horizontal="left"/>
    </xf>
    <xf numFmtId="0" fontId="4" fillId="2" borderId="1" xfId="6" applyFont="1" applyFill="1" applyBorder="1" applyAlignment="1">
      <alignment horizontal="center"/>
    </xf>
    <xf numFmtId="43" fontId="4" fillId="0" borderId="1" xfId="1" applyFont="1" applyBorder="1" applyAlignme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5" xfId="2" applyFont="1" applyFill="1" applyBorder="1" applyAlignment="1">
      <alignment horizontal="center"/>
    </xf>
    <xf numFmtId="0" fontId="4" fillId="0" borderId="7" xfId="6" applyFont="1" applyBorder="1" applyAlignment="1">
      <alignment horizontal="left" vertical="center"/>
    </xf>
    <xf numFmtId="43" fontId="4" fillId="0" borderId="0" xfId="1" applyFont="1" applyBorder="1" applyAlignment="1"/>
    <xf numFmtId="0" fontId="4" fillId="0" borderId="6" xfId="6" applyFont="1" applyBorder="1" applyAlignment="1">
      <alignment horizontal="left" vertical="center"/>
    </xf>
    <xf numFmtId="43" fontId="4" fillId="0" borderId="8" xfId="1" applyFont="1" applyBorder="1" applyAlignment="1">
      <alignment horizontal="center"/>
    </xf>
    <xf numFmtId="15" fontId="4" fillId="0" borderId="1" xfId="7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 applyProtection="1">
      <alignment horizontal="center"/>
      <protection locked="0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647701</xdr:colOff>
      <xdr:row>0</xdr:row>
      <xdr:rowOff>133350</xdr:rowOff>
    </xdr:from>
    <xdr:to>
      <xdr:col>8</xdr:col>
      <xdr:colOff>390526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67601" y="133350"/>
          <a:ext cx="14478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3300"/>
  </sheetPr>
  <dimension ref="A1:I32"/>
  <sheetViews>
    <sheetView tabSelected="1" zoomScaleNormal="100" workbookViewId="0">
      <selection activeCell="D33" sqref="D33"/>
    </sheetView>
  </sheetViews>
  <sheetFormatPr defaultColWidth="9" defaultRowHeight="24"/>
  <cols>
    <col min="1" max="1" width="5.42578125" style="1" customWidth="1"/>
    <col min="2" max="2" width="11.28515625" style="29" customWidth="1"/>
    <col min="3" max="3" width="28" style="1" customWidth="1"/>
    <col min="4" max="4" width="43.7109375" style="1" customWidth="1"/>
    <col min="5" max="5" width="7.28515625" style="1" customWidth="1"/>
    <col min="6" max="6" width="6.140625" style="1" customWidth="1"/>
    <col min="7" max="7" width="12.42578125" style="1" customWidth="1"/>
    <col min="8" max="8" width="12.7109375" style="1" customWidth="1"/>
    <col min="9" max="9" width="9.140625" style="1" customWidth="1"/>
    <col min="10" max="16384" width="9" style="1"/>
  </cols>
  <sheetData>
    <row r="1" spans="1:9" ht="23.25" customHeight="1">
      <c r="A1" s="31" t="s">
        <v>3</v>
      </c>
      <c r="B1" s="31"/>
      <c r="C1" s="31"/>
      <c r="D1" s="31"/>
      <c r="E1" s="31"/>
      <c r="F1" s="31"/>
      <c r="G1" s="31"/>
      <c r="H1" s="31"/>
      <c r="I1" s="31"/>
    </row>
    <row r="2" spans="1:9" ht="23.25" customHeight="1">
      <c r="A2" s="31" t="s">
        <v>57</v>
      </c>
      <c r="B2" s="31"/>
      <c r="C2" s="31"/>
      <c r="D2" s="31"/>
      <c r="E2" s="31"/>
      <c r="F2" s="31"/>
      <c r="G2" s="31"/>
      <c r="H2" s="31"/>
      <c r="I2" s="31"/>
    </row>
    <row r="3" spans="1:9" ht="23.25" customHeight="1">
      <c r="A3" s="32" t="s">
        <v>59</v>
      </c>
      <c r="B3" s="32"/>
      <c r="C3" s="32"/>
      <c r="D3" s="32"/>
      <c r="E3" s="32"/>
      <c r="F3" s="32"/>
      <c r="G3" s="32"/>
      <c r="H3" s="32"/>
      <c r="I3" s="32"/>
    </row>
    <row r="4" spans="1:9" s="3" customFormat="1" ht="43.5" customHeight="1">
      <c r="A4" s="19" t="s">
        <v>46</v>
      </c>
      <c r="B4" s="19" t="s">
        <v>49</v>
      </c>
      <c r="C4" s="19" t="s">
        <v>50</v>
      </c>
      <c r="D4" s="14" t="s">
        <v>0</v>
      </c>
      <c r="E4" s="19" t="s">
        <v>47</v>
      </c>
      <c r="F4" s="14" t="s">
        <v>1</v>
      </c>
      <c r="G4" s="19" t="s">
        <v>48</v>
      </c>
      <c r="H4" s="19" t="s">
        <v>51</v>
      </c>
      <c r="I4" s="14" t="s">
        <v>2</v>
      </c>
    </row>
    <row r="5" spans="1:9">
      <c r="A5" s="21">
        <v>1</v>
      </c>
      <c r="B5" s="21">
        <v>2549</v>
      </c>
      <c r="C5" s="25" t="s">
        <v>11</v>
      </c>
      <c r="D5" s="23" t="s">
        <v>28</v>
      </c>
      <c r="E5" s="5" t="s">
        <v>45</v>
      </c>
      <c r="F5" s="6">
        <v>1</v>
      </c>
      <c r="G5" s="26">
        <v>780</v>
      </c>
      <c r="H5" s="26">
        <f>SUM(F5*G5)</f>
        <v>780</v>
      </c>
      <c r="I5" s="17"/>
    </row>
    <row r="6" spans="1:9">
      <c r="A6" s="21">
        <v>2</v>
      </c>
      <c r="B6" s="21">
        <v>2553</v>
      </c>
      <c r="C6" s="15" t="s">
        <v>12</v>
      </c>
      <c r="D6" s="15" t="s">
        <v>29</v>
      </c>
      <c r="E6" s="5" t="s">
        <v>4</v>
      </c>
      <c r="F6" s="6">
        <v>1</v>
      </c>
      <c r="G6" s="7">
        <v>90000</v>
      </c>
      <c r="H6" s="26">
        <f t="shared" ref="H6:H22" si="0">SUM(F6*G6)</f>
        <v>90000</v>
      </c>
      <c r="I6" s="17"/>
    </row>
    <row r="7" spans="1:9">
      <c r="A7" s="21">
        <v>3</v>
      </c>
      <c r="B7" s="21">
        <v>2553</v>
      </c>
      <c r="C7" s="15" t="s">
        <v>13</v>
      </c>
      <c r="D7" s="15" t="s">
        <v>30</v>
      </c>
      <c r="E7" s="5" t="s">
        <v>4</v>
      </c>
      <c r="F7" s="6">
        <v>6</v>
      </c>
      <c r="G7" s="7">
        <v>5250</v>
      </c>
      <c r="H7" s="26">
        <f t="shared" si="0"/>
        <v>31500</v>
      </c>
      <c r="I7" s="17"/>
    </row>
    <row r="8" spans="1:9">
      <c r="A8" s="21">
        <v>4</v>
      </c>
      <c r="B8" s="21">
        <v>2553</v>
      </c>
      <c r="C8" s="15" t="s">
        <v>14</v>
      </c>
      <c r="D8" s="15" t="s">
        <v>31</v>
      </c>
      <c r="E8" s="5" t="s">
        <v>4</v>
      </c>
      <c r="F8" s="6">
        <v>2</v>
      </c>
      <c r="G8" s="7">
        <v>5800</v>
      </c>
      <c r="H8" s="26">
        <f t="shared" si="0"/>
        <v>11600</v>
      </c>
      <c r="I8" s="17"/>
    </row>
    <row r="9" spans="1:9">
      <c r="A9" s="21">
        <v>5</v>
      </c>
      <c r="B9" s="21">
        <v>2553</v>
      </c>
      <c r="C9" s="15" t="s">
        <v>15</v>
      </c>
      <c r="D9" s="15" t="s">
        <v>32</v>
      </c>
      <c r="E9" s="5" t="s">
        <v>4</v>
      </c>
      <c r="F9" s="6">
        <v>1</v>
      </c>
      <c r="G9" s="7">
        <v>75900</v>
      </c>
      <c r="H9" s="26">
        <f t="shared" si="0"/>
        <v>75900</v>
      </c>
      <c r="I9" s="17"/>
    </row>
    <row r="10" spans="1:9">
      <c r="A10" s="21">
        <v>6</v>
      </c>
      <c r="B10" s="21">
        <v>2553</v>
      </c>
      <c r="C10" s="15" t="s">
        <v>16</v>
      </c>
      <c r="D10" s="15" t="s">
        <v>33</v>
      </c>
      <c r="E10" s="5" t="s">
        <v>4</v>
      </c>
      <c r="F10" s="6">
        <v>1</v>
      </c>
      <c r="G10" s="7">
        <v>122600</v>
      </c>
      <c r="H10" s="26">
        <f t="shared" si="0"/>
        <v>122600</v>
      </c>
      <c r="I10" s="17"/>
    </row>
    <row r="11" spans="1:9">
      <c r="A11" s="21">
        <v>7</v>
      </c>
      <c r="B11" s="21">
        <v>2553</v>
      </c>
      <c r="C11" s="15" t="s">
        <v>17</v>
      </c>
      <c r="D11" s="15" t="s">
        <v>34</v>
      </c>
      <c r="E11" s="5" t="s">
        <v>4</v>
      </c>
      <c r="F11" s="6">
        <v>1</v>
      </c>
      <c r="G11" s="7">
        <v>1100</v>
      </c>
      <c r="H11" s="26">
        <f t="shared" si="0"/>
        <v>1100</v>
      </c>
      <c r="I11" s="17"/>
    </row>
    <row r="12" spans="1:9">
      <c r="A12" s="21">
        <v>8</v>
      </c>
      <c r="B12" s="21">
        <v>2553</v>
      </c>
      <c r="C12" s="15" t="s">
        <v>18</v>
      </c>
      <c r="D12" s="15" t="s">
        <v>35</v>
      </c>
      <c r="E12" s="5" t="s">
        <v>4</v>
      </c>
      <c r="F12" s="6">
        <v>1</v>
      </c>
      <c r="G12" s="7">
        <v>3000</v>
      </c>
      <c r="H12" s="26">
        <f t="shared" si="0"/>
        <v>3000</v>
      </c>
      <c r="I12" s="17"/>
    </row>
    <row r="13" spans="1:9">
      <c r="A13" s="21">
        <v>9</v>
      </c>
      <c r="B13" s="21">
        <v>2553</v>
      </c>
      <c r="C13" s="15" t="s">
        <v>19</v>
      </c>
      <c r="D13" s="15" t="s">
        <v>36</v>
      </c>
      <c r="E13" s="5" t="s">
        <v>4</v>
      </c>
      <c r="F13" s="6">
        <v>1</v>
      </c>
      <c r="G13" s="7">
        <v>3750</v>
      </c>
      <c r="H13" s="26">
        <f t="shared" si="0"/>
        <v>3750</v>
      </c>
      <c r="I13" s="17"/>
    </row>
    <row r="14" spans="1:9">
      <c r="A14" s="21">
        <v>10</v>
      </c>
      <c r="B14" s="21">
        <v>2553</v>
      </c>
      <c r="C14" s="16" t="s">
        <v>20</v>
      </c>
      <c r="D14" s="16" t="s">
        <v>6</v>
      </c>
      <c r="E14" s="5" t="s">
        <v>4</v>
      </c>
      <c r="F14" s="6">
        <v>1</v>
      </c>
      <c r="G14" s="7">
        <v>2590</v>
      </c>
      <c r="H14" s="26">
        <f t="shared" si="0"/>
        <v>2590</v>
      </c>
      <c r="I14" s="17"/>
    </row>
    <row r="15" spans="1:9">
      <c r="A15" s="21">
        <v>11</v>
      </c>
      <c r="B15" s="21">
        <v>2553</v>
      </c>
      <c r="C15" s="16" t="s">
        <v>21</v>
      </c>
      <c r="D15" s="16" t="s">
        <v>37</v>
      </c>
      <c r="E15" s="22" t="s">
        <v>4</v>
      </c>
      <c r="F15" s="6">
        <v>5</v>
      </c>
      <c r="G15" s="7">
        <v>1000</v>
      </c>
      <c r="H15" s="26">
        <f t="shared" si="0"/>
        <v>5000</v>
      </c>
      <c r="I15" s="17"/>
    </row>
    <row r="16" spans="1:9">
      <c r="A16" s="21">
        <v>12</v>
      </c>
      <c r="B16" s="21">
        <v>2553</v>
      </c>
      <c r="C16" s="16" t="s">
        <v>22</v>
      </c>
      <c r="D16" s="16" t="s">
        <v>38</v>
      </c>
      <c r="E16" s="5" t="s">
        <v>4</v>
      </c>
      <c r="F16" s="6">
        <v>5</v>
      </c>
      <c r="G16" s="7">
        <v>2500</v>
      </c>
      <c r="H16" s="26">
        <f t="shared" si="0"/>
        <v>12500</v>
      </c>
      <c r="I16" s="17"/>
    </row>
    <row r="17" spans="1:9">
      <c r="A17" s="21">
        <v>13</v>
      </c>
      <c r="B17" s="21">
        <v>2557</v>
      </c>
      <c r="C17" s="16" t="s">
        <v>23</v>
      </c>
      <c r="D17" s="16" t="s">
        <v>39</v>
      </c>
      <c r="E17" s="5" t="s">
        <v>8</v>
      </c>
      <c r="F17" s="6">
        <v>1</v>
      </c>
      <c r="G17" s="7">
        <v>28250</v>
      </c>
      <c r="H17" s="26">
        <f t="shared" si="0"/>
        <v>28250</v>
      </c>
      <c r="I17" s="17"/>
    </row>
    <row r="18" spans="1:9">
      <c r="A18" s="21">
        <v>14</v>
      </c>
      <c r="B18" s="21">
        <v>2557</v>
      </c>
      <c r="C18" s="16" t="s">
        <v>24</v>
      </c>
      <c r="D18" s="16" t="s">
        <v>41</v>
      </c>
      <c r="E18" s="5" t="s">
        <v>8</v>
      </c>
      <c r="F18" s="6">
        <v>4</v>
      </c>
      <c r="G18" s="7">
        <v>13807.5</v>
      </c>
      <c r="H18" s="26">
        <f t="shared" si="0"/>
        <v>55230</v>
      </c>
      <c r="I18" s="17"/>
    </row>
    <row r="19" spans="1:9">
      <c r="A19" s="21">
        <v>15</v>
      </c>
      <c r="B19" s="21">
        <v>2557</v>
      </c>
      <c r="C19" s="16" t="s">
        <v>25</v>
      </c>
      <c r="D19" s="16" t="s">
        <v>40</v>
      </c>
      <c r="E19" s="5" t="s">
        <v>8</v>
      </c>
      <c r="F19" s="6">
        <v>3</v>
      </c>
      <c r="G19" s="7">
        <v>3590</v>
      </c>
      <c r="H19" s="26">
        <f t="shared" si="0"/>
        <v>10770</v>
      </c>
      <c r="I19" s="17"/>
    </row>
    <row r="20" spans="1:9">
      <c r="A20" s="21">
        <v>16</v>
      </c>
      <c r="B20" s="27">
        <v>21316</v>
      </c>
      <c r="C20" s="15" t="s">
        <v>26</v>
      </c>
      <c r="D20" s="15" t="s">
        <v>7</v>
      </c>
      <c r="E20" s="5" t="s">
        <v>8</v>
      </c>
      <c r="F20" s="6">
        <v>3</v>
      </c>
      <c r="G20" s="7">
        <v>25000</v>
      </c>
      <c r="H20" s="26">
        <f t="shared" si="0"/>
        <v>75000</v>
      </c>
      <c r="I20" s="17"/>
    </row>
    <row r="21" spans="1:9">
      <c r="A21" s="21">
        <v>17</v>
      </c>
      <c r="B21" s="27">
        <v>21113</v>
      </c>
      <c r="C21" s="10" t="s">
        <v>27</v>
      </c>
      <c r="D21" s="16" t="s">
        <v>41</v>
      </c>
      <c r="E21" s="5" t="s">
        <v>8</v>
      </c>
      <c r="F21" s="6">
        <v>2</v>
      </c>
      <c r="G21" s="7">
        <v>14000</v>
      </c>
      <c r="H21" s="26">
        <f t="shared" si="0"/>
        <v>28000</v>
      </c>
      <c r="I21" s="17"/>
    </row>
    <row r="22" spans="1:9">
      <c r="A22" s="21">
        <v>18</v>
      </c>
      <c r="B22" s="27">
        <v>21925</v>
      </c>
      <c r="C22" s="10"/>
      <c r="D22" s="2" t="s">
        <v>52</v>
      </c>
      <c r="E22" s="5" t="s">
        <v>8</v>
      </c>
      <c r="F22" s="6">
        <v>1</v>
      </c>
      <c r="G22" s="8">
        <v>10000</v>
      </c>
      <c r="H22" s="26">
        <f t="shared" si="0"/>
        <v>10000</v>
      </c>
      <c r="I22" s="17"/>
    </row>
    <row r="23" spans="1:9">
      <c r="A23" s="21">
        <v>19</v>
      </c>
      <c r="B23" s="27">
        <v>23279</v>
      </c>
      <c r="C23" s="10" t="s">
        <v>43</v>
      </c>
      <c r="D23" s="16" t="s">
        <v>44</v>
      </c>
      <c r="E23" s="5" t="s">
        <v>5</v>
      </c>
      <c r="F23" s="6">
        <v>1</v>
      </c>
      <c r="G23" s="8">
        <v>15000</v>
      </c>
      <c r="H23" s="26">
        <f>SUM(F23*G23)</f>
        <v>15000</v>
      </c>
      <c r="I23" s="17"/>
    </row>
    <row r="24" spans="1:9">
      <c r="A24" s="21">
        <v>20</v>
      </c>
      <c r="B24" s="12">
        <v>23545</v>
      </c>
      <c r="C24" s="4" t="s">
        <v>53</v>
      </c>
      <c r="D24" s="4" t="s">
        <v>54</v>
      </c>
      <c r="E24" s="21" t="s">
        <v>5</v>
      </c>
      <c r="F24" s="21">
        <v>5</v>
      </c>
      <c r="G24" s="9">
        <v>21900</v>
      </c>
      <c r="H24" s="9">
        <f>SUM(F24*G24)</f>
        <v>109500</v>
      </c>
      <c r="I24" s="4"/>
    </row>
    <row r="25" spans="1:9">
      <c r="A25" s="21">
        <v>21</v>
      </c>
      <c r="B25" s="12">
        <v>23545</v>
      </c>
      <c r="C25" s="4" t="s">
        <v>55</v>
      </c>
      <c r="D25" s="4" t="s">
        <v>56</v>
      </c>
      <c r="E25" s="21" t="s">
        <v>5</v>
      </c>
      <c r="F25" s="21">
        <v>10</v>
      </c>
      <c r="G25" s="9">
        <v>12900</v>
      </c>
      <c r="H25" s="9">
        <f>SUM(F25*G25)</f>
        <v>129000</v>
      </c>
      <c r="I25" s="4"/>
    </row>
    <row r="26" spans="1:9">
      <c r="A26" s="21">
        <v>22</v>
      </c>
      <c r="B26" s="12">
        <v>23642</v>
      </c>
      <c r="C26" s="4" t="s">
        <v>58</v>
      </c>
      <c r="D26" s="4" t="s">
        <v>6</v>
      </c>
      <c r="E26" s="21" t="s">
        <v>5</v>
      </c>
      <c r="F26" s="21">
        <v>1</v>
      </c>
      <c r="G26" s="9">
        <v>34900</v>
      </c>
      <c r="H26" s="9">
        <f>SUM(F26*G26)</f>
        <v>34900</v>
      </c>
      <c r="I26" s="4"/>
    </row>
    <row r="27" spans="1:9" ht="22.5" customHeight="1">
      <c r="A27" s="33" t="s">
        <v>42</v>
      </c>
      <c r="B27" s="34"/>
      <c r="C27" s="34"/>
      <c r="D27" s="34"/>
      <c r="E27" s="35"/>
      <c r="F27" s="11"/>
      <c r="G27" s="18"/>
      <c r="H27" s="18">
        <f>SUM(H5:H26)</f>
        <v>855970</v>
      </c>
      <c r="I27" s="21"/>
    </row>
    <row r="28" spans="1:9" ht="23.25" customHeight="1">
      <c r="A28" s="20"/>
      <c r="B28" s="28"/>
      <c r="C28" s="20"/>
      <c r="D28" s="20"/>
      <c r="E28" s="20"/>
      <c r="F28" s="13"/>
      <c r="G28" s="24"/>
      <c r="H28" s="24"/>
      <c r="I28" s="24"/>
    </row>
    <row r="29" spans="1:9" ht="23.25" customHeight="1">
      <c r="A29" s="20"/>
      <c r="B29" s="28"/>
      <c r="C29" s="20"/>
      <c r="D29" s="20"/>
      <c r="E29" s="20"/>
      <c r="F29" s="13"/>
      <c r="G29" s="24"/>
      <c r="H29" s="24"/>
      <c r="I29" s="24"/>
    </row>
    <row r="30" spans="1:9" ht="23.25" customHeight="1">
      <c r="G30" s="30" t="s">
        <v>9</v>
      </c>
      <c r="H30" s="30"/>
      <c r="I30" s="30"/>
    </row>
    <row r="31" spans="1:9" ht="20.25" customHeight="1">
      <c r="G31" s="30" t="s">
        <v>60</v>
      </c>
      <c r="H31" s="30"/>
      <c r="I31" s="30"/>
    </row>
    <row r="32" spans="1:9" ht="20.25" customHeight="1">
      <c r="G32" s="30" t="s">
        <v>10</v>
      </c>
      <c r="H32" s="30"/>
      <c r="I32" s="30"/>
    </row>
  </sheetData>
  <mergeCells count="7">
    <mergeCell ref="G30:I30"/>
    <mergeCell ref="G31:I31"/>
    <mergeCell ref="G32:I32"/>
    <mergeCell ref="A1:I1"/>
    <mergeCell ref="A2:I2"/>
    <mergeCell ref="A3:I3"/>
    <mergeCell ref="A27:E27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งานศูนย์ข้อมูลฯ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2022-10-07T07:32:10Z</cp:lastPrinted>
  <dcterms:created xsi:type="dcterms:W3CDTF">2017-11-14T01:32:33Z</dcterms:created>
  <dcterms:modified xsi:type="dcterms:W3CDTF">2022-10-07T07:32:11Z</dcterms:modified>
</cp:coreProperties>
</file>