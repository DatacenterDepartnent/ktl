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7541C46F-44A4-496F-BE1B-8330E667CFFD}" xr6:coauthVersionLast="47" xr6:coauthVersionMax="47" xr10:uidLastSave="{00000000-0000-0000-0000-000000000000}"/>
  <bookViews>
    <workbookView xWindow="60" yWindow="495" windowWidth="11715" windowHeight="9600" tabRatio="897" xr2:uid="{00000000-000D-0000-FFFF-FFFF00000000}"/>
  </bookViews>
  <sheets>
    <sheet name="งานพัสดุ" sheetId="43" r:id="rId1"/>
  </sheets>
  <definedNames>
    <definedName name="_xlnm.Print_Titles" localSheetId="0">งานพัสดุ!$1:$4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0" i="43" l="1"/>
  <c r="H46" i="43" l="1"/>
  <c r="H45" i="43"/>
  <c r="H44" i="43"/>
  <c r="H6" i="43" l="1"/>
  <c r="H7" i="43"/>
  <c r="H8" i="43"/>
  <c r="H9" i="43"/>
  <c r="H10" i="43"/>
  <c r="H11" i="43"/>
  <c r="H12" i="43"/>
  <c r="H13" i="43"/>
  <c r="H14" i="43"/>
  <c r="H15" i="43"/>
  <c r="H16" i="43"/>
  <c r="H17" i="43"/>
  <c r="H18" i="43"/>
  <c r="H19" i="43"/>
  <c r="H20" i="43"/>
  <c r="H21" i="43"/>
  <c r="H22" i="43"/>
  <c r="H23" i="43"/>
  <c r="H24" i="43"/>
  <c r="H25" i="43"/>
  <c r="H26" i="43"/>
  <c r="H27" i="43"/>
  <c r="H28" i="43"/>
  <c r="H29" i="43"/>
  <c r="H30" i="43"/>
  <c r="H31" i="43"/>
  <c r="H32" i="43"/>
  <c r="H33" i="43"/>
  <c r="H34" i="43"/>
  <c r="H35" i="43"/>
  <c r="H36" i="43"/>
  <c r="H37" i="43"/>
  <c r="H38" i="43"/>
  <c r="H39" i="43"/>
  <c r="H40" i="43"/>
  <c r="H41" i="43"/>
  <c r="H42" i="43"/>
  <c r="H43" i="43"/>
  <c r="H49" i="43"/>
  <c r="H5" i="43"/>
  <c r="H47" i="43" l="1"/>
  <c r="H48" i="43" s="1"/>
  <c r="H51" i="43" s="1"/>
</calcChain>
</file>

<file path=xl/sharedStrings.xml><?xml version="1.0" encoding="utf-8"?>
<sst xmlns="http://schemas.openxmlformats.org/spreadsheetml/2006/main" count="150" uniqueCount="105">
  <si>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</si>
  <si>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</si>
  <si>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</si>
  <si>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</si>
  <si>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7110-007-0004/391-002</t>
  </si>
  <si>
    <t>7430-001-0007/391-001</t>
  </si>
  <si>
    <t>7430-001-0002/391-001</t>
  </si>
  <si>
    <t>7430-001-0005/391-001</t>
  </si>
  <si>
    <t>7125-002-0002/391-003</t>
  </si>
  <si>
    <t>2310-004-0001/391-001</t>
  </si>
  <si>
    <t>7420-001-0001/391-001</t>
  </si>
  <si>
    <t>7110-007-0001/401-002</t>
  </si>
  <si>
    <t>7110-007-0002/401-006</t>
  </si>
  <si>
    <t>7125-002-0002/401-015</t>
  </si>
  <si>
    <t>7110-002-0006/401-007-401-010</t>
  </si>
  <si>
    <t>7110-002-0002/403-003-403-004</t>
  </si>
  <si>
    <t>2320-004-0001/401-001</t>
  </si>
  <si>
    <t>4140-001-0001/442-010</t>
  </si>
  <si>
    <t>6720-005-0002/472-002</t>
  </si>
  <si>
    <t>6720-005-0002/472-001</t>
  </si>
  <si>
    <t>4140-001-0001/483-019</t>
  </si>
  <si>
    <t>7440-001-0001/492-047</t>
  </si>
  <si>
    <t>4140-001-0001/493-037</t>
  </si>
  <si>
    <t>4140-001-0001/493-038</t>
  </si>
  <si>
    <t>7430-008-0002/492-007</t>
  </si>
  <si>
    <t>2320-008-0001/493-001</t>
  </si>
  <si>
    <t>5805-001-0002/502-002</t>
  </si>
  <si>
    <t>7110-002-0005/502-012</t>
  </si>
  <si>
    <t>7440-009-0001/502-005</t>
  </si>
  <si>
    <t>7440-001-0001/502-053-054</t>
  </si>
  <si>
    <t>7440-001-0001/502-059</t>
  </si>
  <si>
    <t>7110-007-0001/502-007-008</t>
  </si>
  <si>
    <t>7125-002-0002/502-007-008</t>
  </si>
  <si>
    <t>7110-002-0006/502-086-087</t>
  </si>
  <si>
    <t>โต๊ะพิมพ์ดีด</t>
  </si>
  <si>
    <t>เครื่องพิมพ์ดีดแบบธรรมดาภาษาไทย  18"</t>
  </si>
  <si>
    <t>เครื่องพิมพ์ดีดแบบธรรมดาภาษาอังกฤษ 18"</t>
  </si>
  <si>
    <t>เครื่องพิมพ์ดีดแบบธรรมดาภาษาไทย  15"</t>
  </si>
  <si>
    <t>ตู้เหล็ก 4  ลิ้นชัก</t>
  </si>
  <si>
    <t>รถยนต์โดยสาร 12 ที่นั่ง</t>
  </si>
  <si>
    <t>เครื่องคำนวนเลข</t>
  </si>
  <si>
    <t>โต๊ะวางเครื่องคอมพิวเตอร์ +เก้าอี้</t>
  </si>
  <si>
    <t>โต๊ะวางเครื่องพิมพ์</t>
  </si>
  <si>
    <t>ตู้เหล็ก  4  ลิ้นชัก</t>
  </si>
  <si>
    <t>ตู้เหล็ก  2  บานเลื่อน</t>
  </si>
  <si>
    <t>ตู้เหล็ก 15 ลิ้นชัก</t>
  </si>
  <si>
    <t>รถบรรทุกหกล้อ</t>
  </si>
  <si>
    <t>พัดลมตั้งโต๊ะ 16"</t>
  </si>
  <si>
    <t>กล้องดิจิตอล</t>
  </si>
  <si>
    <t>พัดลมฮาตาริ 16 "</t>
  </si>
  <si>
    <t>เครื่องคอมพิวเตอร์ GVIEW</t>
  </si>
  <si>
    <t>พัดลมTORY 16 นิ้ว</t>
  </si>
  <si>
    <t>พัดลมตั้งพื้น 16 นิ้ว มิซูมารุ</t>
  </si>
  <si>
    <t>เครื่องปริ้นเตอร์ HP1020</t>
  </si>
  <si>
    <t>รถยนต์ปิคอัพ สีแดง</t>
  </si>
  <si>
    <t>เครื่องโทรศัพท์ มือถือ NOKIA 6080</t>
  </si>
  <si>
    <t>ตู้เหล็ก 2 บานเปิด</t>
  </si>
  <si>
    <t>FLASH DRIVE 2 GB</t>
  </si>
  <si>
    <t>เครื่องคอมพิวเตอร์  จอแบน</t>
  </si>
  <si>
    <t xml:space="preserve">ชุดเครื่องคอมพิวเตอร์  HP </t>
  </si>
  <si>
    <t>โต๊ะวางเครื่องคอมพิวเตอร์พร้อมเก้าอี้</t>
  </si>
  <si>
    <t>งปม.</t>
  </si>
  <si>
    <t>บกศ.</t>
  </si>
  <si>
    <t>7110-006-0008/512-001</t>
  </si>
  <si>
    <t>7110-007-0001/531-001</t>
  </si>
  <si>
    <t>7110-006-0006/531-013</t>
  </si>
  <si>
    <t>7430-008-0002/531-023</t>
  </si>
  <si>
    <t>6130-001-0001/531-008</t>
  </si>
  <si>
    <t>7440-001-0001/531-150</t>
  </si>
  <si>
    <t>เก้าอี้สำนักงาน CA 333A TAIYO</t>
  </si>
  <si>
    <t>โต๊ะคอมพิวเตอร์60*100*75</t>
  </si>
  <si>
    <t>เก้าอี้  (ขาเหล็ก ) 5 แฉก</t>
  </si>
  <si>
    <t>เครื่องปริ้นเตอร์ CANON LBp 3050</t>
  </si>
  <si>
    <t>เครื่องสำรองไฟฟ้า</t>
  </si>
  <si>
    <t>เครื่องคอมพิวเตอร์พร้อมโต๊ะเก้าอี้</t>
  </si>
  <si>
    <t>เบาะนั้งพร้อมขา</t>
  </si>
  <si>
    <t>เครื่องคอมพิวเตอร์ ALL IN ONE</t>
  </si>
  <si>
    <t>หัวหน้าหน่วยจ่าย/หน่วยเบิก</t>
  </si>
  <si>
    <t>..............................................................</t>
  </si>
  <si>
    <t>ตู้เหล็ก 2 บานเลื่อน กระจก</t>
  </si>
  <si>
    <t>ตู้เหล็ก 2 บานเลื่อน ทึบ</t>
  </si>
  <si>
    <t>7110-002-0006/622-005(3)</t>
  </si>
  <si>
    <t>7110-002-0004/622-002(3)</t>
  </si>
  <si>
    <t>3510-007-0001/622-001</t>
  </si>
  <si>
    <t>ปั้มฉีดน้ำแรงดันสูง 130 บาร์ โยชิโน่</t>
  </si>
  <si>
    <t>7910-003-0001/622-001</t>
  </si>
  <si>
    <t>เครื่องดูดฝุ่น ฮิตาชิ CV-975 FC</t>
  </si>
  <si>
    <t>7110-002-0003/622-001(3)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</si>
  <si>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</si>
  <si>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</si>
  <si>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</si>
  <si>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</si>
  <si>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</si>
  <si>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</si>
  <si>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</si>
  <si>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</si>
  <si>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ยอดยกไป</t>
  </si>
  <si>
    <t>ยอดยกมา</t>
  </si>
  <si>
    <t>บัญชีรายการ งานพัสดุ คงเหลือ</t>
  </si>
  <si>
    <t>5805-001-0004/641-001</t>
  </si>
  <si>
    <t>โทรศัพท์มือถือ ซัมซุง</t>
  </si>
  <si>
    <t>7440-001-0001/591-001-002(2)</t>
  </si>
  <si>
    <t>2559</t>
  </si>
  <si>
    <t>ประจำปี 2565  ณ วันที่ 30 กันยายน 2565</t>
  </si>
  <si>
    <t>(นายอุทัย  จรรยากรณ์)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</si>
</sst>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rgb="FF2F75B5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47">
    <xf numFmtId="0" fontId="0" fillId="0" borderId="0" xfId="0"/>
    <xf numFmtId="0" fontId="5" fillId="0" borderId="0" xfId="0" applyFont="1"/>
    <xf numFmtId="0" fontId="4" fillId="0" borderId="1" xfId="2" applyFont="1" applyBorder="1" applyAlignment="1">
      <alignment horizontal="center"/>
    </xf>
    <xf numFmtId="0" fontId="4" fillId="0" borderId="1" xfId="5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/>
    <xf numFmtId="43" fontId="4" fillId="0" borderId="1" xfId="5" applyNumberFormat="1" applyFont="1" applyBorder="1"/>
    <xf numFmtId="15" fontId="5" fillId="0" borderId="1" xfId="0" applyNumberFormat="1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/>
    <xf numFmtId="0" fontId="4" fillId="2" borderId="1" xfId="2" applyFont="1" applyFill="1" applyBorder="1" applyAlignment="1">
      <alignment horizontal="center"/>
    </xf>
    <xf numFmtId="0" fontId="4" fillId="2" borderId="1" xfId="5" applyFont="1" applyFill="1" applyBorder="1" applyAlignment="1">
      <alignment horizontal="center"/>
    </xf>
    <xf numFmtId="43" fontId="4" fillId="2" borderId="1" xfId="1" applyFont="1" applyFill="1" applyBorder="1"/>
    <xf numFmtId="43" fontId="4" fillId="2" borderId="1" xfId="1" applyFont="1" applyFill="1" applyBorder="1" applyAlignment="1">
      <alignment horizontal="center"/>
    </xf>
    <xf numFmtId="4" fontId="4" fillId="0" borderId="1" xfId="5" applyNumberFormat="1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4" fillId="0" borderId="1" xfId="1" applyFont="1" applyFill="1" applyBorder="1"/>
    <xf numFmtId="43" fontId="4" fillId="0" borderId="1" xfId="1" applyFont="1" applyFill="1" applyBorder="1" applyAlignment="1">
      <alignment horizontal="center"/>
    </xf>
    <xf numFmtId="0" fontId="4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right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9" fontId="8" fillId="0" borderId="1" xfId="0" applyNumberFormat="1" applyFont="1" applyBorder="1"/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Fill="1" applyBorder="1"/>
    <xf numFmtId="43" fontId="8" fillId="0" borderId="1" xfId="1" applyFont="1" applyFill="1" applyBorder="1" applyAlignment="1">
      <alignment horizontal="center"/>
    </xf>
    <xf numFmtId="0" fontId="8" fillId="0" borderId="0" xfId="0" applyFont="1"/>
    <xf numFmtId="0" fontId="8" fillId="0" borderId="1" xfId="3" applyFont="1" applyBorder="1" applyAlignment="1">
      <alignment horizontal="center"/>
    </xf>
    <xf numFmtId="0" fontId="8" fillId="0" borderId="1" xfId="4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0</xdr:row>
      <xdr:rowOff>200025</xdr:rowOff>
    </xdr:from>
    <xdr:to>
      <xdr:col>8</xdr:col>
      <xdr:colOff>638175</xdr:colOff>
      <xdr:row>1</xdr:row>
      <xdr:rowOff>209551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382000" y="200025"/>
          <a:ext cx="1619250" cy="3143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I58"/>
  <sheetViews>
    <sheetView tabSelected="1" topLeftCell="C1" workbookViewId="0">
      <selection activeCell="E42" sqref="E42"/>
    </sheetView>
  </sheetViews>
  <sheetFormatPr defaultColWidth="9.140625" defaultRowHeight="24"/>
  <cols>
    <col min="1" max="1" width="5.5703125" style="1" customWidth="1"/>
    <col min="2" max="2" width="11.42578125" style="1" customWidth="1"/>
    <col min="3" max="3" width="33.28515625" style="1" customWidth="1"/>
    <col min="4" max="4" width="35.5703125" style="1" customWidth="1"/>
    <col min="5" max="5" width="7.140625" style="1" customWidth="1"/>
    <col min="6" max="6" width="6.42578125" style="1" customWidth="1"/>
    <col min="7" max="7" width="12.42578125" style="1" customWidth="1"/>
    <col min="8" max="8" width="14.28515625" style="1" customWidth="1"/>
    <col min="9" max="9" width="11" style="1" customWidth="1"/>
    <col min="10" max="16384" width="9.140625" style="1"/>
  </cols>
  <sheetData>
    <row r="1" spans="1:9">
      <c r="A1" s="30" t="s">
        <v>3</v>
      </c>
      <c r="B1" s="30"/>
      <c r="C1" s="30"/>
      <c r="D1" s="30"/>
      <c r="E1" s="30"/>
      <c r="F1" s="30"/>
      <c r="G1" s="30"/>
      <c r="H1" s="30"/>
      <c r="I1" s="30"/>
    </row>
    <row r="2" spans="1:9">
      <c r="A2" s="30" t="s">
        <v>98</v>
      </c>
      <c r="B2" s="30"/>
      <c r="C2" s="30"/>
      <c r="D2" s="30"/>
      <c r="E2" s="30"/>
      <c r="F2" s="30"/>
      <c r="G2" s="30"/>
      <c r="H2" s="30"/>
      <c r="I2" s="30"/>
    </row>
    <row r="3" spans="1:9">
      <c r="A3" s="31" t="s">
        <v>103</v>
      </c>
      <c r="B3" s="31"/>
      <c r="C3" s="31"/>
      <c r="D3" s="31"/>
      <c r="E3" s="31"/>
      <c r="F3" s="31"/>
      <c r="G3" s="31"/>
      <c r="H3" s="31"/>
      <c r="I3" s="31"/>
    </row>
    <row r="4" spans="1:9" ht="42" customHeight="1">
      <c r="A4" s="19" t="s">
        <v>89</v>
      </c>
      <c r="B4" s="19" t="s">
        <v>92</v>
      </c>
      <c r="C4" s="19" t="s">
        <v>93</v>
      </c>
      <c r="D4" s="18" t="s">
        <v>0</v>
      </c>
      <c r="E4" s="19" t="s">
        <v>90</v>
      </c>
      <c r="F4" s="18" t="s">
        <v>1</v>
      </c>
      <c r="G4" s="19" t="s">
        <v>91</v>
      </c>
      <c r="H4" s="19" t="s">
        <v>95</v>
      </c>
      <c r="I4" s="18" t="s">
        <v>2</v>
      </c>
    </row>
    <row r="5" spans="1:9">
      <c r="A5" s="21">
        <v>1</v>
      </c>
      <c r="B5" s="21">
        <v>2539</v>
      </c>
      <c r="C5" s="6" t="s">
        <v>4</v>
      </c>
      <c r="D5" s="7" t="s">
        <v>34</v>
      </c>
      <c r="E5" s="2" t="s">
        <v>61</v>
      </c>
      <c r="F5" s="3">
        <v>2</v>
      </c>
      <c r="G5" s="24">
        <v>1495.33</v>
      </c>
      <c r="H5" s="24">
        <f>SUM(F5*G5)</f>
        <v>2990.66</v>
      </c>
      <c r="I5" s="25"/>
    </row>
    <row r="6" spans="1:9" s="42" customFormat="1">
      <c r="A6" s="35">
        <v>2</v>
      </c>
      <c r="B6" s="35">
        <v>2539</v>
      </c>
      <c r="C6" s="36" t="s">
        <v>5</v>
      </c>
      <c r="D6" s="37" t="s">
        <v>35</v>
      </c>
      <c r="E6" s="38" t="s">
        <v>61</v>
      </c>
      <c r="F6" s="39">
        <v>1</v>
      </c>
      <c r="G6" s="40">
        <v>8600</v>
      </c>
      <c r="H6" s="40">
        <f t="shared" ref="H6:H50" si="0">SUM(F6*G6)</f>
        <v>8600</v>
      </c>
      <c r="I6" s="41"/>
    </row>
    <row r="7" spans="1:9" s="42" customFormat="1">
      <c r="A7" s="35">
        <v>3</v>
      </c>
      <c r="B7" s="35">
        <v>2539</v>
      </c>
      <c r="C7" s="36" t="s">
        <v>6</v>
      </c>
      <c r="D7" s="37" t="s">
        <v>36</v>
      </c>
      <c r="E7" s="38" t="s">
        <v>61</v>
      </c>
      <c r="F7" s="39">
        <v>1</v>
      </c>
      <c r="G7" s="40">
        <v>8600</v>
      </c>
      <c r="H7" s="40">
        <f t="shared" si="0"/>
        <v>8600</v>
      </c>
      <c r="I7" s="41"/>
    </row>
    <row r="8" spans="1:9" s="42" customFormat="1">
      <c r="A8" s="35">
        <v>4</v>
      </c>
      <c r="B8" s="35">
        <v>2539</v>
      </c>
      <c r="C8" s="36" t="s">
        <v>7</v>
      </c>
      <c r="D8" s="37" t="s">
        <v>37</v>
      </c>
      <c r="E8" s="38" t="s">
        <v>61</v>
      </c>
      <c r="F8" s="39">
        <v>1</v>
      </c>
      <c r="G8" s="40">
        <v>8000</v>
      </c>
      <c r="H8" s="40">
        <f t="shared" si="0"/>
        <v>8000</v>
      </c>
      <c r="I8" s="41"/>
    </row>
    <row r="9" spans="1:9">
      <c r="A9" s="21">
        <v>5</v>
      </c>
      <c r="B9" s="21">
        <v>2539</v>
      </c>
      <c r="C9" s="6" t="s">
        <v>8</v>
      </c>
      <c r="D9" s="7" t="s">
        <v>38</v>
      </c>
      <c r="E9" s="2" t="s">
        <v>61</v>
      </c>
      <c r="F9" s="3">
        <v>1</v>
      </c>
      <c r="G9" s="5">
        <v>2300</v>
      </c>
      <c r="H9" s="5">
        <f t="shared" si="0"/>
        <v>2300</v>
      </c>
      <c r="I9" s="22"/>
    </row>
    <row r="10" spans="1:9">
      <c r="A10" s="21">
        <v>6</v>
      </c>
      <c r="B10" s="9">
        <v>14422</v>
      </c>
      <c r="C10" s="6" t="s">
        <v>9</v>
      </c>
      <c r="D10" s="7" t="s">
        <v>39</v>
      </c>
      <c r="E10" s="2" t="s">
        <v>61</v>
      </c>
      <c r="F10" s="3">
        <v>1</v>
      </c>
      <c r="G10" s="5">
        <v>589000</v>
      </c>
      <c r="H10" s="5">
        <f t="shared" si="0"/>
        <v>589000</v>
      </c>
      <c r="I10" s="22"/>
    </row>
    <row r="11" spans="1:9" s="42" customFormat="1">
      <c r="A11" s="35">
        <v>7</v>
      </c>
      <c r="B11" s="35">
        <v>2539</v>
      </c>
      <c r="C11" s="36" t="s">
        <v>10</v>
      </c>
      <c r="D11" s="37" t="s">
        <v>40</v>
      </c>
      <c r="E11" s="38" t="s">
        <v>61</v>
      </c>
      <c r="F11" s="39">
        <v>1</v>
      </c>
      <c r="G11" s="40">
        <v>2500</v>
      </c>
      <c r="H11" s="40">
        <f t="shared" si="0"/>
        <v>2500</v>
      </c>
      <c r="I11" s="41"/>
    </row>
    <row r="12" spans="1:9">
      <c r="A12" s="21">
        <v>8</v>
      </c>
      <c r="B12" s="21">
        <v>2540</v>
      </c>
      <c r="C12" s="6" t="s">
        <v>11</v>
      </c>
      <c r="D12" s="7" t="s">
        <v>41</v>
      </c>
      <c r="E12" s="2" t="s">
        <v>61</v>
      </c>
      <c r="F12" s="3">
        <v>1</v>
      </c>
      <c r="G12" s="24">
        <v>3800</v>
      </c>
      <c r="H12" s="24">
        <f t="shared" si="0"/>
        <v>3800</v>
      </c>
      <c r="I12" s="25"/>
    </row>
    <row r="13" spans="1:9">
      <c r="A13" s="21">
        <v>9</v>
      </c>
      <c r="B13" s="21">
        <v>2540</v>
      </c>
      <c r="C13" s="6" t="s">
        <v>12</v>
      </c>
      <c r="D13" s="7" t="s">
        <v>42</v>
      </c>
      <c r="E13" s="2" t="s">
        <v>61</v>
      </c>
      <c r="F13" s="3">
        <v>1</v>
      </c>
      <c r="G13" s="24">
        <v>2600</v>
      </c>
      <c r="H13" s="24">
        <f t="shared" si="0"/>
        <v>2600</v>
      </c>
      <c r="I13" s="25"/>
    </row>
    <row r="14" spans="1:9">
      <c r="A14" s="21">
        <v>10</v>
      </c>
      <c r="B14" s="21">
        <v>2540</v>
      </c>
      <c r="C14" s="6" t="s">
        <v>13</v>
      </c>
      <c r="D14" s="7" t="s">
        <v>43</v>
      </c>
      <c r="E14" s="2" t="s">
        <v>61</v>
      </c>
      <c r="F14" s="3">
        <v>1</v>
      </c>
      <c r="G14" s="5">
        <v>2300</v>
      </c>
      <c r="H14" s="5">
        <f t="shared" si="0"/>
        <v>2300</v>
      </c>
      <c r="I14" s="22"/>
    </row>
    <row r="15" spans="1:9">
      <c r="A15" s="21">
        <v>11</v>
      </c>
      <c r="B15" s="21">
        <v>2540</v>
      </c>
      <c r="C15" s="6" t="s">
        <v>14</v>
      </c>
      <c r="D15" s="7" t="s">
        <v>44</v>
      </c>
      <c r="E15" s="2" t="s">
        <v>61</v>
      </c>
      <c r="F15" s="3">
        <v>4</v>
      </c>
      <c r="G15" s="5">
        <v>2250</v>
      </c>
      <c r="H15" s="5">
        <f t="shared" si="0"/>
        <v>9000</v>
      </c>
      <c r="I15" s="22"/>
    </row>
    <row r="16" spans="1:9">
      <c r="A16" s="21">
        <v>12</v>
      </c>
      <c r="B16" s="21">
        <v>2540</v>
      </c>
      <c r="C16" s="6" t="s">
        <v>15</v>
      </c>
      <c r="D16" s="7" t="s">
        <v>45</v>
      </c>
      <c r="E16" s="2" t="s">
        <v>88</v>
      </c>
      <c r="F16" s="3">
        <v>2</v>
      </c>
      <c r="G16" s="5">
        <v>2300</v>
      </c>
      <c r="H16" s="5">
        <f t="shared" si="0"/>
        <v>4600</v>
      </c>
      <c r="I16" s="22"/>
    </row>
    <row r="17" spans="1:9">
      <c r="A17" s="21">
        <v>13</v>
      </c>
      <c r="B17" s="9">
        <v>14618</v>
      </c>
      <c r="C17" s="6" t="s">
        <v>16</v>
      </c>
      <c r="D17" s="7" t="s">
        <v>46</v>
      </c>
      <c r="E17" s="2" t="s">
        <v>61</v>
      </c>
      <c r="F17" s="3">
        <v>1</v>
      </c>
      <c r="G17" s="5">
        <v>700000</v>
      </c>
      <c r="H17" s="5">
        <f t="shared" si="0"/>
        <v>700000</v>
      </c>
      <c r="I17" s="22"/>
    </row>
    <row r="18" spans="1:9">
      <c r="A18" s="21">
        <v>14</v>
      </c>
      <c r="B18" s="21">
        <v>2544</v>
      </c>
      <c r="C18" s="6" t="s">
        <v>17</v>
      </c>
      <c r="D18" s="7" t="s">
        <v>47</v>
      </c>
      <c r="E18" s="2" t="s">
        <v>62</v>
      </c>
      <c r="F18" s="3">
        <v>1</v>
      </c>
      <c r="G18" s="24">
        <v>750</v>
      </c>
      <c r="H18" s="24">
        <f t="shared" si="0"/>
        <v>750</v>
      </c>
      <c r="I18" s="25"/>
    </row>
    <row r="19" spans="1:9" s="42" customFormat="1">
      <c r="A19" s="35">
        <v>15</v>
      </c>
      <c r="B19" s="35">
        <v>2547</v>
      </c>
      <c r="C19" s="36" t="s">
        <v>18</v>
      </c>
      <c r="D19" s="36" t="s">
        <v>48</v>
      </c>
      <c r="E19" s="43" t="s">
        <v>62</v>
      </c>
      <c r="F19" s="39">
        <v>1</v>
      </c>
      <c r="G19" s="41">
        <v>6900</v>
      </c>
      <c r="H19" s="40">
        <f t="shared" si="0"/>
        <v>6900</v>
      </c>
      <c r="I19" s="41"/>
    </row>
    <row r="20" spans="1:9" s="42" customFormat="1">
      <c r="A20" s="35">
        <v>16</v>
      </c>
      <c r="B20" s="35">
        <v>2547</v>
      </c>
      <c r="C20" s="36" t="s">
        <v>19</v>
      </c>
      <c r="D20" s="36" t="s">
        <v>48</v>
      </c>
      <c r="E20" s="44" t="s">
        <v>62</v>
      </c>
      <c r="F20" s="39">
        <v>1</v>
      </c>
      <c r="G20" s="41">
        <v>11900</v>
      </c>
      <c r="H20" s="40">
        <f t="shared" si="0"/>
        <v>11900</v>
      </c>
      <c r="I20" s="41"/>
    </row>
    <row r="21" spans="1:9">
      <c r="A21" s="21">
        <v>17</v>
      </c>
      <c r="B21" s="21">
        <v>2548</v>
      </c>
      <c r="C21" s="6" t="s">
        <v>20</v>
      </c>
      <c r="D21" s="7" t="s">
        <v>49</v>
      </c>
      <c r="E21" s="21" t="s">
        <v>88</v>
      </c>
      <c r="F21" s="3">
        <v>1</v>
      </c>
      <c r="G21" s="24">
        <v>700</v>
      </c>
      <c r="H21" s="24">
        <f t="shared" si="0"/>
        <v>700</v>
      </c>
      <c r="I21" s="25"/>
    </row>
    <row r="22" spans="1:9">
      <c r="A22" s="21">
        <v>18</v>
      </c>
      <c r="B22" s="21">
        <v>2549</v>
      </c>
      <c r="C22" s="6" t="s">
        <v>21</v>
      </c>
      <c r="D22" s="6" t="s">
        <v>50</v>
      </c>
      <c r="E22" s="21" t="s">
        <v>62</v>
      </c>
      <c r="F22" s="3">
        <v>1</v>
      </c>
      <c r="G22" s="25">
        <v>19088.8</v>
      </c>
      <c r="H22" s="24">
        <f t="shared" si="0"/>
        <v>19088.8</v>
      </c>
      <c r="I22" s="25"/>
    </row>
    <row r="23" spans="1:9">
      <c r="A23" s="21">
        <v>19</v>
      </c>
      <c r="B23" s="21">
        <v>2549</v>
      </c>
      <c r="C23" s="6" t="s">
        <v>22</v>
      </c>
      <c r="D23" s="7" t="s">
        <v>51</v>
      </c>
      <c r="E23" s="2" t="s">
        <v>88</v>
      </c>
      <c r="F23" s="3">
        <v>1</v>
      </c>
      <c r="G23" s="24">
        <v>1370</v>
      </c>
      <c r="H23" s="24">
        <f t="shared" si="0"/>
        <v>1370</v>
      </c>
      <c r="I23" s="25"/>
    </row>
    <row r="24" spans="1:9">
      <c r="A24" s="21">
        <v>20</v>
      </c>
      <c r="B24" s="21">
        <v>2549</v>
      </c>
      <c r="C24" s="6" t="s">
        <v>23</v>
      </c>
      <c r="D24" s="7" t="s">
        <v>52</v>
      </c>
      <c r="E24" s="2" t="s">
        <v>88</v>
      </c>
      <c r="F24" s="3">
        <v>1</v>
      </c>
      <c r="G24" s="24">
        <v>600</v>
      </c>
      <c r="H24" s="24">
        <f t="shared" si="0"/>
        <v>600</v>
      </c>
      <c r="I24" s="25"/>
    </row>
    <row r="25" spans="1:9">
      <c r="A25" s="21">
        <v>21</v>
      </c>
      <c r="B25" s="21">
        <v>2549</v>
      </c>
      <c r="C25" s="6" t="s">
        <v>24</v>
      </c>
      <c r="D25" s="6" t="s">
        <v>53</v>
      </c>
      <c r="E25" s="21" t="s">
        <v>62</v>
      </c>
      <c r="F25" s="3">
        <v>1</v>
      </c>
      <c r="G25" s="25">
        <v>5296.5</v>
      </c>
      <c r="H25" s="24">
        <f t="shared" si="0"/>
        <v>5296.5</v>
      </c>
      <c r="I25" s="25"/>
    </row>
    <row r="26" spans="1:9">
      <c r="A26" s="21">
        <v>22</v>
      </c>
      <c r="B26" s="9">
        <v>17845</v>
      </c>
      <c r="C26" s="6" t="s">
        <v>25</v>
      </c>
      <c r="D26" s="6" t="s">
        <v>54</v>
      </c>
      <c r="E26" s="2" t="s">
        <v>88</v>
      </c>
      <c r="F26" s="3">
        <v>1</v>
      </c>
      <c r="G26" s="4">
        <v>250000</v>
      </c>
      <c r="H26" s="5">
        <f t="shared" si="0"/>
        <v>250000</v>
      </c>
      <c r="I26" s="22"/>
    </row>
    <row r="27" spans="1:9" s="42" customFormat="1">
      <c r="A27" s="35">
        <v>23</v>
      </c>
      <c r="B27" s="35">
        <v>2550</v>
      </c>
      <c r="C27" s="36" t="s">
        <v>26</v>
      </c>
      <c r="D27" s="36" t="s">
        <v>55</v>
      </c>
      <c r="E27" s="35" t="s">
        <v>62</v>
      </c>
      <c r="F27" s="39">
        <v>1</v>
      </c>
      <c r="G27" s="41">
        <v>6120</v>
      </c>
      <c r="H27" s="40">
        <f t="shared" si="0"/>
        <v>6120</v>
      </c>
      <c r="I27" s="41"/>
    </row>
    <row r="28" spans="1:9">
      <c r="A28" s="21">
        <v>24</v>
      </c>
      <c r="B28" s="21">
        <v>2550</v>
      </c>
      <c r="C28" s="6" t="s">
        <v>27</v>
      </c>
      <c r="D28" s="6" t="s">
        <v>56</v>
      </c>
      <c r="E28" s="21" t="s">
        <v>62</v>
      </c>
      <c r="F28" s="3">
        <v>1</v>
      </c>
      <c r="G28" s="4">
        <v>3000</v>
      </c>
      <c r="H28" s="5">
        <f t="shared" si="0"/>
        <v>3000</v>
      </c>
      <c r="I28" s="22"/>
    </row>
    <row r="29" spans="1:9">
      <c r="A29" s="21">
        <v>25</v>
      </c>
      <c r="B29" s="21">
        <v>2550</v>
      </c>
      <c r="C29" s="6" t="s">
        <v>28</v>
      </c>
      <c r="D29" s="6" t="s">
        <v>57</v>
      </c>
      <c r="E29" s="21" t="s">
        <v>62</v>
      </c>
      <c r="F29" s="3">
        <v>1</v>
      </c>
      <c r="G29" s="25">
        <v>1100</v>
      </c>
      <c r="H29" s="24">
        <f t="shared" si="0"/>
        <v>1100</v>
      </c>
      <c r="I29" s="25"/>
    </row>
    <row r="30" spans="1:9" s="42" customFormat="1">
      <c r="A30" s="35">
        <v>26</v>
      </c>
      <c r="B30" s="35">
        <v>2550</v>
      </c>
      <c r="C30" s="36" t="s">
        <v>29</v>
      </c>
      <c r="D30" s="36" t="s">
        <v>58</v>
      </c>
      <c r="E30" s="35" t="s">
        <v>62</v>
      </c>
      <c r="F30" s="39">
        <v>2</v>
      </c>
      <c r="G30" s="41">
        <v>17300</v>
      </c>
      <c r="H30" s="40">
        <f t="shared" si="0"/>
        <v>34600</v>
      </c>
      <c r="I30" s="41"/>
    </row>
    <row r="31" spans="1:9">
      <c r="A31" s="21">
        <v>27</v>
      </c>
      <c r="B31" s="21">
        <v>2550</v>
      </c>
      <c r="C31" s="6" t="s">
        <v>30</v>
      </c>
      <c r="D31" s="6" t="s">
        <v>59</v>
      </c>
      <c r="E31" s="21" t="s">
        <v>62</v>
      </c>
      <c r="F31" s="3">
        <v>1</v>
      </c>
      <c r="G31" s="25">
        <v>29000</v>
      </c>
      <c r="H31" s="24">
        <f t="shared" si="0"/>
        <v>29000</v>
      </c>
      <c r="I31" s="25"/>
    </row>
    <row r="32" spans="1:9">
      <c r="A32" s="21">
        <v>28</v>
      </c>
      <c r="B32" s="21">
        <v>2550</v>
      </c>
      <c r="C32" s="6" t="s">
        <v>31</v>
      </c>
      <c r="D32" s="7" t="s">
        <v>60</v>
      </c>
      <c r="E32" s="21" t="s">
        <v>62</v>
      </c>
      <c r="F32" s="3">
        <v>2</v>
      </c>
      <c r="G32" s="24">
        <v>1700</v>
      </c>
      <c r="H32" s="24">
        <f t="shared" si="0"/>
        <v>3400</v>
      </c>
      <c r="I32" s="25"/>
    </row>
    <row r="33" spans="1:9">
      <c r="A33" s="21">
        <v>29</v>
      </c>
      <c r="B33" s="21">
        <v>2550</v>
      </c>
      <c r="C33" s="6" t="s">
        <v>32</v>
      </c>
      <c r="D33" s="7" t="s">
        <v>43</v>
      </c>
      <c r="E33" s="21" t="s">
        <v>62</v>
      </c>
      <c r="F33" s="3">
        <v>2</v>
      </c>
      <c r="G33" s="5">
        <v>3100</v>
      </c>
      <c r="H33" s="5">
        <f t="shared" si="0"/>
        <v>6200</v>
      </c>
      <c r="I33" s="22"/>
    </row>
    <row r="34" spans="1:9">
      <c r="A34" s="21">
        <v>30</v>
      </c>
      <c r="B34" s="21">
        <v>2550</v>
      </c>
      <c r="C34" s="6" t="s">
        <v>33</v>
      </c>
      <c r="D34" s="7" t="s">
        <v>44</v>
      </c>
      <c r="E34" s="21" t="s">
        <v>62</v>
      </c>
      <c r="F34" s="3">
        <v>2</v>
      </c>
      <c r="G34" s="5">
        <v>2800</v>
      </c>
      <c r="H34" s="5">
        <f t="shared" si="0"/>
        <v>5600</v>
      </c>
      <c r="I34" s="22"/>
    </row>
    <row r="35" spans="1:9">
      <c r="A35" s="21">
        <v>31</v>
      </c>
      <c r="B35" s="21">
        <v>2551</v>
      </c>
      <c r="C35" s="6" t="s">
        <v>63</v>
      </c>
      <c r="D35" s="6" t="s">
        <v>69</v>
      </c>
      <c r="E35" s="2" t="s">
        <v>62</v>
      </c>
      <c r="F35" s="3">
        <v>1</v>
      </c>
      <c r="G35" s="4">
        <v>2765.75</v>
      </c>
      <c r="H35" s="5">
        <f t="shared" si="0"/>
        <v>2765.75</v>
      </c>
      <c r="I35" s="4"/>
    </row>
    <row r="36" spans="1:9">
      <c r="A36" s="21">
        <v>32</v>
      </c>
      <c r="B36" s="21">
        <v>2553</v>
      </c>
      <c r="C36" s="6" t="s">
        <v>64</v>
      </c>
      <c r="D36" s="6" t="s">
        <v>70</v>
      </c>
      <c r="E36" s="2" t="s">
        <v>61</v>
      </c>
      <c r="F36" s="3">
        <v>1</v>
      </c>
      <c r="G36" s="4">
        <v>900</v>
      </c>
      <c r="H36" s="5">
        <f t="shared" si="0"/>
        <v>900</v>
      </c>
      <c r="I36" s="4"/>
    </row>
    <row r="37" spans="1:9">
      <c r="A37" s="21">
        <v>33</v>
      </c>
      <c r="B37" s="21">
        <v>2553</v>
      </c>
      <c r="C37" s="6" t="s">
        <v>65</v>
      </c>
      <c r="D37" s="6" t="s">
        <v>71</v>
      </c>
      <c r="E37" s="2" t="s">
        <v>61</v>
      </c>
      <c r="F37" s="3">
        <v>1</v>
      </c>
      <c r="G37" s="25">
        <v>1100</v>
      </c>
      <c r="H37" s="24">
        <f t="shared" si="0"/>
        <v>1100</v>
      </c>
      <c r="I37" s="25"/>
    </row>
    <row r="38" spans="1:9" s="42" customFormat="1">
      <c r="A38" s="35">
        <v>34</v>
      </c>
      <c r="B38" s="35">
        <v>2553</v>
      </c>
      <c r="C38" s="45" t="s">
        <v>66</v>
      </c>
      <c r="D38" s="46" t="s">
        <v>72</v>
      </c>
      <c r="E38" s="38" t="s">
        <v>61</v>
      </c>
      <c r="F38" s="39">
        <v>1</v>
      </c>
      <c r="G38" s="40">
        <v>5350</v>
      </c>
      <c r="H38" s="40">
        <f t="shared" si="0"/>
        <v>5350</v>
      </c>
      <c r="I38" s="41"/>
    </row>
    <row r="39" spans="1:9">
      <c r="A39" s="21">
        <v>35</v>
      </c>
      <c r="B39" s="21">
        <v>2553</v>
      </c>
      <c r="C39" s="6" t="s">
        <v>67</v>
      </c>
      <c r="D39" s="6" t="s">
        <v>73</v>
      </c>
      <c r="E39" s="2" t="s">
        <v>61</v>
      </c>
      <c r="F39" s="3">
        <v>1</v>
      </c>
      <c r="G39" s="25">
        <v>2590</v>
      </c>
      <c r="H39" s="24">
        <f t="shared" si="0"/>
        <v>2590</v>
      </c>
      <c r="I39" s="25"/>
    </row>
    <row r="40" spans="1:9">
      <c r="A40" s="21">
        <v>36</v>
      </c>
      <c r="B40" s="21">
        <v>2553</v>
      </c>
      <c r="C40" s="26" t="s">
        <v>68</v>
      </c>
      <c r="D40" s="27" t="s">
        <v>74</v>
      </c>
      <c r="E40" s="2" t="s">
        <v>61</v>
      </c>
      <c r="F40" s="3">
        <v>1</v>
      </c>
      <c r="G40" s="24">
        <v>17000</v>
      </c>
      <c r="H40" s="24">
        <f t="shared" si="0"/>
        <v>17000</v>
      </c>
      <c r="I40" s="25"/>
    </row>
    <row r="41" spans="1:9">
      <c r="A41" s="21">
        <v>37</v>
      </c>
      <c r="B41" s="10" t="s">
        <v>102</v>
      </c>
      <c r="C41" s="11" t="s">
        <v>101</v>
      </c>
      <c r="D41" s="12" t="s">
        <v>76</v>
      </c>
      <c r="E41" s="13" t="s">
        <v>61</v>
      </c>
      <c r="F41" s="14">
        <v>2</v>
      </c>
      <c r="G41" s="15">
        <v>17900</v>
      </c>
      <c r="H41" s="5">
        <f t="shared" si="0"/>
        <v>35800</v>
      </c>
      <c r="I41" s="23"/>
    </row>
    <row r="42" spans="1:9">
      <c r="A42" s="21">
        <v>38</v>
      </c>
      <c r="B42" s="9">
        <v>21927</v>
      </c>
      <c r="C42" s="11"/>
      <c r="D42" s="12" t="s">
        <v>75</v>
      </c>
      <c r="E42" s="13" t="s">
        <v>62</v>
      </c>
      <c r="F42" s="14">
        <v>1</v>
      </c>
      <c r="G42" s="15">
        <v>6450</v>
      </c>
      <c r="H42" s="5">
        <f t="shared" si="0"/>
        <v>6450</v>
      </c>
      <c r="I42" s="23"/>
    </row>
    <row r="43" spans="1:9">
      <c r="A43" s="21">
        <v>39</v>
      </c>
      <c r="B43" s="9">
        <v>22649</v>
      </c>
      <c r="C43" s="11" t="s">
        <v>81</v>
      </c>
      <c r="D43" s="12" t="s">
        <v>79</v>
      </c>
      <c r="E43" s="13" t="s">
        <v>62</v>
      </c>
      <c r="F43" s="14">
        <v>3</v>
      </c>
      <c r="G43" s="15">
        <v>2990</v>
      </c>
      <c r="H43" s="5">
        <f t="shared" si="0"/>
        <v>8970</v>
      </c>
      <c r="I43" s="23"/>
    </row>
    <row r="44" spans="1:9">
      <c r="A44" s="21">
        <v>40</v>
      </c>
      <c r="B44" s="9">
        <v>22830</v>
      </c>
      <c r="C44" s="11" t="s">
        <v>87</v>
      </c>
      <c r="D44" s="12" t="s">
        <v>80</v>
      </c>
      <c r="E44" s="13" t="s">
        <v>62</v>
      </c>
      <c r="F44" s="14">
        <v>3</v>
      </c>
      <c r="G44" s="15">
        <v>2550</v>
      </c>
      <c r="H44" s="5">
        <f t="shared" ref="H44:H46" si="1">SUM(F44*G44)</f>
        <v>7650</v>
      </c>
      <c r="I44" s="23"/>
    </row>
    <row r="45" spans="1:9">
      <c r="A45" s="21">
        <v>41</v>
      </c>
      <c r="B45" s="9">
        <v>22830</v>
      </c>
      <c r="C45" s="11" t="s">
        <v>82</v>
      </c>
      <c r="D45" s="12" t="s">
        <v>38</v>
      </c>
      <c r="E45" s="13" t="s">
        <v>62</v>
      </c>
      <c r="F45" s="14">
        <v>3</v>
      </c>
      <c r="G45" s="15">
        <v>3650</v>
      </c>
      <c r="H45" s="5">
        <f t="shared" si="1"/>
        <v>10950</v>
      </c>
      <c r="I45" s="23"/>
    </row>
    <row r="46" spans="1:9">
      <c r="A46" s="21">
        <v>42</v>
      </c>
      <c r="B46" s="9">
        <v>22887</v>
      </c>
      <c r="C46" s="11" t="s">
        <v>83</v>
      </c>
      <c r="D46" s="12" t="s">
        <v>84</v>
      </c>
      <c r="E46" s="13" t="s">
        <v>62</v>
      </c>
      <c r="F46" s="14">
        <v>1</v>
      </c>
      <c r="G46" s="15">
        <v>6311</v>
      </c>
      <c r="H46" s="5">
        <f t="shared" si="1"/>
        <v>6311</v>
      </c>
      <c r="I46" s="23"/>
    </row>
    <row r="47" spans="1:9">
      <c r="A47" s="29" t="s">
        <v>96</v>
      </c>
      <c r="B47" s="29"/>
      <c r="C47" s="29"/>
      <c r="D47" s="29"/>
      <c r="E47" s="13"/>
      <c r="F47" s="14"/>
      <c r="G47" s="15"/>
      <c r="H47" s="5">
        <f>SUM(H5:H46)</f>
        <v>1835752.7100000002</v>
      </c>
      <c r="I47" s="16"/>
    </row>
    <row r="48" spans="1:9">
      <c r="A48" s="29" t="s">
        <v>97</v>
      </c>
      <c r="B48" s="29"/>
      <c r="C48" s="29"/>
      <c r="D48" s="29"/>
      <c r="E48" s="13"/>
      <c r="F48" s="14"/>
      <c r="G48" s="15"/>
      <c r="H48" s="5">
        <f>SUM(H47)</f>
        <v>1835752.7100000002</v>
      </c>
      <c r="I48" s="16"/>
    </row>
    <row r="49" spans="1:9">
      <c r="A49" s="21">
        <v>43</v>
      </c>
      <c r="B49" s="9">
        <v>22887</v>
      </c>
      <c r="C49" s="11" t="s">
        <v>85</v>
      </c>
      <c r="D49" s="12" t="s">
        <v>86</v>
      </c>
      <c r="E49" s="13" t="s">
        <v>62</v>
      </c>
      <c r="F49" s="14">
        <v>1</v>
      </c>
      <c r="G49" s="15">
        <v>5490</v>
      </c>
      <c r="H49" s="5">
        <f t="shared" si="0"/>
        <v>5490</v>
      </c>
      <c r="I49" s="23"/>
    </row>
    <row r="50" spans="1:9">
      <c r="A50" s="21">
        <v>44</v>
      </c>
      <c r="B50" s="9">
        <v>23418</v>
      </c>
      <c r="C50" s="11" t="s">
        <v>99</v>
      </c>
      <c r="D50" s="12" t="s">
        <v>100</v>
      </c>
      <c r="E50" s="13" t="s">
        <v>61</v>
      </c>
      <c r="F50" s="14">
        <v>1</v>
      </c>
      <c r="G50" s="15">
        <v>4990</v>
      </c>
      <c r="H50" s="5">
        <f t="shared" si="0"/>
        <v>4990</v>
      </c>
      <c r="I50" s="23"/>
    </row>
    <row r="51" spans="1:9">
      <c r="A51" s="32" t="s">
        <v>94</v>
      </c>
      <c r="B51" s="33"/>
      <c r="C51" s="33"/>
      <c r="D51" s="33"/>
      <c r="E51" s="34"/>
      <c r="F51" s="8"/>
      <c r="G51" s="17"/>
      <c r="H51" s="17">
        <f>SUM(H48:H50)</f>
        <v>1846232.7100000002</v>
      </c>
      <c r="I51" s="3"/>
    </row>
    <row r="52" spans="1:9">
      <c r="B52" s="20"/>
    </row>
    <row r="53" spans="1:9">
      <c r="B53" s="20"/>
    </row>
    <row r="54" spans="1:9">
      <c r="B54" s="20"/>
      <c r="G54" s="28" t="s">
        <v>78</v>
      </c>
      <c r="H54" s="28"/>
      <c r="I54" s="28"/>
    </row>
    <row r="55" spans="1:9">
      <c r="B55" s="20"/>
      <c r="G55" s="28" t="s">
        <v>104</v>
      </c>
      <c r="H55" s="28"/>
      <c r="I55" s="28"/>
    </row>
    <row r="56" spans="1:9">
      <c r="B56" s="20"/>
      <c r="G56" s="28" t="s">
        <v>77</v>
      </c>
      <c r="H56" s="28"/>
      <c r="I56" s="28"/>
    </row>
    <row r="57" spans="1:9">
      <c r="B57" s="20"/>
    </row>
    <row r="58" spans="1:9">
      <c r="B58" s="20"/>
    </row>
  </sheetData>
  <mergeCells count="9">
    <mergeCell ref="G55:I55"/>
    <mergeCell ref="G56:I56"/>
    <mergeCell ref="A47:D47"/>
    <mergeCell ref="A48:D48"/>
    <mergeCell ref="A1:I1"/>
    <mergeCell ref="A2:I2"/>
    <mergeCell ref="A3:I3"/>
    <mergeCell ref="A51:E51"/>
    <mergeCell ref="G54:I54"/>
  </mergeCells>
  <printOptions horizontalCentered="1"/>
  <pageMargins left="0.19685039370078741" right="0.19685039370078741" top="0.59055118110236227" bottom="0.19685039370078741" header="0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งานพัสดุ</vt:lpstr>
      <vt:lpstr>งานพัสดุ!Print_Titles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2023-01-11T10:37:34Z</cp:lastPrinted>
  <dcterms:created xsi:type="dcterms:W3CDTF">2017-11-14T01:32:33Z</dcterms:created>
  <dcterms:modified xsi:type="dcterms:W3CDTF">2023-02-01T08:44:28Z</dcterms:modified>
</cp:coreProperties>
</file>