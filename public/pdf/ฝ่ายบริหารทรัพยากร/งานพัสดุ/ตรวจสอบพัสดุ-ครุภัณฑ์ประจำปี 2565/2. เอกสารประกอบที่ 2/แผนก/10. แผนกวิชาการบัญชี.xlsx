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928"/>
  <workbookPr/>
  <mc:AlternateContent xmlns:mc="http://schemas.openxmlformats.org/markup-compatibility/2006">
    <mc:Choice Requires="x15">
      <x15ac:absPath xmlns:x15ac="http://schemas.microsoft.com/office/spreadsheetml/2010/11/ac" url="C:\Users\Pasdoo\Documents\งานพัสดุ ธนพร\ตรวจครุภัณฑ์ประจำปี\ตรวจสอบพัสดุ-ครุภัณฑ์ประจำปี 2565\2. เอกสารประกอบที่ 2\แผนก\"/>
    </mc:Choice>
  </mc:AlternateContent>
  <xr:revisionPtr revIDLastSave="0" documentId="13_ncr:1_{AEB9D0C4-1732-4102-9C2F-1C4D44B81A11}" xr6:coauthVersionLast="47" xr6:coauthVersionMax="47" xr10:uidLastSave="{00000000-0000-0000-0000-000000000000}"/>
  <bookViews>
    <workbookView xWindow="225" yWindow="600" windowWidth="11715" windowHeight="9600" tabRatio="897" xr2:uid="{00000000-000D-0000-FFFF-FFFF00000000}"/>
  </bookViews>
  <sheets>
    <sheet name="แผนกการบัญชี" sheetId="3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H41" i="34" l="1"/>
  <c r="H40" i="34"/>
  <c r="H38" i="34"/>
  <c r="H6" i="34" l="1"/>
  <c r="H7" i="34"/>
  <c r="H8" i="34"/>
  <c r="H9" i="34"/>
  <c r="H10" i="34"/>
  <c r="H11" i="34"/>
  <c r="H12" i="34"/>
  <c r="H13" i="34"/>
  <c r="H14" i="34"/>
  <c r="H15" i="34"/>
  <c r="H16" i="34"/>
  <c r="H17" i="34"/>
  <c r="H18" i="34"/>
  <c r="H19" i="34"/>
  <c r="H20" i="34"/>
  <c r="H21" i="34"/>
  <c r="H22" i="34"/>
  <c r="H23" i="34"/>
  <c r="H24" i="34"/>
  <c r="H25" i="34"/>
  <c r="H26" i="34"/>
  <c r="H27" i="34"/>
  <c r="H28" i="34"/>
  <c r="H29" i="34"/>
  <c r="H30" i="34"/>
  <c r="H31" i="34"/>
  <c r="H32" i="34"/>
  <c r="H33" i="34"/>
  <c r="H34" i="34"/>
  <c r="H35" i="34"/>
  <c r="H36" i="34"/>
  <c r="H37" i="34"/>
  <c r="H39" i="34"/>
  <c r="H5" i="34"/>
</calcChain>
</file>

<file path=xl/sharedStrings.xml><?xml version="1.0" encoding="utf-8"?>
<sst xmlns="http://schemas.openxmlformats.org/spreadsheetml/2006/main" count="143" uniqueCount="91">
  <si>
    <t>รายการ ขนาด ลักษณะ</t>
  </si>
  <si>
    <t>จำนวน</t>
  </si>
  <si>
    <t>หมายเหตุ</t>
  </si>
  <si>
    <t>โต๊ะพิมพ์ดีด</t>
  </si>
  <si>
    <t>เครื่องพิมพ์ดีดแบบธรรมดาภาษาไทย  18"</t>
  </si>
  <si>
    <t>ตู้เหล็ก 4  ลิ้นชัก</t>
  </si>
  <si>
    <t>งปม.</t>
  </si>
  <si>
    <t>บกศ.</t>
  </si>
  <si>
    <t>เครื่องคอมพิวเตอร์พร้อมโต๊ะเก้าอี้</t>
  </si>
  <si>
    <t>เครื่องคอมพิวเตอร์</t>
  </si>
  <si>
    <t>โต๊ะทำงานเหล็ก  4  ฟุต</t>
  </si>
  <si>
    <t>เครื่องปริ้นเตอร์ HP 1020</t>
  </si>
  <si>
    <t>....................................................</t>
  </si>
  <si>
    <t>หัวหน้าหน่วยจ่าย/หน่วยเบิก</t>
  </si>
  <si>
    <t>ตู้เหล็ก  2  บานเปิด</t>
  </si>
  <si>
    <t>เครื่องโปรเจคเตอร์พร้อมจอรับภาพ</t>
  </si>
  <si>
    <t>รวมเป็นเงิน</t>
  </si>
  <si>
    <t xml:space="preserve"> สถานศึกษา วิทยาลัยเทคนิคกันทรลักษ์</t>
  </si>
  <si>
    <t>เก้าอี้สำนักงาน  S - 35 หนัง</t>
  </si>
  <si>
    <t>6730-001-0003/531-018</t>
  </si>
  <si>
    <t>เครื่องพิมพ์ดีดภาษาอังกฤษแคร่  15"</t>
  </si>
  <si>
    <t>7430-001-0006/391-002-391-016</t>
  </si>
  <si>
    <t>เครื่องพิมพ์ดีดไฟฟ้าชนิดไม่มีหน่วยความจำ</t>
  </si>
  <si>
    <t>7430-001-0003/391-002-391-026</t>
  </si>
  <si>
    <t>7430-001-0005/391-003-391-027</t>
  </si>
  <si>
    <t>เครื่องพิมพ์ดีดแบบธรรมดาภาษาไทย 15"</t>
  </si>
  <si>
    <t>7110-007-0004/391-004-006</t>
  </si>
  <si>
    <t>7125-002-0002/391-005-391-009</t>
  </si>
  <si>
    <t>7110-002-0005/391-001-391-005</t>
  </si>
  <si>
    <t>ตู้เหล็ก  2  บาน</t>
  </si>
  <si>
    <t>7420-001-0002/391-003-391-022</t>
  </si>
  <si>
    <t>เครื่องคำนวนเลข  12  หลัก</t>
  </si>
  <si>
    <t>7110-007-0012/391-001-031</t>
  </si>
  <si>
    <t>โต๊ะเรียนบัญชีพร้อมเก้าอี้</t>
  </si>
  <si>
    <t>7420-005-0001/391-001-391-004</t>
  </si>
  <si>
    <t>เครื่องบันทึกเงินสด</t>
  </si>
  <si>
    <t>7110-007-0011/391-001</t>
  </si>
  <si>
    <t>โต๊ะสาธิตเครื่องพิมพ์ดีด</t>
  </si>
  <si>
    <t>6645-008-0001/391-001-391-002</t>
  </si>
  <si>
    <t>นาฬิกาจับเวลา</t>
  </si>
  <si>
    <t>7430-001-0001/401-027-401-051</t>
  </si>
  <si>
    <t>เครื่องพิมพ์ดีดภาษาอังกฤษแคร่  18"</t>
  </si>
  <si>
    <t>7430-001-0007/401-002,024</t>
  </si>
  <si>
    <t>7110-007-0004/401-053-401-140</t>
  </si>
  <si>
    <t>7110-002-0005/401-011-401-014</t>
  </si>
  <si>
    <t>7420-001-0002/401-023-401-068</t>
  </si>
  <si>
    <t>7440-001-0001/462-004</t>
  </si>
  <si>
    <t>4140-001-0003/482-029-030</t>
  </si>
  <si>
    <t>พัดลมโคจร  16 นิ้ว</t>
  </si>
  <si>
    <t>7430-008-0002/492-009</t>
  </si>
  <si>
    <t>7430-001-0001/492-001-007</t>
  </si>
  <si>
    <t>7430-001-0001/492-008-013</t>
  </si>
  <si>
    <t>7440-001-0001/501-056</t>
  </si>
  <si>
    <t xml:space="preserve">เครื่องคอมพิวเตอร์ ยี่ห้อ ACER </t>
  </si>
  <si>
    <t>7110-001-0003/512-005</t>
  </si>
  <si>
    <t>โต๊ะเหล็ก 5 ฟุต TC  - 3060 BESTER</t>
  </si>
  <si>
    <t>7110-006-0007/512-004</t>
  </si>
  <si>
    <t>7110-002-0005/531-031-035</t>
  </si>
  <si>
    <t>6730-001-0003/531-007-008</t>
  </si>
  <si>
    <t>7440-001-0001/531-124-138</t>
  </si>
  <si>
    <t>7110-007-0007/531-001-030</t>
  </si>
  <si>
    <t>โต๊ะพับเอนกประสงค์ ขนาด 60*200*75</t>
  </si>
  <si>
    <t>7110-006-0004/531-161-190</t>
  </si>
  <si>
    <t>เก้าอี้เบาะพนักพิง</t>
  </si>
  <si>
    <t>6730-007-0002/531-001</t>
  </si>
  <si>
    <t>เครื่องฉายภาพ  3  มิติ</t>
  </si>
  <si>
    <t>โปรเจ็คเตอร์</t>
  </si>
  <si>
    <t>6760-023-0001/531-001</t>
  </si>
  <si>
    <t>จอรับภาพแบบมอเตอร์  100*</t>
  </si>
  <si>
    <t>7110-007-0004/531-016-017</t>
  </si>
  <si>
    <t>6625-002-0002/563-001</t>
  </si>
  <si>
    <t>เครื่องพิมพ์ดีดไฟฟ้า</t>
  </si>
  <si>
    <t>(นางศิริรัตน์  คำเพราะ )</t>
  </si>
  <si>
    <t>บริจาค</t>
  </si>
  <si>
    <t>ลำดับ
ที่</t>
  </si>
  <si>
    <t>ได้มา
โดยวิธี</t>
  </si>
  <si>
    <t>ราคา
หน่วยละ</t>
  </si>
  <si>
    <t>วัน เดือน ปี 
ที่ได้รับ</t>
  </si>
  <si>
    <t xml:space="preserve">หมายเลขประจำ
วัสดุ-ครุภัณฑ์ </t>
  </si>
  <si>
    <t>เป็นเงิน</t>
  </si>
  <si>
    <t>บัญชีรายการ แผนกวิชาการบัญชี  คงเหลือ</t>
  </si>
  <si>
    <t>7440-010-0002/642-001(13)</t>
  </si>
  <si>
    <t xml:space="preserve"> 8 มิ.ย.64</t>
  </si>
  <si>
    <t>เครื่องพิมพ์เลเซอร์</t>
  </si>
  <si>
    <t>2539</t>
  </si>
  <si>
    <t>2540</t>
  </si>
  <si>
    <t>2556</t>
  </si>
  <si>
    <t>ประจำปี 2565  ณ วันที่ 30 กันยายน 2565</t>
  </si>
  <si>
    <t>18-ก.ค.-65</t>
  </si>
  <si>
    <t>เครื่องปรับอากาศขนาด 25,000 BTU</t>
  </si>
  <si>
    <t>4120-001-0001/652-001 (3)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</si>
</sst>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9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4"/>
      <name val="Cordia New"/>
      <family val="2"/>
    </font>
    <font>
      <sz val="16"/>
      <name val="TH SarabunPSK"/>
      <family val="2"/>
    </font>
    <font>
      <sz val="16"/>
      <color theme="1"/>
      <name val="TH SarabunPSK"/>
      <family val="2"/>
    </font>
    <font>
      <sz val="10"/>
      <name val="Arial"/>
      <family val="2"/>
    </font>
    <font>
      <b/>
      <sz val="16"/>
      <color theme="1"/>
      <name val="TH SarabunPSK"/>
      <family val="2"/>
    </font>
    <font>
      <b/>
      <sz val="16"/>
      <name val="TH SarabunPSK"/>
      <family val="2"/>
    </font>
    <font>
      <sz val="16"/>
      <color rgb="FF2F75B5"/>
      <name val="TH SarabunPSK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</cellStyleXfs>
  <cellXfs count="46">
    <xf numFmtId="0" fontId="0" fillId="0" borderId="0" xfId="0"/>
    <xf numFmtId="0" fontId="3" fillId="0" borderId="1" xfId="6" applyFont="1" applyBorder="1"/>
    <xf numFmtId="0" fontId="4" fillId="0" borderId="0" xfId="0" applyFont="1"/>
    <xf numFmtId="0" fontId="3" fillId="0" borderId="1" xfId="2" applyFont="1" applyBorder="1" applyAlignment="1">
      <alignment horizontal="center"/>
    </xf>
    <xf numFmtId="43" fontId="3" fillId="0" borderId="2" xfId="1" applyFont="1" applyBorder="1"/>
    <xf numFmtId="0" fontId="3" fillId="0" borderId="1" xfId="6" applyFont="1" applyBorder="1" applyAlignment="1">
      <alignment horizontal="center"/>
    </xf>
    <xf numFmtId="43" fontId="3" fillId="0" borderId="1" xfId="1" applyFont="1" applyBorder="1" applyAlignment="1">
      <alignment horizontal="center"/>
    </xf>
    <xf numFmtId="43" fontId="3" fillId="0" borderId="1" xfId="1" applyFont="1" applyBorder="1"/>
    <xf numFmtId="49" fontId="3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49" fontId="3" fillId="0" borderId="1" xfId="7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43" fontId="3" fillId="0" borderId="1" xfId="12" applyFont="1" applyBorder="1" applyAlignment="1">
      <alignment horizontal="center"/>
    </xf>
    <xf numFmtId="49" fontId="3" fillId="0" borderId="1" xfId="6" applyNumberFormat="1" applyFont="1" applyBorder="1"/>
    <xf numFmtId="0" fontId="4" fillId="0" borderId="1" xfId="0" applyFont="1" applyBorder="1" applyAlignment="1">
      <alignment horizontal="center" vertical="center" wrapText="1"/>
    </xf>
    <xf numFmtId="43" fontId="3" fillId="0" borderId="2" xfId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0" borderId="8" xfId="2" applyFont="1" applyBorder="1" applyAlignment="1">
      <alignment horizontal="center"/>
    </xf>
    <xf numFmtId="0" fontId="3" fillId="0" borderId="0" xfId="2" applyFont="1" applyAlignment="1">
      <alignment horizontal="center"/>
    </xf>
    <xf numFmtId="0" fontId="4" fillId="0" borderId="0" xfId="0" applyFont="1" applyAlignment="1">
      <alignment horizontal="center"/>
    </xf>
    <xf numFmtId="0" fontId="3" fillId="0" borderId="4" xfId="2" applyFont="1" applyBorder="1" applyAlignment="1">
      <alignment horizontal="center"/>
    </xf>
    <xf numFmtId="43" fontId="4" fillId="0" borderId="9" xfId="0" applyNumberFormat="1" applyFont="1" applyBorder="1"/>
    <xf numFmtId="43" fontId="4" fillId="0" borderId="9" xfId="0" applyNumberFormat="1" applyFont="1" applyBorder="1" applyAlignment="1">
      <alignment horizontal="center"/>
    </xf>
    <xf numFmtId="0" fontId="3" fillId="0" borderId="0" xfId="0" applyFont="1"/>
    <xf numFmtId="43" fontId="4" fillId="0" borderId="10" xfId="0" applyNumberFormat="1" applyFont="1" applyBorder="1"/>
    <xf numFmtId="0" fontId="6" fillId="0" borderId="0" xfId="0" applyFont="1" applyAlignment="1">
      <alignment horizontal="center"/>
    </xf>
    <xf numFmtId="0" fontId="7" fillId="0" borderId="0" xfId="9" applyFont="1" applyAlignment="1">
      <alignment horizontal="center" vertical="center"/>
    </xf>
    <xf numFmtId="0" fontId="6" fillId="0" borderId="5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8" fillId="0" borderId="1" xfId="0" applyFont="1" applyBorder="1" applyAlignment="1">
      <alignment horizontal="center"/>
    </xf>
    <xf numFmtId="49" fontId="8" fillId="0" borderId="1" xfId="0" applyNumberFormat="1" applyFont="1" applyBorder="1" applyAlignment="1">
      <alignment horizontal="center"/>
    </xf>
    <xf numFmtId="0" fontId="8" fillId="0" borderId="1" xfId="6" applyFont="1" applyBorder="1"/>
    <xf numFmtId="0" fontId="8" fillId="0" borderId="1" xfId="2" applyFont="1" applyBorder="1" applyAlignment="1">
      <alignment horizontal="center"/>
    </xf>
    <xf numFmtId="0" fontId="8" fillId="0" borderId="1" xfId="6" applyFont="1" applyBorder="1" applyAlignment="1">
      <alignment horizontal="center"/>
    </xf>
    <xf numFmtId="43" fontId="8" fillId="0" borderId="2" xfId="1" applyFont="1" applyBorder="1" applyAlignment="1">
      <alignment horizontal="center"/>
    </xf>
    <xf numFmtId="43" fontId="8" fillId="0" borderId="1" xfId="12" applyFont="1" applyBorder="1" applyAlignment="1">
      <alignment horizontal="center"/>
    </xf>
    <xf numFmtId="0" fontId="8" fillId="0" borderId="0" xfId="0" applyFont="1"/>
    <xf numFmtId="0" fontId="8" fillId="2" borderId="1" xfId="0" applyFont="1" applyFill="1" applyBorder="1" applyAlignment="1">
      <alignment horizontal="center" vertical="center"/>
    </xf>
    <xf numFmtId="49" fontId="8" fillId="0" borderId="1" xfId="7" applyNumberFormat="1" applyFont="1" applyBorder="1" applyAlignment="1">
      <alignment horizontal="center"/>
    </xf>
    <xf numFmtId="43" fontId="8" fillId="0" borderId="1" xfId="1" applyFont="1" applyBorder="1" applyAlignment="1">
      <alignment horizontal="center"/>
    </xf>
    <xf numFmtId="0" fontId="8" fillId="0" borderId="3" xfId="6" applyFont="1" applyBorder="1"/>
    <xf numFmtId="0" fontId="8" fillId="0" borderId="3" xfId="6" applyFont="1" applyBorder="1" applyAlignment="1">
      <alignment horizontal="center"/>
    </xf>
    <xf numFmtId="43" fontId="8" fillId="0" borderId="7" xfId="1" applyFont="1" applyBorder="1" applyAlignment="1">
      <alignment horizontal="center"/>
    </xf>
  </cellXfs>
  <cellStyles count="14">
    <cellStyle name="Normal_ครุภัณฑ์ปี  2553" xfId="8" xr:uid="{00000000-0005-0000-0000-000000000000}"/>
    <cellStyle name="เครื่องหมายจุลภาค 9" xfId="12" xr:uid="{00000000-0005-0000-0000-000002000000}"/>
    <cellStyle name="จุลภาค" xfId="1" builtinId="3"/>
    <cellStyle name="ปกติ" xfId="0" builtinId="0"/>
    <cellStyle name="ปกติ 10" xfId="4" xr:uid="{00000000-0005-0000-0000-000004000000}"/>
    <cellStyle name="ปกติ 12" xfId="7" xr:uid="{00000000-0005-0000-0000-000005000000}"/>
    <cellStyle name="ปกติ 14" xfId="3" xr:uid="{00000000-0005-0000-0000-000006000000}"/>
    <cellStyle name="ปกติ 19" xfId="13" xr:uid="{00000000-0005-0000-0000-000007000000}"/>
    <cellStyle name="ปกติ 21" xfId="2" xr:uid="{00000000-0005-0000-0000-000008000000}"/>
    <cellStyle name="ปกติ 22" xfId="5" xr:uid="{00000000-0005-0000-0000-000009000000}"/>
    <cellStyle name="ปกติ 3" xfId="9" xr:uid="{00000000-0005-0000-0000-00000A000000}"/>
    <cellStyle name="ปกติ 4" xfId="10" xr:uid="{00000000-0005-0000-0000-00000B000000}"/>
    <cellStyle name="ปกติ 5" xfId="11" xr:uid="{00000000-0005-0000-0000-00000C000000}"/>
    <cellStyle name="ปกติ_รายการครุภัณฑ์ ปี 52 ที่แก้ไขเรียงลำดับใหม่ 23 ก.พ.53" xfId="6" xr:uid="{00000000-0005-0000-0000-00000D000000}"/>
  </cellStyles>
  <dxfs count="0"/>
  <tableStyles count="0" defaultTableStyle="TableStyleMedium2" defaultPivotStyle="PivotStyleLight16"/>
  <colors>
    <mruColors>
      <color rgb="FF2F75B5"/>
      <color rgb="FF993300"/>
      <color rgb="FF0070C0"/>
      <color rgb="FFFF0066"/>
      <color rgb="FF7030A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142875</xdr:colOff>
      <xdr:row>0</xdr:row>
      <xdr:rowOff>142875</xdr:rowOff>
    </xdr:from>
    <xdr:to>
      <xdr:col>8</xdr:col>
      <xdr:colOff>609600</xdr:colOff>
      <xdr:row>1</xdr:row>
      <xdr:rowOff>161925</xdr:rowOff>
    </xdr:to>
    <xdr:sp macro="" textlink="">
      <xdr:nvSpPr>
        <xdr:cNvPr id="2" name="กล่องข้อความ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SpPr txBox="1"/>
      </xdr:nvSpPr>
      <xdr:spPr>
        <a:xfrm>
          <a:off x="8077200" y="142875"/>
          <a:ext cx="1466850" cy="323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2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070C0"/>
  </sheetPr>
  <dimension ref="A1:I47"/>
  <sheetViews>
    <sheetView tabSelected="1" topLeftCell="C1" zoomScaleNormal="100" workbookViewId="0">
      <selection activeCell="C5" sqref="C5"/>
    </sheetView>
  </sheetViews>
  <sheetFormatPr defaultColWidth="9" defaultRowHeight="24"/>
  <cols>
    <col min="1" max="1" width="5.28515625" style="2" customWidth="1"/>
    <col min="2" max="2" width="12.28515625" style="2" customWidth="1"/>
    <col min="3" max="3" width="36.140625" style="2" customWidth="1"/>
    <col min="4" max="4" width="37" style="2" customWidth="1"/>
    <col min="5" max="5" width="7.140625" style="2" customWidth="1"/>
    <col min="6" max="6" width="7.85546875" style="2" customWidth="1"/>
    <col min="7" max="7" width="13.28515625" style="2" customWidth="1"/>
    <col min="8" max="8" width="15" style="2" customWidth="1"/>
    <col min="9" max="9" width="12.7109375" style="2" customWidth="1"/>
    <col min="10" max="16384" width="9" style="2"/>
  </cols>
  <sheetData>
    <row r="1" spans="1:9">
      <c r="A1" s="26" t="s">
        <v>17</v>
      </c>
      <c r="B1" s="26"/>
      <c r="C1" s="26"/>
      <c r="D1" s="26"/>
      <c r="E1" s="26"/>
      <c r="F1" s="26"/>
      <c r="G1" s="26"/>
      <c r="H1" s="26"/>
      <c r="I1" s="26"/>
    </row>
    <row r="2" spans="1:9">
      <c r="A2" s="27" t="s">
        <v>80</v>
      </c>
      <c r="B2" s="27"/>
      <c r="C2" s="27"/>
      <c r="D2" s="27"/>
      <c r="E2" s="27"/>
      <c r="F2" s="27"/>
      <c r="G2" s="27"/>
      <c r="H2" s="27"/>
      <c r="I2" s="27"/>
    </row>
    <row r="3" spans="1:9">
      <c r="A3" s="28" t="s">
        <v>87</v>
      </c>
      <c r="B3" s="28"/>
      <c r="C3" s="28"/>
      <c r="D3" s="28"/>
      <c r="E3" s="28"/>
      <c r="F3" s="28"/>
      <c r="G3" s="28"/>
      <c r="H3" s="28"/>
      <c r="I3" s="28"/>
    </row>
    <row r="4" spans="1:9" ht="44.25" customHeight="1">
      <c r="A4" s="14" t="s">
        <v>74</v>
      </c>
      <c r="B4" s="14" t="s">
        <v>77</v>
      </c>
      <c r="C4" s="14" t="s">
        <v>78</v>
      </c>
      <c r="D4" s="9" t="s">
        <v>0</v>
      </c>
      <c r="E4" s="14" t="s">
        <v>75</v>
      </c>
      <c r="F4" s="9" t="s">
        <v>1</v>
      </c>
      <c r="G4" s="14" t="s">
        <v>76</v>
      </c>
      <c r="H4" s="14" t="s">
        <v>79</v>
      </c>
      <c r="I4" s="14" t="s">
        <v>2</v>
      </c>
    </row>
    <row r="5" spans="1:9" s="39" customFormat="1">
      <c r="A5" s="32">
        <v>1</v>
      </c>
      <c r="B5" s="33" t="s">
        <v>84</v>
      </c>
      <c r="C5" s="34" t="s">
        <v>21</v>
      </c>
      <c r="D5" s="34" t="s">
        <v>22</v>
      </c>
      <c r="E5" s="35" t="s">
        <v>6</v>
      </c>
      <c r="F5" s="36">
        <v>15</v>
      </c>
      <c r="G5" s="37">
        <v>25000</v>
      </c>
      <c r="H5" s="37">
        <f>SUM(F5*G5)</f>
        <v>375000</v>
      </c>
      <c r="I5" s="38"/>
    </row>
    <row r="6" spans="1:9" s="39" customFormat="1">
      <c r="A6" s="40">
        <v>2</v>
      </c>
      <c r="B6" s="33" t="s">
        <v>84</v>
      </c>
      <c r="C6" s="34" t="s">
        <v>23</v>
      </c>
      <c r="D6" s="34" t="s">
        <v>20</v>
      </c>
      <c r="E6" s="35" t="s">
        <v>6</v>
      </c>
      <c r="F6" s="36">
        <v>25</v>
      </c>
      <c r="G6" s="37">
        <v>8000</v>
      </c>
      <c r="H6" s="37">
        <f t="shared" ref="H6:H37" si="0">SUM(F6*G6)</f>
        <v>200000</v>
      </c>
      <c r="I6" s="38"/>
    </row>
    <row r="7" spans="1:9" s="39" customFormat="1">
      <c r="A7" s="32">
        <v>3</v>
      </c>
      <c r="B7" s="33" t="s">
        <v>84</v>
      </c>
      <c r="C7" s="34" t="s">
        <v>24</v>
      </c>
      <c r="D7" s="34" t="s">
        <v>25</v>
      </c>
      <c r="E7" s="35" t="s">
        <v>6</v>
      </c>
      <c r="F7" s="36">
        <v>25</v>
      </c>
      <c r="G7" s="37">
        <v>8000</v>
      </c>
      <c r="H7" s="37">
        <f t="shared" si="0"/>
        <v>200000</v>
      </c>
      <c r="I7" s="38"/>
    </row>
    <row r="8" spans="1:9" s="39" customFormat="1">
      <c r="A8" s="40">
        <v>4</v>
      </c>
      <c r="B8" s="33" t="s">
        <v>84</v>
      </c>
      <c r="C8" s="34" t="s">
        <v>26</v>
      </c>
      <c r="D8" s="34" t="s">
        <v>3</v>
      </c>
      <c r="E8" s="35" t="s">
        <v>6</v>
      </c>
      <c r="F8" s="36">
        <v>42</v>
      </c>
      <c r="G8" s="37">
        <v>1600</v>
      </c>
      <c r="H8" s="37">
        <f t="shared" si="0"/>
        <v>67200</v>
      </c>
      <c r="I8" s="38"/>
    </row>
    <row r="9" spans="1:9">
      <c r="A9" s="11">
        <v>5</v>
      </c>
      <c r="B9" s="8" t="s">
        <v>84</v>
      </c>
      <c r="C9" s="1" t="s">
        <v>27</v>
      </c>
      <c r="D9" s="1" t="s">
        <v>5</v>
      </c>
      <c r="E9" s="3" t="s">
        <v>6</v>
      </c>
      <c r="F9" s="5">
        <v>5</v>
      </c>
      <c r="G9" s="15">
        <v>3300</v>
      </c>
      <c r="H9" s="15">
        <f t="shared" si="0"/>
        <v>16500</v>
      </c>
      <c r="I9" s="12"/>
    </row>
    <row r="10" spans="1:9">
      <c r="A10" s="17">
        <v>6</v>
      </c>
      <c r="B10" s="8" t="s">
        <v>84</v>
      </c>
      <c r="C10" s="1" t="s">
        <v>28</v>
      </c>
      <c r="D10" s="1" t="s">
        <v>29</v>
      </c>
      <c r="E10" s="3" t="s">
        <v>6</v>
      </c>
      <c r="F10" s="5">
        <v>5</v>
      </c>
      <c r="G10" s="15">
        <v>3300</v>
      </c>
      <c r="H10" s="15">
        <f t="shared" si="0"/>
        <v>16500</v>
      </c>
      <c r="I10" s="12"/>
    </row>
    <row r="11" spans="1:9">
      <c r="A11" s="11">
        <v>7</v>
      </c>
      <c r="B11" s="8" t="s">
        <v>84</v>
      </c>
      <c r="C11" s="1" t="s">
        <v>30</v>
      </c>
      <c r="D11" s="1" t="s">
        <v>31</v>
      </c>
      <c r="E11" s="3" t="s">
        <v>6</v>
      </c>
      <c r="F11" s="5">
        <v>20</v>
      </c>
      <c r="G11" s="15">
        <v>2500</v>
      </c>
      <c r="H11" s="15">
        <f t="shared" si="0"/>
        <v>50000</v>
      </c>
      <c r="I11" s="12"/>
    </row>
    <row r="12" spans="1:9" s="24" customFormat="1">
      <c r="A12" s="17">
        <v>8</v>
      </c>
      <c r="B12" s="8" t="s">
        <v>84</v>
      </c>
      <c r="C12" s="1" t="s">
        <v>32</v>
      </c>
      <c r="D12" s="1" t="s">
        <v>33</v>
      </c>
      <c r="E12" s="3" t="s">
        <v>6</v>
      </c>
      <c r="F12" s="5">
        <v>35</v>
      </c>
      <c r="G12" s="15">
        <v>2400</v>
      </c>
      <c r="H12" s="15">
        <f t="shared" si="0"/>
        <v>84000</v>
      </c>
      <c r="I12" s="12"/>
    </row>
    <row r="13" spans="1:9" s="39" customFormat="1">
      <c r="A13" s="32">
        <v>9</v>
      </c>
      <c r="B13" s="33" t="s">
        <v>84</v>
      </c>
      <c r="C13" s="34" t="s">
        <v>34</v>
      </c>
      <c r="D13" s="34" t="s">
        <v>35</v>
      </c>
      <c r="E13" s="35" t="s">
        <v>6</v>
      </c>
      <c r="F13" s="36">
        <v>4</v>
      </c>
      <c r="G13" s="37">
        <v>20000</v>
      </c>
      <c r="H13" s="37">
        <f t="shared" si="0"/>
        <v>80000</v>
      </c>
      <c r="I13" s="32"/>
    </row>
    <row r="14" spans="1:9">
      <c r="A14" s="17">
        <v>10</v>
      </c>
      <c r="B14" s="8" t="s">
        <v>84</v>
      </c>
      <c r="C14" s="1" t="s">
        <v>36</v>
      </c>
      <c r="D14" s="1" t="s">
        <v>37</v>
      </c>
      <c r="E14" s="3" t="s">
        <v>6</v>
      </c>
      <c r="F14" s="5">
        <v>1</v>
      </c>
      <c r="G14" s="4">
        <v>5000</v>
      </c>
      <c r="H14" s="15">
        <f t="shared" si="0"/>
        <v>5000</v>
      </c>
      <c r="I14" s="16"/>
    </row>
    <row r="15" spans="1:9">
      <c r="A15" s="11">
        <v>11</v>
      </c>
      <c r="B15" s="8" t="s">
        <v>84</v>
      </c>
      <c r="C15" s="1" t="s">
        <v>38</v>
      </c>
      <c r="D15" s="1" t="s">
        <v>39</v>
      </c>
      <c r="E15" s="3" t="s">
        <v>6</v>
      </c>
      <c r="F15" s="5">
        <v>2</v>
      </c>
      <c r="G15" s="15">
        <v>2000</v>
      </c>
      <c r="H15" s="15">
        <f t="shared" si="0"/>
        <v>4000</v>
      </c>
      <c r="I15" s="16"/>
    </row>
    <row r="16" spans="1:9" s="39" customFormat="1">
      <c r="A16" s="40">
        <v>12</v>
      </c>
      <c r="B16" s="41" t="s">
        <v>85</v>
      </c>
      <c r="C16" s="34" t="s">
        <v>40</v>
      </c>
      <c r="D16" s="34" t="s">
        <v>41</v>
      </c>
      <c r="E16" s="35" t="s">
        <v>6</v>
      </c>
      <c r="F16" s="36">
        <v>25</v>
      </c>
      <c r="G16" s="37">
        <v>8000</v>
      </c>
      <c r="H16" s="37">
        <f t="shared" si="0"/>
        <v>200000</v>
      </c>
      <c r="I16" s="32"/>
    </row>
    <row r="17" spans="1:9" s="39" customFormat="1">
      <c r="A17" s="32">
        <v>13</v>
      </c>
      <c r="B17" s="41" t="s">
        <v>85</v>
      </c>
      <c r="C17" s="34" t="s">
        <v>42</v>
      </c>
      <c r="D17" s="34" t="s">
        <v>4</v>
      </c>
      <c r="E17" s="35" t="s">
        <v>6</v>
      </c>
      <c r="F17" s="36">
        <v>58</v>
      </c>
      <c r="G17" s="37">
        <v>8000</v>
      </c>
      <c r="H17" s="37">
        <f t="shared" si="0"/>
        <v>464000</v>
      </c>
      <c r="I17" s="32"/>
    </row>
    <row r="18" spans="1:9" s="39" customFormat="1">
      <c r="A18" s="40">
        <v>14</v>
      </c>
      <c r="B18" s="41" t="s">
        <v>85</v>
      </c>
      <c r="C18" s="34" t="s">
        <v>43</v>
      </c>
      <c r="D18" s="34" t="s">
        <v>3</v>
      </c>
      <c r="E18" s="35" t="s">
        <v>6</v>
      </c>
      <c r="F18" s="36">
        <v>90</v>
      </c>
      <c r="G18" s="37">
        <v>1600</v>
      </c>
      <c r="H18" s="37">
        <f t="shared" si="0"/>
        <v>144000</v>
      </c>
      <c r="I18" s="32"/>
    </row>
    <row r="19" spans="1:9">
      <c r="A19" s="11">
        <v>15</v>
      </c>
      <c r="B19" s="10" t="s">
        <v>85</v>
      </c>
      <c r="C19" s="1" t="s">
        <v>44</v>
      </c>
      <c r="D19" s="1" t="s">
        <v>29</v>
      </c>
      <c r="E19" s="16" t="s">
        <v>6</v>
      </c>
      <c r="F19" s="5">
        <v>4</v>
      </c>
      <c r="G19" s="15">
        <v>2200</v>
      </c>
      <c r="H19" s="15">
        <f t="shared" si="0"/>
        <v>8800</v>
      </c>
      <c r="I19" s="16"/>
    </row>
    <row r="20" spans="1:9" s="39" customFormat="1">
      <c r="A20" s="40">
        <v>16</v>
      </c>
      <c r="B20" s="41" t="s">
        <v>85</v>
      </c>
      <c r="C20" s="34" t="s">
        <v>45</v>
      </c>
      <c r="D20" s="34" t="s">
        <v>31</v>
      </c>
      <c r="E20" s="32" t="s">
        <v>6</v>
      </c>
      <c r="F20" s="36">
        <v>46</v>
      </c>
      <c r="G20" s="37">
        <v>2500</v>
      </c>
      <c r="H20" s="37">
        <f t="shared" si="0"/>
        <v>115000</v>
      </c>
      <c r="I20" s="32"/>
    </row>
    <row r="21" spans="1:9" s="39" customFormat="1">
      <c r="A21" s="32">
        <v>17</v>
      </c>
      <c r="B21" s="32">
        <v>2546</v>
      </c>
      <c r="C21" s="34" t="s">
        <v>46</v>
      </c>
      <c r="D21" s="34" t="s">
        <v>9</v>
      </c>
      <c r="E21" s="32" t="s">
        <v>6</v>
      </c>
      <c r="F21" s="36">
        <v>1</v>
      </c>
      <c r="G21" s="37">
        <v>33000</v>
      </c>
      <c r="H21" s="37">
        <f t="shared" si="0"/>
        <v>33000</v>
      </c>
      <c r="I21" s="32"/>
    </row>
    <row r="22" spans="1:9" s="39" customFormat="1">
      <c r="A22" s="40">
        <v>18</v>
      </c>
      <c r="B22" s="32">
        <v>2548</v>
      </c>
      <c r="C22" s="34" t="s">
        <v>47</v>
      </c>
      <c r="D22" s="34" t="s">
        <v>48</v>
      </c>
      <c r="E22" s="32" t="s">
        <v>7</v>
      </c>
      <c r="F22" s="36">
        <v>2</v>
      </c>
      <c r="G22" s="37">
        <v>1175</v>
      </c>
      <c r="H22" s="37">
        <f t="shared" si="0"/>
        <v>2350</v>
      </c>
      <c r="I22" s="32"/>
    </row>
    <row r="23" spans="1:9" s="39" customFormat="1">
      <c r="A23" s="32">
        <v>19</v>
      </c>
      <c r="B23" s="32">
        <v>2549</v>
      </c>
      <c r="C23" s="43" t="s">
        <v>49</v>
      </c>
      <c r="D23" s="43" t="s">
        <v>11</v>
      </c>
      <c r="E23" s="32" t="s">
        <v>7</v>
      </c>
      <c r="F23" s="44">
        <v>1</v>
      </c>
      <c r="G23" s="45">
        <v>5296.5</v>
      </c>
      <c r="H23" s="37">
        <f t="shared" si="0"/>
        <v>5296.5</v>
      </c>
      <c r="I23" s="32"/>
    </row>
    <row r="24" spans="1:9" s="39" customFormat="1">
      <c r="A24" s="40">
        <v>20</v>
      </c>
      <c r="B24" s="32">
        <v>2549</v>
      </c>
      <c r="C24" s="34" t="s">
        <v>50</v>
      </c>
      <c r="D24" s="34" t="s">
        <v>41</v>
      </c>
      <c r="E24" s="32" t="s">
        <v>7</v>
      </c>
      <c r="F24" s="36">
        <v>7</v>
      </c>
      <c r="G24" s="37">
        <v>12200</v>
      </c>
      <c r="H24" s="37">
        <f t="shared" si="0"/>
        <v>85400</v>
      </c>
      <c r="I24" s="32"/>
    </row>
    <row r="25" spans="1:9" s="39" customFormat="1">
      <c r="A25" s="32">
        <v>21</v>
      </c>
      <c r="B25" s="32">
        <v>2549</v>
      </c>
      <c r="C25" s="34" t="s">
        <v>51</v>
      </c>
      <c r="D25" s="34" t="s">
        <v>41</v>
      </c>
      <c r="E25" s="32" t="s">
        <v>7</v>
      </c>
      <c r="F25" s="36">
        <v>6</v>
      </c>
      <c r="G25" s="37">
        <v>12200</v>
      </c>
      <c r="H25" s="37">
        <f t="shared" si="0"/>
        <v>73200</v>
      </c>
      <c r="I25" s="32"/>
    </row>
    <row r="26" spans="1:9" s="39" customFormat="1">
      <c r="A26" s="40">
        <v>22</v>
      </c>
      <c r="B26" s="32">
        <v>2550</v>
      </c>
      <c r="C26" s="34" t="s">
        <v>52</v>
      </c>
      <c r="D26" s="34" t="s">
        <v>53</v>
      </c>
      <c r="E26" s="32" t="s">
        <v>6</v>
      </c>
      <c r="F26" s="36">
        <v>1</v>
      </c>
      <c r="G26" s="37">
        <v>24000</v>
      </c>
      <c r="H26" s="37">
        <f t="shared" si="0"/>
        <v>24000</v>
      </c>
      <c r="I26" s="32"/>
    </row>
    <row r="27" spans="1:9">
      <c r="A27" s="11">
        <v>23</v>
      </c>
      <c r="B27" s="16">
        <v>2551</v>
      </c>
      <c r="C27" s="1" t="s">
        <v>54</v>
      </c>
      <c r="D27" s="1" t="s">
        <v>55</v>
      </c>
      <c r="E27" s="16" t="s">
        <v>7</v>
      </c>
      <c r="F27" s="5">
        <v>1</v>
      </c>
      <c r="G27" s="15">
        <v>5684.5</v>
      </c>
      <c r="H27" s="15">
        <f t="shared" si="0"/>
        <v>5684.5</v>
      </c>
      <c r="I27" s="16"/>
    </row>
    <row r="28" spans="1:9">
      <c r="A28" s="17">
        <v>24</v>
      </c>
      <c r="B28" s="16">
        <v>2551</v>
      </c>
      <c r="C28" s="1" t="s">
        <v>56</v>
      </c>
      <c r="D28" s="1" t="s">
        <v>18</v>
      </c>
      <c r="E28" s="16" t="s">
        <v>7</v>
      </c>
      <c r="F28" s="5">
        <v>1</v>
      </c>
      <c r="G28" s="6">
        <v>1006.25</v>
      </c>
      <c r="H28" s="15">
        <f t="shared" si="0"/>
        <v>1006.25</v>
      </c>
      <c r="I28" s="16"/>
    </row>
    <row r="29" spans="1:9">
      <c r="A29" s="11">
        <v>25</v>
      </c>
      <c r="B29" s="16">
        <v>2553</v>
      </c>
      <c r="C29" s="1" t="s">
        <v>57</v>
      </c>
      <c r="D29" s="1" t="s">
        <v>14</v>
      </c>
      <c r="E29" s="16" t="s">
        <v>6</v>
      </c>
      <c r="F29" s="5">
        <v>5</v>
      </c>
      <c r="G29" s="6">
        <v>3500</v>
      </c>
      <c r="H29" s="15">
        <f t="shared" si="0"/>
        <v>17500</v>
      </c>
      <c r="I29" s="16"/>
    </row>
    <row r="30" spans="1:9">
      <c r="A30" s="17">
        <v>26</v>
      </c>
      <c r="B30" s="16">
        <v>2553</v>
      </c>
      <c r="C30" s="1" t="s">
        <v>58</v>
      </c>
      <c r="D30" s="1" t="s">
        <v>15</v>
      </c>
      <c r="E30" s="3" t="s">
        <v>6</v>
      </c>
      <c r="F30" s="5">
        <v>2</v>
      </c>
      <c r="G30" s="7">
        <v>32000</v>
      </c>
      <c r="H30" s="15">
        <f t="shared" si="0"/>
        <v>64000</v>
      </c>
      <c r="I30" s="16"/>
    </row>
    <row r="31" spans="1:9" s="39" customFormat="1">
      <c r="A31" s="32">
        <v>27</v>
      </c>
      <c r="B31" s="32">
        <v>2553</v>
      </c>
      <c r="C31" s="34" t="s">
        <v>59</v>
      </c>
      <c r="D31" s="34" t="s">
        <v>8</v>
      </c>
      <c r="E31" s="35" t="s">
        <v>6</v>
      </c>
      <c r="F31" s="36">
        <v>15</v>
      </c>
      <c r="G31" s="42">
        <v>17000</v>
      </c>
      <c r="H31" s="37">
        <f t="shared" si="0"/>
        <v>255000</v>
      </c>
      <c r="I31" s="38"/>
    </row>
    <row r="32" spans="1:9">
      <c r="A32" s="17">
        <v>28</v>
      </c>
      <c r="B32" s="16">
        <v>2553</v>
      </c>
      <c r="C32" s="1" t="s">
        <v>60</v>
      </c>
      <c r="D32" s="1" t="s">
        <v>61</v>
      </c>
      <c r="E32" s="3" t="s">
        <v>6</v>
      </c>
      <c r="F32" s="5">
        <v>30</v>
      </c>
      <c r="G32" s="6">
        <v>2350</v>
      </c>
      <c r="H32" s="15">
        <f t="shared" si="0"/>
        <v>70500</v>
      </c>
      <c r="I32" s="12"/>
    </row>
    <row r="33" spans="1:9" s="39" customFormat="1">
      <c r="A33" s="32">
        <v>29</v>
      </c>
      <c r="B33" s="32">
        <v>2553</v>
      </c>
      <c r="C33" s="34" t="s">
        <v>62</v>
      </c>
      <c r="D33" s="34" t="s">
        <v>63</v>
      </c>
      <c r="E33" s="35" t="s">
        <v>6</v>
      </c>
      <c r="F33" s="36">
        <v>30</v>
      </c>
      <c r="G33" s="42">
        <v>400</v>
      </c>
      <c r="H33" s="37">
        <f t="shared" si="0"/>
        <v>12000</v>
      </c>
      <c r="I33" s="38"/>
    </row>
    <row r="34" spans="1:9">
      <c r="A34" s="17">
        <v>30</v>
      </c>
      <c r="B34" s="16">
        <v>2553</v>
      </c>
      <c r="C34" s="1" t="s">
        <v>64</v>
      </c>
      <c r="D34" s="1" t="s">
        <v>65</v>
      </c>
      <c r="E34" s="3" t="s">
        <v>6</v>
      </c>
      <c r="F34" s="5">
        <v>1</v>
      </c>
      <c r="G34" s="6">
        <v>33000</v>
      </c>
      <c r="H34" s="15">
        <f t="shared" si="0"/>
        <v>33000</v>
      </c>
      <c r="I34" s="12"/>
    </row>
    <row r="35" spans="1:9">
      <c r="A35" s="11">
        <v>31</v>
      </c>
      <c r="B35" s="16">
        <v>2553</v>
      </c>
      <c r="C35" s="1" t="s">
        <v>19</v>
      </c>
      <c r="D35" s="1" t="s">
        <v>66</v>
      </c>
      <c r="E35" s="3" t="s">
        <v>6</v>
      </c>
      <c r="F35" s="5">
        <v>1</v>
      </c>
      <c r="G35" s="6">
        <v>11000</v>
      </c>
      <c r="H35" s="15">
        <f t="shared" si="0"/>
        <v>11000</v>
      </c>
      <c r="I35" s="12"/>
    </row>
    <row r="36" spans="1:9">
      <c r="A36" s="17">
        <v>32</v>
      </c>
      <c r="B36" s="16">
        <v>2553</v>
      </c>
      <c r="C36" s="1" t="s">
        <v>67</v>
      </c>
      <c r="D36" s="1" t="s">
        <v>68</v>
      </c>
      <c r="E36" s="3" t="s">
        <v>6</v>
      </c>
      <c r="F36" s="5">
        <v>1</v>
      </c>
      <c r="G36" s="6">
        <v>31000</v>
      </c>
      <c r="H36" s="15">
        <f t="shared" si="0"/>
        <v>31000</v>
      </c>
      <c r="I36" s="12"/>
    </row>
    <row r="37" spans="1:9">
      <c r="A37" s="11">
        <v>33</v>
      </c>
      <c r="B37" s="16">
        <v>2553</v>
      </c>
      <c r="C37" s="1" t="s">
        <v>69</v>
      </c>
      <c r="D37" s="1" t="s">
        <v>10</v>
      </c>
      <c r="E37" s="3" t="s">
        <v>6</v>
      </c>
      <c r="F37" s="5">
        <v>2</v>
      </c>
      <c r="G37" s="6">
        <v>3750</v>
      </c>
      <c r="H37" s="15">
        <f t="shared" si="0"/>
        <v>7500</v>
      </c>
      <c r="I37" s="12"/>
    </row>
    <row r="38" spans="1:9">
      <c r="A38" s="17">
        <v>34</v>
      </c>
      <c r="B38" s="8" t="s">
        <v>86</v>
      </c>
      <c r="C38" s="13" t="s">
        <v>70</v>
      </c>
      <c r="D38" s="13" t="s">
        <v>71</v>
      </c>
      <c r="E38" s="3" t="s">
        <v>73</v>
      </c>
      <c r="F38" s="5">
        <v>1</v>
      </c>
      <c r="G38" s="7">
        <v>20865</v>
      </c>
      <c r="H38" s="15">
        <f t="shared" ref="H38" si="1">SUM(F38*G38)</f>
        <v>20865</v>
      </c>
      <c r="I38" s="12"/>
    </row>
    <row r="39" spans="1:9">
      <c r="A39" s="11">
        <v>35</v>
      </c>
      <c r="B39" s="8" t="s">
        <v>82</v>
      </c>
      <c r="C39" s="13" t="s">
        <v>81</v>
      </c>
      <c r="D39" s="13" t="s">
        <v>83</v>
      </c>
      <c r="E39" s="3" t="s">
        <v>7</v>
      </c>
      <c r="F39" s="5">
        <v>1</v>
      </c>
      <c r="G39" s="7">
        <v>2690</v>
      </c>
      <c r="H39" s="15">
        <f>SUM(F39*G39)</f>
        <v>2690</v>
      </c>
      <c r="I39" s="12"/>
    </row>
    <row r="40" spans="1:9">
      <c r="A40" s="17">
        <v>36</v>
      </c>
      <c r="B40" s="8" t="s">
        <v>88</v>
      </c>
      <c r="C40" s="13" t="s">
        <v>90</v>
      </c>
      <c r="D40" s="13" t="s">
        <v>89</v>
      </c>
      <c r="E40" s="3" t="s">
        <v>7</v>
      </c>
      <c r="F40" s="5">
        <v>1</v>
      </c>
      <c r="G40" s="7">
        <v>29500</v>
      </c>
      <c r="H40" s="15">
        <f>SUM(F40*G40)</f>
        <v>29500</v>
      </c>
      <c r="I40" s="12"/>
    </row>
    <row r="41" spans="1:9">
      <c r="A41" s="29" t="s">
        <v>16</v>
      </c>
      <c r="B41" s="28"/>
      <c r="C41" s="28"/>
      <c r="D41" s="28"/>
      <c r="E41" s="30"/>
      <c r="F41" s="21"/>
      <c r="G41" s="25"/>
      <c r="H41" s="22">
        <f>SUM(H5:H40)</f>
        <v>2814492.25</v>
      </c>
      <c r="I41" s="23"/>
    </row>
    <row r="42" spans="1:9">
      <c r="F42" s="18"/>
    </row>
    <row r="43" spans="1:9">
      <c r="F43" s="19"/>
    </row>
    <row r="44" spans="1:9">
      <c r="F44" s="31" t="s">
        <v>12</v>
      </c>
      <c r="G44" s="31"/>
      <c r="H44" s="31"/>
      <c r="I44" s="31"/>
    </row>
    <row r="45" spans="1:9">
      <c r="F45" s="31" t="s">
        <v>72</v>
      </c>
      <c r="G45" s="31"/>
      <c r="H45" s="31"/>
      <c r="I45" s="31"/>
    </row>
    <row r="46" spans="1:9">
      <c r="F46" s="31" t="s">
        <v>13</v>
      </c>
      <c r="G46" s="31"/>
      <c r="H46" s="31"/>
      <c r="I46" s="31"/>
    </row>
    <row r="47" spans="1:9">
      <c r="F47" s="20"/>
      <c r="G47" s="20"/>
      <c r="H47" s="20"/>
      <c r="I47" s="20"/>
    </row>
  </sheetData>
  <mergeCells count="7">
    <mergeCell ref="A1:I1"/>
    <mergeCell ref="A2:I2"/>
    <mergeCell ref="A3:I3"/>
    <mergeCell ref="A41:E41"/>
    <mergeCell ref="F46:I46"/>
    <mergeCell ref="F45:I45"/>
    <mergeCell ref="F44:I44"/>
  </mergeCells>
  <printOptions horizontalCentered="1"/>
  <pageMargins left="0" right="0" top="0.59055118110236227" bottom="0.19685039370078741" header="0" footer="0"/>
  <pageSetup paperSize="9" scale="70" orientation="portrait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แผนกการบัญชี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AP2017</dc:creator>
  <cp:lastModifiedBy>Pasdoo</cp:lastModifiedBy>
  <cp:lastPrinted>2022-10-10T04:13:48Z</cp:lastPrinted>
  <dcterms:created xsi:type="dcterms:W3CDTF">2017-11-14T01:32:33Z</dcterms:created>
  <dcterms:modified xsi:type="dcterms:W3CDTF">2023-01-31T09:43:14Z</dcterms:modified>
</cp:coreProperties>
</file>