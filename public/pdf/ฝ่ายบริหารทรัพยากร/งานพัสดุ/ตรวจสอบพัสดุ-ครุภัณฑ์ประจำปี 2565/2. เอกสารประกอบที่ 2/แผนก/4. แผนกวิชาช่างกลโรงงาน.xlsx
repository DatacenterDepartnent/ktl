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แผนก\"/>
    </mc:Choice>
  </mc:AlternateContent>
  <xr:revisionPtr revIDLastSave="0" documentId="13_ncr:1_{47A52DB1-C272-4692-95CD-797AA52E4D7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กลโรงงาน" sheetId="32" r:id="rId1"/>
  </sheets>
  <definedNames>
    <definedName name="_xlnm.Print_Titles" localSheetId="0">แผนกช่างกลโรงงาน!$1:$4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0" i="32" l="1"/>
  <c r="H21" i="32" s="1"/>
  <c r="H18" i="32"/>
  <c r="H17" i="32"/>
  <c r="H19" i="32"/>
  <c r="H16" i="32"/>
  <c r="H6" i="32" l="1"/>
  <c r="H7" i="32"/>
  <c r="H8" i="32"/>
  <c r="H9" i="32"/>
  <c r="H10" i="32"/>
  <c r="H11" i="32"/>
  <c r="H12" i="32"/>
  <c r="H13" i="32"/>
  <c r="H14" i="32"/>
  <c r="H15" i="32"/>
  <c r="H5" i="32"/>
</calcChain>
</file>

<file path=xl/sharedStrings.xml><?xml version="1.0" encoding="utf-8"?>
<sst xmlns="http://schemas.openxmlformats.org/spreadsheetml/2006/main" count="68" uniqueCount="54">
  <si>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</si>
  <si>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</si>
  <si>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</si>
  <si>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</si>
  <si>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</si>
  <si>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</si>
  <si>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</si>
  <si>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</si>
  <si>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</si>
  <si>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</si>
  <si>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</si>
  <si>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</si>
  <si>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</si>
  <si>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</si>
  <si>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</si>
  <si>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</si>
  <si>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แผนกวิชาช่างกลโรงงาน คงเหลือ</t>
  </si>
  <si>
    <t>(นายประภาส  นามโคตร)</t>
  </si>
  <si>
    <t>3416-001-0001/463-001</t>
  </si>
  <si>
    <t>เครื่องกลึงขนาดยันศูนย์เหนือแท่น 125 มม.</t>
  </si>
  <si>
    <t>3416-001-0001/463-002</t>
  </si>
  <si>
    <t>3416-001-0002/551-001-002</t>
  </si>
  <si>
    <t>เครื่องกลึงขนาดยันศูนย์เหนือแท่น 165 มม.</t>
  </si>
  <si>
    <t>3416-001-0001/601-001(6)</t>
  </si>
  <si>
    <t>เครื่องกลึงยันศูนย์เหนือแท่น 150 มม.</t>
  </si>
  <si>
    <t>5210-0004-0001/622-001</t>
  </si>
  <si>
    <t>เวอร์เนียไฮเกจ</t>
  </si>
  <si>
    <t>3416-001-0001/623-001(6)</t>
  </si>
  <si>
    <t>เครื่องกลึง</t>
  </si>
  <si>
    <t>3417-001-0001/623-001(2)</t>
  </si>
  <si>
    <t>เครื่องกัดตั้ง</t>
  </si>
  <si>
    <t xml:space="preserve">3417-001-0002/623-001 </t>
  </si>
  <si>
    <t>เครื่องกัด Coppy</t>
  </si>
  <si>
    <t>3443-001-0001/623-001</t>
  </si>
  <si>
    <t>เครื่องปั้มเล็ก</t>
  </si>
  <si>
    <t>6105-010-0001/632-001</t>
  </si>
  <si>
    <t xml:space="preserve">UPS เครื่องสำรองไฟ </t>
  </si>
  <si>
    <t>5210-004-0001/632-001</t>
  </si>
  <si>
    <t xml:space="preserve">Dial Height gavge </t>
  </si>
  <si>
    <t xml:space="preserve"> 2546</t>
  </si>
  <si>
    <t>2546</t>
  </si>
  <si>
    <t>2555</t>
  </si>
  <si>
    <t>2562</t>
  </si>
  <si>
    <t>เครื่องตัดไฟเบอร์ 14 นิ้ว</t>
  </si>
  <si>
    <t>เลื่อยฉลุไฟฟ้า</t>
  </si>
  <si>
    <t>สว่านไฟฟ้า ขนาด 10 มม.</t>
  </si>
  <si>
    <t>เลื่อยวงเดือน 7 นิ้ว</t>
  </si>
  <si>
    <t>5110-013-0001/641-001</t>
  </si>
  <si>
    <t>3210-003-0002/641-001</t>
  </si>
  <si>
    <t>5130-007-0004/641-001</t>
  </si>
  <si>
    <t>3210-003-0001/641-001</t>
  </si>
  <si>
    <t>ประจำปี 2565  ณ วันที่ 30 กันยายน 2565</t>
  </si>
  <si>
    <t>3417-001-0003/651-001</t>
  </si>
  <si>
    <t>เครื่องกัด CNC พร้อม CAD/CAM Sofware
5 axis เมนูภาษาไทยและภาษาอังกฤษ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</si>
</sst>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b/>
      <sz val="16"/>
      <name val="TH SarabunPSK"/>
      <family val="2"/>
      <charset val="222"/>
    </font>
    <font>
      <sz val="16"/>
      <name val="TH SarabunPSK"/>
      <family val="2"/>
      <charset val="222"/>
    </font>
    <font>
      <sz val="16"/>
      <name val="TH SarabunIT๙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9" applyFont="1" applyAlignment="1">
      <alignment horizontal="center" vertical="center"/>
    </xf>
    <xf numFmtId="0" fontId="4" fillId="0" borderId="4" xfId="0" applyFon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9" fontId="5" fillId="0" borderId="1" xfId="13" applyNumberFormat="1" applyFont="1" applyBorder="1" applyAlignment="1">
      <alignment horizontal="center"/>
    </xf>
    <xf numFmtId="0" fontId="5" fillId="0" borderId="1" xfId="6" applyFont="1" applyBorder="1" applyAlignment="1">
      <alignment horizontal="left"/>
    </xf>
    <xf numFmtId="0" fontId="5" fillId="0" borderId="1" xfId="6" applyFont="1" applyBorder="1"/>
    <xf numFmtId="0" fontId="5" fillId="0" borderId="1" xfId="2" applyFont="1" applyBorder="1" applyAlignment="1">
      <alignment horizontal="center"/>
    </xf>
    <xf numFmtId="0" fontId="5" fillId="0" borderId="1" xfId="6" applyFont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/>
    <xf numFmtId="43" fontId="5" fillId="0" borderId="1" xfId="12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5" fillId="0" borderId="2" xfId="6" applyFont="1" applyBorder="1" applyAlignment="1">
      <alignment horizontal="left"/>
    </xf>
    <xf numFmtId="15" fontId="5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5" fillId="2" borderId="1" xfId="0" applyFont="1" applyFill="1" applyBorder="1" applyAlignment="1">
      <alignment horizontal="center" vertical="top"/>
    </xf>
    <xf numFmtId="15" fontId="5" fillId="0" borderId="1" xfId="0" applyNumberFormat="1" applyFont="1" applyBorder="1" applyAlignment="1">
      <alignment horizontal="center" vertical="top"/>
    </xf>
    <xf numFmtId="0" fontId="5" fillId="0" borderId="1" xfId="6" applyFont="1" applyBorder="1" applyAlignment="1">
      <alignment horizontal="left" vertical="top"/>
    </xf>
    <xf numFmtId="0" fontId="5" fillId="0" borderId="1" xfId="6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6" applyFont="1" applyBorder="1" applyAlignment="1">
      <alignment horizontal="center" vertical="top"/>
    </xf>
    <xf numFmtId="43" fontId="5" fillId="0" borderId="1" xfId="1" applyFont="1" applyFill="1" applyBorder="1" applyAlignment="1">
      <alignment vertical="top"/>
    </xf>
    <xf numFmtId="0" fontId="4" fillId="0" borderId="1" xfId="0" applyFont="1" applyBorder="1" applyAlignment="1">
      <alignment horizontal="center"/>
    </xf>
    <xf numFmtId="43" fontId="5" fillId="0" borderId="1" xfId="0" applyNumberFormat="1" applyFont="1" applyBorder="1"/>
    <xf numFmtId="0" fontId="5" fillId="0" borderId="1" xfId="0" applyFont="1" applyBorder="1"/>
    <xf numFmtId="0" fontId="5" fillId="0" borderId="0" xfId="0" applyFont="1" applyAlignment="1">
      <alignment horizontal="left"/>
    </xf>
    <xf numFmtId="0" fontId="5" fillId="0" borderId="3" xfId="2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257176</xdr:colOff>
      <xdr:row>0</xdr:row>
      <xdr:rowOff>123825</xdr:rowOff>
    </xdr:from>
    <xdr:to>
      <xdr:col>8</xdr:col>
      <xdr:colOff>647701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534276" y="12382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25"/>
  <sheetViews>
    <sheetView tabSelected="1" topLeftCell="C1" zoomScaleNormal="100" workbookViewId="0">
      <selection activeCell="Q7" sqref="Q7"/>
    </sheetView>
  </sheetViews>
  <sheetFormatPr defaultColWidth="9" defaultRowHeight="24"/>
  <cols>
    <col min="1" max="1" width="5.42578125" style="2" customWidth="1"/>
    <col min="2" max="2" width="11.28515625" style="2" customWidth="1"/>
    <col min="3" max="3" width="28.42578125" style="2" customWidth="1"/>
    <col min="4" max="4" width="36.42578125" style="31" customWidth="1"/>
    <col min="5" max="5" width="6.85546875" style="2" customWidth="1"/>
    <col min="6" max="6" width="6.7109375" style="2" customWidth="1"/>
    <col min="7" max="7" width="14" style="2" customWidth="1"/>
    <col min="8" max="8" width="15" style="2" customWidth="1"/>
    <col min="9" max="9" width="11.85546875" style="33" customWidth="1"/>
    <col min="10" max="16384" width="9" style="2"/>
  </cols>
  <sheetData>
    <row r="1" spans="1:9">
      <c r="A1" s="1" t="s">
        <v>8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16</v>
      </c>
      <c r="B2" s="3"/>
      <c r="C2" s="3"/>
      <c r="D2" s="3"/>
      <c r="E2" s="3"/>
      <c r="F2" s="3"/>
      <c r="G2" s="3"/>
      <c r="H2" s="3"/>
      <c r="I2" s="3"/>
    </row>
    <row r="3" spans="1:9">
      <c r="A3" s="4" t="s">
        <v>51</v>
      </c>
      <c r="B3" s="4"/>
      <c r="C3" s="4"/>
      <c r="D3" s="4"/>
      <c r="E3" s="4"/>
      <c r="F3" s="4"/>
      <c r="G3" s="4"/>
      <c r="H3" s="4"/>
      <c r="I3" s="4"/>
    </row>
    <row r="4" spans="1:9" ht="46.5" customHeight="1">
      <c r="A4" s="5" t="s">
        <v>10</v>
      </c>
      <c r="B4" s="5" t="s">
        <v>13</v>
      </c>
      <c r="C4" s="5" t="s">
        <v>14</v>
      </c>
      <c r="D4" s="6" t="s">
        <v>0</v>
      </c>
      <c r="E4" s="5" t="s">
        <v>11</v>
      </c>
      <c r="F4" s="6" t="s">
        <v>1</v>
      </c>
      <c r="G4" s="5" t="s">
        <v>12</v>
      </c>
      <c r="H4" s="5" t="s">
        <v>15</v>
      </c>
      <c r="I4" s="5" t="s">
        <v>2</v>
      </c>
    </row>
    <row r="5" spans="1:9">
      <c r="A5" s="7">
        <v>1</v>
      </c>
      <c r="B5" s="8" t="s">
        <v>39</v>
      </c>
      <c r="C5" s="9" t="s">
        <v>18</v>
      </c>
      <c r="D5" s="10" t="s">
        <v>19</v>
      </c>
      <c r="E5" s="11" t="s">
        <v>9</v>
      </c>
      <c r="F5" s="12">
        <v>1</v>
      </c>
      <c r="G5" s="13">
        <v>69950</v>
      </c>
      <c r="H5" s="14">
        <f>SUM(F5*G5)</f>
        <v>69950</v>
      </c>
      <c r="I5" s="15"/>
    </row>
    <row r="6" spans="1:9">
      <c r="A6" s="16">
        <v>2</v>
      </c>
      <c r="B6" s="8" t="s">
        <v>40</v>
      </c>
      <c r="C6" s="9" t="s">
        <v>20</v>
      </c>
      <c r="D6" s="10" t="s">
        <v>19</v>
      </c>
      <c r="E6" s="11" t="s">
        <v>9</v>
      </c>
      <c r="F6" s="12">
        <v>1</v>
      </c>
      <c r="G6" s="13">
        <v>86000</v>
      </c>
      <c r="H6" s="14">
        <f t="shared" ref="H6:H20" si="0">SUM(F6*G6)</f>
        <v>86000</v>
      </c>
      <c r="I6" s="15"/>
    </row>
    <row r="7" spans="1:9">
      <c r="A7" s="7">
        <v>3</v>
      </c>
      <c r="B7" s="17" t="s">
        <v>41</v>
      </c>
      <c r="C7" s="18" t="s">
        <v>21</v>
      </c>
      <c r="D7" s="10" t="s">
        <v>22</v>
      </c>
      <c r="E7" s="11" t="s">
        <v>3</v>
      </c>
      <c r="F7" s="12">
        <v>2</v>
      </c>
      <c r="G7" s="13">
        <v>294800</v>
      </c>
      <c r="H7" s="14">
        <f t="shared" si="0"/>
        <v>589600</v>
      </c>
      <c r="I7" s="15"/>
    </row>
    <row r="8" spans="1:9">
      <c r="A8" s="16">
        <v>4</v>
      </c>
      <c r="B8" s="19">
        <v>21953</v>
      </c>
      <c r="C8" s="18" t="s">
        <v>23</v>
      </c>
      <c r="D8" s="10" t="s">
        <v>24</v>
      </c>
      <c r="E8" s="11" t="s">
        <v>3</v>
      </c>
      <c r="F8" s="12">
        <v>6</v>
      </c>
      <c r="G8" s="13">
        <v>2395000</v>
      </c>
      <c r="H8" s="14">
        <f t="shared" si="0"/>
        <v>14370000</v>
      </c>
      <c r="I8" s="15"/>
    </row>
    <row r="9" spans="1:9">
      <c r="A9" s="7">
        <v>5</v>
      </c>
      <c r="B9" s="17" t="s">
        <v>42</v>
      </c>
      <c r="C9" s="18" t="s">
        <v>25</v>
      </c>
      <c r="D9" s="10" t="s">
        <v>26</v>
      </c>
      <c r="E9" s="11" t="s">
        <v>4</v>
      </c>
      <c r="F9" s="12">
        <v>1</v>
      </c>
      <c r="G9" s="13">
        <v>3500</v>
      </c>
      <c r="H9" s="14">
        <f t="shared" si="0"/>
        <v>3500</v>
      </c>
      <c r="I9" s="15"/>
    </row>
    <row r="10" spans="1:9">
      <c r="A10" s="16">
        <v>6</v>
      </c>
      <c r="B10" s="19">
        <v>22914</v>
      </c>
      <c r="C10" s="18" t="s">
        <v>27</v>
      </c>
      <c r="D10" s="20" t="s">
        <v>28</v>
      </c>
      <c r="E10" s="11" t="s">
        <v>9</v>
      </c>
      <c r="F10" s="12">
        <v>6</v>
      </c>
      <c r="G10" s="13">
        <v>38000</v>
      </c>
      <c r="H10" s="14">
        <f t="shared" si="0"/>
        <v>228000</v>
      </c>
      <c r="I10" s="15"/>
    </row>
    <row r="11" spans="1:9">
      <c r="A11" s="7">
        <v>7</v>
      </c>
      <c r="B11" s="19">
        <v>22914</v>
      </c>
      <c r="C11" s="18" t="s">
        <v>29</v>
      </c>
      <c r="D11" s="20" t="s">
        <v>30</v>
      </c>
      <c r="E11" s="11" t="s">
        <v>9</v>
      </c>
      <c r="F11" s="12">
        <v>2</v>
      </c>
      <c r="G11" s="13">
        <v>31000</v>
      </c>
      <c r="H11" s="14">
        <f t="shared" si="0"/>
        <v>62000</v>
      </c>
      <c r="I11" s="15"/>
    </row>
    <row r="12" spans="1:9">
      <c r="A12" s="16">
        <v>8</v>
      </c>
      <c r="B12" s="19">
        <v>22914</v>
      </c>
      <c r="C12" s="18" t="s">
        <v>31</v>
      </c>
      <c r="D12" s="20" t="s">
        <v>32</v>
      </c>
      <c r="E12" s="11" t="s">
        <v>9</v>
      </c>
      <c r="F12" s="12">
        <v>1</v>
      </c>
      <c r="G12" s="13">
        <v>35000</v>
      </c>
      <c r="H12" s="14">
        <f t="shared" si="0"/>
        <v>35000</v>
      </c>
      <c r="I12" s="15"/>
    </row>
    <row r="13" spans="1:9">
      <c r="A13" s="7">
        <v>9</v>
      </c>
      <c r="B13" s="19">
        <v>22914</v>
      </c>
      <c r="C13" s="18" t="s">
        <v>33</v>
      </c>
      <c r="D13" s="20" t="s">
        <v>34</v>
      </c>
      <c r="E13" s="11" t="s">
        <v>9</v>
      </c>
      <c r="F13" s="12">
        <v>1</v>
      </c>
      <c r="G13" s="13">
        <v>25000</v>
      </c>
      <c r="H13" s="14">
        <f t="shared" si="0"/>
        <v>25000</v>
      </c>
      <c r="I13" s="15"/>
    </row>
    <row r="14" spans="1:9">
      <c r="A14" s="16">
        <v>10</v>
      </c>
      <c r="B14" s="19">
        <v>22956</v>
      </c>
      <c r="C14" s="18" t="s">
        <v>35</v>
      </c>
      <c r="D14" s="20" t="s">
        <v>36</v>
      </c>
      <c r="E14" s="11" t="s">
        <v>4</v>
      </c>
      <c r="F14" s="12">
        <v>1</v>
      </c>
      <c r="G14" s="13">
        <v>2900</v>
      </c>
      <c r="H14" s="14">
        <f t="shared" si="0"/>
        <v>2900</v>
      </c>
      <c r="I14" s="15"/>
    </row>
    <row r="15" spans="1:9">
      <c r="A15" s="7">
        <v>11</v>
      </c>
      <c r="B15" s="19">
        <v>22986</v>
      </c>
      <c r="C15" s="9" t="s">
        <v>37</v>
      </c>
      <c r="D15" s="20" t="s">
        <v>38</v>
      </c>
      <c r="E15" s="11" t="s">
        <v>4</v>
      </c>
      <c r="F15" s="12">
        <v>1</v>
      </c>
      <c r="G15" s="13">
        <v>12260</v>
      </c>
      <c r="H15" s="14">
        <f t="shared" si="0"/>
        <v>12260</v>
      </c>
      <c r="I15" s="15"/>
    </row>
    <row r="16" spans="1:9">
      <c r="A16" s="16">
        <v>12</v>
      </c>
      <c r="B16" s="19">
        <v>23650</v>
      </c>
      <c r="C16" s="9" t="s">
        <v>47</v>
      </c>
      <c r="D16" s="9" t="s">
        <v>43</v>
      </c>
      <c r="E16" s="7" t="s">
        <v>3</v>
      </c>
      <c r="F16" s="12">
        <v>1</v>
      </c>
      <c r="G16" s="14">
        <v>4700</v>
      </c>
      <c r="H16" s="14">
        <f t="shared" si="0"/>
        <v>4700</v>
      </c>
      <c r="I16" s="15"/>
    </row>
    <row r="17" spans="1:9">
      <c r="A17" s="7">
        <v>13</v>
      </c>
      <c r="B17" s="19">
        <v>23650</v>
      </c>
      <c r="C17" s="9" t="s">
        <v>49</v>
      </c>
      <c r="D17" s="9" t="s">
        <v>45</v>
      </c>
      <c r="E17" s="7" t="s">
        <v>3</v>
      </c>
      <c r="F17" s="12">
        <v>1</v>
      </c>
      <c r="G17" s="14">
        <v>2500</v>
      </c>
      <c r="H17" s="14">
        <f>SUM(F17*G17)</f>
        <v>2500</v>
      </c>
      <c r="I17" s="15"/>
    </row>
    <row r="18" spans="1:9">
      <c r="A18" s="16">
        <v>14</v>
      </c>
      <c r="B18" s="19">
        <v>23650</v>
      </c>
      <c r="C18" s="9" t="s">
        <v>50</v>
      </c>
      <c r="D18" s="9" t="s">
        <v>46</v>
      </c>
      <c r="E18" s="7" t="s">
        <v>3</v>
      </c>
      <c r="F18" s="12">
        <v>1</v>
      </c>
      <c r="G18" s="14">
        <v>3400</v>
      </c>
      <c r="H18" s="14">
        <f>SUM(F18*G18)</f>
        <v>3400</v>
      </c>
      <c r="I18" s="7"/>
    </row>
    <row r="19" spans="1:9">
      <c r="A19" s="7">
        <v>15</v>
      </c>
      <c r="B19" s="19">
        <v>23650</v>
      </c>
      <c r="C19" s="9" t="s">
        <v>48</v>
      </c>
      <c r="D19" s="9" t="s">
        <v>44</v>
      </c>
      <c r="E19" s="7" t="s">
        <v>3</v>
      </c>
      <c r="F19" s="12">
        <v>1</v>
      </c>
      <c r="G19" s="14">
        <v>2900</v>
      </c>
      <c r="H19" s="14">
        <f t="shared" si="0"/>
        <v>2900</v>
      </c>
      <c r="I19" s="15"/>
    </row>
    <row r="20" spans="1:9" ht="48">
      <c r="A20" s="21">
        <v>16</v>
      </c>
      <c r="B20" s="22">
        <v>23923</v>
      </c>
      <c r="C20" s="23" t="s">
        <v>52</v>
      </c>
      <c r="D20" s="24" t="s">
        <v>53</v>
      </c>
      <c r="E20" s="25" t="s">
        <v>3</v>
      </c>
      <c r="F20" s="26">
        <v>1</v>
      </c>
      <c r="G20" s="27">
        <v>1486658</v>
      </c>
      <c r="H20" s="27">
        <f t="shared" si="0"/>
        <v>1486658</v>
      </c>
      <c r="I20" s="15"/>
    </row>
    <row r="21" spans="1:9">
      <c r="A21" s="28" t="s">
        <v>7</v>
      </c>
      <c r="B21" s="28"/>
      <c r="C21" s="28"/>
      <c r="D21" s="28"/>
      <c r="E21" s="28"/>
      <c r="F21" s="28"/>
      <c r="G21" s="28"/>
      <c r="H21" s="29">
        <f>SUM(H5:H20)</f>
        <v>16984368</v>
      </c>
      <c r="I21" s="30"/>
    </row>
    <row r="22" spans="1:9" ht="42" customHeight="1">
      <c r="F22" s="32"/>
    </row>
    <row r="23" spans="1:9">
      <c r="F23" s="34" t="s">
        <v>5</v>
      </c>
      <c r="G23" s="34"/>
      <c r="H23" s="34"/>
      <c r="I23" s="34"/>
    </row>
    <row r="24" spans="1:9">
      <c r="F24" s="34" t="s">
        <v>17</v>
      </c>
      <c r="G24" s="34"/>
      <c r="H24" s="34"/>
      <c r="I24" s="34"/>
    </row>
    <row r="25" spans="1:9">
      <c r="F25" s="34" t="s">
        <v>6</v>
      </c>
      <c r="G25" s="34"/>
      <c r="H25" s="34"/>
      <c r="I25" s="34"/>
    </row>
  </sheetData>
  <mergeCells count="7">
    <mergeCell ref="A21:G21"/>
    <mergeCell ref="F25:I25"/>
    <mergeCell ref="F24:I24"/>
    <mergeCell ref="F23:I23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แผนกช่างกลโรงงาน</vt:lpstr>
      <vt:lpstr>แผนกช่างกลโรงงาน!Print_Titles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2022-10-10T04:07:05Z</cp:lastPrinted>
  <dcterms:created xsi:type="dcterms:W3CDTF">2017-11-14T01:32:33Z</dcterms:created>
  <dcterms:modified xsi:type="dcterms:W3CDTF">2023-02-23T07:33:30Z</dcterms:modified>
</cp:coreProperties>
</file>