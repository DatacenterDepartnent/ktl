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2EC03471-B813-4BEC-BDED-B3F0AD05053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2" r:id="rId1"/>
  </sheets>
  <definedNames>
    <definedName name="_xlnm.Print_Titles" localSheetId="0">แผนกคอมพิวเตอร์!$1:$4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0" i="32" l="1"/>
  <c r="H79" i="32"/>
  <c r="H52" i="32"/>
  <c r="H51" i="32"/>
  <c r="H50" i="32"/>
  <c r="H49" i="32"/>
  <c r="H48" i="32"/>
  <c r="H47" i="32"/>
  <c r="H46" i="32"/>
  <c r="H6" i="32" l="1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53" i="32"/>
  <c r="H54" i="32"/>
  <c r="H55" i="32"/>
  <c r="H56" i="32"/>
  <c r="H57" i="32"/>
  <c r="H58" i="32"/>
  <c r="H59" i="32"/>
  <c r="H5" i="32"/>
  <c r="H44" i="32" l="1"/>
  <c r="H45" i="32" s="1"/>
</calcChain>
</file>

<file path=xl/sharedStrings.xml><?xml version="1.0" encoding="utf-8"?>
<sst xmlns="http://schemas.openxmlformats.org/spreadsheetml/2006/main" count="224" uniqueCount="132">
  <si>
    <t>รายการ ขนาด ลักษณะ</t>
  </si>
  <si>
    <t>จำนวน</t>
  </si>
  <si>
    <t>หมายเหตุ</t>
  </si>
  <si>
    <t>เครื่องคอมพิวเตอร์ GVIEW</t>
  </si>
  <si>
    <t>ตู้เหล็ก 2 บานเปิด</t>
  </si>
  <si>
    <t>งปม.</t>
  </si>
  <si>
    <t>บกศ.</t>
  </si>
  <si>
    <t>โต๊ะวางเครื่องคอมพิวเตอร์</t>
  </si>
  <si>
    <t>FLASH DRIVE 512 MB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</si>
  <si>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</si>
  <si>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</si>
  <si>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</si>
  <si>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เก้าอี้สำนักงาน  S -35  หนัง</t>
  </si>
  <si>
    <t>รวมเป็นเงิน</t>
  </si>
  <si>
    <t xml:space="preserve"> สถานศึกษา วิทยาลัยเทคนิคกันทรลักษ์</t>
  </si>
  <si>
    <t>พัดลมติดผนัง</t>
  </si>
  <si>
    <t>7110-001-0003/512-006</t>
  </si>
  <si>
    <t>7440-001-0001/401-015-016</t>
  </si>
  <si>
    <t>เครื่องไมโครคอมพิวเตอร์</t>
  </si>
  <si>
    <t>7430-008-0001/401-004-005</t>
  </si>
  <si>
    <t>เครื่องปริ้นเตอร์ OKI 391</t>
  </si>
  <si>
    <t>โต๊ะวางเครื่องปริ้น</t>
  </si>
  <si>
    <t>7110-007-0001/401-003-401-022</t>
  </si>
  <si>
    <t>7110-006-0002/401-001-401-020</t>
  </si>
  <si>
    <t>เก้าอี้สำหรับคอมพิวเตอร์</t>
  </si>
  <si>
    <t>7440-010-0001/421-001</t>
  </si>
  <si>
    <t>โปรแกรมสำเร็จรูป</t>
  </si>
  <si>
    <t>7440-001-0001/421-023-421-032</t>
  </si>
  <si>
    <t>7430-008-0001/421-007-421-008</t>
  </si>
  <si>
    <t>เครื่องปริ้นเตอร์ 710 C</t>
  </si>
  <si>
    <t>7110-007-0001/421-023-421-032</t>
  </si>
  <si>
    <t>7110-006-0002/421-021-421-040</t>
  </si>
  <si>
    <t>7440-001-0001/431-036-431-040</t>
  </si>
  <si>
    <t>7440-010-0001/431-002</t>
  </si>
  <si>
    <t>7430-008-0001/431-009</t>
  </si>
  <si>
    <t>เครื่องปริ้นเตอร์ 2080I</t>
  </si>
  <si>
    <t>7430-008-0001/431-010</t>
  </si>
  <si>
    <t>เครื่องปริ้นเตอร์เลซอร์ PD12</t>
  </si>
  <si>
    <t>7110-007-0001/431-033-431-037</t>
  </si>
  <si>
    <t>7110-006-0002/431-041-431-045</t>
  </si>
  <si>
    <t>5825-020-0001/442-024</t>
  </si>
  <si>
    <t>โทรทัศน์สี 29"</t>
  </si>
  <si>
    <t>7440-001-0001/462-010-462-030</t>
  </si>
  <si>
    <t>7440-001-0001/461-041-461-047</t>
  </si>
  <si>
    <t>7440-001-0001/461-048-461-054</t>
  </si>
  <si>
    <t>7430-008-0001/462-001</t>
  </si>
  <si>
    <t>เครื่องปริ้นเตอร์ EPL 6100</t>
  </si>
  <si>
    <t>7440-001-0001/482-031-482-035</t>
  </si>
  <si>
    <t>7440-001-0001/482-036-039</t>
  </si>
  <si>
    <t>7440-001-0001/482-040-043</t>
  </si>
  <si>
    <t>7440-010-0002/482-003</t>
  </si>
  <si>
    <t>SCANNER EPSON2480</t>
  </si>
  <si>
    <t>7740-004-0001/482-004-006</t>
  </si>
  <si>
    <t xml:space="preserve">เครื่อง WRITE CD ROM </t>
  </si>
  <si>
    <t>4140-001-0001/482-016-021</t>
  </si>
  <si>
    <t>7110-002-0006/482-067</t>
  </si>
  <si>
    <t>ตู้กระจก 2 บานเลื่อน</t>
  </si>
  <si>
    <t>7110-002-0006/482-068</t>
  </si>
  <si>
    <t>7110-002-0005/482-005</t>
  </si>
  <si>
    <t>7440-001-0004/482-001</t>
  </si>
  <si>
    <t xml:space="preserve">SERVER SEY </t>
  </si>
  <si>
    <t>7430-008-0001/482-005</t>
  </si>
  <si>
    <t>เครื่องปริ้นเตอร์เอฟสัน LQ 300+</t>
  </si>
  <si>
    <t>7430-008-0001/482-004</t>
  </si>
  <si>
    <t>เครื่องปริ้นเตอร์เอฟสันCX3500</t>
  </si>
  <si>
    <t>7440-001-0001/482-046</t>
  </si>
  <si>
    <t>7440-001-0001/493-007-016</t>
  </si>
  <si>
    <t>7440-001-0001/493-017-026</t>
  </si>
  <si>
    <t>7110-002-0006/492-081-084</t>
  </si>
  <si>
    <t>7110-002-0005/492-011-012</t>
  </si>
  <si>
    <t>7440-009-0001/492-003</t>
  </si>
  <si>
    <t>7430-008-0002/502-014</t>
  </si>
  <si>
    <t>เครื่องปริ้นเตอร์เอฟสัน A3 CANON IX 5000</t>
  </si>
  <si>
    <t>7740-010-0001/502-001</t>
  </si>
  <si>
    <t>เครื่อง DVD RW</t>
  </si>
  <si>
    <t>7740-010-0006/501-003</t>
  </si>
  <si>
    <t>HUB 24 PORT</t>
  </si>
  <si>
    <t>7740-010-0006/501-001-002</t>
  </si>
  <si>
    <t>HUB 16 PORT</t>
  </si>
  <si>
    <t>7440-001-0001/512-060-108</t>
  </si>
  <si>
    <t>เครื่องไมโครคอมพิวเตอร์ SVOA จอแบน</t>
  </si>
  <si>
    <t>7440-001-0001/512-109-157</t>
  </si>
  <si>
    <t>โต๊ะเหล็ก 5 ฟุต TC-3060 BESTER</t>
  </si>
  <si>
    <t>7110-006-0007/512-006</t>
  </si>
  <si>
    <t>7440-010-0013/531-001-004</t>
  </si>
  <si>
    <t>6730-001-0003/531-009-012</t>
  </si>
  <si>
    <t>7110-006-0009/531-001-160</t>
  </si>
  <si>
    <t>เก้าอี้เบาะชุดโครเมี่ยม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</si>
  <si>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</si>
  <si>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</si>
  <si>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</si>
  <si>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</si>
  <si>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</si>
  <si>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</si>
  <si>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</si>
  <si>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</si>
  <si>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</si>
  <si>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</si>
  <si>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</si>
  <si>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</si>
  <si>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</si>
  <si>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</si>
  <si>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</si>
  <si>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</si>
  <si>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</si>
  <si>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</si>
  <si>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</si>
  <si>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</si>
  <si>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เครื่องแปลงสัญญาณอินเตอร์เน็ต Switching Hub</t>
  </si>
  <si>
    <t>บริจาค</t>
  </si>
  <si>
    <t>6.3 ลำโพง NTS NC-802  2 ใบ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</si>
  <si>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</si>
  <si>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</si>
  <si>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</si>
  <si>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</si>
  <si>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</si>
  <si>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</si>
  <si>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</si>
  <si>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</si>
  <si>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2540</t>
  </si>
  <si>
    <t>2550</t>
  </si>
  <si>
    <t>2549</t>
  </si>
  <si>
    <t>2551</t>
  </si>
  <si>
    <t>2543</t>
  </si>
  <si>
    <t>บัญชีรายการ แผนกวิชาคอมพิวเตอร์ธุรกิจ คงเหลือ</t>
  </si>
  <si>
    <t>(นายสิริปัญญ์  เสริมสิริพิพัฒน์)</t>
  </si>
  <si>
    <t>7110-007-0002/431-009-431-010</t>
  </si>
  <si>
    <t>7110-007-0002/421-007-421-008</t>
  </si>
  <si>
    <t>7110-007-0002/401-002-401-005</t>
  </si>
  <si>
    <t>ประจำปี 2565  ณ วันที่ 30 กันยายน 2565</t>
  </si>
  <si>
    <t>เก้าอี้สแตนเลสหัวกลม</t>
  </si>
  <si>
    <t>7110-006-0005/652-001-010 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</si>
</sst>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70">
    <xf numFmtId="0" fontId="0" fillId="0" borderId="0" xfId="0"/>
    <xf numFmtId="0" fontId="2" fillId="0" borderId="1" xfId="6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4" fillId="0" borderId="1" xfId="6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3" fontId="4" fillId="0" borderId="1" xfId="12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0" borderId="1" xfId="6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4" fillId="0" borderId="1" xfId="1" applyFont="1" applyFill="1" applyBorder="1"/>
    <xf numFmtId="43" fontId="4" fillId="0" borderId="1" xfId="6" applyNumberFormat="1" applyFont="1" applyBorder="1"/>
    <xf numFmtId="0" fontId="4" fillId="0" borderId="1" xfId="8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5" xfId="6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0" borderId="6" xfId="6" applyFont="1" applyBorder="1" applyAlignment="1">
      <alignment horizontal="left"/>
    </xf>
    <xf numFmtId="0" fontId="4" fillId="0" borderId="5" xfId="6" applyFont="1" applyBorder="1" applyAlignment="1">
      <alignment horizontal="center"/>
    </xf>
    <xf numFmtId="0" fontId="5" fillId="0" borderId="0" xfId="0" applyFont="1" applyAlignment="1">
      <alignment horizontal="left"/>
    </xf>
    <xf numFmtId="49" fontId="2" fillId="0" borderId="1" xfId="8" applyNumberFormat="1" applyFont="1" applyBorder="1" applyAlignment="1">
      <alignment horizontal="left" indent="2"/>
    </xf>
    <xf numFmtId="0" fontId="2" fillId="0" borderId="1" xfId="6" applyFont="1" applyBorder="1" applyAlignment="1">
      <alignment horizontal="left" indent="2"/>
    </xf>
    <xf numFmtId="43" fontId="4" fillId="0" borderId="5" xfId="1" applyFont="1" applyFill="1" applyBorder="1"/>
    <xf numFmtId="0" fontId="4" fillId="0" borderId="6" xfId="6" applyFont="1" applyBorder="1" applyAlignment="1">
      <alignment horizontal="center"/>
    </xf>
    <xf numFmtId="43" fontId="4" fillId="0" borderId="6" xfId="1" applyFont="1" applyFill="1" applyBorder="1"/>
    <xf numFmtId="0" fontId="4" fillId="0" borderId="1" xfId="8" applyFont="1" applyBorder="1" applyAlignment="1">
      <alignment horizontal="left" indent="1"/>
    </xf>
    <xf numFmtId="0" fontId="4" fillId="0" borderId="0" xfId="8" applyFont="1" applyAlignment="1">
      <alignment horizontal="center"/>
    </xf>
    <xf numFmtId="0" fontId="4" fillId="0" borderId="5" xfId="8" applyFont="1" applyBorder="1" applyAlignment="1">
      <alignment horizontal="center"/>
    </xf>
    <xf numFmtId="0" fontId="4" fillId="0" borderId="1" xfId="6" applyFont="1" applyBorder="1" applyAlignment="1">
      <alignment horizontal="left" indent="2"/>
    </xf>
    <xf numFmtId="0" fontId="4" fillId="0" borderId="1" xfId="6" applyFont="1" applyBorder="1" applyAlignment="1">
      <alignment horizontal="left" indent="1"/>
    </xf>
    <xf numFmtId="49" fontId="4" fillId="0" borderId="1" xfId="8" applyNumberFormat="1" applyFont="1" applyBorder="1" applyAlignment="1">
      <alignment horizontal="left" indent="1"/>
    </xf>
    <xf numFmtId="43" fontId="5" fillId="0" borderId="1" xfId="0" applyNumberFormat="1" applyFont="1" applyBorder="1"/>
    <xf numFmtId="0" fontId="5" fillId="0" borderId="4" xfId="0" applyFont="1" applyBorder="1"/>
    <xf numFmtId="0" fontId="4" fillId="0" borderId="7" xfId="2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/>
    <xf numFmtId="0" fontId="4" fillId="3" borderId="1" xfId="2" applyFont="1" applyFill="1" applyBorder="1" applyAlignment="1">
      <alignment horizontal="center"/>
    </xf>
    <xf numFmtId="0" fontId="4" fillId="3" borderId="1" xfId="5" applyFont="1" applyFill="1" applyBorder="1" applyAlignment="1">
      <alignment horizontal="center"/>
    </xf>
    <xf numFmtId="43" fontId="4" fillId="3" borderId="1" xfId="1" applyFont="1" applyFill="1" applyBorder="1"/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1" xfId="1" applyFont="1" applyFill="1" applyBorder="1"/>
    <xf numFmtId="43" fontId="9" fillId="0" borderId="1" xfId="12" applyFont="1" applyFill="1" applyBorder="1" applyAlignment="1">
      <alignment horizontal="center"/>
    </xf>
    <xf numFmtId="0" fontId="9" fillId="0" borderId="0" xfId="0" applyFont="1"/>
    <xf numFmtId="49" fontId="9" fillId="0" borderId="1" xfId="13" applyNumberFormat="1" applyFont="1" applyBorder="1" applyAlignment="1">
      <alignment horizontal="center"/>
    </xf>
    <xf numFmtId="49" fontId="9" fillId="0" borderId="1" xfId="6" applyNumberFormat="1" applyFont="1" applyBorder="1" applyAlignment="1">
      <alignment horizontal="left"/>
    </xf>
    <xf numFmtId="43" fontId="9" fillId="0" borderId="1" xfId="1" applyFont="1" applyFill="1" applyBorder="1" applyAlignment="1">
      <alignment horizontal="center"/>
    </xf>
    <xf numFmtId="49" fontId="9" fillId="0" borderId="1" xfId="7" applyNumberFormat="1" applyFont="1" applyBorder="1" applyAlignment="1">
      <alignment horizontal="center"/>
    </xf>
    <xf numFmtId="0" fontId="9" fillId="0" borderId="1" xfId="8" applyFont="1" applyBorder="1" applyAlignment="1">
      <alignment horizontal="left"/>
    </xf>
    <xf numFmtId="0" fontId="9" fillId="0" borderId="1" xfId="8" applyFont="1" applyBorder="1" applyAlignment="1">
      <alignment horizontal="center"/>
    </xf>
    <xf numFmtId="43" fontId="9" fillId="0" borderId="1" xfId="6" applyNumberFormat="1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8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847726</xdr:colOff>
      <xdr:row>0</xdr:row>
      <xdr:rowOff>161925</xdr:rowOff>
    </xdr:from>
    <xdr:to>
      <xdr:col>8</xdr:col>
      <xdr:colOff>428626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39026" y="16192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84"/>
  <sheetViews>
    <sheetView tabSelected="1" zoomScaleNormal="100" workbookViewId="0">
      <selection activeCell="G4" sqref="G4"/>
    </sheetView>
  </sheetViews>
  <sheetFormatPr defaultColWidth="9" defaultRowHeight="24"/>
  <cols>
    <col min="1" max="1" width="5.42578125" style="2" customWidth="1"/>
    <col min="2" max="2" width="10.7109375" style="2" customWidth="1"/>
    <col min="3" max="3" width="33.28515625" style="2" customWidth="1"/>
    <col min="4" max="4" width="36.85546875" style="25" customWidth="1"/>
    <col min="5" max="5" width="6.42578125" style="2" customWidth="1"/>
    <col min="6" max="6" width="6.140625" style="2" customWidth="1"/>
    <col min="7" max="7" width="13.85546875" style="2" customWidth="1"/>
    <col min="8" max="8" width="14.42578125" style="2" customWidth="1"/>
    <col min="9" max="9" width="9" style="6" customWidth="1"/>
    <col min="10" max="16384" width="9" style="2"/>
  </cols>
  <sheetData>
    <row r="1" spans="1:9">
      <c r="A1" s="64" t="s">
        <v>14</v>
      </c>
      <c r="B1" s="64"/>
      <c r="C1" s="64"/>
      <c r="D1" s="64"/>
      <c r="E1" s="64"/>
      <c r="F1" s="64"/>
      <c r="G1" s="64"/>
      <c r="H1" s="64"/>
      <c r="I1" s="64"/>
    </row>
    <row r="2" spans="1:9">
      <c r="A2" s="65" t="s">
        <v>124</v>
      </c>
      <c r="B2" s="65"/>
      <c r="C2" s="65"/>
      <c r="D2" s="65"/>
      <c r="E2" s="65"/>
      <c r="F2" s="65"/>
      <c r="G2" s="65"/>
      <c r="H2" s="65"/>
      <c r="I2" s="65"/>
    </row>
    <row r="3" spans="1:9">
      <c r="A3" s="66" t="s">
        <v>129</v>
      </c>
      <c r="B3" s="66"/>
      <c r="C3" s="66"/>
      <c r="D3" s="66"/>
      <c r="E3" s="66"/>
      <c r="F3" s="66"/>
      <c r="G3" s="66"/>
      <c r="H3" s="66"/>
      <c r="I3" s="66"/>
    </row>
    <row r="4" spans="1:9" ht="46.5" customHeight="1">
      <c r="A4" s="20" t="s">
        <v>111</v>
      </c>
      <c r="B4" s="20" t="s">
        <v>114</v>
      </c>
      <c r="C4" s="20" t="s">
        <v>115</v>
      </c>
      <c r="D4" s="9" t="s">
        <v>0</v>
      </c>
      <c r="E4" s="20" t="s">
        <v>112</v>
      </c>
      <c r="F4" s="9" t="s">
        <v>1</v>
      </c>
      <c r="G4" s="20" t="s">
        <v>113</v>
      </c>
      <c r="H4" s="20" t="s">
        <v>116</v>
      </c>
      <c r="I4" s="20" t="s">
        <v>2</v>
      </c>
    </row>
    <row r="5" spans="1:9" s="53" customFormat="1">
      <c r="A5" s="46">
        <v>1</v>
      </c>
      <c r="B5" s="47" t="s">
        <v>119</v>
      </c>
      <c r="C5" s="48" t="s">
        <v>17</v>
      </c>
      <c r="D5" s="48" t="s">
        <v>18</v>
      </c>
      <c r="E5" s="49" t="s">
        <v>5</v>
      </c>
      <c r="F5" s="50">
        <v>2</v>
      </c>
      <c r="G5" s="51">
        <v>35000</v>
      </c>
      <c r="H5" s="51">
        <f>SUM(F5*G5)</f>
        <v>70000</v>
      </c>
      <c r="I5" s="52"/>
    </row>
    <row r="6" spans="1:9">
      <c r="A6" s="11">
        <v>2</v>
      </c>
      <c r="B6" s="5" t="s">
        <v>119</v>
      </c>
      <c r="C6" s="4" t="s">
        <v>19</v>
      </c>
      <c r="D6" s="4" t="s">
        <v>20</v>
      </c>
      <c r="E6" s="12" t="s">
        <v>5</v>
      </c>
      <c r="F6" s="14">
        <v>2</v>
      </c>
      <c r="G6" s="17">
        <v>17500</v>
      </c>
      <c r="H6" s="17">
        <f t="shared" ref="H6:H59" si="0">SUM(F6*G6)</f>
        <v>35000</v>
      </c>
      <c r="I6" s="8"/>
    </row>
    <row r="7" spans="1:9" s="53" customFormat="1">
      <c r="A7" s="46">
        <v>3</v>
      </c>
      <c r="B7" s="47" t="s">
        <v>119</v>
      </c>
      <c r="C7" s="48" t="s">
        <v>128</v>
      </c>
      <c r="D7" s="48" t="s">
        <v>21</v>
      </c>
      <c r="E7" s="49" t="s">
        <v>5</v>
      </c>
      <c r="F7" s="50">
        <v>4</v>
      </c>
      <c r="G7" s="51">
        <v>2500</v>
      </c>
      <c r="H7" s="51">
        <f t="shared" si="0"/>
        <v>10000</v>
      </c>
      <c r="I7" s="52"/>
    </row>
    <row r="8" spans="1:9" s="53" customFormat="1" ht="21" customHeight="1">
      <c r="A8" s="46">
        <v>4</v>
      </c>
      <c r="B8" s="47" t="s">
        <v>119</v>
      </c>
      <c r="C8" s="48" t="s">
        <v>22</v>
      </c>
      <c r="D8" s="48" t="s">
        <v>7</v>
      </c>
      <c r="E8" s="49" t="s">
        <v>5</v>
      </c>
      <c r="F8" s="50">
        <v>20</v>
      </c>
      <c r="G8" s="51">
        <v>2600</v>
      </c>
      <c r="H8" s="51">
        <f t="shared" si="0"/>
        <v>52000</v>
      </c>
      <c r="I8" s="52"/>
    </row>
    <row r="9" spans="1:9" s="53" customFormat="1">
      <c r="A9" s="46">
        <v>5</v>
      </c>
      <c r="B9" s="47" t="s">
        <v>119</v>
      </c>
      <c r="C9" s="48" t="s">
        <v>23</v>
      </c>
      <c r="D9" s="48" t="s">
        <v>24</v>
      </c>
      <c r="E9" s="49" t="s">
        <v>5</v>
      </c>
      <c r="F9" s="50">
        <v>20</v>
      </c>
      <c r="G9" s="51">
        <v>1200</v>
      </c>
      <c r="H9" s="51">
        <f t="shared" si="0"/>
        <v>24000</v>
      </c>
      <c r="I9" s="52"/>
    </row>
    <row r="10" spans="1:9">
      <c r="A10" s="11">
        <v>6</v>
      </c>
      <c r="B10" s="11">
        <v>2542</v>
      </c>
      <c r="C10" s="4" t="s">
        <v>25</v>
      </c>
      <c r="D10" s="4" t="s">
        <v>26</v>
      </c>
      <c r="E10" s="12" t="s">
        <v>5</v>
      </c>
      <c r="F10" s="14">
        <v>1</v>
      </c>
      <c r="G10" s="17">
        <v>12500</v>
      </c>
      <c r="H10" s="17">
        <f t="shared" si="0"/>
        <v>12500</v>
      </c>
      <c r="I10" s="8"/>
    </row>
    <row r="11" spans="1:9" s="53" customFormat="1">
      <c r="A11" s="46">
        <v>7</v>
      </c>
      <c r="B11" s="46">
        <v>2542</v>
      </c>
      <c r="C11" s="48" t="s">
        <v>27</v>
      </c>
      <c r="D11" s="48" t="s">
        <v>18</v>
      </c>
      <c r="E11" s="49" t="s">
        <v>5</v>
      </c>
      <c r="F11" s="50">
        <v>10</v>
      </c>
      <c r="G11" s="51">
        <v>34500</v>
      </c>
      <c r="H11" s="51">
        <f t="shared" si="0"/>
        <v>345000</v>
      </c>
      <c r="I11" s="52"/>
    </row>
    <row r="12" spans="1:9">
      <c r="A12" s="11">
        <v>8</v>
      </c>
      <c r="B12" s="11">
        <v>2542</v>
      </c>
      <c r="C12" s="4" t="s">
        <v>28</v>
      </c>
      <c r="D12" s="4" t="s">
        <v>29</v>
      </c>
      <c r="E12" s="12" t="s">
        <v>5</v>
      </c>
      <c r="F12" s="14">
        <v>2</v>
      </c>
      <c r="G12" s="17">
        <v>9000</v>
      </c>
      <c r="H12" s="17">
        <f t="shared" si="0"/>
        <v>18000</v>
      </c>
      <c r="I12" s="8"/>
    </row>
    <row r="13" spans="1:9" s="53" customFormat="1">
      <c r="A13" s="46">
        <v>9</v>
      </c>
      <c r="B13" s="46">
        <v>2542</v>
      </c>
      <c r="C13" s="48" t="s">
        <v>127</v>
      </c>
      <c r="D13" s="48" t="s">
        <v>21</v>
      </c>
      <c r="E13" s="49" t="s">
        <v>5</v>
      </c>
      <c r="F13" s="50">
        <v>2</v>
      </c>
      <c r="G13" s="51">
        <v>2500</v>
      </c>
      <c r="H13" s="51">
        <f t="shared" si="0"/>
        <v>5000</v>
      </c>
      <c r="I13" s="52"/>
    </row>
    <row r="14" spans="1:9" s="53" customFormat="1">
      <c r="A14" s="46">
        <v>10</v>
      </c>
      <c r="B14" s="46">
        <v>2542</v>
      </c>
      <c r="C14" s="48" t="s">
        <v>30</v>
      </c>
      <c r="D14" s="48" t="s">
        <v>7</v>
      </c>
      <c r="E14" s="49" t="s">
        <v>5</v>
      </c>
      <c r="F14" s="50">
        <v>10</v>
      </c>
      <c r="G14" s="51">
        <v>2500</v>
      </c>
      <c r="H14" s="51">
        <f t="shared" si="0"/>
        <v>25000</v>
      </c>
      <c r="I14" s="52"/>
    </row>
    <row r="15" spans="1:9" s="53" customFormat="1">
      <c r="A15" s="46">
        <v>11</v>
      </c>
      <c r="B15" s="46">
        <v>2542</v>
      </c>
      <c r="C15" s="48" t="s">
        <v>31</v>
      </c>
      <c r="D15" s="48" t="s">
        <v>24</v>
      </c>
      <c r="E15" s="49" t="s">
        <v>5</v>
      </c>
      <c r="F15" s="50">
        <v>20</v>
      </c>
      <c r="G15" s="51">
        <v>1200</v>
      </c>
      <c r="H15" s="51">
        <f t="shared" si="0"/>
        <v>24000</v>
      </c>
      <c r="I15" s="52"/>
    </row>
    <row r="16" spans="1:9" s="53" customFormat="1">
      <c r="A16" s="46">
        <v>12</v>
      </c>
      <c r="B16" s="54" t="s">
        <v>123</v>
      </c>
      <c r="C16" s="48" t="s">
        <v>32</v>
      </c>
      <c r="D16" s="48" t="s">
        <v>18</v>
      </c>
      <c r="E16" s="49" t="s">
        <v>5</v>
      </c>
      <c r="F16" s="50">
        <v>5</v>
      </c>
      <c r="G16" s="51">
        <v>38900</v>
      </c>
      <c r="H16" s="51">
        <f t="shared" si="0"/>
        <v>194500</v>
      </c>
      <c r="I16" s="52"/>
    </row>
    <row r="17" spans="1:9">
      <c r="A17" s="11">
        <v>13</v>
      </c>
      <c r="B17" s="15" t="s">
        <v>123</v>
      </c>
      <c r="C17" s="4" t="s">
        <v>33</v>
      </c>
      <c r="D17" s="4" t="s">
        <v>26</v>
      </c>
      <c r="E17" s="12" t="s">
        <v>5</v>
      </c>
      <c r="F17" s="14">
        <v>1</v>
      </c>
      <c r="G17" s="17">
        <v>20000</v>
      </c>
      <c r="H17" s="17">
        <f t="shared" si="0"/>
        <v>20000</v>
      </c>
      <c r="I17" s="8"/>
    </row>
    <row r="18" spans="1:9">
      <c r="A18" s="11">
        <v>14</v>
      </c>
      <c r="B18" s="15" t="s">
        <v>123</v>
      </c>
      <c r="C18" s="4" t="s">
        <v>34</v>
      </c>
      <c r="D18" s="4" t="s">
        <v>35</v>
      </c>
      <c r="E18" s="12" t="s">
        <v>5</v>
      </c>
      <c r="F18" s="14">
        <v>1</v>
      </c>
      <c r="G18" s="17">
        <v>20000</v>
      </c>
      <c r="H18" s="17">
        <f t="shared" si="0"/>
        <v>20000</v>
      </c>
      <c r="I18" s="8"/>
    </row>
    <row r="19" spans="1:9">
      <c r="A19" s="11">
        <v>15</v>
      </c>
      <c r="B19" s="15" t="s">
        <v>123</v>
      </c>
      <c r="C19" s="4" t="s">
        <v>36</v>
      </c>
      <c r="D19" s="4" t="s">
        <v>37</v>
      </c>
      <c r="E19" s="12" t="s">
        <v>5</v>
      </c>
      <c r="F19" s="14">
        <v>1</v>
      </c>
      <c r="G19" s="17">
        <v>31500</v>
      </c>
      <c r="H19" s="17">
        <f t="shared" si="0"/>
        <v>31500</v>
      </c>
      <c r="I19" s="8"/>
    </row>
    <row r="20" spans="1:9" s="53" customFormat="1">
      <c r="A20" s="46">
        <v>16</v>
      </c>
      <c r="B20" s="54" t="s">
        <v>123</v>
      </c>
      <c r="C20" s="48" t="s">
        <v>126</v>
      </c>
      <c r="D20" s="48" t="s">
        <v>21</v>
      </c>
      <c r="E20" s="49" t="s">
        <v>5</v>
      </c>
      <c r="F20" s="50">
        <v>2</v>
      </c>
      <c r="G20" s="51">
        <v>2500</v>
      </c>
      <c r="H20" s="51">
        <f t="shared" si="0"/>
        <v>5000</v>
      </c>
      <c r="I20" s="52"/>
    </row>
    <row r="21" spans="1:9" s="53" customFormat="1">
      <c r="A21" s="46">
        <v>17</v>
      </c>
      <c r="B21" s="54" t="s">
        <v>123</v>
      </c>
      <c r="C21" s="48" t="s">
        <v>38</v>
      </c>
      <c r="D21" s="48" t="s">
        <v>7</v>
      </c>
      <c r="E21" s="49" t="s">
        <v>5</v>
      </c>
      <c r="F21" s="50">
        <v>5</v>
      </c>
      <c r="G21" s="51">
        <v>2500</v>
      </c>
      <c r="H21" s="51">
        <f t="shared" si="0"/>
        <v>12500</v>
      </c>
      <c r="I21" s="52"/>
    </row>
    <row r="22" spans="1:9" s="53" customFormat="1">
      <c r="A22" s="46">
        <v>18</v>
      </c>
      <c r="B22" s="54" t="s">
        <v>123</v>
      </c>
      <c r="C22" s="48" t="s">
        <v>39</v>
      </c>
      <c r="D22" s="48" t="s">
        <v>24</v>
      </c>
      <c r="E22" s="49" t="s">
        <v>5</v>
      </c>
      <c r="F22" s="50">
        <v>5</v>
      </c>
      <c r="G22" s="51">
        <v>1200</v>
      </c>
      <c r="H22" s="51">
        <f t="shared" si="0"/>
        <v>6000</v>
      </c>
      <c r="I22" s="52"/>
    </row>
    <row r="23" spans="1:9">
      <c r="A23" s="11">
        <v>19</v>
      </c>
      <c r="B23" s="7">
        <v>2544</v>
      </c>
      <c r="C23" s="4" t="s">
        <v>40</v>
      </c>
      <c r="D23" s="4" t="s">
        <v>41</v>
      </c>
      <c r="E23" s="7" t="s">
        <v>6</v>
      </c>
      <c r="F23" s="14">
        <v>1</v>
      </c>
      <c r="G23" s="17">
        <v>31850</v>
      </c>
      <c r="H23" s="17">
        <f t="shared" si="0"/>
        <v>31850</v>
      </c>
      <c r="I23" s="8"/>
    </row>
    <row r="24" spans="1:9" s="53" customFormat="1">
      <c r="A24" s="46">
        <v>20</v>
      </c>
      <c r="B24" s="46">
        <v>2546</v>
      </c>
      <c r="C24" s="48" t="s">
        <v>42</v>
      </c>
      <c r="D24" s="48" t="s">
        <v>18</v>
      </c>
      <c r="E24" s="46" t="s">
        <v>6</v>
      </c>
      <c r="F24" s="50">
        <v>21</v>
      </c>
      <c r="G24" s="51">
        <v>24285.71</v>
      </c>
      <c r="H24" s="51">
        <f t="shared" si="0"/>
        <v>509999.91</v>
      </c>
      <c r="I24" s="52"/>
    </row>
    <row r="25" spans="1:9" s="53" customFormat="1">
      <c r="A25" s="46">
        <v>21</v>
      </c>
      <c r="B25" s="46">
        <v>2546</v>
      </c>
      <c r="C25" s="48" t="s">
        <v>43</v>
      </c>
      <c r="D25" s="48" t="s">
        <v>18</v>
      </c>
      <c r="E25" s="46" t="s">
        <v>5</v>
      </c>
      <c r="F25" s="50">
        <v>7</v>
      </c>
      <c r="G25" s="51">
        <v>11862.85</v>
      </c>
      <c r="H25" s="51">
        <f t="shared" si="0"/>
        <v>83039.95</v>
      </c>
      <c r="I25" s="52"/>
    </row>
    <row r="26" spans="1:9" s="53" customFormat="1">
      <c r="A26" s="46">
        <v>22</v>
      </c>
      <c r="B26" s="46">
        <v>2546</v>
      </c>
      <c r="C26" s="48" t="s">
        <v>44</v>
      </c>
      <c r="D26" s="48" t="s">
        <v>18</v>
      </c>
      <c r="E26" s="46" t="s">
        <v>5</v>
      </c>
      <c r="F26" s="50">
        <v>7</v>
      </c>
      <c r="G26" s="51">
        <v>15500</v>
      </c>
      <c r="H26" s="51">
        <f t="shared" si="0"/>
        <v>108500</v>
      </c>
      <c r="I26" s="52"/>
    </row>
    <row r="27" spans="1:9">
      <c r="A27" s="11">
        <v>23</v>
      </c>
      <c r="B27" s="7">
        <v>2546</v>
      </c>
      <c r="C27" s="4" t="s">
        <v>45</v>
      </c>
      <c r="D27" s="4" t="s">
        <v>46</v>
      </c>
      <c r="E27" s="7" t="s">
        <v>6</v>
      </c>
      <c r="F27" s="14">
        <v>1</v>
      </c>
      <c r="G27" s="17">
        <v>9900</v>
      </c>
      <c r="H27" s="17">
        <f t="shared" si="0"/>
        <v>9900</v>
      </c>
      <c r="I27" s="8"/>
    </row>
    <row r="28" spans="1:9" s="53" customFormat="1">
      <c r="A28" s="46">
        <v>24</v>
      </c>
      <c r="B28" s="46">
        <v>2548</v>
      </c>
      <c r="C28" s="48" t="s">
        <v>47</v>
      </c>
      <c r="D28" s="48" t="s">
        <v>18</v>
      </c>
      <c r="E28" s="46" t="s">
        <v>6</v>
      </c>
      <c r="F28" s="50">
        <v>5</v>
      </c>
      <c r="G28" s="51">
        <v>16000</v>
      </c>
      <c r="H28" s="51">
        <f t="shared" si="0"/>
        <v>80000</v>
      </c>
      <c r="I28" s="52"/>
    </row>
    <row r="29" spans="1:9" s="53" customFormat="1">
      <c r="A29" s="46">
        <v>25</v>
      </c>
      <c r="B29" s="46">
        <v>2548</v>
      </c>
      <c r="C29" s="48" t="s">
        <v>48</v>
      </c>
      <c r="D29" s="48" t="s">
        <v>18</v>
      </c>
      <c r="E29" s="46" t="s">
        <v>6</v>
      </c>
      <c r="F29" s="50">
        <v>4</v>
      </c>
      <c r="G29" s="51">
        <v>16000</v>
      </c>
      <c r="H29" s="51">
        <f t="shared" si="0"/>
        <v>64000</v>
      </c>
      <c r="I29" s="52"/>
    </row>
    <row r="30" spans="1:9" s="53" customFormat="1">
      <c r="A30" s="46">
        <v>26</v>
      </c>
      <c r="B30" s="46">
        <v>2548</v>
      </c>
      <c r="C30" s="48" t="s">
        <v>49</v>
      </c>
      <c r="D30" s="48" t="s">
        <v>18</v>
      </c>
      <c r="E30" s="46" t="s">
        <v>6</v>
      </c>
      <c r="F30" s="50">
        <v>4</v>
      </c>
      <c r="G30" s="51">
        <v>16000</v>
      </c>
      <c r="H30" s="51">
        <f t="shared" si="0"/>
        <v>64000</v>
      </c>
      <c r="I30" s="52"/>
    </row>
    <row r="31" spans="1:9">
      <c r="A31" s="11">
        <v>27</v>
      </c>
      <c r="B31" s="7">
        <v>2548</v>
      </c>
      <c r="C31" s="4" t="s">
        <v>50</v>
      </c>
      <c r="D31" s="4" t="s">
        <v>51</v>
      </c>
      <c r="E31" s="7" t="s">
        <v>6</v>
      </c>
      <c r="F31" s="14">
        <v>1</v>
      </c>
      <c r="G31" s="17">
        <v>6600</v>
      </c>
      <c r="H31" s="17">
        <f t="shared" si="0"/>
        <v>6600</v>
      </c>
      <c r="I31" s="8"/>
    </row>
    <row r="32" spans="1:9" s="53" customFormat="1">
      <c r="A32" s="46">
        <v>28</v>
      </c>
      <c r="B32" s="46">
        <v>2548</v>
      </c>
      <c r="C32" s="48" t="s">
        <v>52</v>
      </c>
      <c r="D32" s="48" t="s">
        <v>53</v>
      </c>
      <c r="E32" s="46" t="s">
        <v>6</v>
      </c>
      <c r="F32" s="50">
        <v>3</v>
      </c>
      <c r="G32" s="51">
        <v>1100</v>
      </c>
      <c r="H32" s="51">
        <f t="shared" si="0"/>
        <v>3300</v>
      </c>
      <c r="I32" s="52"/>
    </row>
    <row r="33" spans="1:9" s="53" customFormat="1">
      <c r="A33" s="46">
        <v>29</v>
      </c>
      <c r="B33" s="46">
        <v>2548</v>
      </c>
      <c r="C33" s="48" t="s">
        <v>54</v>
      </c>
      <c r="D33" s="55" t="s">
        <v>15</v>
      </c>
      <c r="E33" s="46" t="s">
        <v>6</v>
      </c>
      <c r="F33" s="50">
        <v>6</v>
      </c>
      <c r="G33" s="56">
        <v>1200</v>
      </c>
      <c r="H33" s="51">
        <f t="shared" si="0"/>
        <v>7200</v>
      </c>
      <c r="I33" s="52"/>
    </row>
    <row r="34" spans="1:9">
      <c r="A34" s="11">
        <v>30</v>
      </c>
      <c r="B34" s="7">
        <v>2548</v>
      </c>
      <c r="C34" s="4" t="s">
        <v>55</v>
      </c>
      <c r="D34" s="4" t="s">
        <v>56</v>
      </c>
      <c r="E34" s="7" t="s">
        <v>6</v>
      </c>
      <c r="F34" s="14">
        <v>1</v>
      </c>
      <c r="G34" s="17">
        <v>2500</v>
      </c>
      <c r="H34" s="17">
        <f t="shared" si="0"/>
        <v>2500</v>
      </c>
      <c r="I34" s="8"/>
    </row>
    <row r="35" spans="1:9">
      <c r="A35" s="11">
        <v>31</v>
      </c>
      <c r="B35" s="7">
        <v>2548</v>
      </c>
      <c r="C35" s="4" t="s">
        <v>57</v>
      </c>
      <c r="D35" s="4" t="s">
        <v>56</v>
      </c>
      <c r="E35" s="7" t="s">
        <v>6</v>
      </c>
      <c r="F35" s="14">
        <v>1</v>
      </c>
      <c r="G35" s="17">
        <v>2500</v>
      </c>
      <c r="H35" s="17">
        <f t="shared" si="0"/>
        <v>2500</v>
      </c>
      <c r="I35" s="8"/>
    </row>
    <row r="36" spans="1:9">
      <c r="A36" s="11">
        <v>32</v>
      </c>
      <c r="B36" s="7">
        <v>2548</v>
      </c>
      <c r="C36" s="4" t="s">
        <v>58</v>
      </c>
      <c r="D36" s="4" t="s">
        <v>4</v>
      </c>
      <c r="E36" s="7" t="s">
        <v>6</v>
      </c>
      <c r="F36" s="14">
        <v>1</v>
      </c>
      <c r="G36" s="17">
        <v>2700</v>
      </c>
      <c r="H36" s="17">
        <f t="shared" si="0"/>
        <v>2700</v>
      </c>
      <c r="I36" s="8"/>
    </row>
    <row r="37" spans="1:9">
      <c r="A37" s="11">
        <v>33</v>
      </c>
      <c r="B37" s="7">
        <v>2548</v>
      </c>
      <c r="C37" s="4" t="s">
        <v>59</v>
      </c>
      <c r="D37" s="4" t="s">
        <v>60</v>
      </c>
      <c r="E37" s="7" t="s">
        <v>6</v>
      </c>
      <c r="F37" s="14">
        <v>1</v>
      </c>
      <c r="G37" s="17">
        <v>79000</v>
      </c>
      <c r="H37" s="17">
        <f t="shared" si="0"/>
        <v>79000</v>
      </c>
      <c r="I37" s="8"/>
    </row>
    <row r="38" spans="1:9">
      <c r="A38" s="11">
        <v>34</v>
      </c>
      <c r="B38" s="7">
        <v>2548</v>
      </c>
      <c r="C38" s="4" t="s">
        <v>61</v>
      </c>
      <c r="D38" s="4" t="s">
        <v>62</v>
      </c>
      <c r="E38" s="7" t="s">
        <v>6</v>
      </c>
      <c r="F38" s="14">
        <v>1</v>
      </c>
      <c r="G38" s="17">
        <v>9200</v>
      </c>
      <c r="H38" s="17">
        <f t="shared" si="0"/>
        <v>9200</v>
      </c>
      <c r="I38" s="8"/>
    </row>
    <row r="39" spans="1:9">
      <c r="A39" s="11">
        <v>35</v>
      </c>
      <c r="B39" s="7">
        <v>2548</v>
      </c>
      <c r="C39" s="4" t="s">
        <v>63</v>
      </c>
      <c r="D39" s="4" t="s">
        <v>64</v>
      </c>
      <c r="E39" s="7" t="s">
        <v>6</v>
      </c>
      <c r="F39" s="14">
        <v>1</v>
      </c>
      <c r="G39" s="17">
        <v>5900</v>
      </c>
      <c r="H39" s="17">
        <f t="shared" si="0"/>
        <v>5900</v>
      </c>
      <c r="I39" s="8"/>
    </row>
    <row r="40" spans="1:9" s="53" customFormat="1">
      <c r="A40" s="46">
        <v>36</v>
      </c>
      <c r="B40" s="46">
        <v>2548</v>
      </c>
      <c r="C40" s="48" t="s">
        <v>65</v>
      </c>
      <c r="D40" s="48" t="s">
        <v>3</v>
      </c>
      <c r="E40" s="46" t="s">
        <v>6</v>
      </c>
      <c r="F40" s="50">
        <v>1</v>
      </c>
      <c r="G40" s="60">
        <v>40700</v>
      </c>
      <c r="H40" s="51">
        <f t="shared" si="0"/>
        <v>40700</v>
      </c>
      <c r="I40" s="52"/>
    </row>
    <row r="41" spans="1:9" s="53" customFormat="1">
      <c r="A41" s="46">
        <v>37</v>
      </c>
      <c r="B41" s="47" t="s">
        <v>121</v>
      </c>
      <c r="C41" s="48" t="s">
        <v>66</v>
      </c>
      <c r="D41" s="48" t="s">
        <v>18</v>
      </c>
      <c r="E41" s="49" t="s">
        <v>109</v>
      </c>
      <c r="F41" s="50">
        <v>10</v>
      </c>
      <c r="G41" s="51">
        <v>11730</v>
      </c>
      <c r="H41" s="51">
        <f t="shared" si="0"/>
        <v>117300</v>
      </c>
      <c r="I41" s="52"/>
    </row>
    <row r="42" spans="1:9" s="53" customFormat="1">
      <c r="A42" s="46">
        <v>38</v>
      </c>
      <c r="B42" s="47" t="s">
        <v>121</v>
      </c>
      <c r="C42" s="48" t="s">
        <v>67</v>
      </c>
      <c r="D42" s="48" t="s">
        <v>18</v>
      </c>
      <c r="E42" s="49" t="s">
        <v>109</v>
      </c>
      <c r="F42" s="50">
        <v>10</v>
      </c>
      <c r="G42" s="51">
        <v>11730</v>
      </c>
      <c r="H42" s="51">
        <f t="shared" si="0"/>
        <v>117300</v>
      </c>
      <c r="I42" s="52"/>
    </row>
    <row r="43" spans="1:9">
      <c r="A43" s="11">
        <v>39</v>
      </c>
      <c r="B43" s="5" t="s">
        <v>121</v>
      </c>
      <c r="C43" s="4" t="s">
        <v>68</v>
      </c>
      <c r="D43" s="4" t="s">
        <v>56</v>
      </c>
      <c r="E43" s="7" t="s">
        <v>6</v>
      </c>
      <c r="F43" s="14">
        <v>4</v>
      </c>
      <c r="G43" s="17">
        <v>2800</v>
      </c>
      <c r="H43" s="17">
        <f>SUM(F43*G43)</f>
        <v>11200</v>
      </c>
      <c r="I43" s="8"/>
    </row>
    <row r="44" spans="1:9">
      <c r="A44" s="67" t="s">
        <v>117</v>
      </c>
      <c r="B44" s="68"/>
      <c r="C44" s="68"/>
      <c r="D44" s="69"/>
      <c r="E44" s="7"/>
      <c r="F44" s="14"/>
      <c r="G44" s="17"/>
      <c r="H44" s="17">
        <f>SUM(H5:H43)</f>
        <v>2266689.86</v>
      </c>
      <c r="I44" s="8"/>
    </row>
    <row r="45" spans="1:9">
      <c r="A45" s="67" t="s">
        <v>118</v>
      </c>
      <c r="B45" s="68"/>
      <c r="C45" s="68"/>
      <c r="D45" s="69"/>
      <c r="E45" s="7"/>
      <c r="F45" s="14"/>
      <c r="G45" s="17"/>
      <c r="H45" s="17">
        <f>SUM(H44)</f>
        <v>2266689.86</v>
      </c>
      <c r="I45" s="8"/>
    </row>
    <row r="46" spans="1:9">
      <c r="A46" s="11">
        <v>40</v>
      </c>
      <c r="B46" s="5" t="s">
        <v>121</v>
      </c>
      <c r="C46" s="4" t="s">
        <v>69</v>
      </c>
      <c r="D46" s="4" t="s">
        <v>4</v>
      </c>
      <c r="E46" s="7" t="s">
        <v>6</v>
      </c>
      <c r="F46" s="14">
        <v>2</v>
      </c>
      <c r="G46" s="17">
        <v>3000</v>
      </c>
      <c r="H46" s="17">
        <f>SUM(F46*G46)</f>
        <v>6000</v>
      </c>
      <c r="I46" s="8"/>
    </row>
    <row r="47" spans="1:9" s="53" customFormat="1">
      <c r="A47" s="46">
        <v>41</v>
      </c>
      <c r="B47" s="54" t="s">
        <v>121</v>
      </c>
      <c r="C47" s="48" t="s">
        <v>70</v>
      </c>
      <c r="D47" s="48" t="s">
        <v>8</v>
      </c>
      <c r="E47" s="46" t="s">
        <v>6</v>
      </c>
      <c r="F47" s="50">
        <v>1</v>
      </c>
      <c r="G47" s="51">
        <v>695.5</v>
      </c>
      <c r="H47" s="51">
        <f>SUM(F47*G47)</f>
        <v>695.5</v>
      </c>
      <c r="I47" s="52"/>
    </row>
    <row r="48" spans="1:9">
      <c r="A48" s="11">
        <v>42</v>
      </c>
      <c r="B48" s="15" t="s">
        <v>120</v>
      </c>
      <c r="C48" s="4" t="s">
        <v>71</v>
      </c>
      <c r="D48" s="4" t="s">
        <v>72</v>
      </c>
      <c r="E48" s="7" t="s">
        <v>6</v>
      </c>
      <c r="F48" s="14">
        <v>1</v>
      </c>
      <c r="G48" s="17">
        <v>14800</v>
      </c>
      <c r="H48" s="17">
        <f>SUM(F48*G48)</f>
        <v>14800</v>
      </c>
      <c r="I48" s="7"/>
    </row>
    <row r="49" spans="1:9" s="53" customFormat="1">
      <c r="A49" s="46">
        <v>43</v>
      </c>
      <c r="B49" s="54" t="s">
        <v>120</v>
      </c>
      <c r="C49" s="48" t="s">
        <v>73</v>
      </c>
      <c r="D49" s="48" t="s">
        <v>74</v>
      </c>
      <c r="E49" s="46" t="s">
        <v>6</v>
      </c>
      <c r="F49" s="50">
        <v>1</v>
      </c>
      <c r="G49" s="51">
        <v>3600</v>
      </c>
      <c r="H49" s="51">
        <f t="shared" ref="H49:H52" si="1">SUM(F49*G49)</f>
        <v>3600</v>
      </c>
      <c r="I49" s="46"/>
    </row>
    <row r="50" spans="1:9">
      <c r="A50" s="11">
        <v>44</v>
      </c>
      <c r="B50" s="15" t="s">
        <v>120</v>
      </c>
      <c r="C50" s="4" t="s">
        <v>75</v>
      </c>
      <c r="D50" s="4" t="s">
        <v>76</v>
      </c>
      <c r="E50" s="12" t="s">
        <v>5</v>
      </c>
      <c r="F50" s="14">
        <v>3</v>
      </c>
      <c r="G50" s="17">
        <v>3400</v>
      </c>
      <c r="H50" s="17">
        <f t="shared" si="1"/>
        <v>10200</v>
      </c>
      <c r="I50" s="7"/>
    </row>
    <row r="51" spans="1:9">
      <c r="A51" s="11">
        <v>45</v>
      </c>
      <c r="B51" s="15" t="s">
        <v>120</v>
      </c>
      <c r="C51" s="21" t="s">
        <v>77</v>
      </c>
      <c r="D51" s="21" t="s">
        <v>78</v>
      </c>
      <c r="E51" s="12" t="s">
        <v>5</v>
      </c>
      <c r="F51" s="24">
        <v>2</v>
      </c>
      <c r="G51" s="28">
        <v>2200</v>
      </c>
      <c r="H51" s="17">
        <f t="shared" si="1"/>
        <v>4400</v>
      </c>
      <c r="I51" s="7"/>
    </row>
    <row r="52" spans="1:9" s="53" customFormat="1">
      <c r="A52" s="46">
        <v>46</v>
      </c>
      <c r="B52" s="57" t="s">
        <v>122</v>
      </c>
      <c r="C52" s="48" t="s">
        <v>79</v>
      </c>
      <c r="D52" s="48" t="s">
        <v>80</v>
      </c>
      <c r="E52" s="46" t="s">
        <v>6</v>
      </c>
      <c r="F52" s="50">
        <v>49</v>
      </c>
      <c r="G52" s="51">
        <v>14000</v>
      </c>
      <c r="H52" s="51">
        <f t="shared" si="1"/>
        <v>686000</v>
      </c>
      <c r="I52" s="46"/>
    </row>
    <row r="53" spans="1:9" s="53" customFormat="1">
      <c r="A53" s="46">
        <v>47</v>
      </c>
      <c r="B53" s="57" t="s">
        <v>122</v>
      </c>
      <c r="C53" s="48" t="s">
        <v>81</v>
      </c>
      <c r="D53" s="48" t="s">
        <v>18</v>
      </c>
      <c r="E53" s="46" t="s">
        <v>6</v>
      </c>
      <c r="F53" s="50">
        <v>49</v>
      </c>
      <c r="G53" s="51">
        <v>13979.59</v>
      </c>
      <c r="H53" s="51">
        <f t="shared" si="0"/>
        <v>684999.91</v>
      </c>
      <c r="I53" s="46"/>
    </row>
    <row r="54" spans="1:9">
      <c r="A54" s="11">
        <v>48</v>
      </c>
      <c r="B54" s="10" t="s">
        <v>122</v>
      </c>
      <c r="C54" s="4" t="s">
        <v>16</v>
      </c>
      <c r="D54" s="4" t="s">
        <v>82</v>
      </c>
      <c r="E54" s="7" t="s">
        <v>6</v>
      </c>
      <c r="F54" s="14">
        <v>1</v>
      </c>
      <c r="G54" s="17">
        <v>5684.5</v>
      </c>
      <c r="H54" s="17">
        <f t="shared" si="0"/>
        <v>5684.5</v>
      </c>
      <c r="I54" s="7"/>
    </row>
    <row r="55" spans="1:9" s="53" customFormat="1">
      <c r="A55" s="46">
        <v>49</v>
      </c>
      <c r="B55" s="57" t="s">
        <v>122</v>
      </c>
      <c r="C55" s="48" t="s">
        <v>83</v>
      </c>
      <c r="D55" s="48" t="s">
        <v>12</v>
      </c>
      <c r="E55" s="46" t="s">
        <v>6</v>
      </c>
      <c r="F55" s="50">
        <v>1</v>
      </c>
      <c r="G55" s="51">
        <v>1006.25</v>
      </c>
      <c r="H55" s="51">
        <f t="shared" si="0"/>
        <v>1006.25</v>
      </c>
      <c r="I55" s="46"/>
    </row>
    <row r="56" spans="1:9">
      <c r="A56" s="11">
        <v>50</v>
      </c>
      <c r="B56" s="7">
        <v>2553</v>
      </c>
      <c r="C56" s="4" t="s">
        <v>84</v>
      </c>
      <c r="D56" s="1" t="s">
        <v>108</v>
      </c>
      <c r="E56" s="7" t="s">
        <v>5</v>
      </c>
      <c r="F56" s="14">
        <v>4</v>
      </c>
      <c r="G56" s="17">
        <v>3000</v>
      </c>
      <c r="H56" s="17">
        <f t="shared" si="0"/>
        <v>12000</v>
      </c>
      <c r="I56" s="7"/>
    </row>
    <row r="57" spans="1:9" s="53" customFormat="1">
      <c r="A57" s="46">
        <v>51</v>
      </c>
      <c r="B57" s="46">
        <v>2553</v>
      </c>
      <c r="C57" s="48" t="s">
        <v>85</v>
      </c>
      <c r="D57" s="48" t="s">
        <v>11</v>
      </c>
      <c r="E57" s="46" t="s">
        <v>5</v>
      </c>
      <c r="F57" s="50">
        <v>4</v>
      </c>
      <c r="G57" s="51">
        <v>32000</v>
      </c>
      <c r="H57" s="51">
        <f t="shared" si="0"/>
        <v>128000</v>
      </c>
      <c r="I57" s="46"/>
    </row>
    <row r="58" spans="1:9" s="53" customFormat="1">
      <c r="A58" s="46">
        <v>52</v>
      </c>
      <c r="B58" s="46">
        <v>2553</v>
      </c>
      <c r="C58" s="58" t="s">
        <v>86</v>
      </c>
      <c r="D58" s="58" t="s">
        <v>87</v>
      </c>
      <c r="E58" s="46" t="s">
        <v>5</v>
      </c>
      <c r="F58" s="59">
        <v>160</v>
      </c>
      <c r="G58" s="51">
        <v>400</v>
      </c>
      <c r="H58" s="51">
        <f t="shared" si="0"/>
        <v>64000</v>
      </c>
      <c r="I58" s="46"/>
    </row>
    <row r="59" spans="1:9">
      <c r="A59" s="11">
        <v>53</v>
      </c>
      <c r="B59" s="7">
        <v>2556</v>
      </c>
      <c r="C59" s="4" t="s">
        <v>88</v>
      </c>
      <c r="D59" s="4" t="s">
        <v>89</v>
      </c>
      <c r="E59" s="7" t="s">
        <v>5</v>
      </c>
      <c r="F59" s="14">
        <v>1</v>
      </c>
      <c r="G59" s="17">
        <v>1230000</v>
      </c>
      <c r="H59" s="17">
        <f t="shared" si="0"/>
        <v>1230000</v>
      </c>
      <c r="I59" s="7"/>
    </row>
    <row r="60" spans="1:9">
      <c r="A60" s="22"/>
      <c r="B60" s="3"/>
      <c r="C60" s="23"/>
      <c r="D60" s="4" t="s">
        <v>90</v>
      </c>
      <c r="E60" s="7"/>
      <c r="F60" s="29"/>
      <c r="G60" s="30"/>
      <c r="H60" s="30"/>
      <c r="I60" s="7"/>
    </row>
    <row r="61" spans="1:9">
      <c r="A61" s="11"/>
      <c r="B61" s="3"/>
      <c r="C61" s="4"/>
      <c r="D61" s="31" t="s">
        <v>91</v>
      </c>
      <c r="E61" s="7"/>
      <c r="F61" s="32">
        <v>60</v>
      </c>
      <c r="G61" s="17"/>
      <c r="H61" s="17"/>
      <c r="I61" s="7"/>
    </row>
    <row r="62" spans="1:9">
      <c r="A62" s="22"/>
      <c r="B62" s="3"/>
      <c r="C62" s="4"/>
      <c r="D62" s="31" t="s">
        <v>92</v>
      </c>
      <c r="E62" s="7"/>
      <c r="F62" s="33">
        <v>60</v>
      </c>
      <c r="G62" s="17"/>
      <c r="H62" s="17"/>
      <c r="I62" s="7"/>
    </row>
    <row r="63" spans="1:9">
      <c r="A63" s="11"/>
      <c r="B63" s="3"/>
      <c r="C63" s="4"/>
      <c r="D63" s="31" t="s">
        <v>93</v>
      </c>
      <c r="E63" s="7"/>
      <c r="F63" s="19">
        <v>1</v>
      </c>
      <c r="G63" s="17"/>
      <c r="H63" s="17"/>
      <c r="I63" s="7"/>
    </row>
    <row r="64" spans="1:9">
      <c r="A64" s="22"/>
      <c r="B64" s="16"/>
      <c r="C64" s="4"/>
      <c r="D64" s="34" t="s">
        <v>94</v>
      </c>
      <c r="E64" s="7"/>
      <c r="F64" s="14"/>
      <c r="G64" s="17"/>
      <c r="H64" s="17"/>
      <c r="I64" s="7"/>
    </row>
    <row r="65" spans="1:9">
      <c r="A65" s="11"/>
      <c r="B65" s="5"/>
      <c r="C65" s="4"/>
      <c r="D65" s="35" t="s">
        <v>95</v>
      </c>
      <c r="E65" s="12"/>
      <c r="F65" s="14">
        <v>1</v>
      </c>
      <c r="G65" s="17"/>
      <c r="H65" s="17"/>
      <c r="I65" s="8"/>
    </row>
    <row r="66" spans="1:9">
      <c r="A66" s="22"/>
      <c r="B66" s="13"/>
      <c r="C66" s="4"/>
      <c r="D66" s="34" t="s">
        <v>96</v>
      </c>
      <c r="E66" s="12"/>
      <c r="F66" s="14"/>
      <c r="G66" s="17"/>
      <c r="H66" s="17"/>
      <c r="I66" s="8"/>
    </row>
    <row r="67" spans="1:9">
      <c r="A67" s="11"/>
      <c r="B67" s="5"/>
      <c r="C67" s="4"/>
      <c r="D67" s="36" t="s">
        <v>97</v>
      </c>
      <c r="E67" s="12"/>
      <c r="F67" s="14">
        <v>2</v>
      </c>
      <c r="G67" s="17"/>
      <c r="H67" s="17"/>
      <c r="I67" s="8"/>
    </row>
    <row r="68" spans="1:9">
      <c r="A68" s="22"/>
      <c r="B68" s="5"/>
      <c r="C68" s="4"/>
      <c r="D68" s="34" t="s">
        <v>98</v>
      </c>
      <c r="E68" s="12"/>
      <c r="F68" s="14"/>
      <c r="G68" s="17"/>
      <c r="H68" s="17"/>
      <c r="I68" s="8"/>
    </row>
    <row r="69" spans="1:9">
      <c r="A69" s="11"/>
      <c r="B69" s="5"/>
      <c r="C69" s="4"/>
      <c r="D69" s="36" t="s">
        <v>99</v>
      </c>
      <c r="E69" s="12"/>
      <c r="F69" s="14">
        <v>1</v>
      </c>
      <c r="G69" s="17"/>
      <c r="H69" s="17"/>
      <c r="I69" s="8"/>
    </row>
    <row r="70" spans="1:9">
      <c r="A70" s="22"/>
      <c r="B70" s="5"/>
      <c r="C70" s="4"/>
      <c r="D70" s="26" t="s">
        <v>100</v>
      </c>
      <c r="E70" s="12"/>
      <c r="F70" s="14"/>
      <c r="G70" s="17"/>
      <c r="H70" s="17"/>
      <c r="I70" s="8"/>
    </row>
    <row r="71" spans="1:9">
      <c r="A71" s="11"/>
      <c r="B71" s="11"/>
      <c r="C71" s="4"/>
      <c r="D71" s="26" t="s">
        <v>101</v>
      </c>
      <c r="E71" s="12"/>
      <c r="F71" s="14"/>
      <c r="G71" s="18"/>
      <c r="H71" s="18"/>
      <c r="I71" s="8"/>
    </row>
    <row r="72" spans="1:9">
      <c r="A72" s="22"/>
      <c r="B72" s="5"/>
      <c r="C72" s="4"/>
      <c r="D72" s="27" t="s">
        <v>110</v>
      </c>
      <c r="E72" s="12"/>
      <c r="F72" s="14"/>
      <c r="G72" s="17"/>
      <c r="H72" s="17"/>
      <c r="I72" s="8"/>
    </row>
    <row r="73" spans="1:9">
      <c r="A73" s="11"/>
      <c r="B73" s="5"/>
      <c r="C73" s="4"/>
      <c r="D73" s="35" t="s">
        <v>102</v>
      </c>
      <c r="E73" s="12"/>
      <c r="F73" s="14">
        <v>1</v>
      </c>
      <c r="G73" s="17"/>
      <c r="H73" s="17"/>
      <c r="I73" s="8"/>
    </row>
    <row r="74" spans="1:9">
      <c r="A74" s="22"/>
      <c r="B74" s="5"/>
      <c r="C74" s="4"/>
      <c r="D74" s="34" t="s">
        <v>103</v>
      </c>
      <c r="E74" s="12"/>
      <c r="F74" s="14"/>
      <c r="G74" s="17"/>
      <c r="H74" s="17"/>
      <c r="I74" s="8"/>
    </row>
    <row r="75" spans="1:9">
      <c r="A75" s="11"/>
      <c r="B75" s="15"/>
      <c r="C75" s="4"/>
      <c r="D75" s="35" t="s">
        <v>104</v>
      </c>
      <c r="E75" s="12"/>
      <c r="F75" s="14">
        <v>2</v>
      </c>
      <c r="G75" s="17"/>
      <c r="H75" s="17"/>
      <c r="I75" s="8"/>
    </row>
    <row r="76" spans="1:9">
      <c r="A76" s="22"/>
      <c r="B76" s="15"/>
      <c r="C76" s="4"/>
      <c r="D76" s="35" t="s">
        <v>105</v>
      </c>
      <c r="E76" s="12"/>
      <c r="F76" s="14">
        <v>1</v>
      </c>
      <c r="G76" s="17"/>
      <c r="H76" s="17"/>
      <c r="I76" s="7"/>
    </row>
    <row r="77" spans="1:9">
      <c r="A77" s="11"/>
      <c r="B77" s="15"/>
      <c r="C77" s="4"/>
      <c r="D77" s="34" t="s">
        <v>106</v>
      </c>
      <c r="E77" s="12"/>
      <c r="F77" s="14"/>
      <c r="G77" s="17"/>
      <c r="H77" s="17"/>
      <c r="I77" s="7"/>
    </row>
    <row r="78" spans="1:9">
      <c r="A78" s="22"/>
      <c r="B78" s="15"/>
      <c r="C78" s="4"/>
      <c r="D78" s="35" t="s">
        <v>107</v>
      </c>
      <c r="E78" s="12"/>
      <c r="F78" s="14">
        <v>1</v>
      </c>
      <c r="G78" s="17"/>
      <c r="H78" s="17"/>
      <c r="I78" s="7"/>
    </row>
    <row r="79" spans="1:9">
      <c r="A79" s="22">
        <v>54</v>
      </c>
      <c r="B79" s="40">
        <v>23983</v>
      </c>
      <c r="C79" s="41" t="s">
        <v>131</v>
      </c>
      <c r="D79" s="42" t="s">
        <v>130</v>
      </c>
      <c r="E79" s="43" t="s">
        <v>6</v>
      </c>
      <c r="F79" s="44">
        <v>10</v>
      </c>
      <c r="G79" s="45">
        <v>550</v>
      </c>
      <c r="H79" s="17">
        <f t="shared" ref="H79" si="2">SUM(F79*G79)</f>
        <v>5500</v>
      </c>
      <c r="I79" s="7"/>
    </row>
    <row r="80" spans="1:9">
      <c r="A80" s="61" t="s">
        <v>13</v>
      </c>
      <c r="B80" s="62"/>
      <c r="C80" s="62"/>
      <c r="D80" s="62"/>
      <c r="E80" s="62"/>
      <c r="F80" s="62"/>
      <c r="G80" s="62"/>
      <c r="H80" s="37">
        <f>SUM(H45:H79)</f>
        <v>5123576.0199999996</v>
      </c>
      <c r="I80" s="38"/>
    </row>
    <row r="81" spans="6:9" ht="28.5" customHeight="1">
      <c r="F81" s="39"/>
    </row>
    <row r="82" spans="6:9">
      <c r="F82" s="63" t="s">
        <v>9</v>
      </c>
      <c r="G82" s="63"/>
      <c r="H82" s="63"/>
      <c r="I82" s="63"/>
    </row>
    <row r="83" spans="6:9">
      <c r="F83" s="63" t="s">
        <v>125</v>
      </c>
      <c r="G83" s="63"/>
      <c r="H83" s="63"/>
      <c r="I83" s="63"/>
    </row>
    <row r="84" spans="6:9">
      <c r="F84" s="63" t="s">
        <v>10</v>
      </c>
      <c r="G84" s="63"/>
      <c r="H84" s="63"/>
      <c r="I84" s="63"/>
    </row>
  </sheetData>
  <mergeCells count="9">
    <mergeCell ref="A80:G80"/>
    <mergeCell ref="F84:I84"/>
    <mergeCell ref="F83:I83"/>
    <mergeCell ref="F82:I82"/>
    <mergeCell ref="A1:I1"/>
    <mergeCell ref="A2:I2"/>
    <mergeCell ref="A3:I3"/>
    <mergeCell ref="A44:D44"/>
    <mergeCell ref="A45:D45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แผนกคอมพิวเตอร์</vt:lpstr>
      <vt:lpstr>แผนกคอมพิวเตอร์!Print_Titles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2023-01-31T10:17:46Z</cp:lastPrinted>
  <dcterms:created xsi:type="dcterms:W3CDTF">2017-11-14T01:32:33Z</dcterms:created>
  <dcterms:modified xsi:type="dcterms:W3CDTF">2023-07-19T11:29:55Z</dcterms:modified>
</cp:coreProperties>
</file>