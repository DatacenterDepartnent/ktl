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ครุภัณฑ์\ตรวจสอบพัสดุ-ครุภัณฑ์ประจำปี 2563\"/>
    </mc:Choice>
  </mc:AlternateContent>
  <bookViews>
    <workbookView xWindow="-120" yWindow="-120" windowWidth="24240" windowHeight="13140" tabRatio="897" activeTab="21"/>
  </bookViews>
  <sheets>
    <sheet name="แผนกช่างยนต์" sheetId="45" r:id="rId1"/>
    <sheet name="แผนกเครื่องกลอุตสาหกรรม" sheetId="37" r:id="rId2"/>
    <sheet name="แผนกช่างเชื่อมโลหะ" sheetId="30" r:id="rId3"/>
    <sheet name="แผนกเทคนิคพื้นฐาน" sheetId="28" r:id="rId4"/>
    <sheet name="แผนกช่างไฟฟ้ากำลัง" sheetId="31" r:id="rId5"/>
    <sheet name="แผนกช่างอิเล็กทรอนิคส์" sheetId="27" r:id="rId6"/>
    <sheet name="แผนกคอมพิวเตอร์" sheetId="32" r:id="rId7"/>
    <sheet name="แผนกการตลาด" sheetId="33" r:id="rId8"/>
    <sheet name="แผนกการบัญชี" sheetId="34" r:id="rId9"/>
    <sheet name="แผนกสามัญสัมพันธ์" sheetId="18" r:id="rId10"/>
    <sheet name="แผนกก่อสร้าง" sheetId="42" r:id="rId11"/>
    <sheet name="แผนกการโรมแรม" sheetId="41" r:id="rId12"/>
    <sheet name="แผนกช่างกลโรงงาน" sheetId="29" r:id="rId13"/>
    <sheet name="งานทะเบียน" sheetId="2" r:id="rId14"/>
    <sheet name="งานบริหารงานทั่วไป" sheetId="5" r:id="rId15"/>
    <sheet name="งานพัสดุ" sheetId="43" r:id="rId16"/>
    <sheet name="งานบัญชี" sheetId="6" r:id="rId17"/>
    <sheet name="งานบุคลากร" sheetId="4" r:id="rId18"/>
    <sheet name="งานการเงิน" sheetId="8" r:id="rId19"/>
    <sheet name="งานอาคารสถานที่" sheetId="25" r:id="rId20"/>
    <sheet name="งานประชาสัมพันธ์" sheetId="3" r:id="rId21"/>
    <sheet name="งานโครงการพิเศษ" sheetId="13" r:id="rId22"/>
    <sheet name="งานกิจกรรม" sheetId="11" r:id="rId23"/>
    <sheet name="งานแนะแนว" sheetId="9" r:id="rId24"/>
    <sheet name="งานสวัสดิการ" sheetId="10" r:id="rId25"/>
    <sheet name="งานครูที่ปรึกษา" sheetId="36" r:id="rId26"/>
    <sheet name="งานปกครอง" sheetId="7" r:id="rId27"/>
    <sheet name="งานวางแผน" sheetId="17" r:id="rId28"/>
    <sheet name="งานส่งเสริมผลิตผลการค้า" sheetId="12" r:id="rId29"/>
    <sheet name="งานประกันคุณภาพ" sheetId="35" r:id="rId30"/>
    <sheet name="งานวิจัยฯ" sheetId="16" r:id="rId31"/>
    <sheet name="งานความร่วมมือ" sheetId="14" r:id="rId32"/>
    <sheet name="งานศูนย์ข้อมูลฯ" sheetId="15" r:id="rId33"/>
    <sheet name="งานทวิภาคี" sheetId="23" r:id="rId34"/>
    <sheet name="งานพัฒนาหลักสูตร" sheetId="24" r:id="rId35"/>
    <sheet name="งานวัดผลและประเมินผล" sheetId="22" r:id="rId36"/>
    <sheet name="งานวิทยบริการและห้องสมุด" sheetId="20" r:id="rId37"/>
    <sheet name="งานสื่อการเรียนการสอน" sheetId="19" r:id="rId38"/>
    <sheet name="รายการชำรุด" sheetId="44" r:id="rId39"/>
  </sheets>
  <definedNames>
    <definedName name="_xlnm.Print_Area" localSheetId="4">แผนกช่างไฟฟ้ากำลัง!$A$1:$L$59</definedName>
    <definedName name="_xlnm.Print_Area" localSheetId="9">แผนกสามัญสัมพันธ์!$A$1:$N$22</definedName>
    <definedName name="_xlnm.Print_Titles" localSheetId="37">งานสื่อการเรียนการสอน!$1:$4</definedName>
    <definedName name="_xlnm.Print_Titles" localSheetId="0">แผนกช่างยนต์!$2:$5</definedName>
    <definedName name="_xlnm.Print_Titles" localSheetId="38">รายการชำรุด!$1:$5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13" l="1"/>
  <c r="K21" i="3" l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7" i="3"/>
  <c r="K78" i="25"/>
  <c r="K72" i="25"/>
  <c r="K65" i="25"/>
  <c r="K40" i="25"/>
  <c r="K33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7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73" i="25"/>
  <c r="K74" i="25"/>
  <c r="K75" i="25"/>
  <c r="K76" i="25"/>
  <c r="K77" i="25"/>
  <c r="K17" i="8"/>
  <c r="K8" i="8"/>
  <c r="K9" i="8"/>
  <c r="K10" i="8"/>
  <c r="K11" i="8"/>
  <c r="K12" i="8"/>
  <c r="K13" i="8"/>
  <c r="K14" i="8"/>
  <c r="K15" i="8"/>
  <c r="K16" i="8"/>
  <c r="K7" i="8"/>
  <c r="K16" i="4"/>
  <c r="K8" i="4"/>
  <c r="K9" i="4"/>
  <c r="K10" i="4"/>
  <c r="K11" i="4"/>
  <c r="K12" i="4"/>
  <c r="K13" i="4"/>
  <c r="K14" i="4"/>
  <c r="K15" i="4"/>
  <c r="K7" i="4"/>
  <c r="K67" i="32"/>
  <c r="K65" i="32"/>
  <c r="K66" i="32"/>
  <c r="K64" i="32"/>
  <c r="K63" i="32"/>
  <c r="K37" i="32"/>
  <c r="K38" i="32"/>
  <c r="K39" i="32"/>
  <c r="K40" i="32"/>
  <c r="K41" i="32"/>
  <c r="K42" i="32"/>
  <c r="K43" i="32"/>
  <c r="K44" i="32"/>
  <c r="K45" i="32"/>
  <c r="K46" i="32"/>
  <c r="K47" i="32"/>
  <c r="K48" i="32"/>
  <c r="K49" i="32"/>
  <c r="K50" i="32"/>
  <c r="K51" i="32"/>
  <c r="K52" i="32"/>
  <c r="K53" i="32"/>
  <c r="K54" i="32"/>
  <c r="K55" i="32"/>
  <c r="K36" i="32"/>
  <c r="K56" i="32" s="1"/>
  <c r="K35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7" i="32"/>
  <c r="K28" i="31"/>
  <c r="K27" i="31"/>
  <c r="K39" i="43"/>
  <c r="K40" i="43"/>
  <c r="K38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7" i="43"/>
  <c r="K23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7" i="2"/>
  <c r="K30" i="43" l="1"/>
  <c r="K37" i="43" s="1"/>
  <c r="K41" i="43" s="1"/>
  <c r="K8" i="42"/>
  <c r="K7" i="42"/>
  <c r="K8" i="18" l="1"/>
  <c r="K9" i="18"/>
  <c r="K10" i="18"/>
  <c r="K11" i="18"/>
  <c r="K12" i="18"/>
  <c r="K13" i="18"/>
  <c r="K14" i="18"/>
  <c r="K15" i="18"/>
  <c r="K7" i="18"/>
  <c r="K21" i="33" l="1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7" i="33"/>
  <c r="K28" i="32" l="1"/>
  <c r="K37" i="27"/>
  <c r="K38" i="27"/>
  <c r="K39" i="27"/>
  <c r="K36" i="27"/>
  <c r="K40" i="27" s="1"/>
  <c r="K35" i="27"/>
  <c r="K28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7" i="27"/>
  <c r="K8" i="31" l="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24" i="31"/>
  <c r="K25" i="31"/>
  <c r="K26" i="31"/>
  <c r="K15" i="28"/>
  <c r="K11" i="37" l="1"/>
  <c r="K8" i="45"/>
  <c r="K9" i="45"/>
  <c r="K10" i="45"/>
  <c r="K11" i="45"/>
  <c r="K12" i="45"/>
  <c r="K13" i="45"/>
  <c r="K14" i="45"/>
  <c r="K8" i="34" l="1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7" i="34"/>
  <c r="K26" i="34" l="1"/>
  <c r="H433" i="44" l="1"/>
  <c r="K8" i="29" l="1"/>
  <c r="K9" i="29"/>
  <c r="K10" i="29"/>
  <c r="K11" i="29"/>
  <c r="K12" i="29"/>
  <c r="K13" i="29"/>
  <c r="K14" i="29"/>
  <c r="K15" i="29"/>
  <c r="K16" i="29"/>
  <c r="K17" i="29"/>
  <c r="K7" i="29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7" i="31"/>
  <c r="K29" i="31" s="1"/>
  <c r="K36" i="31" s="1"/>
  <c r="K7" i="28"/>
  <c r="K8" i="28"/>
  <c r="K9" i="28"/>
  <c r="K10" i="28"/>
  <c r="K11" i="28"/>
  <c r="K12" i="28"/>
  <c r="K13" i="28"/>
  <c r="K14" i="28"/>
  <c r="K7" i="37"/>
  <c r="K8" i="37"/>
  <c r="K9" i="37"/>
  <c r="K10" i="37"/>
  <c r="K7" i="45"/>
  <c r="K54" i="31" l="1"/>
  <c r="K18" i="2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5" i="19"/>
  <c r="H46" i="19" s="1"/>
  <c r="H47" i="19" s="1"/>
  <c r="H39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5" i="20"/>
  <c r="H6" i="22" l="1"/>
  <c r="H7" i="22"/>
  <c r="H8" i="22"/>
  <c r="H9" i="22"/>
  <c r="H10" i="22"/>
  <c r="H11" i="22"/>
  <c r="H12" i="22"/>
  <c r="H13" i="22"/>
  <c r="H14" i="22"/>
  <c r="H15" i="22"/>
  <c r="H5" i="22"/>
  <c r="H23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5" i="24"/>
  <c r="H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5" i="15"/>
  <c r="H12" i="16"/>
  <c r="H6" i="16"/>
  <c r="H7" i="16"/>
  <c r="H8" i="16"/>
  <c r="H9" i="16"/>
  <c r="H10" i="16"/>
  <c r="H11" i="16"/>
  <c r="H5" i="16"/>
  <c r="H16" i="22" l="1"/>
  <c r="H16" i="7"/>
  <c r="H6" i="7"/>
  <c r="H7" i="7"/>
  <c r="H8" i="7"/>
  <c r="H9" i="7"/>
  <c r="H10" i="7"/>
  <c r="H11" i="7"/>
  <c r="H12" i="7"/>
  <c r="H13" i="7"/>
  <c r="H14" i="7"/>
  <c r="H15" i="7"/>
  <c r="H5" i="7"/>
  <c r="H10" i="36"/>
  <c r="H6" i="36"/>
  <c r="H7" i="36"/>
  <c r="H8" i="36"/>
  <c r="H9" i="36"/>
  <c r="H5" i="36"/>
  <c r="H13" i="10"/>
  <c r="H16" i="9"/>
  <c r="H31" i="11"/>
  <c r="K7" i="6" l="1"/>
  <c r="K8" i="6"/>
  <c r="K9" i="6"/>
  <c r="K10" i="6"/>
  <c r="K7" i="5"/>
  <c r="K8" i="5"/>
  <c r="K9" i="5"/>
  <c r="K10" i="5"/>
  <c r="K11" i="5"/>
  <c r="K12" i="5"/>
  <c r="K13" i="5"/>
  <c r="K14" i="5"/>
  <c r="K11" i="6" l="1"/>
  <c r="K15" i="5"/>
  <c r="H476" i="44"/>
  <c r="H475" i="44"/>
  <c r="H474" i="44"/>
  <c r="H473" i="44"/>
  <c r="H472" i="44"/>
  <c r="H471" i="44"/>
  <c r="H470" i="44"/>
  <c r="H469" i="44"/>
  <c r="H468" i="44"/>
  <c r="H467" i="44"/>
  <c r="H466" i="44"/>
  <c r="H465" i="44"/>
  <c r="H464" i="44"/>
  <c r="H463" i="44"/>
  <c r="H462" i="44"/>
  <c r="H461" i="44"/>
  <c r="H460" i="44"/>
  <c r="H459" i="44"/>
  <c r="H458" i="44"/>
  <c r="H457" i="44"/>
  <c r="H456" i="44"/>
  <c r="H455" i="44"/>
  <c r="H454" i="44"/>
  <c r="H453" i="44"/>
  <c r="H452" i="44"/>
  <c r="H451" i="44"/>
  <c r="H450" i="44"/>
  <c r="H449" i="44"/>
  <c r="H448" i="44"/>
  <c r="H447" i="44"/>
  <c r="H446" i="44"/>
  <c r="H445" i="44"/>
  <c r="H444" i="44"/>
  <c r="H443" i="44"/>
  <c r="H442" i="44"/>
  <c r="H441" i="44"/>
  <c r="H440" i="44"/>
  <c r="H439" i="44"/>
  <c r="H438" i="44"/>
  <c r="H437" i="44"/>
  <c r="H436" i="44"/>
  <c r="H435" i="44"/>
  <c r="H434" i="44"/>
  <c r="H432" i="44"/>
  <c r="H431" i="44"/>
  <c r="H430" i="44"/>
  <c r="H429" i="44"/>
  <c r="H428" i="44"/>
  <c r="H427" i="44"/>
  <c r="H426" i="44"/>
  <c r="H425" i="44"/>
  <c r="H424" i="44"/>
  <c r="H423" i="44"/>
  <c r="H422" i="44"/>
  <c r="H421" i="44"/>
  <c r="H420" i="44"/>
  <c r="H419" i="44"/>
  <c r="H418" i="44"/>
  <c r="H417" i="44"/>
  <c r="H416" i="44"/>
  <c r="H415" i="44"/>
  <c r="H414" i="44"/>
  <c r="H413" i="44"/>
  <c r="H412" i="44"/>
  <c r="H411" i="44"/>
  <c r="H410" i="44"/>
  <c r="H409" i="44"/>
  <c r="H408" i="44"/>
  <c r="H407" i="44"/>
  <c r="H406" i="44"/>
  <c r="H405" i="44"/>
  <c r="H404" i="44"/>
  <c r="H403" i="44"/>
  <c r="H402" i="44"/>
  <c r="H401" i="44"/>
  <c r="H400" i="44"/>
  <c r="H399" i="44"/>
  <c r="H398" i="44"/>
  <c r="H397" i="44"/>
  <c r="H396" i="44"/>
  <c r="H395" i="44"/>
  <c r="H394" i="44"/>
  <c r="H393" i="44"/>
  <c r="H392" i="44"/>
  <c r="H391" i="44"/>
  <c r="H390" i="44"/>
  <c r="H389" i="44"/>
  <c r="H388" i="44"/>
  <c r="H387" i="44"/>
  <c r="H386" i="44"/>
  <c r="H385" i="44"/>
  <c r="H384" i="44"/>
  <c r="H383" i="44"/>
  <c r="H382" i="44"/>
  <c r="H381" i="44"/>
  <c r="H380" i="44"/>
  <c r="H379" i="44"/>
  <c r="H378" i="44"/>
  <c r="H377" i="44"/>
  <c r="H376" i="44"/>
  <c r="H375" i="44"/>
  <c r="H374" i="44"/>
  <c r="H373" i="44"/>
  <c r="H372" i="44"/>
  <c r="H371" i="44"/>
  <c r="H370" i="44"/>
  <c r="H369" i="44"/>
  <c r="H368" i="44"/>
  <c r="H367" i="44"/>
  <c r="H366" i="44"/>
  <c r="H365" i="44"/>
  <c r="H364" i="44"/>
  <c r="H363" i="44"/>
  <c r="H362" i="44"/>
  <c r="H361" i="44"/>
  <c r="H360" i="44"/>
  <c r="H359" i="44"/>
  <c r="H358" i="44"/>
  <c r="H357" i="44"/>
  <c r="H356" i="44"/>
  <c r="H355" i="44"/>
  <c r="H354" i="44"/>
  <c r="H353" i="44"/>
  <c r="H352" i="44"/>
  <c r="H351" i="44"/>
  <c r="H350" i="44"/>
  <c r="H349" i="44"/>
  <c r="H348" i="44"/>
  <c r="H347" i="44"/>
  <c r="H346" i="44"/>
  <c r="H345" i="44"/>
  <c r="H344" i="44"/>
  <c r="H343" i="44"/>
  <c r="H342" i="44"/>
  <c r="H341" i="44"/>
  <c r="H340" i="44"/>
  <c r="H339" i="44"/>
  <c r="H338" i="44"/>
  <c r="H337" i="44"/>
  <c r="H336" i="44"/>
  <c r="H335" i="44"/>
  <c r="H334" i="44"/>
  <c r="H333" i="44"/>
  <c r="H332" i="44"/>
  <c r="H331" i="44"/>
  <c r="H330" i="44"/>
  <c r="H329" i="44"/>
  <c r="H328" i="44"/>
  <c r="H327" i="44"/>
  <c r="H326" i="44"/>
  <c r="H325" i="44"/>
  <c r="H324" i="44"/>
  <c r="H323" i="44"/>
  <c r="H322" i="44"/>
  <c r="H321" i="44"/>
  <c r="H320" i="44"/>
  <c r="H319" i="44"/>
  <c r="H318" i="44"/>
  <c r="H317" i="44"/>
  <c r="H316" i="44"/>
  <c r="H315" i="44"/>
  <c r="H314" i="44"/>
  <c r="H313" i="44"/>
  <c r="H312" i="44"/>
  <c r="H311" i="44"/>
  <c r="H310" i="44"/>
  <c r="H309" i="44"/>
  <c r="H308" i="44"/>
  <c r="H307" i="44"/>
  <c r="H306" i="44"/>
  <c r="H305" i="44"/>
  <c r="H304" i="44"/>
  <c r="H303" i="44"/>
  <c r="H302" i="44"/>
  <c r="H301" i="44"/>
  <c r="H300" i="44"/>
  <c r="H299" i="44"/>
  <c r="H298" i="44"/>
  <c r="H297" i="44"/>
  <c r="H296" i="44"/>
  <c r="H295" i="44"/>
  <c r="H294" i="44"/>
  <c r="H293" i="44"/>
  <c r="H292" i="44"/>
  <c r="H291" i="44"/>
  <c r="H290" i="44"/>
  <c r="H289" i="44"/>
  <c r="H288" i="44"/>
  <c r="H287" i="44"/>
  <c r="H286" i="44"/>
  <c r="H285" i="44"/>
  <c r="H284" i="44"/>
  <c r="H283" i="44"/>
  <c r="H282" i="44"/>
  <c r="H281" i="44"/>
  <c r="H280" i="44"/>
  <c r="H279" i="44"/>
  <c r="H278" i="44"/>
  <c r="H277" i="44"/>
  <c r="H276" i="44"/>
  <c r="H275" i="44"/>
  <c r="H274" i="44"/>
  <c r="H273" i="44"/>
  <c r="H272" i="44"/>
  <c r="H271" i="44"/>
  <c r="H270" i="44"/>
  <c r="H269" i="44"/>
  <c r="H268" i="44"/>
  <c r="H267" i="44"/>
  <c r="H266" i="44"/>
  <c r="H265" i="44"/>
  <c r="H264" i="44"/>
  <c r="H263" i="44"/>
  <c r="H262" i="44"/>
  <c r="H261" i="44"/>
  <c r="H260" i="44"/>
  <c r="H259" i="44"/>
  <c r="H258" i="44"/>
  <c r="H257" i="44"/>
  <c r="H256" i="44"/>
  <c r="H255" i="44"/>
  <c r="H254" i="44"/>
  <c r="H253" i="44"/>
  <c r="H252" i="44"/>
  <c r="H251" i="44"/>
  <c r="H250" i="44"/>
  <c r="H249" i="44"/>
  <c r="H248" i="44"/>
  <c r="H247" i="44"/>
  <c r="H246" i="44"/>
  <c r="H245" i="44"/>
  <c r="H244" i="44"/>
  <c r="H243" i="44"/>
  <c r="H242" i="44"/>
  <c r="H241" i="44"/>
  <c r="H240" i="44"/>
  <c r="H239" i="44"/>
  <c r="H238" i="44"/>
  <c r="H237" i="44"/>
  <c r="H236" i="44"/>
  <c r="H235" i="44"/>
  <c r="H234" i="44"/>
  <c r="H233" i="44"/>
  <c r="H232" i="44"/>
  <c r="H231" i="44"/>
  <c r="H230" i="44"/>
  <c r="H229" i="44"/>
  <c r="H228" i="44"/>
  <c r="H227" i="44"/>
  <c r="H226" i="44"/>
  <c r="H225" i="44"/>
  <c r="H224" i="44"/>
  <c r="H223" i="44"/>
  <c r="H222" i="44"/>
  <c r="H221" i="44"/>
  <c r="H220" i="44"/>
  <c r="H219" i="44"/>
  <c r="H218" i="44"/>
  <c r="H217" i="44"/>
  <c r="H216" i="44"/>
  <c r="H215" i="44"/>
  <c r="H214" i="44"/>
  <c r="H213" i="44"/>
  <c r="H212" i="44"/>
  <c r="H211" i="44"/>
  <c r="H210" i="44"/>
  <c r="H209" i="44"/>
  <c r="H208" i="44"/>
  <c r="H207" i="44"/>
  <c r="H206" i="44"/>
  <c r="H205" i="44"/>
  <c r="H204" i="44"/>
  <c r="H203" i="44"/>
  <c r="H202" i="44"/>
  <c r="H201" i="44"/>
  <c r="H200" i="44"/>
  <c r="H199" i="44"/>
  <c r="H198" i="44"/>
  <c r="H197" i="44"/>
  <c r="H196" i="44"/>
  <c r="H195" i="44"/>
  <c r="H194" i="44"/>
  <c r="H193" i="44"/>
  <c r="H192" i="44"/>
  <c r="H191" i="44"/>
  <c r="H190" i="44"/>
  <c r="H189" i="44"/>
  <c r="H188" i="44"/>
  <c r="H187" i="44"/>
  <c r="H186" i="44"/>
  <c r="H185" i="44"/>
  <c r="H184" i="44"/>
  <c r="H183" i="44"/>
  <c r="H182" i="44"/>
  <c r="H181" i="44"/>
  <c r="H180" i="44"/>
  <c r="H179" i="44"/>
  <c r="H178" i="44"/>
  <c r="H177" i="44"/>
  <c r="H176" i="44"/>
  <c r="H175" i="44"/>
  <c r="H174" i="44"/>
  <c r="H173" i="44"/>
  <c r="H172" i="44"/>
  <c r="H171" i="44"/>
  <c r="H170" i="44"/>
  <c r="H169" i="44"/>
  <c r="H168" i="44"/>
  <c r="H167" i="44"/>
  <c r="H166" i="44"/>
  <c r="H165" i="44"/>
  <c r="H164" i="44"/>
  <c r="H163" i="44"/>
  <c r="H162" i="44"/>
  <c r="H161" i="44"/>
  <c r="H160" i="44"/>
  <c r="H159" i="44"/>
  <c r="H158" i="44"/>
  <c r="H157" i="44"/>
  <c r="H156" i="44"/>
  <c r="H155" i="44"/>
  <c r="H154" i="44"/>
  <c r="H153" i="44"/>
  <c r="H152" i="44"/>
  <c r="H151" i="44"/>
  <c r="H150" i="44"/>
  <c r="H149" i="44"/>
  <c r="H148" i="44"/>
  <c r="H147" i="44"/>
  <c r="H146" i="44"/>
  <c r="H145" i="44"/>
  <c r="H144" i="44"/>
  <c r="H143" i="44"/>
  <c r="H142" i="44"/>
  <c r="H141" i="44"/>
  <c r="H140" i="44"/>
  <c r="H139" i="44"/>
  <c r="H138" i="44"/>
  <c r="H137" i="44"/>
  <c r="H136" i="44"/>
  <c r="H135" i="44"/>
  <c r="H134" i="44"/>
  <c r="H133" i="44"/>
  <c r="H132" i="44"/>
  <c r="H131" i="44"/>
  <c r="H130" i="44"/>
  <c r="H129" i="44"/>
  <c r="H128" i="44"/>
  <c r="H127" i="44"/>
  <c r="H126" i="44"/>
  <c r="H125" i="44"/>
  <c r="H124" i="44"/>
  <c r="H123" i="44"/>
  <c r="H122" i="44"/>
  <c r="H121" i="44"/>
  <c r="H120" i="44"/>
  <c r="H119" i="44"/>
  <c r="H118" i="44"/>
  <c r="H117" i="44"/>
  <c r="H116" i="44"/>
  <c r="H115" i="44"/>
  <c r="H114" i="44"/>
  <c r="H113" i="44"/>
  <c r="H112" i="44"/>
  <c r="H111" i="44"/>
  <c r="H110" i="44"/>
  <c r="H109" i="44"/>
  <c r="H108" i="44"/>
  <c r="H107" i="44"/>
  <c r="H106" i="44"/>
  <c r="H105" i="44"/>
  <c r="H104" i="44"/>
  <c r="H103" i="44"/>
  <c r="H102" i="44"/>
  <c r="H101" i="44"/>
  <c r="H100" i="44"/>
  <c r="H99" i="44"/>
  <c r="H98" i="44"/>
  <c r="H97" i="44"/>
  <c r="H96" i="44"/>
  <c r="H95" i="44"/>
  <c r="H94" i="44"/>
  <c r="H93" i="44"/>
  <c r="H92" i="44"/>
  <c r="H91" i="44"/>
  <c r="H90" i="44"/>
  <c r="H89" i="44"/>
  <c r="H88" i="44"/>
  <c r="H87" i="44"/>
  <c r="H86" i="44"/>
  <c r="H85" i="44"/>
  <c r="H84" i="44"/>
  <c r="H83" i="44"/>
  <c r="H82" i="44"/>
  <c r="H81" i="44"/>
  <c r="H80" i="44"/>
  <c r="H79" i="44"/>
  <c r="H78" i="44"/>
  <c r="H77" i="44"/>
  <c r="H76" i="44"/>
  <c r="H75" i="44"/>
  <c r="H74" i="44"/>
  <c r="H73" i="44"/>
  <c r="H72" i="44"/>
  <c r="H71" i="44"/>
  <c r="H70" i="44"/>
  <c r="H69" i="44"/>
  <c r="H68" i="44"/>
  <c r="H67" i="44"/>
  <c r="H66" i="44"/>
  <c r="H65" i="44"/>
  <c r="H64" i="44"/>
  <c r="H63" i="44"/>
  <c r="H62" i="44"/>
  <c r="H61" i="44"/>
  <c r="H60" i="44"/>
  <c r="H59" i="44"/>
  <c r="H58" i="44"/>
  <c r="H57" i="44"/>
  <c r="H56" i="44"/>
  <c r="H55" i="44"/>
  <c r="H54" i="44"/>
  <c r="H53" i="44"/>
  <c r="H52" i="44"/>
  <c r="H51" i="44"/>
  <c r="H50" i="44"/>
  <c r="H49" i="44"/>
  <c r="H48" i="44"/>
  <c r="H47" i="44"/>
  <c r="H46" i="44"/>
  <c r="H45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H32" i="44"/>
  <c r="H31" i="44"/>
  <c r="H30" i="44"/>
  <c r="H29" i="44"/>
  <c r="H28" i="44"/>
  <c r="H27" i="44"/>
  <c r="H26" i="44"/>
  <c r="H25" i="44"/>
  <c r="H24" i="44"/>
  <c r="H23" i="44"/>
  <c r="H22" i="44"/>
  <c r="H21" i="44"/>
  <c r="H20" i="44"/>
  <c r="H19" i="44"/>
  <c r="H18" i="44"/>
  <c r="H17" i="44"/>
  <c r="H16" i="44"/>
  <c r="H15" i="44"/>
  <c r="H14" i="44"/>
  <c r="H13" i="44"/>
  <c r="H12" i="44"/>
  <c r="H11" i="44"/>
  <c r="H10" i="44"/>
  <c r="H9" i="44"/>
  <c r="H8" i="44"/>
  <c r="H7" i="44"/>
  <c r="H6" i="44"/>
  <c r="H477" i="44" l="1"/>
  <c r="K16" i="18" l="1"/>
  <c r="K8" i="41"/>
  <c r="K7" i="4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5" i="11"/>
  <c r="H6" i="23"/>
  <c r="H7" i="23"/>
  <c r="H8" i="23"/>
  <c r="H5" i="23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H6" i="35"/>
  <c r="H7" i="35"/>
  <c r="H8" i="35"/>
  <c r="H9" i="35"/>
  <c r="H10" i="35"/>
  <c r="H11" i="35"/>
  <c r="H5" i="35"/>
  <c r="K9" i="41" l="1"/>
  <c r="H9" i="23"/>
  <c r="K25" i="30"/>
  <c r="H12" i="35"/>
  <c r="H6" i="12"/>
  <c r="H7" i="12"/>
  <c r="H8" i="12"/>
  <c r="H9" i="12"/>
  <c r="H10" i="12"/>
  <c r="H11" i="12"/>
  <c r="H12" i="12"/>
  <c r="H13" i="12"/>
  <c r="H5" i="12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5" i="17"/>
  <c r="H25" i="17" s="1"/>
  <c r="H14" i="12" l="1"/>
  <c r="K7" i="13"/>
  <c r="K8" i="13"/>
  <c r="K9" i="13"/>
  <c r="K10" i="13"/>
  <c r="K11" i="13"/>
  <c r="H6" i="9"/>
  <c r="H7" i="9"/>
  <c r="H8" i="9"/>
  <c r="H9" i="9"/>
  <c r="H10" i="9"/>
  <c r="H11" i="9"/>
  <c r="H12" i="9"/>
  <c r="H13" i="9"/>
  <c r="H14" i="9"/>
  <c r="H15" i="9"/>
  <c r="H5" i="9"/>
  <c r="H48" i="19"/>
  <c r="H49" i="19"/>
  <c r="H50" i="19"/>
  <c r="H51" i="19"/>
  <c r="H52" i="19"/>
  <c r="H53" i="19"/>
  <c r="H54" i="19"/>
  <c r="H55" i="19"/>
  <c r="H6" i="10"/>
  <c r="H7" i="10"/>
  <c r="H8" i="10"/>
  <c r="H9" i="10"/>
  <c r="H10" i="10"/>
  <c r="H11" i="10"/>
  <c r="H12" i="10"/>
  <c r="H5" i="10"/>
  <c r="H7" i="14"/>
  <c r="H8" i="14"/>
  <c r="H9" i="14"/>
  <c r="H10" i="14"/>
  <c r="H11" i="14"/>
  <c r="H12" i="14"/>
  <c r="H13" i="14"/>
  <c r="H6" i="14"/>
  <c r="H5" i="14"/>
  <c r="H56" i="19" l="1"/>
  <c r="H14" i="14"/>
</calcChain>
</file>

<file path=xl/sharedStrings.xml><?xml version="1.0" encoding="utf-8"?>
<sst xmlns="http://schemas.openxmlformats.org/spreadsheetml/2006/main" count="5728" uniqueCount="1285">
  <si>
    <t>รายการ ขนาด ลักษณะ</t>
  </si>
  <si>
    <t>ได้มาโดยวิธี</t>
  </si>
  <si>
    <t>จำนวน</t>
  </si>
  <si>
    <t>ราคาหน่วยละ</t>
  </si>
  <si>
    <t>หมายเหตุ</t>
  </si>
  <si>
    <t>สถานศึกษา วิทยาลัยเทคนิคกันทรลักษ์</t>
  </si>
  <si>
    <t>7110-007-0004/391-002</t>
  </si>
  <si>
    <t>7430-001-0007/391-001</t>
  </si>
  <si>
    <t>7430-001-0002/391-001</t>
  </si>
  <si>
    <t>7430-001-0005/391-001</t>
  </si>
  <si>
    <t>7125-002-0002/391-003</t>
  </si>
  <si>
    <t>7420-001-0001/391-001</t>
  </si>
  <si>
    <t>7110-007-0001/401-002</t>
  </si>
  <si>
    <t>7110-007-0002/401-006</t>
  </si>
  <si>
    <t>7125-002-0002/401-015</t>
  </si>
  <si>
    <t>4140-001-0001/442-010</t>
  </si>
  <si>
    <t>6720-005-0002/472-002</t>
  </si>
  <si>
    <t>6720-005-0002/472-001</t>
  </si>
  <si>
    <t>4140-001-0001/483-019</t>
  </si>
  <si>
    <t>7440-001-0001/492-047</t>
  </si>
  <si>
    <t>4140-001-0001/493-037</t>
  </si>
  <si>
    <t>4140-001-0001/493-038</t>
  </si>
  <si>
    <t>7430-008-0002/492-007</t>
  </si>
  <si>
    <t>2320-008-0001/493-001</t>
  </si>
  <si>
    <t>5805-001-0002/502-002</t>
  </si>
  <si>
    <t>7110-002-0005/502-012</t>
  </si>
  <si>
    <t>7440-009-0001/502-005</t>
  </si>
  <si>
    <t>7440-001-0001/502-053-054</t>
  </si>
  <si>
    <t>7440-001-0001/502-059</t>
  </si>
  <si>
    <t>7110-007-0001/502-007-008</t>
  </si>
  <si>
    <t>7125-002-0002/502-007-008</t>
  </si>
  <si>
    <t>โต๊ะพิมพ์ดีด</t>
  </si>
  <si>
    <t>เครื่องพิมพ์ดีดแบบธรรมดาภาษาไทย  18"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</si>
  <si>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</si>
  <si>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</si>
  <si>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ตู้เหล็ก 4  ลิ้นชัก</t>
  </si>
  <si>
    <t>เครื่องคำนวนเลข</t>
  </si>
  <si>
    <t>โต๊ะวางเครื่องคอมพิวเตอร์ +เก้าอี้</t>
  </si>
  <si>
    <t>โต๊ะวางเครื่องพิมพ์</t>
  </si>
  <si>
    <t>ตู้เหล็ก  4  ลิ้นชัก</t>
  </si>
  <si>
    <t>ตู้เหล็ก 15 ลิ้นชัก</t>
  </si>
  <si>
    <t>พัดลมตั้งโต๊ะ 16"</t>
  </si>
  <si>
    <t>กล้องดิจิตอล</t>
  </si>
  <si>
    <t>พัดลมฮาตาริ 16 "</t>
  </si>
  <si>
    <t>เครื่องคอมพิวเตอร์ GVIEW</t>
  </si>
  <si>
    <t>พัดลมTORY 16 นิ้ว</t>
  </si>
  <si>
    <t>พัดลมตั้งพื้น 16 นิ้ว มิซูมารุ</t>
  </si>
  <si>
    <t>เครื่องปริ้นเตอร์ HP1020</t>
  </si>
  <si>
    <t>รถยนต์ปิคอัพ สีแดง</t>
  </si>
  <si>
    <t>เครื่องโทรศัพท์ มือถือ NOKIA 6080</t>
  </si>
  <si>
    <t>ตู้เหล็ก 2 บานเปิด</t>
  </si>
  <si>
    <t>FLASH DRIVE 2 GB</t>
  </si>
  <si>
    <t>เครื่องคอมพิวเตอร์  จอแบน</t>
  </si>
  <si>
    <t xml:space="preserve">ชุดเครื่องคอมพิวเตอร์  HP </t>
  </si>
  <si>
    <t>โต๊ะวางเครื่องคอมพิวเตอร์พร้อมเก้าอี้</t>
  </si>
  <si>
    <t>งปม.</t>
  </si>
  <si>
    <t>บกศ.</t>
  </si>
  <si>
    <t>7110-006-0008/512-001</t>
  </si>
  <si>
    <t>7110-007-0001/531-001</t>
  </si>
  <si>
    <t>7110-006-0006/531-013</t>
  </si>
  <si>
    <t>7430-008-0002/531-023</t>
  </si>
  <si>
    <t>6130-001-0001/531-008</t>
  </si>
  <si>
    <t>7440-001-0001/531-150</t>
  </si>
  <si>
    <t>เก้าอี้สำนักงาน CA 333A TAIYO</t>
  </si>
  <si>
    <t>โต๊ะคอมพิวเตอร์60*100*75</t>
  </si>
  <si>
    <t>เก้าอี้  (ขาเหล็ก ) 5 แฉก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</si>
  <si>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</si>
  <si>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</si>
  <si>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</si>
  <si>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ชำรุด</t>
  </si>
  <si>
    <t>ครบ</t>
  </si>
  <si>
    <t>เก้าอี้ชำรุด</t>
  </si>
  <si>
    <t>7125-002-0002/401-012-013</t>
  </si>
  <si>
    <t>7110-002-0006/401-001</t>
  </si>
  <si>
    <t>7125-002-0002/462-001</t>
  </si>
  <si>
    <t>7440-001-0001/472-030</t>
  </si>
  <si>
    <t>7740-004-0002/492-012</t>
  </si>
  <si>
    <t>7440-001-0001/502-052</t>
  </si>
  <si>
    <t>7110-007-0001/502-006</t>
  </si>
  <si>
    <t>7430-008-0006/512-017</t>
  </si>
  <si>
    <t>7440-001-0001/512-159</t>
  </si>
  <si>
    <t>7490-015-0004/512-001-002</t>
  </si>
  <si>
    <t>7490-015-0003/512-001</t>
  </si>
  <si>
    <t>7110-002-0005/521-019-021</t>
  </si>
  <si>
    <t>7110-007-0001/531-002</t>
  </si>
  <si>
    <t>7110-006-0006/531-012</t>
  </si>
  <si>
    <t>7430-008-0002/531-022</t>
  </si>
  <si>
    <t>6130-001-0001/531-004</t>
  </si>
  <si>
    <t>7430-003-6001</t>
  </si>
  <si>
    <t>ตู้เหล็ก 4 ลิ้นชัก</t>
  </si>
  <si>
    <t>ตู้เหล็ก 2  บานเลื่อน</t>
  </si>
  <si>
    <t>เครื่องคอมพิวเตอร์</t>
  </si>
  <si>
    <t>เครื่องปริ้นเตอร์  HP 1020</t>
  </si>
  <si>
    <t>โต๊ะวางเครื่องคอม + เก้าอี้</t>
  </si>
  <si>
    <t>เครื่องคอมพิวเตอร์  SVOA</t>
  </si>
  <si>
    <t>ตู้เหล็ก  2 บานเปิด</t>
  </si>
  <si>
    <t>โต๊ะคอมพิวเตอร์ 60*100*75</t>
  </si>
  <si>
    <t>เก้าอี้  (ขาเหล็ก) 5  แฉก</t>
  </si>
  <si>
    <t>เครื่องปริ้นเตอร์</t>
  </si>
  <si>
    <t>7430-008-0002/492-006</t>
  </si>
  <si>
    <t>7440-010-0001/492-001</t>
  </si>
  <si>
    <t>7440-010-0002/492-007</t>
  </si>
  <si>
    <t>7440-010-0003/492-001</t>
  </si>
  <si>
    <t>7440-010-0004/492-001</t>
  </si>
  <si>
    <t>5965-003-0001/492-001</t>
  </si>
  <si>
    <t>8350-001-0001/491-001-006</t>
  </si>
  <si>
    <t>8350-001-0001/491-001</t>
  </si>
  <si>
    <t>7430-008-0002/531-020</t>
  </si>
  <si>
    <t>7440-001-0001/531-148</t>
  </si>
  <si>
    <t xml:space="preserve">เครื่องคอมพิวเตอร์ DTK </t>
  </si>
  <si>
    <t>เครื่องปริ้นเตอร์ HP PSC 1315</t>
  </si>
  <si>
    <t>ซาวด์การ์ด</t>
  </si>
  <si>
    <t>เครื่องไรท์ ซีดี</t>
  </si>
  <si>
    <t>ฮาร์ดดิส 80</t>
  </si>
  <si>
    <t>ลำโพง</t>
  </si>
  <si>
    <t>หูฟังพร้อมไมค์</t>
  </si>
  <si>
    <t>ผ้าม่าน ขนาด 0.8 * 2 เมตร</t>
  </si>
  <si>
    <t>ผ้าม่าน ขนาด 09 * 1.85 เมตร</t>
  </si>
  <si>
    <t>ผ้าม่าน ขนาด 0.7 * 1.8เมตร</t>
  </si>
  <si>
    <t>ผ้าม่าน ขนาด 1 * 1.35 เมตร</t>
  </si>
  <si>
    <t>ผ้าม่าน ขนาด 0.9 * .45 เมตร</t>
  </si>
  <si>
    <t>เก้าอี้(ขาเหล็ก)  5  แฉก</t>
  </si>
  <si>
    <t>โต๊ะทำงานเหล็ก  4  ฟุต</t>
  </si>
  <si>
    <t>เลนส์ 24-105 mm f/41 is ef usm af</t>
  </si>
  <si>
    <t>เครื่องคอมพิวเตอร์ ALL IN ONE</t>
  </si>
  <si>
    <t>7430-008-0002/492-008</t>
  </si>
  <si>
    <t>7440-001-0001/492-049</t>
  </si>
  <si>
    <t>7110-007-0001/502-012</t>
  </si>
  <si>
    <t>7440-009-0001/502-004</t>
  </si>
  <si>
    <t>6310-004-0001/531-001</t>
  </si>
  <si>
    <t>7110-006-0006/531-001</t>
  </si>
  <si>
    <t>6130-001-0001/531-006</t>
  </si>
  <si>
    <t>7440-001-0001/566-001-002</t>
  </si>
  <si>
    <t>7430-008-0002/566-001-002</t>
  </si>
  <si>
    <t>เครื่องปริ้นเตอร์ HP 1020</t>
  </si>
  <si>
    <t>ตู้เหล็ก 2 บานเลื่อน</t>
  </si>
  <si>
    <t>โต๊ะวางเครื่องคอมพิวเตอร์</t>
  </si>
  <si>
    <t>FLASH DRIVE 1 GB</t>
  </si>
  <si>
    <t>เครื่องสแกนลายนิ้วมือ รุ่น  x938</t>
  </si>
  <si>
    <t>เก้าอี้สำนักงาน  (ขาเหล็ก)</t>
  </si>
  <si>
    <t>เครื่องคอมพิวเตอร์พร้อมจอ 20" HP</t>
  </si>
  <si>
    <t>เครื่องปริ๊นเตอร์ Inkjet all in one Epson2106</t>
  </si>
  <si>
    <t>คอมพิวเตอร์โน๊ตบุ๊ค</t>
  </si>
  <si>
    <t>อุดหนุน</t>
  </si>
  <si>
    <t>7125-002-0002/391-001</t>
  </si>
  <si>
    <t>7440-001-0001/473-002</t>
  </si>
  <si>
    <t>7440-010-0002/482-004</t>
  </si>
  <si>
    <t>7440-009-0001/501-001</t>
  </si>
  <si>
    <t>7430-008-0006/523-006</t>
  </si>
  <si>
    <t>6130-001-0001/531-005</t>
  </si>
  <si>
    <t>5835-006-001/531-001</t>
  </si>
  <si>
    <t>4110-001-0001/582-001</t>
  </si>
  <si>
    <t>คอมพิวเตอร์ DTK</t>
  </si>
  <si>
    <t>เครื่องสแกนเนอร์ 7650</t>
  </si>
  <si>
    <t>FLASH DRIVE 512 MB</t>
  </si>
  <si>
    <t>เครื่องคอมพิวเตอร์ จอแบน</t>
  </si>
  <si>
    <t>เครื่องปริ้นเตอร์ HP Laserjet P 1102</t>
  </si>
  <si>
    <t>เครื่องบันทึกเสียง  Sony</t>
  </si>
  <si>
    <t>ตู้เย็น ขนาด 6.4 คิว</t>
  </si>
  <si>
    <t>HP LASERJET PI606</t>
  </si>
  <si>
    <t>13 ก.พ. 60</t>
  </si>
  <si>
    <t>....................................................</t>
  </si>
  <si>
    <t>หัวหน้าหน่วยจ่าย/หน่วยเบิก</t>
  </si>
  <si>
    <t>...........................................................</t>
  </si>
  <si>
    <t>7440-001-0001/473-005</t>
  </si>
  <si>
    <t>7110-007-0003/531-017</t>
  </si>
  <si>
    <t>7440-001-0001/531-147</t>
  </si>
  <si>
    <t>ตู้เหล็ก  2  บานเปิด</t>
  </si>
  <si>
    <t>ตู้บานเลื่อนกระจก 4 ฟุต</t>
  </si>
  <si>
    <t>โต๊ะระดับ  3-6</t>
  </si>
  <si>
    <t>บัญชีรายการครุภัณฑ์  งานปกครอง  คงเหลือ</t>
  </si>
  <si>
    <t>7110-002-0002/492-006</t>
  </si>
  <si>
    <t>7125-002-0002/492-005</t>
  </si>
  <si>
    <t>7110-002-0006/492-076</t>
  </si>
  <si>
    <t>7430-008-0002/493-003</t>
  </si>
  <si>
    <t>7430-008-0002/492-010</t>
  </si>
  <si>
    <t>7440-010-0005/502-001</t>
  </si>
  <si>
    <t>7215-001-0001/521-001</t>
  </si>
  <si>
    <t>7110-007-0004/521-001-002</t>
  </si>
  <si>
    <t>7110-007-0006/521-001</t>
  </si>
  <si>
    <t>6710-004-0001/531-001</t>
  </si>
  <si>
    <t>6710-004-0001/531-02</t>
  </si>
  <si>
    <t>จอคอมพิวเตอร์ SVOA 17 นิ้ว</t>
  </si>
  <si>
    <t>ตู้เก็บแฟ้ม 20 ช่อง  SMART FORM</t>
  </si>
  <si>
    <t>โต๊ะเหล็ก ขนาด 4 ฟุต SMART FORM+เก้าอี้</t>
  </si>
  <si>
    <t>กล้องวงจรปิด</t>
  </si>
  <si>
    <t>กล้องถ่ายภาพเคลื่อนไหว</t>
  </si>
  <si>
    <t>7430-001-0005/391-002</t>
  </si>
  <si>
    <t>7125-002-0002/401-013</t>
  </si>
  <si>
    <t>7430-008-0001/401-006</t>
  </si>
  <si>
    <t>7440-001-0001/473-003</t>
  </si>
  <si>
    <t>7430-008-0002/481-012</t>
  </si>
  <si>
    <t>5815-001-0001/502-003</t>
  </si>
  <si>
    <t>7440-001-0001/502-057</t>
  </si>
  <si>
    <t>7430-008-0004/513-004</t>
  </si>
  <si>
    <t>7430-008-0002/531-019</t>
  </si>
  <si>
    <t>7440-001-0001/531-141</t>
  </si>
  <si>
    <t>7430-003-0007/582-001</t>
  </si>
  <si>
    <t>พัดลมตั้งโต๊ะ 16" ฮาตาริ</t>
  </si>
  <si>
    <t>เครื่องพิมพ์ดีดไทยธรรมดา แคร่ 15"</t>
  </si>
  <si>
    <t>ตู้เหล็ก 4 ลิ้นชัก PRERIDENT</t>
  </si>
  <si>
    <t>เครื่องปริ้น  OKI391</t>
  </si>
  <si>
    <t>เครื่องปริ้น  เลเซอร์ HP 1010</t>
  </si>
  <si>
    <t>เครื่องโทรสารHP 3455</t>
  </si>
  <si>
    <t xml:space="preserve">เครื่องคอมพิวเตอร์ </t>
  </si>
  <si>
    <t>เครื่องปริ้นเตอร์ Kyoccra FS-P2135W</t>
  </si>
  <si>
    <t>(นางสาวสาวิตรี  บุญงอก)</t>
  </si>
  <si>
    <t>7125-002-0002/391-004</t>
  </si>
  <si>
    <t>7125-002-0002/401-010</t>
  </si>
  <si>
    <t>7110-002-0002/403-005</t>
  </si>
  <si>
    <t>7125-002-0002/462-002</t>
  </si>
  <si>
    <t>7110-002-0002/462-001</t>
  </si>
  <si>
    <t>7440-001-0001/473-006</t>
  </si>
  <si>
    <t>7110-007-0001/501-038</t>
  </si>
  <si>
    <t>7110-002-0006/531-029</t>
  </si>
  <si>
    <t>7110-002-0006/533-001-002</t>
  </si>
  <si>
    <t>7110-002-0007/533-001-002</t>
  </si>
  <si>
    <t>4140-001-0001/533-001</t>
  </si>
  <si>
    <t>ตู้เหล็ก 4 ลิ้นชัก KINGKONG</t>
  </si>
  <si>
    <t xml:space="preserve">ตู้เหล็ก 15 ลิ้นชัก </t>
  </si>
  <si>
    <t>โต๊ะวางเครื่องคอม</t>
  </si>
  <si>
    <t>ตู้  2  บานเลื่อนกระจก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</si>
  <si>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</si>
  <si>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</si>
  <si>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</si>
  <si>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7150-003-0001/432-001-002</t>
  </si>
  <si>
    <t>4140-001-0001/432-005</t>
  </si>
  <si>
    <t>7110-002-0006/482-064</t>
  </si>
  <si>
    <t>7430-008-0002/531-016</t>
  </si>
  <si>
    <t>4110-002-0003/531-003-017</t>
  </si>
  <si>
    <t>7430-008-0006/531-028</t>
  </si>
  <si>
    <t>7125-002-0002/531-001</t>
  </si>
  <si>
    <t>เตียงเหล็ก</t>
  </si>
  <si>
    <t>พัดลมตั้งพื้น 16 นิ้ว</t>
  </si>
  <si>
    <t>ปั้มอัตโนมัติ  WP-305Q</t>
  </si>
  <si>
    <t>เครื่องทำน้ำเย็น  VT-699 VICTOR</t>
  </si>
  <si>
    <t>Printer HP Laserjet M1522n MFP</t>
  </si>
  <si>
    <t>ตู้บานเลื่อนกระจก สูง  (ตู้ยา)</t>
  </si>
  <si>
    <t>ตู้กินมือกด,เท้าเหยียบ</t>
  </si>
  <si>
    <t>9 ส.ค. 60</t>
  </si>
  <si>
    <t>(นางเพ็ชรา  โหม่งมาตร์)</t>
  </si>
  <si>
    <t>7810-012-0001/442-001</t>
  </si>
  <si>
    <t>4140-001-0001/442-009</t>
  </si>
  <si>
    <t>7440-001-0001/463-001</t>
  </si>
  <si>
    <t>7110-001-0001/462-020-026</t>
  </si>
  <si>
    <t>7110-002-0006/462-056</t>
  </si>
  <si>
    <t>7125-001-0001/462-001</t>
  </si>
  <si>
    <t>4140-001-0001/493-036</t>
  </si>
  <si>
    <t>7110-002-0006/492-071-074</t>
  </si>
  <si>
    <t>7110-002-0007/492-004-006</t>
  </si>
  <si>
    <t>7110-002-0005/492-006-007</t>
  </si>
  <si>
    <t>7110-001-0003/512-001</t>
  </si>
  <si>
    <t>6720-005-0002/531-003</t>
  </si>
  <si>
    <t>6730-001-0003/531-013,014</t>
  </si>
  <si>
    <t>7105-009-0001/531-001</t>
  </si>
  <si>
    <t>7125-002-0001/531-001-002</t>
  </si>
  <si>
    <t>7125-004-0001/531-001-002</t>
  </si>
  <si>
    <t>7110-015-0001/531-001-002</t>
  </si>
  <si>
    <t>7105-006-0001/531-001-002</t>
  </si>
  <si>
    <t>7210-015-0002/531-001-002</t>
  </si>
  <si>
    <t>7110-007-0008/541-031</t>
  </si>
  <si>
    <t>7110-007-0009/541-001</t>
  </si>
  <si>
    <t>5840-018-0001/541-001</t>
  </si>
  <si>
    <t>7730-005-0002/541-002</t>
  </si>
  <si>
    <t>7110-007-0011/541-001-020</t>
  </si>
  <si>
    <t>4120-001-0002/541-007</t>
  </si>
  <si>
    <t>โต๊ะปิงปอง 20 มม.</t>
  </si>
  <si>
    <t>พัดลมตั้งพื้น 16"สีเทา โตซิบา</t>
  </si>
  <si>
    <t>คอมพิวเตอร์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</si>
  <si>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</si>
  <si>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</si>
  <si>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</si>
  <si>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 xml:space="preserve">พัดลมตั้งพื้น 16" TORY </t>
  </si>
  <si>
    <t>ตู้บานเลื่อนทึบ 4 ฟุต</t>
  </si>
  <si>
    <t>โต๊ะเหล็ก 5 ฟุต TC-3060  BESTER</t>
  </si>
  <si>
    <t xml:space="preserve">กล้องถ่ายภาพนิ่ง  </t>
  </si>
  <si>
    <t>เครื่องโปรเจคเตอร์พร้อมจอรับภาพ</t>
  </si>
  <si>
    <t>กระจกเงา  5  มิล  96  ตารางฟุต</t>
  </si>
  <si>
    <t>ตู้เสื้อผ้า  4  ฟุต  กระจก  2  บาน</t>
  </si>
  <si>
    <t>ชั้นเอนกประสงค์</t>
  </si>
  <si>
    <t>ราวตากผ้าแสตนเลส  ขนาด 150*60*180</t>
  </si>
  <si>
    <t xml:space="preserve">โต๊ะรีดผ้า  </t>
  </si>
  <si>
    <t>เตารีด  พานาโซนิค</t>
  </si>
  <si>
    <t>โต๊ะคอมพิวเตอร์</t>
  </si>
  <si>
    <t>โต๊ะบัญชีเหล็ก  3 ฟุต</t>
  </si>
  <si>
    <t>ชุดจานดาวเทียม ideasat</t>
  </si>
  <si>
    <t>ทีวี 21" LG</t>
  </si>
  <si>
    <t>โต๊ะประชุม 20 ที่นั่ง พร้อมเก้าอี้ 20 ตัว</t>
  </si>
  <si>
    <t>เครื่องปรับอากาศ  PANASONIC 1800BTU</t>
  </si>
  <si>
    <t>บัญชีรายการครุภัณฑ์  งานกิจกรรม  คงเหลือ</t>
  </si>
  <si>
    <t>7110-002-0006/462-052</t>
  </si>
  <si>
    <t>6720-005-0005/521-001</t>
  </si>
  <si>
    <t>7430-008-0006/531-014</t>
  </si>
  <si>
    <t>4610-009-0001/531-001</t>
  </si>
  <si>
    <t>7110-006-0006/531-017</t>
  </si>
  <si>
    <t>7110-007-0004/531-008</t>
  </si>
  <si>
    <t>6130-001-0001/531-011</t>
  </si>
  <si>
    <t>4110-003-0002/551-003</t>
  </si>
  <si>
    <t>4610-007-0002/551-003</t>
  </si>
  <si>
    <t>กล้องดิจิตอล SONY รุ่น DSC-S950</t>
  </si>
  <si>
    <t>HP Laserjet MPP 1522n</t>
  </si>
  <si>
    <t>เครื่องล้างขวดบรรจุน้ำ</t>
  </si>
  <si>
    <t>เก้าอี้ (ขาเหล็ก)  5  แฉก</t>
  </si>
  <si>
    <t>ตู้หยอดเหรียญน้ำดื่ม</t>
  </si>
  <si>
    <t>เครื่องกรองน้ำขนาด 8 นิ้ว</t>
  </si>
  <si>
    <t>7110-002-0005/521-022-023</t>
  </si>
  <si>
    <t>7110-002-0007/521-001</t>
  </si>
  <si>
    <t>7110-006-006/531-011</t>
  </si>
  <si>
    <t>7110-002-0005/531-030</t>
  </si>
  <si>
    <t>7110-002-0006/531-026-027</t>
  </si>
  <si>
    <t>7110-006-0006/531-007-008</t>
  </si>
  <si>
    <t>7110-007-0003/531-018</t>
  </si>
  <si>
    <t>7440-001-0001/531-140</t>
  </si>
  <si>
    <t xml:space="preserve">โต๊ะคอมพิวเตอร์  60*100*75 </t>
  </si>
  <si>
    <t>เก้าอี้(ขาเหล็ก) 5  แฉก</t>
  </si>
  <si>
    <t>บัญชีรายการครุภัณฑ์  งานความร่วมมือ คงเหลือ</t>
  </si>
  <si>
    <t>โต๊ะทำงานระดับ 1-2 + เก้าอี้</t>
  </si>
  <si>
    <t>เครื่องพิมพ์พร้อมระบบอิ้งแท็งค์</t>
  </si>
  <si>
    <t>เก้าอี้สำนักงาน (ขาเหล็ก)</t>
  </si>
  <si>
    <t>4140-001-0001/493-039</t>
  </si>
  <si>
    <t>7440-001-0001/531-071</t>
  </si>
  <si>
    <t>6340-010-0001/531-001-006</t>
  </si>
  <si>
    <t>5850-003-0001/531-001-002</t>
  </si>
  <si>
    <t>7440-010-0011/531-001</t>
  </si>
  <si>
    <t>7440-010-0012/531-001</t>
  </si>
  <si>
    <t>7110-006-0006/531-016</t>
  </si>
  <si>
    <t>7110-002-0006/531-030</t>
  </si>
  <si>
    <t>7110-007-0004/531-009</t>
  </si>
  <si>
    <t>6130-001-0001/531-010</t>
  </si>
  <si>
    <t>7440-010-0014/531-001-005</t>
  </si>
  <si>
    <t>7440-010-0015/531-001-005</t>
  </si>
  <si>
    <t>7440-010-0016/576-001</t>
  </si>
  <si>
    <t>7440-001-0001/576-001-004</t>
  </si>
  <si>
    <t>7430-008-0006/576-001-003</t>
  </si>
  <si>
    <t>7440-001-0003/586-001(3)</t>
  </si>
  <si>
    <t>7440-001-0001/586-001(2)</t>
  </si>
  <si>
    <t>10 ม.ค. 60</t>
  </si>
  <si>
    <t xml:space="preserve">พัดลมตั้งพื้น 16 นิ้ว MD </t>
  </si>
  <si>
    <t>เครื่องคอมพิวเตอร์แม่ข่าย IBM Server</t>
  </si>
  <si>
    <t>Media Converter Single mode</t>
  </si>
  <si>
    <t>ตู้ Rack ขนาด  9  นิ้ว  แบบแขวน</t>
  </si>
  <si>
    <t>อุปกรณ์จัดเก็บ  Log File</t>
  </si>
  <si>
    <t>อุปกรณ์บริหารจัดการเครือข่าย  และอินเตอร์เน็ต</t>
  </si>
  <si>
    <t>เก้าอี้ (ขาเหล็ก)  5 แฉก</t>
  </si>
  <si>
    <t>ตู้  2บานเลื่อนกระจก</t>
  </si>
  <si>
    <t>โต๊ะเหล็ก  4  ฟุต</t>
  </si>
  <si>
    <t>เครื่องแปลงสัญญาณอินเตอร์เน็ต8  ช่อง</t>
  </si>
  <si>
    <t>เครื่องแปลงสัญญาณอินเตอร์ แบบไร้สาย</t>
  </si>
  <si>
    <t>UPS True online SYNDOME</t>
  </si>
  <si>
    <t>เครื่องพิมพ์ HP Laserjet P1102</t>
  </si>
  <si>
    <t>เครื่องไมโครคอมพิวเตอร์ Acer tc-605 18.5 led</t>
  </si>
  <si>
    <t>7110-002-0006/401-004-005</t>
  </si>
  <si>
    <t>7110-007-0001/452-001</t>
  </si>
  <si>
    <t>6720-005-0002/472-005</t>
  </si>
  <si>
    <t>7440-009-0001/492-001</t>
  </si>
  <si>
    <t>7440-001-0001/492-048</t>
  </si>
  <si>
    <t>7430-008-0002/492-011</t>
  </si>
  <si>
    <t>7110-002-0006/502-085</t>
  </si>
  <si>
    <t>7110-002-0005/502-011</t>
  </si>
  <si>
    <t>7110-007-0002/502-002</t>
  </si>
  <si>
    <t>7440-001-0001/502-048</t>
  </si>
  <si>
    <t>7430-008-0005/513-005</t>
  </si>
  <si>
    <t>7110-006-0007/512-001</t>
  </si>
  <si>
    <t>7110-001-0003/512-002</t>
  </si>
  <si>
    <t>7440-001-0002/521-002</t>
  </si>
  <si>
    <t>7110-002-0002/531-005</t>
  </si>
  <si>
    <t>6130-001-0001/531-002</t>
  </si>
  <si>
    <t>7440-001-0001/531-139</t>
  </si>
  <si>
    <t>7440-001-0001/551-168-172</t>
  </si>
  <si>
    <t>4120-001-0001/582-001</t>
  </si>
  <si>
    <t>โต๊ะคอมพิวเตอร์ + เก้าอี้</t>
  </si>
  <si>
    <t>เครื่องปริ้นเตอร์  HP1022</t>
  </si>
  <si>
    <t>ตู้เหล็ก 2  บานเปิด</t>
  </si>
  <si>
    <t>เครื่องคอมพิวเตอร์ ASUS</t>
  </si>
  <si>
    <t>เก้าอี้สำนักงาน  S -35  หนัง</t>
  </si>
  <si>
    <t>โต๊ะเหล็ก  5  ฟุต  TC-3060  BESTER</t>
  </si>
  <si>
    <t>ตู้เอกสาร  15  ลิ้นชัก</t>
  </si>
  <si>
    <t>เครื่องคอมพิวเตอร์ DMA</t>
  </si>
  <si>
    <t>เครื่องปรับอากาศ 12,000 บีซียู</t>
  </si>
  <si>
    <t>เครื่องปริ้นเตอร์  HP COLOR LASER JET 1600</t>
  </si>
  <si>
    <t>เครื่องคอมพิวเตอร์แบบพกพา ACER A15</t>
  </si>
  <si>
    <t>รวมเป็นเงิน</t>
  </si>
  <si>
    <t>7440-001-0001/462-006</t>
  </si>
  <si>
    <t>7810-012-0001/463-001-463-005</t>
  </si>
  <si>
    <t>4140-001-0001/482-001</t>
  </si>
  <si>
    <t>7730-006-0003/501-001</t>
  </si>
  <si>
    <t>6730-001-0003/531-014-015</t>
  </si>
  <si>
    <t>7440-001-0001/531-154-155</t>
  </si>
  <si>
    <t>7730-001-0001/531-001-002</t>
  </si>
  <si>
    <t>6730-001-0003/531-019</t>
  </si>
  <si>
    <t>7440-001-0001/531-156</t>
  </si>
  <si>
    <t>ชุดคอมพิวเตอร์</t>
  </si>
  <si>
    <t>โต๊ะปิงปอง</t>
  </si>
  <si>
    <t>พัดลมเพดาน 48 นิ้ว</t>
  </si>
  <si>
    <t xml:space="preserve">เครื่องเล่นเทป VCD </t>
  </si>
  <si>
    <t>เครื่องเล่น  DVD</t>
  </si>
  <si>
    <t>เครื่องฉายโปรเจกเตอร์  Acer</t>
  </si>
  <si>
    <t>(นางวีนัส  สุวรรณ)</t>
  </si>
  <si>
    <t>6730-002-0001/391-002</t>
  </si>
  <si>
    <t>6730-001-0002/391-001</t>
  </si>
  <si>
    <t>5820-015-0003/391-001</t>
  </si>
  <si>
    <t>5825-020-0001/391-001</t>
  </si>
  <si>
    <t>6710-004-0001/412-001</t>
  </si>
  <si>
    <t>6730-001-0001/412-001-003</t>
  </si>
  <si>
    <t>6730-001-0001/442-004-007</t>
  </si>
  <si>
    <t>6730-002-0001/442-001-004</t>
  </si>
  <si>
    <t>5825-020-0001/444-001</t>
  </si>
  <si>
    <t>6720-008-0001/442-001</t>
  </si>
  <si>
    <t>7110-002-0006/442-001</t>
  </si>
  <si>
    <t>5820-015-0001/452-003</t>
  </si>
  <si>
    <t>5820-015-0002/452-002</t>
  </si>
  <si>
    <t>7730-006-0001/452-001-002</t>
  </si>
  <si>
    <t>6730-001-0003/461-001</t>
  </si>
  <si>
    <t>7440-001-0002/461-001</t>
  </si>
  <si>
    <t>7440-010-0001/481-001</t>
  </si>
  <si>
    <t>4210-001-0001/484-001</t>
  </si>
  <si>
    <t>7440-001-0001/484-001-006</t>
  </si>
  <si>
    <t>6720-005-0002/492-007</t>
  </si>
  <si>
    <t>6930-013-0001/521-001</t>
  </si>
  <si>
    <t>7110-006-0006/531-014</t>
  </si>
  <si>
    <t>7110-006-0006/531-028</t>
  </si>
  <si>
    <t>7110-007-0004/531-011</t>
  </si>
  <si>
    <t>7440-001-0001/531-072-100</t>
  </si>
  <si>
    <t>7440-001-0001/531-103-122</t>
  </si>
  <si>
    <t>6730-001-0003/531-005</t>
  </si>
  <si>
    <t>7440-001-0001/531-153</t>
  </si>
  <si>
    <t>7440-001-0001/541-157-166</t>
  </si>
  <si>
    <t>7440-001-0001/541-167</t>
  </si>
  <si>
    <t>จอรับภาพ 175 * 175</t>
  </si>
  <si>
    <t>เครื่องฉายภาพทึบแสง</t>
  </si>
  <si>
    <t>เครื่องวีดีโอแบบเล่นและบันทึกเทป</t>
  </si>
  <si>
    <t>โทรทัศน์สี 20 "</t>
  </si>
  <si>
    <t>กล้องบันทึกภาพ วีดีโอ</t>
  </si>
  <si>
    <t>เครื่องฉายภาพข้ามศรีษะ</t>
  </si>
  <si>
    <t>โทรทัศน์สี 29 "</t>
  </si>
  <si>
    <t>กล้องสีครบชุด</t>
  </si>
  <si>
    <t>ตู้บานเลื่อนกระจก ขนาด 4 ฟุต</t>
  </si>
  <si>
    <t>วีดีโอ 2 หัวเทป/จูนเนอร์</t>
  </si>
  <si>
    <t>วีดีโอ ซีวีดี ซีดี</t>
  </si>
  <si>
    <t>เทปใบ้แบบคู่</t>
  </si>
  <si>
    <t>เครื่องมัลติมีเดียโปรเจคเตอร์</t>
  </si>
  <si>
    <t>COMPUTER NOTEBOOK เจ จี</t>
  </si>
  <si>
    <t>ศูนย์การเรียนรู้ด้วยตัวเอง</t>
  </si>
  <si>
    <t>เครื่องปรับอากาศชนิดแขวน 38000 บีทียู</t>
  </si>
  <si>
    <t>กล้องดิจิตอล  CANON</t>
  </si>
  <si>
    <t>ชุดครุภัณฑ์ปฎิบัติการวิชาชีพพื้นฐานและวิชาชีพพื้นฐาน</t>
  </si>
  <si>
    <t>ชุดคอมพิวเตอร์ พร้อมโต๊ะเก้าอี้</t>
  </si>
  <si>
    <t>โปรเจคเตอร์</t>
  </si>
  <si>
    <t>เครื่องคอมพิวเตอร์แม่ข่าย</t>
  </si>
  <si>
    <t>ปกอ.</t>
  </si>
  <si>
    <t>7110-007-0015/551-001-034</t>
  </si>
  <si>
    <t>7110-006-0006/551-022-023</t>
  </si>
  <si>
    <t>7110-007-0016/551-001-005</t>
  </si>
  <si>
    <t>7110-006-0007/551-001-005</t>
  </si>
  <si>
    <t>711-006-0008/551-001-027</t>
  </si>
  <si>
    <t>6310-003-0001/551-001</t>
  </si>
  <si>
    <t>6730-001-0001/551-004</t>
  </si>
  <si>
    <t>6730-002-0001/551-002</t>
  </si>
  <si>
    <t>7730-005-0001/551-002-008</t>
  </si>
  <si>
    <t>7110-006-0008/551-001-007</t>
  </si>
  <si>
    <t>7440-001-0001/551-173-179</t>
  </si>
  <si>
    <t>7730-005-0001/566-009-012</t>
  </si>
  <si>
    <t>7730-005-0001/566-013</t>
  </si>
  <si>
    <t>7440-001-0001/566-003-006</t>
  </si>
  <si>
    <t>6720-005-0003/566-001-002</t>
  </si>
  <si>
    <t>6720-005-002/566-001</t>
  </si>
  <si>
    <t>6760-004-0001/566-001</t>
  </si>
  <si>
    <t>6760-004-0002/566-001</t>
  </si>
  <si>
    <t>6760-008-0001/566-001</t>
  </si>
  <si>
    <t>โต๊ะประชุม</t>
  </si>
  <si>
    <t>โต๊ะประชุมขนาด 400*250</t>
  </si>
  <si>
    <t>เก้าอี้ประชุมแบบโยกได้</t>
  </si>
  <si>
    <t>เก้าอี้บุนวม</t>
  </si>
  <si>
    <t>ตู้สาขาโทรศัพท์</t>
  </si>
  <si>
    <t>โปรแจคเตอร์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</si>
  <si>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</si>
  <si>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</si>
  <si>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</si>
  <si>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</si>
  <si>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กล้องถ่ายภาพนิ่งความละเอียดสูง</t>
  </si>
  <si>
    <t>กล้องถ่ายภาพนิ่ง</t>
  </si>
  <si>
    <t>เลนส์กล้องถ่ายภาพนิ่งระยะไกล</t>
  </si>
  <si>
    <t>เลนส์กล้องถ่ายภาพนิ่ง</t>
  </si>
  <si>
    <t>แฟลชกล้องถ่ายภาพนิ่ง 566-001</t>
  </si>
  <si>
    <t>บัญชีรายการครุภัณฑ์  งานสื่อการเรียนการสอน คงเหลือ</t>
  </si>
  <si>
    <t>บัญชีรายการครุภัณฑ์  งานวิทยบริการ คงเหลือ</t>
  </si>
  <si>
    <t>7110-002-0005/521-024</t>
  </si>
  <si>
    <t>7440-001-0004/521-059-070</t>
  </si>
  <si>
    <t>7430-008-0002/531-025</t>
  </si>
  <si>
    <t>7440-001-0001/531-152</t>
  </si>
  <si>
    <t>ตู้ 2 บานเปิด</t>
  </si>
  <si>
    <t>ชุดเครื่องคอมพิวเตอร์ตั้งโต๊ะ (โต๊ะ+ เก้าอี้)</t>
  </si>
  <si>
    <t>เครื่องปริ้นเตอร์  CANON LBP 3050</t>
  </si>
  <si>
    <t>7110-007-0006/391-001-391-008</t>
  </si>
  <si>
    <t>7125-004-0001/391-001-391-004</t>
  </si>
  <si>
    <t>7125-004-0002/391-001-391-004</t>
  </si>
  <si>
    <t>7110-002-0001/391-001</t>
  </si>
  <si>
    <t>7110-002-0002/391-001-391-002</t>
  </si>
  <si>
    <t>7125-004-0003/391-001-391-002</t>
  </si>
  <si>
    <t>7195-006-0001/391-001-391-002</t>
  </si>
  <si>
    <t>7915-004-0001/391-001</t>
  </si>
  <si>
    <t>7110-002-0003/391-001</t>
  </si>
  <si>
    <t>7490-002-0001/391-001</t>
  </si>
  <si>
    <t>7125-004-0005/391-001-391-004</t>
  </si>
  <si>
    <t>7125-004-0006/391-001-391-003</t>
  </si>
  <si>
    <t>7125-004-0005/451-005-451-009</t>
  </si>
  <si>
    <t>7195-006-0002/462-001</t>
  </si>
  <si>
    <t>3440-001-0001/462-001</t>
  </si>
  <si>
    <t>7490-015-0002/462-001</t>
  </si>
  <si>
    <t>7440-001-0001/462-008</t>
  </si>
  <si>
    <t>7430-008-0001/472-003</t>
  </si>
  <si>
    <t>7119-002-0006/472-061-472-063</t>
  </si>
  <si>
    <t>7125-006-0001/482-001</t>
  </si>
  <si>
    <t>7125-006-0002/482-001-004</t>
  </si>
  <si>
    <t>7105-006-0001/482-001-003</t>
  </si>
  <si>
    <t>7105-006-0001/493-001</t>
  </si>
  <si>
    <t>7125-006-0001/492-001-003</t>
  </si>
  <si>
    <t>7125-001-0004/493-001</t>
  </si>
  <si>
    <t>7051-006-0002/502-004-007</t>
  </si>
  <si>
    <t>7110-001-0002/502-001-002</t>
  </si>
  <si>
    <t>7125-004-0009/502-001</t>
  </si>
  <si>
    <t>7125-001-0005/502-001-005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</si>
  <si>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</si>
  <si>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</si>
  <si>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</si>
  <si>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ตู้ดรรชนี 12 ลิ้นชัก</t>
  </si>
  <si>
    <t>ตู้เก็บแบบฟอร์ม 15 ลิ้นชัก</t>
  </si>
  <si>
    <t>ชั้นวางหนังสือ 2 ตอน</t>
  </si>
  <si>
    <t>แท่นอ่านหนังสือพิมพ์</t>
  </si>
  <si>
    <t>ตู้เก็บจุลสาร 4 ชั้น</t>
  </si>
  <si>
    <t>เคาน์เตอร์บริการรับส่งหนังสือ</t>
  </si>
  <si>
    <t>ตู้เก็บบัตรรายการ  15  ลิ้นชัก</t>
  </si>
  <si>
    <t>เครื่องตัดกระดาษหรือขอบหนังสือ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</si>
  <si>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</si>
  <si>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</si>
  <si>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</si>
  <si>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ชั้นวางหนังสือพิมพ์</t>
  </si>
  <si>
    <t>เครื่องอัดหนังสือขนาดใหญ่</t>
  </si>
  <si>
    <t>ประตูควบคุมทางเข้าออกแบบ 2 ทาง</t>
  </si>
  <si>
    <t>ชุดเครื่องคอมพิวเตอร์</t>
  </si>
  <si>
    <t>เครื่องปริ้นเลเซอร์แคนนอน 1210</t>
  </si>
  <si>
    <t>ตู้กระจก2 บานเลื่อน</t>
  </si>
  <si>
    <t>ชั้นวางหนังสือขนาดใหญ่</t>
  </si>
  <si>
    <t>ชั้นวางหนังสือขนาดกลาง</t>
  </si>
  <si>
    <t>โต๊ะญี่ปุ่น</t>
  </si>
  <si>
    <t>ชั้นวางหนังสือ 1 ด้าน 3 ช่วง</t>
  </si>
  <si>
    <t>ตู้เก็บหนังสือ ขนาด 35*70 ซม.</t>
  </si>
  <si>
    <t>ตู้เก็บวรสาร 4 ชั้นแบบไม้</t>
  </si>
  <si>
    <t>ชั้นวางหนังสือ 4 ชั้น แบบไม้</t>
  </si>
  <si>
    <t>ตู้เก็บแผ่น VCD แบบไม้</t>
  </si>
  <si>
    <t xml:space="preserve"> สถานศึกษา วิทยาลัยเทคนิคกันทรลักษ์</t>
  </si>
  <si>
    <t>บัญชีรายการครุภัณฑ์ งานวัดผลและประเมินผล  คงเหลือ</t>
  </si>
  <si>
    <t>ที่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</si>
  <si>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</si>
  <si>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</si>
  <si>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</si>
  <si>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</si>
  <si>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</si>
  <si>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</si>
  <si>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7440-001-0001/502-051</t>
  </si>
  <si>
    <t xml:space="preserve">ชุดคอมพิวเตอร์                          </t>
  </si>
  <si>
    <t>7110-007-0001/502-005</t>
  </si>
  <si>
    <t xml:space="preserve">โต๊ะวางเครื่องคอมพิวเตอร์พร้อมเก้าอี้ </t>
  </si>
  <si>
    <t>7110-002-0002/501-003</t>
  </si>
  <si>
    <t xml:space="preserve">ตู้เหล็ก 15 ลิ้นชัก                     </t>
  </si>
  <si>
    <t>7110-006-0006/531-015</t>
  </si>
  <si>
    <t>7110-002-0005/531-027</t>
  </si>
  <si>
    <t>7110-007-0004/531-010</t>
  </si>
  <si>
    <t>7430-008-0006/531-027</t>
  </si>
  <si>
    <t>7440-001-0001/531-151</t>
  </si>
  <si>
    <t>7440-001-0001/462-001</t>
  </si>
  <si>
    <t>6720-005-0002/531-005</t>
  </si>
  <si>
    <t>4210-001-0001/531-006</t>
  </si>
  <si>
    <t>เครื่องปรับอากาศ  ซัมซุง  13,000 บีทียู</t>
  </si>
  <si>
    <t>7440-001-0001/531-144</t>
  </si>
  <si>
    <t>บัญชีรายการครุภัณฑ์ งานพัฒนาหลักสูตรการเรียนการสอน  คงเหลือ</t>
  </si>
  <si>
    <t>4140-001-0001/391-003</t>
  </si>
  <si>
    <t>7110-002-006/401-002-003</t>
  </si>
  <si>
    <t>ตู้เหล็ก 2 บานเลื่อน PRERIDDENT</t>
  </si>
  <si>
    <t>4140-001-0001/442-007-008</t>
  </si>
  <si>
    <t>พัดลมตั้งพื้น 16" โตซิบา</t>
  </si>
  <si>
    <t>7110-002-0006/462-053</t>
  </si>
  <si>
    <t xml:space="preserve">ตู้เหล็ก 2 บานเลื่อนไทโย  </t>
  </si>
  <si>
    <t>7440-001-0001/462-005</t>
  </si>
  <si>
    <t>7110-002-0006/472-059-060</t>
  </si>
  <si>
    <t>6720-005-0002/472-004</t>
  </si>
  <si>
    <t>7110-002-0006/492-080</t>
  </si>
  <si>
    <t xml:space="preserve">ตู้เหล็ก 2 บานเลื่อน </t>
  </si>
  <si>
    <t>7110-002-0007/492-007</t>
  </si>
  <si>
    <t>7110-002-0005/492-010</t>
  </si>
  <si>
    <t>7110-006-0007/512-002</t>
  </si>
  <si>
    <t>7110-001-0003/512-003</t>
  </si>
  <si>
    <t>7110-002-0005/521-025-026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</si>
  <si>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</si>
  <si>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</si>
  <si>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</si>
  <si>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</si>
  <si>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7440-001-0001/531-149</t>
  </si>
  <si>
    <t>7110-006-0003/391-001-391-400</t>
  </si>
  <si>
    <t>เก้าอี้สำหรับห้องประชุม</t>
  </si>
  <si>
    <t>7110-006-0004/391-001-391-200</t>
  </si>
  <si>
    <t>เก้าอี้ฟังคำบรรยาย</t>
  </si>
  <si>
    <t>7110-006-0004/392-001-391-075</t>
  </si>
  <si>
    <t>7110-007-0010/391-001</t>
  </si>
  <si>
    <t>โต๊ะประชุม ขนาด 12 คน</t>
  </si>
  <si>
    <t>4110-002-0002/391-001-391-002</t>
  </si>
  <si>
    <t>เครื่องทำน้ำเย็นสแตนดาร์ด</t>
  </si>
  <si>
    <t>7110-007-0003/391-001-391-015</t>
  </si>
  <si>
    <t>โต๊ะทำงานระดับ 3-6</t>
  </si>
  <si>
    <t>7110-007-0005/391-001</t>
  </si>
  <si>
    <t>โต๊ะทำงานระดับ 7-9</t>
  </si>
  <si>
    <t>7110-006-0004/401-201-401-400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</si>
  <si>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</si>
  <si>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</si>
  <si>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</si>
  <si>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</si>
  <si>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</si>
  <si>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4110-002-0002/422-001</t>
  </si>
  <si>
    <t>เครื่องทำน้ำเย็น</t>
  </si>
  <si>
    <t>7110-006-0005/424-001-424-072</t>
  </si>
  <si>
    <t>เก้าอี้รับประทานอาหาร</t>
  </si>
  <si>
    <t>7110-007-0018/424-001-424-036</t>
  </si>
  <si>
    <t>โต๊ะรับประทานอาหาร</t>
  </si>
  <si>
    <t>7110-007-0019/424-001-424-020</t>
  </si>
  <si>
    <t>โต๊ะอเนกประสงค์</t>
  </si>
  <si>
    <t>7110-006-0004/432-076-432-120</t>
  </si>
  <si>
    <t>7110-0006-0004/434-001-434-080</t>
  </si>
  <si>
    <t>3570-002-0001/432-001</t>
  </si>
  <si>
    <t>ชุดรับแขก</t>
  </si>
  <si>
    <t>7110-006-0001/432-001</t>
  </si>
  <si>
    <t>4110-002-0002/433-001-004</t>
  </si>
  <si>
    <t>4140-001-0001/432-001,002,003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</si>
  <si>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</si>
  <si>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</si>
  <si>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</si>
  <si>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</si>
  <si>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</si>
  <si>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7110-006-0004/444-081-444-160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</si>
  <si>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</si>
  <si>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</si>
  <si>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</si>
  <si>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</si>
  <si>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</si>
  <si>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</si>
  <si>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4530-001-0001/442-001</t>
  </si>
  <si>
    <t>เตาแก๊ส KBS หัวปรับลัคกีเฟรม + ขาตั้ง</t>
  </si>
  <si>
    <t>3220-003-0001/452-001</t>
  </si>
  <si>
    <t>จิกซอร์ 4300 มากีต้า</t>
  </si>
  <si>
    <t>7110-006-0004/462-121-462-200</t>
  </si>
  <si>
    <t>4110-002-0002/462-002</t>
  </si>
  <si>
    <t>เครื่องทำน้ำเย็น 4 หัว</t>
  </si>
  <si>
    <t>4140-001-0001/463-001-463-002</t>
  </si>
  <si>
    <t>4140-001-0001/463-003-018</t>
  </si>
  <si>
    <t>5130-009-0001/462-002</t>
  </si>
  <si>
    <t>สว่านไฟฟ้ากระแทก</t>
  </si>
  <si>
    <t>7910-003-0001/461-002</t>
  </si>
  <si>
    <t>เครื่องดูดฝุ่น</t>
  </si>
  <si>
    <t>3750-002-0001/482-005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</si>
  <si>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</si>
  <si>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</si>
  <si>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</si>
  <si>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</si>
  <si>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2805-001-0002/482-001</t>
  </si>
  <si>
    <t>เครื่องยนต์สูบเฉียง 5.5 HONDA</t>
  </si>
  <si>
    <t>3510-003-0001/484-001</t>
  </si>
  <si>
    <t>เครื่องซักผ้า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</si>
  <si>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</si>
  <si>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</si>
  <si>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</si>
  <si>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</si>
  <si>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</si>
  <si>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7110-006-0004/504-581-700</t>
  </si>
  <si>
    <t>4330-001-0002/502-003</t>
  </si>
  <si>
    <t>ปั้มหอยโข่ง</t>
  </si>
  <si>
    <t>7110-002-0006/502-088-089</t>
  </si>
  <si>
    <t>ตู้เหล็ก 2 บานเลื่อนกระจก</t>
  </si>
  <si>
    <t>7125-002-0002/502-009-010</t>
  </si>
  <si>
    <t>7110-002-0005/502-013</t>
  </si>
  <si>
    <t>7440-001-0001/502-055</t>
  </si>
  <si>
    <t>7110-007-0001/502-009</t>
  </si>
  <si>
    <t>โต๊ะเครื่องคอมพิวเตอร์</t>
  </si>
  <si>
    <t>4140-001-0002/514-001-008</t>
  </si>
  <si>
    <t>พัดลมไอน้ำ</t>
  </si>
  <si>
    <t>5925-001-0001/521-001</t>
  </si>
  <si>
    <t>เซอร์กิจเบเกอร์ 400A350</t>
  </si>
  <si>
    <t>HP Laserjet P1005</t>
  </si>
  <si>
    <t>7110-002-0006/531-025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</si>
  <si>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</si>
  <si>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</si>
  <si>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</si>
  <si>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</si>
  <si>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5120-024-0004/391-001</t>
  </si>
  <si>
    <t>เครื่องมือบริการหัวฉีดดีเซล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</si>
  <si>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</si>
  <si>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</si>
  <si>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</si>
  <si>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</si>
  <si>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แม่แรงตะเฆ่  2  ตัน</t>
  </si>
  <si>
    <t>5180-003-0001/401-001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</si>
  <si>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</si>
  <si>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</si>
  <si>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</si>
  <si>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</si>
  <si>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ชุดทดลองปั้มดีเซล</t>
  </si>
  <si>
    <t>มัลติมิเตอร์</t>
  </si>
  <si>
    <t>R-L-C  แบบดิจิตอล</t>
  </si>
  <si>
    <t>5999-006-0002/401-002-005</t>
  </si>
  <si>
    <t>ชุดฝึกวงจรดิจิตอล</t>
  </si>
  <si>
    <t>58895-006-0001/401-001-401-005</t>
  </si>
  <si>
    <t>ออสซิลโลสโคป ขนาด 40  วัตต์</t>
  </si>
  <si>
    <t>5825-020-0001/401-004-401-023</t>
  </si>
  <si>
    <t>เครื่องรับโทรทัศน์</t>
  </si>
  <si>
    <t>5835-013-0001/401-001-401-002</t>
  </si>
  <si>
    <t>ชุดฝึกระบบเสียงในรถยนต์</t>
  </si>
  <si>
    <t>7110-007-0011/451-029-451-038</t>
  </si>
  <si>
    <t>โต๊ะพับเอนกประสงค์ 6 ฟุต</t>
  </si>
  <si>
    <t>5825-020-0001/452-002</t>
  </si>
  <si>
    <t>เครื่องรับโทรทัศน์ สี 14" พานโซนิค</t>
  </si>
  <si>
    <t>6910-001-0017/461-001-461-002</t>
  </si>
  <si>
    <t>ชุดฝึกรับ-ส่งวิทยุสื่อสารสำหรับฝึก</t>
  </si>
  <si>
    <t>7440-001-0001/462-007</t>
  </si>
  <si>
    <t>การ์ดติดตั้งวีดีโอ</t>
  </si>
  <si>
    <t>5835-001-0001/462-001</t>
  </si>
  <si>
    <t>เครื่องขยายเสียงแบบเพาแอมป์</t>
  </si>
  <si>
    <t>4141-001-0001/462-012</t>
  </si>
  <si>
    <t>7440-010-0001/462-002</t>
  </si>
  <si>
    <t>เครื่องสแกนเนอร์</t>
  </si>
  <si>
    <t>5895-004-0001/462-001</t>
  </si>
  <si>
    <t>เครื่องช่วยซาวด์กลอง  DM5</t>
  </si>
  <si>
    <t>6910-001-0015/461-001-05</t>
  </si>
  <si>
    <t>ชุดฝึกเครื่องขยายเสียง</t>
  </si>
  <si>
    <t>5965-007-0001/461-001-002</t>
  </si>
  <si>
    <t>ไมโครโฟนไร้สาย</t>
  </si>
  <si>
    <t>5825-020-0001/471-024</t>
  </si>
  <si>
    <t>โทรทัศน์สีชนิดจอแบนขนาด  29  นิ้ว</t>
  </si>
  <si>
    <t>5825-020-0001/473-001</t>
  </si>
  <si>
    <t>โทรทัศน์สีชนิดจอแบนขนาด  21  นิ้ว</t>
  </si>
  <si>
    <t>4140-001-0001/483-020-025</t>
  </si>
  <si>
    <t>พัดลมติดผนัง 16 นิ้ว</t>
  </si>
  <si>
    <t>6730-001-0002/492-001</t>
  </si>
  <si>
    <t>เครื่องฉายภาพ 3 มิติ</t>
  </si>
  <si>
    <t>7440-009-0003/502-002</t>
  </si>
  <si>
    <t>ฮาร์ดดิส 250 GB</t>
  </si>
  <si>
    <t>7440-010-0010/502-001</t>
  </si>
  <si>
    <t>เครื่องสำรองไฟ</t>
  </si>
  <si>
    <t>6720-008-0002/502-001-006</t>
  </si>
  <si>
    <t>กล้องวงจรปิด LYD 808</t>
  </si>
  <si>
    <t>7440-009-0001/502-001</t>
  </si>
  <si>
    <t>การ์ด SKY 8800</t>
  </si>
  <si>
    <t>7440-001-0004/501-001</t>
  </si>
  <si>
    <t xml:space="preserve">CASE SERVER </t>
  </si>
  <si>
    <t>5805-009-0001/512-001</t>
  </si>
  <si>
    <t>3446-005-0001/391-001-004</t>
  </si>
  <si>
    <t>ทั่งตีเหล็กขนาด 50 กก.</t>
  </si>
  <si>
    <t>5110-013-0001/391-001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</si>
  <si>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</si>
  <si>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</si>
  <si>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</si>
  <si>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3416-001-0001/463-001</t>
  </si>
  <si>
    <t>เครื่องกลึงขนาดยันศูนย์เหนือแท่น 125 มม.</t>
  </si>
  <si>
    <t>3416-001-0001/463-002</t>
  </si>
  <si>
    <t>4140-001-0002/482-004-0007</t>
  </si>
  <si>
    <t>พัดลมโรงงาน 18 นิ้ว</t>
  </si>
  <si>
    <t>7430-008-0001/502-015</t>
  </si>
  <si>
    <t>เครื่องปริ้นเตอร์ 1020</t>
  </si>
  <si>
    <t>7440-001-0001/502-058</t>
  </si>
  <si>
    <t>เครื่องคอมพิวเตอร์ HP</t>
  </si>
  <si>
    <t>3416-001-0002/551-001-002</t>
  </si>
  <si>
    <t>เครื่องกลึงขนาดยันศูนย์เหนือแท่น 165 มม.</t>
  </si>
  <si>
    <t>3433-002-0002/391-001</t>
  </si>
  <si>
    <t>เครื่องตัดด้วยแก๊สแบบอัตโนมัติชนิดตัดตรง</t>
  </si>
  <si>
    <t>7110-007-0013/391-001-391-010</t>
  </si>
  <si>
    <t>โต๊ะเชื่อมแก๊สพร้อมเก้าอี้</t>
  </si>
  <si>
    <t>7110-007-0003/391-001-391-010</t>
  </si>
  <si>
    <t>โต๊ะเชื่อมไฟฟ้าพร้อมเก้าอี้</t>
  </si>
  <si>
    <t>3470-002-0001/391-001</t>
  </si>
  <si>
    <t>ชุดเครื่องมือและอุปกรณ์งานเชื่อมแก๊ส</t>
  </si>
  <si>
    <t>3431-003-0001/391-001-391-010</t>
  </si>
  <si>
    <t>เครื่องเชื่อมไฟฟ้าแบบAC/DCขนาด250 A</t>
  </si>
  <si>
    <t>3470-003-0002/391-001</t>
  </si>
  <si>
    <t>ชุดเครื่องมือและอุปกรณ์งานโลหะแผ่น</t>
  </si>
  <si>
    <t>4530-001-0001/391-002</t>
  </si>
  <si>
    <t>เตาเผาหัวแร้งชนิดใช้แก๊ส</t>
  </si>
  <si>
    <t>7440-001-0001/462-003</t>
  </si>
  <si>
    <t>3470-005-0001/471-001</t>
  </si>
  <si>
    <t>เครื่องเชื่อมพลาสติก</t>
  </si>
  <si>
    <t>3445-002-0002/471-001</t>
  </si>
  <si>
    <t>เครื่องตัดอลูมิเนี่ยม</t>
  </si>
  <si>
    <t>3431-003-0004/511-001-002</t>
  </si>
  <si>
    <t>3415-001-0003/511-001</t>
  </si>
  <si>
    <t>6730-001-0003/521-002</t>
  </si>
  <si>
    <t>เครื่องฉายโปรเจคเตอร์ SONY UPL-ES-7</t>
  </si>
  <si>
    <t>3445-002-0002/521-002</t>
  </si>
  <si>
    <t>3470-002-0003/531-010</t>
  </si>
  <si>
    <t>เครื่องเชื่อม  Tig 200 พร้อมอุปกรณ์</t>
  </si>
  <si>
    <t>3470-002-0003/531-009</t>
  </si>
  <si>
    <t>เครื่องเชื่อม  mig 200 พร้อมอุปกรณ์</t>
  </si>
  <si>
    <t>3433-002-0002/531-001</t>
  </si>
  <si>
    <t>เครื่องตัดพลาสมา  orbit</t>
  </si>
  <si>
    <t>3433-002-0003/571-001</t>
  </si>
  <si>
    <t>เครื่องตัดพลาสม่า ชนิดใช้อากาศ</t>
  </si>
  <si>
    <t>5950-004-0001/391-001-391-010</t>
  </si>
  <si>
    <t>ทรานฟอร์เมอร์ 1 เฟส</t>
  </si>
  <si>
    <t>6910-001-0007/391-001</t>
  </si>
  <si>
    <t>แรงเคลื่อนคงที่</t>
  </si>
  <si>
    <t>6910-001-0006/391-001-391-007</t>
  </si>
  <si>
    <t>ชุดฝึกไฟฟ้าเบื้องต้น</t>
  </si>
  <si>
    <t>5905-006-0005/391-001-391-020</t>
  </si>
  <si>
    <t>ดิจิตอลแคมป์ออนมิเตอร์ (001,002,003)</t>
  </si>
  <si>
    <t>5905-006-0004/391-001-391-010</t>
  </si>
  <si>
    <t>เครื่องวัดกระแสสลับแบบพอร์ทเทเบิ้ล</t>
  </si>
  <si>
    <t>5905-006-0003/391-001-391-010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</si>
  <si>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</si>
  <si>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</si>
  <si>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</si>
  <si>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</si>
  <si>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6625-003-0011/391-001-391-005</t>
  </si>
  <si>
    <t xml:space="preserve">เพาเวอร์ซัพพลาย </t>
  </si>
  <si>
    <t>6625-003-0010/391-001,003,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</si>
  <si>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</si>
  <si>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</si>
  <si>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</si>
  <si>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</si>
  <si>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</si>
  <si>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</si>
  <si>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</si>
  <si>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</si>
  <si>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6150-003-0001/391-001-391-025</t>
  </si>
  <si>
    <t>เครื่องจ่ายไฟกระแสตรงปรับค่าได้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</si>
  <si>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</si>
  <si>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</si>
  <si>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</si>
  <si>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</si>
  <si>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</si>
  <si>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</si>
  <si>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</si>
  <si>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</si>
  <si>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</si>
  <si>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</si>
  <si>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</si>
  <si>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</si>
  <si>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</si>
  <si>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</si>
  <si>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</si>
  <si>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</si>
  <si>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</si>
  <si>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</si>
  <si>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</si>
  <si>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</si>
  <si>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</si>
  <si>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</si>
  <si>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</si>
  <si>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</si>
  <si>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</si>
  <si>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</si>
  <si>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</si>
  <si>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</si>
  <si>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</si>
  <si>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ตู้ควบคุมระบบไฟฟ้า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</si>
  <si>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</si>
  <si>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</si>
  <si>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</si>
  <si>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</si>
  <si>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</si>
  <si>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</si>
  <si>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</si>
  <si>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</si>
  <si>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</si>
  <si>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</si>
  <si>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</si>
  <si>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</si>
  <si>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</si>
  <si>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</si>
  <si>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</si>
  <si>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</si>
  <si>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</si>
  <si>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</si>
  <si>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</si>
  <si>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710-007-0002/401-002-401-005</t>
  </si>
  <si>
    <t>โต๊ะวางเครื่องปริ้น</t>
  </si>
  <si>
    <t>7110-007-0001/401-003-401-022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</si>
  <si>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</si>
  <si>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</si>
  <si>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</si>
  <si>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</si>
  <si>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</si>
  <si>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</si>
  <si>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</si>
  <si>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710-007-0002/421-007-421-008</t>
  </si>
  <si>
    <t>7110-007-0001/421-023-421-032</t>
  </si>
  <si>
    <t>7110-006-0002/421-021-421-040</t>
  </si>
  <si>
    <t>7440-001-0001/431-036-431-040</t>
  </si>
  <si>
    <t>7440-010-0001/431-002</t>
  </si>
  <si>
    <t>7430-008-0001/431-009</t>
  </si>
  <si>
    <t>เครื่องปริ้นเตอร์ 2080I</t>
  </si>
  <si>
    <t>7430-008-0001/431-010</t>
  </si>
  <si>
    <t>เครื่องปริ้นเตอร์เลซอร์ PD12</t>
  </si>
  <si>
    <t>710-007-0002/431-009-431-010</t>
  </si>
  <si>
    <t>7110-007-0001/431-033-431-037</t>
  </si>
  <si>
    <t>7110-006-0002/431-041-431-045</t>
  </si>
  <si>
    <t>5825-020-0001/442-024</t>
  </si>
  <si>
    <t>โทรทัศน์สี 29"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</si>
  <si>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</si>
  <si>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</si>
  <si>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</si>
  <si>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</si>
  <si>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</si>
  <si>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</si>
  <si>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</si>
  <si>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</si>
  <si>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</si>
  <si>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</si>
  <si>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</si>
  <si>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</si>
  <si>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</si>
  <si>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ตู้กระจก 2 บานเลื่อน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</si>
  <si>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</si>
  <si>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</si>
  <si>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</si>
  <si>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</si>
  <si>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</si>
  <si>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</si>
  <si>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7440-001-0001/482-046</t>
  </si>
  <si>
    <t>7440-001-0001/493-007-016</t>
  </si>
  <si>
    <t>7440-001-0001/493-017-026</t>
  </si>
  <si>
    <t>7440-009-0001/492-003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</si>
  <si>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</si>
  <si>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</si>
  <si>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</si>
  <si>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</si>
  <si>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</si>
  <si>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</si>
  <si>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</si>
  <si>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</si>
  <si>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7440-001-0001/512-060-108</t>
  </si>
  <si>
    <t>เครื่องไมโครคอมพิวเตอร์ SVOA จอแบน</t>
  </si>
  <si>
    <t>7440-001-0001/512-109-157</t>
  </si>
  <si>
    <t>7110-006-0007/512-006</t>
  </si>
  <si>
    <t>7440-010-0013/531-001-004</t>
  </si>
  <si>
    <t>6730-001-0003/531-009-012</t>
  </si>
  <si>
    <t>7110-006-0009/531-001-160</t>
  </si>
  <si>
    <t>เก้าอี้เบาะชุดโครเมี่ยม</t>
  </si>
  <si>
    <t>(นางกิ่งดาว  บุญประสิทธิ์)</t>
  </si>
  <si>
    <t>7430-001-0001/501-026-065</t>
  </si>
  <si>
    <t>เครื่องพิมพ์ดีดภาษาอังกฤษแคร่  15"</t>
  </si>
  <si>
    <t>7440-008-0001/501-057</t>
  </si>
  <si>
    <t>7110-007-0004/514-001-080</t>
  </si>
  <si>
    <t>7110-006-0006/514-001-080</t>
  </si>
  <si>
    <t>เก้าอี้พิมพ์ดีด</t>
  </si>
  <si>
    <t>6130-001-0001/531-001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</si>
  <si>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</si>
  <si>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</si>
  <si>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</si>
  <si>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</si>
  <si>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</si>
  <si>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</si>
  <si>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</si>
  <si>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</si>
  <si>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</si>
  <si>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</si>
  <si>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</si>
  <si>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</si>
  <si>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</si>
  <si>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</si>
  <si>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</si>
  <si>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7440-001-0003/561-001-020</t>
  </si>
  <si>
    <t>(นางนงลักษณ์   ศรีชา)</t>
  </si>
  <si>
    <t>7430-001-0006/391-002-391-016</t>
  </si>
  <si>
    <t>เครื่องพิมพ์ดีดไฟฟ้าชนิดไม่มีหน่วยความจำ</t>
  </si>
  <si>
    <t>7430-001-0003/391-002-391-026</t>
  </si>
  <si>
    <t>7430-001-0005/391-003-391-027</t>
  </si>
  <si>
    <t>เครื่องพิมพ์ดีดแบบธรรมดาภาษาไทย 15"</t>
  </si>
  <si>
    <t>7110-007-0004/391-004-006</t>
  </si>
  <si>
    <t>เครื่องคำนวนเลข  12 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</si>
  <si>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</si>
  <si>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</si>
  <si>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</si>
  <si>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</si>
  <si>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</si>
  <si>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</si>
  <si>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</si>
  <si>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</si>
  <si>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7430-001-0001/401-027-401-051</t>
  </si>
  <si>
    <t>เครื่องพิมพ์ดีดภาษาอังกฤษแคร่  18"</t>
  </si>
  <si>
    <t>7430-001-0007/401-002,024</t>
  </si>
  <si>
    <t>7420-001-0002/401-023-401-068</t>
  </si>
  <si>
    <t>7440-001-0001/462-004</t>
  </si>
  <si>
    <t>4140-001-0003/482-029-030</t>
  </si>
  <si>
    <t>พัดลมโคจร  16 นิ้ว</t>
  </si>
  <si>
    <t>7430-008-0002/492-009</t>
  </si>
  <si>
    <t>7430-001-0001/492-001-007</t>
  </si>
  <si>
    <t>7430-001-0001/492-008-013</t>
  </si>
  <si>
    <t>7440-001-0001/501-056</t>
  </si>
  <si>
    <t xml:space="preserve">เครื่องคอมพิวเตอร์ ยี่ห้อ ACER </t>
  </si>
  <si>
    <t>7440-001-0001/531-124-138</t>
  </si>
  <si>
    <t>7110-006-0004/531-161-190</t>
  </si>
  <si>
    <t>เก้าอี้เบาะพนักพิง</t>
  </si>
  <si>
    <t>บัญชีรายการครุภัณฑ์ งานประกันคุณภาพและมาตรฐานการศึกษา  คงเหลือ</t>
  </si>
  <si>
    <t>7110-006-0006/531-018</t>
  </si>
  <si>
    <t>เก้าอี้  (ขาเหล็ก)  5  แฉก</t>
  </si>
  <si>
    <t>7110-007-0004/531-007</t>
  </si>
  <si>
    <t>7440-001-0001/551-173</t>
  </si>
  <si>
    <t>เครื่องคอมพิวเตอร์ชุด DMA</t>
  </si>
  <si>
    <t>6730-001-0001/581-001</t>
  </si>
  <si>
    <t>เครื่องฉาย Projrctor Acer P1276</t>
  </si>
  <si>
    <t>6730-002-0001/582-001</t>
  </si>
  <si>
    <t>จอ Projrctor มอเตอร์ไฟฟ้า ขนาด 120"</t>
  </si>
  <si>
    <t>( นางสาวคำโฮม  คูณสว่าง )</t>
  </si>
  <si>
    <t>บัญชีรายการครุภัณฑ์ งานครูที่ปรึกษา  คงเหลือ</t>
  </si>
  <si>
    <t>ตู้  2  บานเลื่อนกระจก  4  ฟุต</t>
  </si>
  <si>
    <t>7440-001-0001/531-142</t>
  </si>
  <si>
    <t>4910-016-0001/391-003</t>
  </si>
  <si>
    <t>3470-002-0002/461-001</t>
  </si>
  <si>
    <t>ชุดเชื่อมแก๊สพร้อมอุปกรณ์เคลื่อนที่</t>
  </si>
  <si>
    <t>เครื่องฉายมัลติมีเดียโปรเจกเตอร์</t>
  </si>
  <si>
    <t>7430-008-0002/531-029</t>
  </si>
  <si>
    <t>............................................................</t>
  </si>
  <si>
    <t>(นายสมาน  คำขาว)</t>
  </si>
  <si>
    <t>..............................................................</t>
  </si>
  <si>
    <t>......................................................</t>
  </si>
  <si>
    <t>(นางสาวณัตติยา  หล่อวินิจนันท์)</t>
  </si>
  <si>
    <t>........................................................</t>
  </si>
  <si>
    <t>บัญชีรายการครุภัณฑ์  งานแนะแนว  คงเหลือ</t>
  </si>
  <si>
    <t>บัญชีรายการครุภัณฑ์  งานสวัสดิการนักเรียนนักศึกษา  คงเหลือ</t>
  </si>
  <si>
    <t>บัญชีรายการครุภัณฑ์  งานส่งเสริมผลิตการค้าและประกอบธุรกิจ คงเหลือ</t>
  </si>
  <si>
    <t>บัญชีรายการครุภัณฑ์  งานศูนย์ข้อมูลและสารสนเทศ  คงเหลือ</t>
  </si>
  <si>
    <t>บัญชีรายการครุภัณฑ์  งานวิจัยพัฒนา นวัตกรรมและสิ่งประดิษฐ์  คงเหลือ</t>
  </si>
  <si>
    <t>.......................................................</t>
  </si>
  <si>
    <t>(นายสุวรรณ  บุษภาค)</t>
  </si>
  <si>
    <t>งาน</t>
  </si>
  <si>
    <t>สภาพ</t>
  </si>
  <si>
    <t>เครื่องพิมพ์บัตรพลาสติกพร้อมอุปกรณ์ EVOLIS PEBBLE 4</t>
  </si>
  <si>
    <t>เครื่องแปลงสัญญาณอินเตอร์เน็ต Switching Hub</t>
  </si>
  <si>
    <t>7110-002-0006/622-039</t>
  </si>
  <si>
    <t>รายได้</t>
  </si>
  <si>
    <t>เครื่องปริ้นเตอร์ BROTHER DCP-T310</t>
  </si>
  <si>
    <t>เครื่องคอมพิวเตอร์ ALL IN ONE LENOVO 19 นิ้ว</t>
  </si>
  <si>
    <t>7430-003-0002/622-031</t>
  </si>
  <si>
    <t>7430-003-6002</t>
  </si>
  <si>
    <t>6 ม.ค. 58</t>
  </si>
  <si>
    <t>6760-0802-6001</t>
  </si>
  <si>
    <t>12 มี.ค. 62</t>
  </si>
  <si>
    <t>ประจำปี 2562  ณ วันที่ 30 กันยายน 2562</t>
  </si>
  <si>
    <t>(นางสาวณัตติยา  หล่อวินิจนันท์ )</t>
  </si>
  <si>
    <t>(นางสาวเพ็ญธิดา  แก้วคำ)</t>
  </si>
  <si>
    <t>(นางสาวพิมพ์ภัทรา  เลิศเรืองศิริ)</t>
  </si>
  <si>
    <t>(นายบุญแต่ง  ป้อมหิน)</t>
  </si>
  <si>
    <t>(นางสาววันดี  ปานฟัก)</t>
  </si>
  <si>
    <t>(นายอนุรักษณ์  วิศรีสิทธิ์)</t>
  </si>
  <si>
    <t xml:space="preserve">     หัวหน้าหน่วยจ่าย/หน่วยเบิก</t>
  </si>
  <si>
    <t>(นายชินาธิป  พรมชา)</t>
  </si>
  <si>
    <t>(นางคนองรักษ์  ป้อมหิน)</t>
  </si>
  <si>
    <t>(นายชุมพล  พลเสนา)</t>
  </si>
  <si>
    <t>(นางสาวจิรายุ  บรรพตพิทักษ์)</t>
  </si>
  <si>
    <t>ว่าที่ร้อยเอก............................................</t>
  </si>
  <si>
    <t>(สายชล  ทองแป)</t>
  </si>
  <si>
    <t>(นายวัฒนา  ทองเทพ)</t>
  </si>
  <si>
    <t>(นายประภาส  นามโคตร)</t>
  </si>
  <si>
    <t>(นายสมาน  คำขาว.)</t>
  </si>
  <si>
    <t>25 ก.ย. 62</t>
  </si>
  <si>
    <t>……….......................................</t>
  </si>
  <si>
    <t xml:space="preserve">      (นายสุขสันต์  สิทธิมวล )</t>
  </si>
  <si>
    <t>เครื่องกัดตั้ง</t>
  </si>
  <si>
    <t>เครื่องกัด Coppy</t>
  </si>
  <si>
    <t>เครื่องปั้มเล็ก</t>
  </si>
  <si>
    <t>3416-001-0001/623-001(6)</t>
  </si>
  <si>
    <t xml:space="preserve">3417-001-0002/623-001 </t>
  </si>
  <si>
    <t>3417-001-0001/623-001(2)</t>
  </si>
  <si>
    <t>3443-001-0001/623-001</t>
  </si>
  <si>
    <t>25 ก.ย.62</t>
  </si>
  <si>
    <t>(นางสาวสุลัดดา  ยอดกุล)</t>
  </si>
  <si>
    <t>(นางสาวทราทิตย์  ชิดชม)</t>
  </si>
  <si>
    <t>7310-001-0001/622-001</t>
  </si>
  <si>
    <t xml:space="preserve">เตาแก๊สพร้อมตู้อบไฟฟ้า </t>
  </si>
  <si>
    <t>4120-001-0001/632-001</t>
  </si>
  <si>
    <t>แอร์ 1200 BTU</t>
  </si>
  <si>
    <t>ประจำปี 2563  ณ วันที่ 30 กันยายน 2563</t>
  </si>
  <si>
    <t>25 ก.ย.63</t>
  </si>
  <si>
    <t>7440-001-0002/632-001</t>
  </si>
  <si>
    <t>เครื่องคอมพิวเตอร์ LENOVO</t>
  </si>
  <si>
    <t>3416-001-0001/601-001(6)</t>
  </si>
  <si>
    <t>เครื่องกลึงยันศูนย์เหนือแท่น 150 มม.</t>
  </si>
  <si>
    <t>เวอร์เนียไฮเกจ</t>
  </si>
  <si>
    <t xml:space="preserve"> 6 ธ.ค.62</t>
  </si>
  <si>
    <t>5210-004-0001/632-001</t>
  </si>
  <si>
    <t xml:space="preserve">Dial Height gavge </t>
  </si>
  <si>
    <t>20 พ.ย.62</t>
  </si>
  <si>
    <t xml:space="preserve">UPS เครื่องสำรองไฟ </t>
  </si>
  <si>
    <t>5965-001-0001/632-001</t>
  </si>
  <si>
    <t>ไมค์ลอย</t>
  </si>
  <si>
    <t>7430-003-0001/632-002</t>
  </si>
  <si>
    <t>เครื่องปรื้นเตอร์ brother DCP-T510W</t>
  </si>
  <si>
    <t>7440-001-0001/632-002</t>
  </si>
  <si>
    <t>เครื่องคอมพิวเตอร์ PC ตั้งโต๊ะ</t>
  </si>
  <si>
    <t>7110-007-0001/632-001(6)</t>
  </si>
  <si>
    <t>โต๊ะอาหารพร้อมเก้าอี้ 4 ที่</t>
  </si>
  <si>
    <t>ประจำปี 2563 ณ วันที่ 30 กันยายน 2563</t>
  </si>
  <si>
    <t>(นางศิริรัตน์  คำเพราะ )</t>
  </si>
  <si>
    <t>ว่าที่ร้อยเอก .............................................</t>
  </si>
  <si>
    <t>7440-0001-0001/59-001-002(2)</t>
  </si>
  <si>
    <t>บริจาค</t>
  </si>
  <si>
    <t>เก้าอี้ประชุม</t>
  </si>
  <si>
    <t>แทงจำหน่ายแล้ว</t>
  </si>
  <si>
    <t xml:space="preserve">ชำรุด  </t>
  </si>
  <si>
    <t>ตู้ 2 บานเลื่อนทึบ  4 ฟุต SMART FORM</t>
  </si>
  <si>
    <t>ตู้ 2 บานเลื่อนกระจก  4 ฟุต SMART FORM</t>
  </si>
  <si>
    <t>7110-002-0006/491-011-012</t>
  </si>
  <si>
    <t>7110-002-0006/521-022</t>
  </si>
  <si>
    <t>6720-005-0002/531-004</t>
  </si>
  <si>
    <t>7440-001-0001/582-001</t>
  </si>
  <si>
    <t>6130-001-0001/531-009</t>
  </si>
  <si>
    <t>7430-008-0002/531-015</t>
  </si>
  <si>
    <t>เครื่องวัดกระแสไฟฟ้าตรงแบบไมโครแอมป์</t>
  </si>
  <si>
    <t>(นายสุขสันต์ สิทธิมวล)</t>
  </si>
  <si>
    <t>เครื่องกลึง</t>
  </si>
  <si>
    <t>6105-010-0001/632-001</t>
  </si>
  <si>
    <t>5210-0004-0001/622-001</t>
  </si>
  <si>
    <t>ชำรุด 2 ตัว</t>
  </si>
  <si>
    <t>.........................................................</t>
  </si>
  <si>
    <t>เครื่องคอมพิวเตอร์สำหรับประมวลผล แบบที่ 2
(จอขนาดไม่น้อยกว่า 18 นิ้ว)</t>
  </si>
  <si>
    <t>หมายเลขประจำ วัสดุ ครุภัณฑ์</t>
  </si>
  <si>
    <t xml:space="preserve"> </t>
  </si>
  <si>
    <t>เครื่องปริ้นเตอร์ EPSON L485</t>
  </si>
  <si>
    <t>เพิ่มเติม ในปี 64</t>
  </si>
  <si>
    <t>7440-001-0001-602-001</t>
  </si>
  <si>
    <t>7430-001-0002-602-001</t>
  </si>
  <si>
    <t>คอมพิวเตอร์ HP</t>
  </si>
  <si>
    <t>ปกศ.</t>
  </si>
  <si>
    <t>7110-002-0007/521-002</t>
  </si>
  <si>
    <t>วัน เดือน ปี ที่ได้มา</t>
  </si>
  <si>
    <t>งานทะเบียน</t>
  </si>
  <si>
    <t>งานบริหารงานทั่วไป</t>
  </si>
  <si>
    <t>งานพัสดุ</t>
  </si>
  <si>
    <t>งานบัญชี</t>
  </si>
  <si>
    <t>งานบุคลากร</t>
  </si>
  <si>
    <t>งานการเงิน</t>
  </si>
  <si>
    <t>งานอาคารสถานที่</t>
  </si>
  <si>
    <t>งานประชาสัมพันธ์</t>
  </si>
  <si>
    <t>งานโครงการพิเศษ</t>
  </si>
  <si>
    <t>เครื่องพิมพ์มัลติฟังชั่น HP LASER M 1120 MFP</t>
  </si>
  <si>
    <t>เครื่องอ่านบาร์โค๊ต TYSSO BMR-R-33 UM</t>
  </si>
  <si>
    <t>เครื่องมัลติฟังชั่น BAOTHER DCP 8056</t>
  </si>
  <si>
    <t>เครื่องปริ้น CANON 4800 *1200 DPI PIXMA</t>
  </si>
  <si>
    <t>งานกิจกรรม</t>
  </si>
  <si>
    <t>งานแนะแนว</t>
  </si>
  <si>
    <t>งานสวัสดิการ</t>
  </si>
  <si>
    <t>งานปกครอง</t>
  </si>
  <si>
    <t>งานวางแผน</t>
  </si>
  <si>
    <t>งานประกันคุณภาพ</t>
  </si>
  <si>
    <t>งานวิจัยฯ</t>
  </si>
  <si>
    <t>งานความร่วมมือ</t>
  </si>
  <si>
    <t>งานศูนย์ข้อมูล</t>
  </si>
  <si>
    <t>งานพัฒนาหลักสูตรฯ</t>
  </si>
  <si>
    <t>เครื่องมือถอดประกอบชุดระบบส่งกำลัง และเครื่องล่างรถยนต์</t>
  </si>
  <si>
    <t>แผนกช่างยนต์</t>
  </si>
  <si>
    <t>เครื่องเชื่อมทิก ขนาด 250 A WIM MODEL: TG300P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</si>
  <si>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</si>
  <si>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</si>
  <si>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 xml:space="preserve">7 ก.พ.60 </t>
  </si>
  <si>
    <t>เครื่องปริ้นเตอร์เอฟสัน CX3500</t>
  </si>
  <si>
    <t>แผนกการตลาด</t>
  </si>
  <si>
    <t>แผนกการบัญชี</t>
  </si>
  <si>
    <t xml:space="preserve"> 21 พ.ค.60</t>
  </si>
  <si>
    <t xml:space="preserve"> 6 ม.ค.58</t>
  </si>
  <si>
    <t xml:space="preserve"> 13 ก.พ.60</t>
  </si>
  <si>
    <t xml:space="preserve"> 8 พ.ย.48</t>
  </si>
  <si>
    <t xml:space="preserve"> 12 มิ.ย.63</t>
  </si>
  <si>
    <t xml:space="preserve"> 2 ก.พ.58</t>
  </si>
  <si>
    <t xml:space="preserve"> 31 ก.ค.60</t>
  </si>
  <si>
    <t xml:space="preserve"> 11 พ.ค.58</t>
  </si>
  <si>
    <t xml:space="preserve"> 20 ต.ค.57</t>
  </si>
  <si>
    <t xml:space="preserve"> 30 ก.ย.60</t>
  </si>
  <si>
    <t xml:space="preserve"> 23 ก.ค.63</t>
  </si>
  <si>
    <t>23 ก.ค.63</t>
  </si>
  <si>
    <t>6625-003-0004/391-001-391-002/
391-015,022-024</t>
  </si>
  <si>
    <t>งานวิทยบริการฯ</t>
  </si>
  <si>
    <t>แผนกเครื่องกลฯ</t>
  </si>
  <si>
    <t xml:space="preserve">แผนกช่างเชื่อมฯ </t>
  </si>
  <si>
    <t>แผนกเทคนิคพื้นฐาน</t>
  </si>
  <si>
    <t>แผนกไฟฟ้ากำลัง</t>
  </si>
  <si>
    <t>แผนกอิเล็กทรอนิคส์</t>
  </si>
  <si>
    <t>แผนกคอมพิวเตอร์</t>
  </si>
  <si>
    <t>แผนกสามัญสัมพันธ์</t>
  </si>
  <si>
    <t xml:space="preserve">งปม. </t>
  </si>
  <si>
    <t xml:space="preserve">งปม.  </t>
  </si>
  <si>
    <t>งานสื่อฯ</t>
  </si>
  <si>
    <t>งานวัดผลฯ</t>
  </si>
  <si>
    <t>งานอาชีวศึกษาฯ</t>
  </si>
  <si>
    <t>งานส่งเสริมผลิตผลฯ</t>
  </si>
  <si>
    <t>รวมทั้งสิ้น</t>
  </si>
  <si>
    <t xml:space="preserve">ชำรุด </t>
  </si>
  <si>
    <t>ชำรุด แทงจำหน่ายแล้ว</t>
  </si>
  <si>
    <t>7490-015-0004/512-002</t>
  </si>
  <si>
    <t>7110-002-0005/521-021</t>
  </si>
  <si>
    <t xml:space="preserve"> ชำรุด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</si>
  <si>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</si>
  <si>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</si>
  <si>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</si>
  <si>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</si>
  <si>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</si>
  <si>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</si>
  <si>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</si>
  <si>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</si>
  <si>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</si>
  <si>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</si>
  <si>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>12 มิ.ย.63</t>
  </si>
  <si>
    <t xml:space="preserve"> ....................................................</t>
  </si>
  <si>
    <t>4610-007-0001/602-001 (4)</t>
  </si>
  <si>
    <t>บัญชีรายการครุภัณฑ์ งานวางแผน คงเหลือ</t>
  </si>
  <si>
    <t>โปรแกรมจัดเก็บ Log File ตามพรบ. คอมพิวเตอร์ พ.ศ.2552</t>
  </si>
  <si>
    <t>11พ.ค.58</t>
  </si>
  <si>
    <t>20 ต.ค.57</t>
  </si>
  <si>
    <t>บัญชีรายการครุภัณฑ์ งานอาชีวศึกษาระบบทวิภาคี  คงเหลือ</t>
  </si>
  <si>
    <t>(นายคัคเนศวร์  โกมลศรี)</t>
  </si>
  <si>
    <t xml:space="preserve">  25 ก.ย.62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</si>
  <si>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</si>
  <si>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</si>
  <si>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</si>
  <si>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</si>
  <si>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</si>
  <si>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</si>
  <si>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</si>
  <si>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</si>
  <si>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</si>
  <si>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เอกสารหมายเลข 1</t>
  </si>
  <si>
    <t xml:space="preserve"> -</t>
  </si>
  <si>
    <t>วัน เดือน ปี 
ที่ได้มา</t>
  </si>
  <si>
    <t>เอกสารหมายเลข 2</t>
  </si>
  <si>
    <t>บัญชีรายการ ครุภัณฑ์  ชำรุด เสื่อมคุณภาพ ไม่ใช้ราชการ ของสถานศึกษา</t>
  </si>
  <si>
    <t>ประจำปีงบประมาณ 2563 สิ้นงวดเมื่อวันที่ 30 กันยายน 2563 ของแผนกช่างเชื่อมโลหะ</t>
  </si>
  <si>
    <t>ประจำปีงบประมาณ 2563 สิ้นงวดเมื่อวันที่ 30 กันยายน 2563 ของแผนกเครื่องกลอุตสาหกรรม</t>
  </si>
  <si>
    <t>ประจำปีงบประมาณ 2563 สิ้นงวดเมื่อวันที่ 30 กันยายน 2563 ของแผนกช่างยนต์</t>
  </si>
  <si>
    <t>เอกสารหมายเลข 3</t>
  </si>
  <si>
    <t>เอกสารหมายเลข 4</t>
  </si>
  <si>
    <t>เอกสารหมายเลข 5</t>
  </si>
  <si>
    <t>เอกสารหมายเลข 6</t>
  </si>
  <si>
    <t xml:space="preserve"> - </t>
  </si>
  <si>
    <t>ประจำปีงบประมาณ 2563 สิ้นงวดเมื่อวันที่ 30 กันยายน 2563 ของแผนกช่างกลโรงงาน</t>
  </si>
  <si>
    <t>ประจำปีงบประมาณ 2563 สิ้นงวดเมื่อวันที่ 30 กันยายน 2563 ของแผนกช่างไฟฟ้ากำลัง</t>
  </si>
  <si>
    <t>ประจำปีงบประมาณ 2563 สิ้นงวดเมื่อวันที่ 30 กันยายน 2563 ของแผนกช่างเทคนิคพื้นฐาน</t>
  </si>
  <si>
    <t>ประจำปีงบประมาณ 2563 สิ้นงวดเมื่อวันที่ 30 กันยายน 2563 ของแผนกช่างอิเล็กทรอนิกส์</t>
  </si>
  <si>
    <t>เอกสารหมายเลข 7</t>
  </si>
  <si>
    <t>เอกสารหมายเลข 8</t>
  </si>
  <si>
    <t>เอกสารหมายเลข 9</t>
  </si>
  <si>
    <t>ประจำปีงบประมาณ 2563 สิ้นงวดเมื่อวันที่ 30 กันยายน 2563 ของแผนกคอมพิวเตอร์</t>
  </si>
  <si>
    <t>เอกสารหมายเลข 10</t>
  </si>
  <si>
    <t>เอกสารหมายเลข 11</t>
  </si>
  <si>
    <t>เอกสารหมายเลข 12</t>
  </si>
  <si>
    <t>ประจำปีงบประมาณ 2563 สิ้นงวดเมื่อวันที่ 30 กันยายน 2563 ของแผนกการตลาด</t>
  </si>
  <si>
    <t>ประจำปีงบประมาณ 2563 สิ้นงวดเมื่อวันที่ 30 กันยายน 2563 ของแผนกการบัญชี</t>
  </si>
  <si>
    <t>เอกสารหมายเลข 13</t>
  </si>
  <si>
    <t>ประจำปีงบประมาณ 2563 สิ้นงวดเมื่อวันที่ 30 กันยายน 2563 ของแผนกสามัญสัมพันธ์</t>
  </si>
  <si>
    <t>เอกสารหมายเลข 14</t>
  </si>
  <si>
    <t>7440-001-0002/622-002</t>
  </si>
  <si>
    <t>ประจำปีงบประมาณ 2563 สิ้นงวดเมื่อวันที่ 30 กันยายน 2563 ของแผนกก่อสร้าง</t>
  </si>
  <si>
    <t>เอกสารหมายเลข 15</t>
  </si>
  <si>
    <t>ประจำปีงบประมาณ 2563 สิ้นงวดเมื่อวันที่ 30 กันยายน 2563 ของแผนกการโรงแรม</t>
  </si>
  <si>
    <t>เอกสารหมายเลข 16</t>
  </si>
  <si>
    <t>เอกสารหมายเลข 17</t>
  </si>
  <si>
    <t>(นายอภินันท์  อนุสินธุ์)</t>
  </si>
  <si>
    <t>เอกสารหมายเลข 18</t>
  </si>
  <si>
    <t>(นางสาวคำโฮม  คูณสว่าง)</t>
  </si>
  <si>
    <t>..................................................................</t>
  </si>
  <si>
    <t>ประจำปีงบประมาณ 2563 สิ้นงวดเมื่อวันที่ 30 กันยายน 2563 ของงานทะเบียน</t>
  </si>
  <si>
    <t>ประจำปีงบประมาณ 2563 สิ้นงวดเมื่อวันที่ 30 กันยายน 2563 ของงานบริหารงานทั่วไป</t>
  </si>
  <si>
    <t>เอกสารหมายเลข 19</t>
  </si>
  <si>
    <t>(นางสาวไพรินทร์  ทองกันยา)</t>
  </si>
  <si>
    <t>ประจำปีงบประมาณ 2563 สิ้นงวดเมื่อวันที่ 30 กันยายน 2563 ของงานพัสดุ</t>
  </si>
  <si>
    <t>เอกสารหมายเลข 20</t>
  </si>
  <si>
    <t>เอกสารหมายเลข 21</t>
  </si>
  <si>
    <t>6625-003-0004/391-001-391-002/
391-015, 022-024</t>
  </si>
  <si>
    <t>เอกสารหมายเลข 22</t>
  </si>
  <si>
    <t>ประจำปีงบประมาณ 2563 สิ้นงวดเมื่อวันที่ 30 กันยายน 2563 ของงานบัญชี</t>
  </si>
  <si>
    <t>เอกสารหมายเลข 23</t>
  </si>
  <si>
    <t>ประจำปีงบประมาณ 2563 สิ้นงวดเมื่อวันที่ 30 กันยายน 2563 ของงานบุคลากร</t>
  </si>
  <si>
    <t>ประจำปีงบประมาณ 2563 สิ้นงวดเมื่อวันที่ 30 กันยายน 2563 ของงานการเงิน</t>
  </si>
  <si>
    <t>เอกสารหมายเลข 24</t>
  </si>
  <si>
    <t>ประจำปีงบประมาณ 2563 สิ้นงวดเมื่อวันที่ 30 กันยายน 2563 ของงานอาคารและสถานที่</t>
  </si>
  <si>
    <t>เอกสารหมายเลข 25</t>
  </si>
  <si>
    <t>เอกสารหมายเลข 26</t>
  </si>
  <si>
    <t>เอกสารหมายเลข 27</t>
  </si>
  <si>
    <t>เอกสารหมายเลข 28</t>
  </si>
  <si>
    <t>ประจำปีงบประมาณ 2563 สิ้นงวดเมื่อวันที่ 30 กันยายน 2563 ของงานประชาสัมพันธ์</t>
  </si>
  <si>
    <t xml:space="preserve">ประจำปีงบประมาณ พ.ศ. 2563 สิ้นงวดเมื่อวันที่ 30 กันยายน 2563  </t>
  </si>
  <si>
    <t>เอกสารหมายเลข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</si>
</sst>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0.00;[Red]0.00"/>
    <numFmt numFmtId="166" formatCode="#,##0.00;[Red]#,##0.00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5"/>
      <color theme="1"/>
      <name val="TH SarabunPSK"/>
      <family val="2"/>
    </font>
    <font>
      <sz val="15"/>
      <color theme="1"/>
      <name val="TH SarabunPSK"/>
      <family val="2"/>
    </font>
    <font>
      <sz val="14"/>
      <name val="TH SarabunPSK"/>
      <family val="2"/>
    </font>
    <font>
      <sz val="13"/>
      <name val="TH SarabunPSK"/>
      <family val="2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2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sz val="12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</cellStyleXfs>
  <cellXfs count="49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49" fontId="4" fillId="0" borderId="1" xfId="0" applyNumberFormat="1" applyFont="1" applyBorder="1"/>
    <xf numFmtId="0" fontId="4" fillId="0" borderId="1" xfId="6" applyFont="1" applyBorder="1" applyAlignment="1">
      <alignment horizontal="left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7" fillId="2" borderId="1" xfId="6" applyFont="1" applyFill="1" applyBorder="1" applyAlignment="1">
      <alignment horizontal="left"/>
    </xf>
    <xf numFmtId="49" fontId="4" fillId="0" borderId="1" xfId="6" applyNumberFormat="1" applyFont="1" applyBorder="1" applyAlignment="1">
      <alignment horizontal="left"/>
    </xf>
    <xf numFmtId="0" fontId="7" fillId="0" borderId="1" xfId="6" applyFont="1" applyBorder="1"/>
    <xf numFmtId="0" fontId="8" fillId="0" borderId="1" xfId="6" applyFont="1" applyBorder="1"/>
    <xf numFmtId="0" fontId="4" fillId="0" borderId="1" xfId="6" applyFont="1" applyBorder="1" applyAlignment="1">
      <alignment horizontal="left" vertical="center"/>
    </xf>
    <xf numFmtId="0" fontId="9" fillId="0" borderId="0" xfId="0" applyFont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49" fontId="4" fillId="0" borderId="1" xfId="8" applyNumberFormat="1" applyFont="1" applyBorder="1" applyAlignment="1">
      <alignment horizontal="left"/>
    </xf>
    <xf numFmtId="49" fontId="7" fillId="0" borderId="1" xfId="8" applyNumberFormat="1" applyFont="1" applyBorder="1" applyAlignment="1">
      <alignment horizontal="left"/>
    </xf>
    <xf numFmtId="0" fontId="3" fillId="0" borderId="0" xfId="0" applyFont="1" applyBorder="1"/>
    <xf numFmtId="0" fontId="5" fillId="0" borderId="1" xfId="6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4" fillId="0" borderId="1" xfId="8" applyFont="1" applyBorder="1" applyAlignment="1">
      <alignment horizontal="left"/>
    </xf>
    <xf numFmtId="15" fontId="7" fillId="2" borderId="1" xfId="0" applyNumberFormat="1" applyFont="1" applyFill="1" applyBorder="1" applyAlignment="1">
      <alignment horizontal="center"/>
    </xf>
    <xf numFmtId="49" fontId="7" fillId="0" borderId="1" xfId="6" applyNumberFormat="1" applyFont="1" applyBorder="1" applyAlignment="1">
      <alignment horizontal="left"/>
    </xf>
    <xf numFmtId="0" fontId="7" fillId="0" borderId="1" xfId="8" applyFont="1" applyBorder="1" applyAlignment="1">
      <alignment horizontal="left"/>
    </xf>
    <xf numFmtId="43" fontId="7" fillId="0" borderId="1" xfId="1" applyFont="1" applyBorder="1" applyAlignment="1"/>
    <xf numFmtId="0" fontId="7" fillId="0" borderId="1" xfId="6" applyFont="1" applyBorder="1" applyAlignment="1"/>
    <xf numFmtId="0" fontId="7" fillId="0" borderId="1" xfId="6" applyFont="1" applyFill="1" applyBorder="1" applyAlignment="1">
      <alignment horizontal="left"/>
    </xf>
    <xf numFmtId="49" fontId="7" fillId="0" borderId="1" xfId="6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1" xfId="0" applyFont="1" applyBorder="1"/>
    <xf numFmtId="0" fontId="8" fillId="0" borderId="1" xfId="6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/>
    <xf numFmtId="0" fontId="8" fillId="0" borderId="1" xfId="6" applyFont="1" applyBorder="1" applyAlignment="1">
      <alignment horizontal="center"/>
    </xf>
    <xf numFmtId="0" fontId="8" fillId="0" borderId="0" xfId="6" applyFont="1"/>
    <xf numFmtId="0" fontId="12" fillId="0" borderId="0" xfId="0" applyFont="1"/>
    <xf numFmtId="43" fontId="8" fillId="0" borderId="1" xfId="1" applyFont="1" applyBorder="1" applyAlignment="1">
      <alignment horizontal="center"/>
    </xf>
    <xf numFmtId="43" fontId="8" fillId="0" borderId="1" xfId="1" applyFont="1" applyBorder="1"/>
    <xf numFmtId="43" fontId="8" fillId="0" borderId="1" xfId="6" applyNumberFormat="1" applyFont="1" applyBorder="1"/>
    <xf numFmtId="49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3" fontId="9" fillId="0" borderId="1" xfId="1" applyFont="1" applyBorder="1"/>
    <xf numFmtId="0" fontId="7" fillId="0" borderId="1" xfId="5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1" xfId="6" applyFont="1" applyFill="1" applyBorder="1"/>
    <xf numFmtId="0" fontId="7" fillId="0" borderId="7" xfId="2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/>
    <xf numFmtId="0" fontId="13" fillId="0" borderId="1" xfId="0" applyFont="1" applyBorder="1"/>
    <xf numFmtId="43" fontId="8" fillId="0" borderId="1" xfId="5" applyNumberFormat="1" applyFont="1" applyBorder="1" applyAlignment="1"/>
    <xf numFmtId="0" fontId="2" fillId="0" borderId="0" xfId="0" applyFont="1" applyBorder="1" applyAlignment="1">
      <alignment horizontal="center" vertical="center"/>
    </xf>
    <xf numFmtId="43" fontId="3" fillId="0" borderId="1" xfId="0" applyNumberFormat="1" applyFont="1" applyBorder="1" applyAlignment="1"/>
    <xf numFmtId="0" fontId="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6" applyFont="1" applyBorder="1" applyAlignment="1">
      <alignment horizontal="left"/>
    </xf>
    <xf numFmtId="0" fontId="9" fillId="0" borderId="1" xfId="6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43" fontId="8" fillId="2" borderId="1" xfId="1" applyFont="1" applyFill="1" applyBorder="1" applyAlignment="1">
      <alignment horizontal="center"/>
    </xf>
    <xf numFmtId="0" fontId="9" fillId="0" borderId="0" xfId="0" applyFont="1" applyAlignment="1"/>
    <xf numFmtId="0" fontId="8" fillId="0" borderId="0" xfId="5" applyFont="1" applyBorder="1" applyAlignment="1">
      <alignment horizontal="center"/>
    </xf>
    <xf numFmtId="43" fontId="8" fillId="0" borderId="0" xfId="5" applyNumberFormat="1" applyFont="1" applyBorder="1" applyAlignment="1"/>
    <xf numFmtId="43" fontId="9" fillId="0" borderId="0" xfId="1" applyFont="1" applyBorder="1"/>
    <xf numFmtId="0" fontId="9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1" xfId="6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43" fontId="8" fillId="0" borderId="1" xfId="12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/>
    <xf numFmtId="0" fontId="8" fillId="0" borderId="1" xfId="6" applyFont="1" applyBorder="1" applyAlignment="1"/>
    <xf numFmtId="49" fontId="8" fillId="2" borderId="1" xfId="0" applyNumberFormat="1" applyFont="1" applyFill="1" applyBorder="1" applyAlignment="1"/>
    <xf numFmtId="0" fontId="9" fillId="0" borderId="1" xfId="0" applyFont="1" applyBorder="1" applyAlignment="1"/>
    <xf numFmtId="0" fontId="8" fillId="0" borderId="1" xfId="10" applyFont="1" applyBorder="1" applyAlignment="1">
      <alignment horizontal="center"/>
    </xf>
    <xf numFmtId="0" fontId="8" fillId="0" borderId="1" xfId="1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43" fontId="8" fillId="0" borderId="1" xfId="1" applyFont="1" applyBorder="1" applyAlignment="1">
      <alignment horizontal="right"/>
    </xf>
    <xf numFmtId="49" fontId="8" fillId="0" borderId="1" xfId="0" applyNumberFormat="1" applyFont="1" applyFill="1" applyBorder="1" applyAlignment="1"/>
    <xf numFmtId="43" fontId="8" fillId="0" borderId="1" xfId="1" applyFont="1" applyFill="1" applyBorder="1" applyAlignment="1">
      <alignment horizontal="right"/>
    </xf>
    <xf numFmtId="15" fontId="8" fillId="2" borderId="1" xfId="0" applyNumberFormat="1" applyFont="1" applyFill="1" applyBorder="1" applyAlignment="1">
      <alignment horizontal="center"/>
    </xf>
    <xf numFmtId="15" fontId="9" fillId="2" borderId="1" xfId="0" applyNumberFormat="1" applyFont="1" applyFill="1" applyBorder="1" applyAlignment="1">
      <alignment horizontal="center"/>
    </xf>
    <xf numFmtId="0" fontId="8" fillId="2" borderId="1" xfId="6" applyFont="1" applyFill="1" applyBorder="1" applyAlignment="1"/>
    <xf numFmtId="0" fontId="8" fillId="2" borderId="1" xfId="6" applyFont="1" applyFill="1" applyBorder="1"/>
    <xf numFmtId="0" fontId="9" fillId="2" borderId="1" xfId="0" applyFont="1" applyFill="1" applyBorder="1" applyAlignment="1">
      <alignment horizontal="center"/>
    </xf>
    <xf numFmtId="0" fontId="8" fillId="0" borderId="1" xfId="6" applyFont="1" applyBorder="1" applyAlignment="1">
      <alignment vertical="center"/>
    </xf>
    <xf numFmtId="0" fontId="8" fillId="0" borderId="1" xfId="6" applyFont="1" applyBorder="1" applyAlignment="1">
      <alignment horizontal="left" vertical="center"/>
    </xf>
    <xf numFmtId="49" fontId="8" fillId="0" borderId="1" xfId="7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43" fontId="8" fillId="0" borderId="1" xfId="12" applyNumberFormat="1" applyFont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8" fillId="0" borderId="1" xfId="6" applyFont="1" applyFill="1" applyBorder="1" applyAlignment="1">
      <alignment horizontal="center"/>
    </xf>
    <xf numFmtId="49" fontId="8" fillId="0" borderId="1" xfId="13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43" fontId="8" fillId="0" borderId="1" xfId="1" applyFont="1" applyFill="1" applyBorder="1"/>
    <xf numFmtId="49" fontId="8" fillId="0" borderId="1" xfId="6" applyNumberFormat="1" applyFont="1" applyBorder="1" applyAlignment="1">
      <alignment horizontal="left"/>
    </xf>
    <xf numFmtId="43" fontId="8" fillId="0" borderId="1" xfId="12" applyFont="1" applyBorder="1" applyAlignment="1">
      <alignment horizontal="center"/>
    </xf>
    <xf numFmtId="49" fontId="8" fillId="0" borderId="1" xfId="6" applyNumberFormat="1" applyFont="1" applyBorder="1"/>
    <xf numFmtId="0" fontId="8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43" fontId="9" fillId="0" borderId="1" xfId="0" applyNumberFormat="1" applyFont="1" applyBorder="1"/>
    <xf numFmtId="43" fontId="9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7" fillId="0" borderId="1" xfId="6" applyFont="1" applyBorder="1" applyAlignment="1">
      <alignment horizontal="left" vertical="top" wrapText="1"/>
    </xf>
    <xf numFmtId="0" fontId="9" fillId="0" borderId="0" xfId="0" applyFont="1" applyAlignment="1">
      <alignment vertical="top"/>
    </xf>
    <xf numFmtId="49" fontId="8" fillId="3" borderId="1" xfId="0" applyNumberFormat="1" applyFont="1" applyFill="1" applyBorder="1" applyAlignment="1">
      <alignment horizontal="center" vertical="top"/>
    </xf>
    <xf numFmtId="49" fontId="8" fillId="0" borderId="1" xfId="0" applyNumberFormat="1" applyFont="1" applyBorder="1" applyAlignment="1">
      <alignment horizontal="center" vertical="top"/>
    </xf>
    <xf numFmtId="49" fontId="8" fillId="0" borderId="1" xfId="8" applyNumberFormat="1" applyFont="1" applyBorder="1" applyAlignment="1">
      <alignment horizontal="left"/>
    </xf>
    <xf numFmtId="0" fontId="8" fillId="0" borderId="1" xfId="6" applyFont="1" applyFill="1" applyBorder="1"/>
    <xf numFmtId="0" fontId="8" fillId="0" borderId="1" xfId="8" applyFont="1" applyBorder="1"/>
    <xf numFmtId="49" fontId="8" fillId="0" borderId="1" xfId="6" applyNumberFormat="1" applyFont="1" applyBorder="1" applyAlignment="1">
      <alignment horizontal="left" vertical="center"/>
    </xf>
    <xf numFmtId="0" fontId="8" fillId="0" borderId="1" xfId="6" applyFont="1" applyBorder="1" applyAlignment="1">
      <alignment vertical="top" wrapText="1"/>
    </xf>
    <xf numFmtId="0" fontId="8" fillId="0" borderId="1" xfId="6" applyFont="1" applyBorder="1" applyAlignment="1">
      <alignment horizontal="left" vertical="top"/>
    </xf>
    <xf numFmtId="0" fontId="8" fillId="0" borderId="1" xfId="8" applyFont="1" applyBorder="1" applyAlignment="1">
      <alignment horizontal="left"/>
    </xf>
    <xf numFmtId="43" fontId="4" fillId="0" borderId="1" xfId="12" applyNumberFormat="1" applyFont="1" applyFill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center"/>
    </xf>
    <xf numFmtId="43" fontId="4" fillId="0" borderId="1" xfId="6" applyNumberFormat="1" applyFont="1" applyBorder="1" applyAlignment="1">
      <alignment horizontal="center" vertical="center"/>
    </xf>
    <xf numFmtId="43" fontId="4" fillId="0" borderId="1" xfId="6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49" fontId="4" fillId="0" borderId="1" xfId="6" applyNumberFormat="1" applyFont="1" applyBorder="1" applyAlignment="1">
      <alignment horizontal="center" vertical="center" wrapText="1"/>
    </xf>
    <xf numFmtId="43" fontId="11" fillId="0" borderId="1" xfId="0" applyNumberFormat="1" applyFont="1" applyBorder="1"/>
    <xf numFmtId="43" fontId="8" fillId="2" borderId="1" xfId="12" applyNumberFormat="1" applyFont="1" applyFill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43" fontId="8" fillId="0" borderId="1" xfId="12" applyNumberFormat="1" applyFont="1" applyBorder="1" applyAlignment="1">
      <alignment horizontal="center" vertical="top"/>
    </xf>
    <xf numFmtId="43" fontId="8" fillId="2" borderId="1" xfId="12" applyFont="1" applyFill="1" applyBorder="1" applyAlignment="1">
      <alignment horizontal="center"/>
    </xf>
    <xf numFmtId="43" fontId="8" fillId="0" borderId="1" xfId="6" applyNumberFormat="1" applyFont="1" applyFill="1" applyBorder="1"/>
    <xf numFmtId="164" fontId="8" fillId="0" borderId="1" xfId="1" applyNumberFormat="1" applyFont="1" applyBorder="1"/>
    <xf numFmtId="43" fontId="9" fillId="0" borderId="1" xfId="6" applyNumberFormat="1" applyFont="1" applyBorder="1"/>
    <xf numFmtId="43" fontId="9" fillId="0" borderId="1" xfId="1" applyFont="1" applyBorder="1" applyAlignment="1">
      <alignment horizontal="center"/>
    </xf>
    <xf numFmtId="43" fontId="8" fillId="0" borderId="1" xfId="1" applyFont="1" applyBorder="1" applyAlignment="1"/>
    <xf numFmtId="43" fontId="8" fillId="0" borderId="1" xfId="1" applyFont="1" applyBorder="1" applyAlignment="1">
      <alignment vertical="top"/>
    </xf>
    <xf numFmtId="0" fontId="8" fillId="0" borderId="1" xfId="6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0" fontId="9" fillId="0" borderId="1" xfId="6" applyFont="1" applyBorder="1" applyAlignment="1">
      <alignment horizontal="center" vertical="center"/>
    </xf>
    <xf numFmtId="0" fontId="8" fillId="0" borderId="1" xfId="8" applyFont="1" applyBorder="1" applyAlignment="1">
      <alignment horizontal="center"/>
    </xf>
    <xf numFmtId="0" fontId="8" fillId="0" borderId="1" xfId="6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top"/>
    </xf>
    <xf numFmtId="0" fontId="8" fillId="0" borderId="1" xfId="8" applyFont="1" applyFill="1" applyBorder="1" applyAlignment="1">
      <alignment horizontal="center"/>
    </xf>
    <xf numFmtId="164" fontId="8" fillId="0" borderId="1" xfId="1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43" fontId="8" fillId="0" borderId="1" xfId="6" applyNumberFormat="1" applyFont="1" applyBorder="1" applyAlignment="1">
      <alignment horizontal="center" vertical="center"/>
    </xf>
    <xf numFmtId="43" fontId="8" fillId="0" borderId="1" xfId="6" applyNumberFormat="1" applyFont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43" fontId="8" fillId="0" borderId="1" xfId="1" applyFont="1" applyBorder="1" applyAlignment="1">
      <alignment horizontal="center" vertical="top"/>
    </xf>
    <xf numFmtId="43" fontId="9" fillId="0" borderId="0" xfId="1" applyFont="1" applyBorder="1" applyAlignment="1">
      <alignment horizontal="center"/>
    </xf>
    <xf numFmtId="43" fontId="9" fillId="0" borderId="1" xfId="1" applyFont="1" applyBorder="1" applyAlignment="1">
      <alignment horizontal="center" vertical="center"/>
    </xf>
    <xf numFmtId="43" fontId="9" fillId="0" borderId="1" xfId="1" applyFont="1" applyBorder="1" applyAlignment="1">
      <alignment vertical="top"/>
    </xf>
    <xf numFmtId="43" fontId="8" fillId="0" borderId="1" xfId="1" applyFont="1" applyBorder="1" applyAlignment="1">
      <alignment horizontal="left"/>
    </xf>
    <xf numFmtId="43" fontId="8" fillId="0" borderId="1" xfId="1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7" fillId="0" borderId="1" xfId="8" applyFont="1" applyFill="1" applyBorder="1" applyAlignment="1">
      <alignment horizontal="left"/>
    </xf>
    <xf numFmtId="0" fontId="8" fillId="0" borderId="1" xfId="8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horizontal="left" vertical="top"/>
    </xf>
    <xf numFmtId="0" fontId="8" fillId="0" borderId="1" xfId="5" applyFont="1" applyBorder="1" applyAlignment="1">
      <alignment horizontal="center" vertical="top"/>
    </xf>
    <xf numFmtId="43" fontId="8" fillId="0" borderId="1" xfId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49" fontId="8" fillId="0" borderId="5" xfId="0" applyNumberFormat="1" applyFont="1" applyBorder="1" applyAlignment="1">
      <alignment horizontal="left"/>
    </xf>
    <xf numFmtId="43" fontId="8" fillId="0" borderId="5" xfId="1" applyFont="1" applyBorder="1" applyAlignment="1">
      <alignment horizontal="right"/>
    </xf>
    <xf numFmtId="0" fontId="8" fillId="0" borderId="5" xfId="2" applyFont="1" applyBorder="1" applyAlignment="1">
      <alignment horizontal="center"/>
    </xf>
    <xf numFmtId="0" fontId="8" fillId="0" borderId="5" xfId="5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9" fontId="8" fillId="0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vertical="top"/>
    </xf>
    <xf numFmtId="43" fontId="8" fillId="0" borderId="1" xfId="1" applyFont="1" applyFill="1" applyBorder="1" applyAlignment="1">
      <alignment horizontal="right" vertical="top"/>
    </xf>
    <xf numFmtId="165" fontId="9" fillId="0" borderId="1" xfId="0" applyNumberFormat="1" applyFont="1" applyBorder="1" applyAlignment="1">
      <alignment vertical="top"/>
    </xf>
    <xf numFmtId="165" fontId="8" fillId="0" borderId="1" xfId="0" applyNumberFormat="1" applyFont="1" applyBorder="1" applyAlignment="1">
      <alignment horizontal="left" vertical="top"/>
    </xf>
    <xf numFmtId="165" fontId="8" fillId="0" borderId="1" xfId="0" applyNumberFormat="1" applyFont="1" applyBorder="1" applyAlignment="1">
      <alignment vertical="top"/>
    </xf>
    <xf numFmtId="165" fontId="9" fillId="0" borderId="1" xfId="0" applyNumberFormat="1" applyFont="1" applyBorder="1" applyAlignment="1">
      <alignment horizontal="center" vertical="top"/>
    </xf>
    <xf numFmtId="165" fontId="9" fillId="0" borderId="0" xfId="0" applyNumberFormat="1" applyFont="1" applyBorder="1" applyAlignment="1">
      <alignment vertical="top"/>
    </xf>
    <xf numFmtId="165" fontId="12" fillId="0" borderId="0" xfId="0" applyNumberFormat="1" applyFont="1" applyAlignment="1">
      <alignment vertical="top"/>
    </xf>
    <xf numFmtId="0" fontId="8" fillId="2" borderId="1" xfId="6" applyFont="1" applyFill="1" applyBorder="1" applyAlignment="1">
      <alignment horizontal="left"/>
    </xf>
    <xf numFmtId="43" fontId="8" fillId="0" borderId="2" xfId="5" applyNumberFormat="1" applyFont="1" applyBorder="1" applyAlignment="1"/>
    <xf numFmtId="43" fontId="8" fillId="0" borderId="0" xfId="5" applyNumberFormat="1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2" xfId="6" applyNumberFormat="1" applyFont="1" applyBorder="1"/>
    <xf numFmtId="0" fontId="8" fillId="0" borderId="5" xfId="6" applyFont="1" applyBorder="1" applyAlignment="1">
      <alignment horizontal="center"/>
    </xf>
    <xf numFmtId="0" fontId="8" fillId="0" borderId="5" xfId="6" applyFont="1" applyBorder="1"/>
    <xf numFmtId="43" fontId="8" fillId="0" borderId="5" xfId="1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43" fontId="8" fillId="0" borderId="5" xfId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3" fontId="9" fillId="0" borderId="0" xfId="0" applyNumberFormat="1" applyFont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0" fontId="8" fillId="0" borderId="5" xfId="6" applyFont="1" applyBorder="1" applyAlignment="1">
      <alignment horizontal="left"/>
    </xf>
    <xf numFmtId="43" fontId="8" fillId="0" borderId="0" xfId="12" applyNumberFormat="1" applyFont="1" applyBorder="1" applyAlignment="1">
      <alignment horizontal="center"/>
    </xf>
    <xf numFmtId="43" fontId="9" fillId="0" borderId="0" xfId="0" applyNumberFormat="1" applyFont="1"/>
    <xf numFmtId="0" fontId="8" fillId="3" borderId="1" xfId="0" applyFont="1" applyFill="1" applyBorder="1" applyAlignment="1">
      <alignment horizontal="center" vertical="center"/>
    </xf>
    <xf numFmtId="0" fontId="8" fillId="0" borderId="7" xfId="6" applyFont="1" applyBorder="1" applyAlignment="1">
      <alignment horizontal="left"/>
    </xf>
    <xf numFmtId="0" fontId="8" fillId="0" borderId="8" xfId="6" applyFont="1" applyBorder="1" applyAlignment="1">
      <alignment horizontal="left" vertical="center"/>
    </xf>
    <xf numFmtId="43" fontId="8" fillId="0" borderId="7" xfId="1" applyFont="1" applyFill="1" applyBorder="1" applyAlignment="1">
      <alignment horizontal="center"/>
    </xf>
    <xf numFmtId="15" fontId="8" fillId="0" borderId="0" xfId="0" applyNumberFormat="1" applyFont="1" applyBorder="1" applyAlignment="1">
      <alignment horizontal="center"/>
    </xf>
    <xf numFmtId="43" fontId="8" fillId="0" borderId="4" xfId="12" applyNumberFormat="1" applyFont="1" applyBorder="1" applyAlignment="1">
      <alignment horizontal="center"/>
    </xf>
    <xf numFmtId="43" fontId="8" fillId="0" borderId="0" xfId="12" applyFont="1" applyBorder="1" applyAlignment="1">
      <alignment horizontal="center"/>
    </xf>
    <xf numFmtId="0" fontId="8" fillId="0" borderId="5" xfId="6" applyFont="1" applyFill="1" applyBorder="1" applyAlignment="1">
      <alignment horizontal="center"/>
    </xf>
    <xf numFmtId="43" fontId="8" fillId="0" borderId="5" xfId="1" applyFont="1" applyFill="1" applyBorder="1" applyAlignment="1">
      <alignment horizontal="center"/>
    </xf>
    <xf numFmtId="0" fontId="8" fillId="2" borderId="5" xfId="6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43" fontId="9" fillId="0" borderId="0" xfId="0" applyNumberFormat="1" applyFont="1" applyFill="1" applyBorder="1" applyAlignment="1">
      <alignment horizontal="center"/>
    </xf>
    <xf numFmtId="43" fontId="9" fillId="0" borderId="0" xfId="0" applyNumberFormat="1" applyFont="1" applyFill="1" applyBorder="1"/>
    <xf numFmtId="0" fontId="9" fillId="0" borderId="0" xfId="0" applyFont="1" applyBorder="1" applyAlignment="1">
      <alignment horizontal="left"/>
    </xf>
    <xf numFmtId="0" fontId="9" fillId="0" borderId="0" xfId="0" applyFont="1" applyFill="1" applyBorder="1"/>
    <xf numFmtId="43" fontId="16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Fill="1"/>
    <xf numFmtId="43" fontId="8" fillId="0" borderId="0" xfId="1" applyFont="1" applyBorder="1" applyAlignment="1"/>
    <xf numFmtId="0" fontId="8" fillId="0" borderId="7" xfId="6" applyFont="1" applyBorder="1" applyAlignment="1">
      <alignment horizontal="left" vertical="center"/>
    </xf>
    <xf numFmtId="43" fontId="8" fillId="0" borderId="9" xfId="1" applyFont="1" applyBorder="1" applyAlignment="1">
      <alignment horizontal="center"/>
    </xf>
    <xf numFmtId="43" fontId="8" fillId="0" borderId="4" xfId="5" applyNumberFormat="1" applyFont="1" applyBorder="1" applyAlignment="1">
      <alignment horizontal="center"/>
    </xf>
    <xf numFmtId="0" fontId="8" fillId="0" borderId="0" xfId="5" applyFont="1" applyBorder="1" applyAlignment="1"/>
    <xf numFmtId="0" fontId="8" fillId="0" borderId="1" xfId="5" applyFont="1" applyBorder="1" applyAlignment="1"/>
    <xf numFmtId="43" fontId="8" fillId="0" borderId="1" xfId="5" applyNumberFormat="1" applyFont="1" applyBorder="1" applyAlignment="1">
      <alignment horizontal="center"/>
    </xf>
    <xf numFmtId="43" fontId="8" fillId="0" borderId="0" xfId="12" applyNumberFormat="1" applyFont="1" applyBorder="1" applyAlignment="1"/>
    <xf numFmtId="43" fontId="9" fillId="0" borderId="1" xfId="0" applyNumberFormat="1" applyFont="1" applyBorder="1" applyAlignment="1"/>
    <xf numFmtId="43" fontId="9" fillId="0" borderId="4" xfId="0" applyNumberFormat="1" applyFont="1" applyBorder="1" applyAlignment="1"/>
    <xf numFmtId="0" fontId="8" fillId="0" borderId="11" xfId="2" applyFont="1" applyBorder="1" applyAlignment="1">
      <alignment horizontal="center"/>
    </xf>
    <xf numFmtId="43" fontId="8" fillId="0" borderId="2" xfId="1" applyFont="1" applyBorder="1" applyAlignment="1">
      <alignment horizontal="right"/>
    </xf>
    <xf numFmtId="43" fontId="8" fillId="0" borderId="10" xfId="1" applyFont="1" applyBorder="1"/>
    <xf numFmtId="43" fontId="8" fillId="0" borderId="10" xfId="1" applyFont="1" applyBorder="1" applyAlignment="1">
      <alignment horizontal="center"/>
    </xf>
    <xf numFmtId="43" fontId="9" fillId="0" borderId="2" xfId="0" applyNumberFormat="1" applyFont="1" applyBorder="1" applyAlignment="1"/>
    <xf numFmtId="0" fontId="9" fillId="0" borderId="4" xfId="0" applyFont="1" applyBorder="1" applyAlignment="1"/>
    <xf numFmtId="0" fontId="9" fillId="0" borderId="0" xfId="0" applyFont="1" applyBorder="1" applyAlignment="1"/>
    <xf numFmtId="43" fontId="9" fillId="0" borderId="0" xfId="0" applyNumberFormat="1" applyFont="1" applyBorder="1"/>
    <xf numFmtId="43" fontId="9" fillId="0" borderId="0" xfId="0" applyNumberFormat="1" applyFont="1" applyBorder="1" applyAlignment="1"/>
    <xf numFmtId="43" fontId="8" fillId="0" borderId="0" xfId="12" applyFont="1" applyBorder="1"/>
    <xf numFmtId="0" fontId="8" fillId="0" borderId="1" xfId="13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43" fontId="8" fillId="0" borderId="9" xfId="1" applyFont="1" applyBorder="1"/>
    <xf numFmtId="0" fontId="8" fillId="0" borderId="7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49" fontId="8" fillId="0" borderId="7" xfId="6" applyNumberFormat="1" applyFont="1" applyBorder="1" applyAlignment="1">
      <alignment horizontal="left" vertical="center"/>
    </xf>
    <xf numFmtId="49" fontId="8" fillId="0" borderId="8" xfId="6" applyNumberFormat="1" applyFont="1" applyBorder="1" applyAlignment="1">
      <alignment horizontal="left" vertical="center"/>
    </xf>
    <xf numFmtId="0" fontId="8" fillId="0" borderId="8" xfId="6" applyNumberFormat="1" applyFont="1" applyBorder="1" applyAlignment="1">
      <alignment horizontal="center" vertical="center"/>
    </xf>
    <xf numFmtId="43" fontId="8" fillId="0" borderId="7" xfId="1" applyFont="1" applyBorder="1" applyAlignment="1">
      <alignment horizontal="center"/>
    </xf>
    <xf numFmtId="0" fontId="8" fillId="0" borderId="2" xfId="6" applyFont="1" applyBorder="1" applyAlignment="1">
      <alignment horizontal="center"/>
    </xf>
    <xf numFmtId="0" fontId="8" fillId="0" borderId="7" xfId="6" applyFont="1" applyBorder="1"/>
    <xf numFmtId="0" fontId="8" fillId="0" borderId="9" xfId="6" applyFont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0" fontId="8" fillId="0" borderId="7" xfId="0" applyFont="1" applyBorder="1" applyAlignment="1">
      <alignment horizontal="center"/>
    </xf>
    <xf numFmtId="43" fontId="8" fillId="0" borderId="7" xfId="1" applyFont="1" applyBorder="1"/>
    <xf numFmtId="43" fontId="17" fillId="0" borderId="1" xfId="12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6" xfId="6" applyFont="1" applyBorder="1" applyAlignment="1">
      <alignment horizontal="left"/>
    </xf>
    <xf numFmtId="2" fontId="8" fillId="0" borderId="1" xfId="0" applyNumberFormat="1" applyFont="1" applyBorder="1" applyAlignment="1">
      <alignment horizontal="center" vertical="top"/>
    </xf>
    <xf numFmtId="2" fontId="8" fillId="0" borderId="7" xfId="6" applyNumberFormat="1" applyFont="1" applyBorder="1" applyAlignment="1">
      <alignment horizontal="left" vertical="top" wrapText="1"/>
    </xf>
    <xf numFmtId="2" fontId="8" fillId="0" borderId="1" xfId="6" applyNumberFormat="1" applyFont="1" applyBorder="1" applyAlignment="1">
      <alignment horizontal="left" vertical="top"/>
    </xf>
    <xf numFmtId="2" fontId="8" fillId="0" borderId="1" xfId="2" applyNumberFormat="1" applyFont="1" applyBorder="1" applyAlignment="1">
      <alignment horizontal="center" vertical="top"/>
    </xf>
    <xf numFmtId="2" fontId="8" fillId="0" borderId="1" xfId="1" applyNumberFormat="1" applyFont="1" applyBorder="1" applyAlignment="1">
      <alignment vertical="top"/>
    </xf>
    <xf numFmtId="2" fontId="8" fillId="0" borderId="1" xfId="12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43" fontId="8" fillId="0" borderId="7" xfId="1" applyFont="1" applyBorder="1" applyAlignment="1">
      <alignment vertical="top"/>
    </xf>
    <xf numFmtId="1" fontId="8" fillId="0" borderId="1" xfId="6" applyNumberFormat="1" applyFont="1" applyBorder="1" applyAlignment="1">
      <alignment horizontal="center" vertical="top"/>
    </xf>
    <xf numFmtId="0" fontId="8" fillId="3" borderId="5" xfId="0" applyFont="1" applyFill="1" applyBorder="1" applyAlignment="1">
      <alignment horizontal="center" vertical="center"/>
    </xf>
    <xf numFmtId="43" fontId="8" fillId="0" borderId="5" xfId="12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5" xfId="13" applyNumberFormat="1" applyFont="1" applyBorder="1" applyAlignment="1">
      <alignment horizontal="center"/>
    </xf>
    <xf numFmtId="0" fontId="8" fillId="0" borderId="1" xfId="6" applyFont="1" applyFill="1" applyBorder="1" applyAlignment="1">
      <alignment horizontal="left"/>
    </xf>
    <xf numFmtId="43" fontId="8" fillId="0" borderId="5" xfId="1" applyFont="1" applyFill="1" applyBorder="1"/>
    <xf numFmtId="43" fontId="9" fillId="0" borderId="1" xfId="0" applyNumberFormat="1" applyFont="1" applyFill="1" applyBorder="1" applyAlignment="1"/>
    <xf numFmtId="0" fontId="9" fillId="0" borderId="4" xfId="0" applyFont="1" applyFill="1" applyBorder="1" applyAlignment="1"/>
    <xf numFmtId="0" fontId="8" fillId="0" borderId="11" xfId="2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43" fontId="8" fillId="0" borderId="1" xfId="1" applyFont="1" applyFill="1" applyBorder="1" applyAlignment="1">
      <alignment horizontal="center" vertical="top"/>
    </xf>
    <xf numFmtId="0" fontId="11" fillId="0" borderId="0" xfId="0" applyFont="1" applyBorder="1" applyAlignment="1">
      <alignment horizontal="center"/>
    </xf>
    <xf numFmtId="0" fontId="8" fillId="0" borderId="5" xfId="6" applyFont="1" applyBorder="1" applyAlignment="1"/>
    <xf numFmtId="43" fontId="8" fillId="0" borderId="0" xfId="1" applyFont="1" applyBorder="1" applyAlignment="1">
      <alignment horizontal="center"/>
    </xf>
    <xf numFmtId="0" fontId="8" fillId="0" borderId="5" xfId="8" applyFont="1" applyBorder="1" applyAlignment="1">
      <alignment horizontal="left"/>
    </xf>
    <xf numFmtId="0" fontId="8" fillId="0" borderId="5" xfId="8" applyFont="1" applyBorder="1"/>
    <xf numFmtId="0" fontId="12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15" fontId="9" fillId="0" borderId="12" xfId="0" applyNumberFormat="1" applyFont="1" applyBorder="1" applyAlignment="1">
      <alignment horizontal="center"/>
    </xf>
    <xf numFmtId="0" fontId="8" fillId="2" borderId="12" xfId="6" applyFont="1" applyFill="1" applyBorder="1" applyAlignment="1">
      <alignment horizontal="left"/>
    </xf>
    <xf numFmtId="0" fontId="8" fillId="0" borderId="12" xfId="6" applyFont="1" applyBorder="1"/>
    <xf numFmtId="0" fontId="9" fillId="0" borderId="12" xfId="0" applyFont="1" applyBorder="1" applyAlignment="1">
      <alignment horizontal="center"/>
    </xf>
    <xf numFmtId="0" fontId="8" fillId="0" borderId="12" xfId="6" applyFont="1" applyBorder="1" applyAlignment="1">
      <alignment horizontal="center"/>
    </xf>
    <xf numFmtId="43" fontId="8" fillId="0" borderId="12" xfId="1" applyFont="1" applyBorder="1"/>
    <xf numFmtId="0" fontId="9" fillId="2" borderId="12" xfId="0" applyFont="1" applyFill="1" applyBorder="1" applyAlignment="1">
      <alignment horizontal="center"/>
    </xf>
    <xf numFmtId="43" fontId="9" fillId="0" borderId="13" xfId="0" applyNumberFormat="1" applyFont="1" applyBorder="1" applyAlignment="1"/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right"/>
    </xf>
    <xf numFmtId="49" fontId="8" fillId="0" borderId="5" xfId="7" applyNumberFormat="1" applyFont="1" applyBorder="1" applyAlignment="1">
      <alignment horizontal="center"/>
    </xf>
    <xf numFmtId="49" fontId="8" fillId="0" borderId="5" xfId="6" applyNumberFormat="1" applyFont="1" applyBorder="1" applyAlignment="1">
      <alignment horizontal="left" vertical="center"/>
    </xf>
    <xf numFmtId="0" fontId="8" fillId="0" borderId="5" xfId="8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43" fontId="9" fillId="0" borderId="16" xfId="0" applyNumberFormat="1" applyFont="1" applyBorder="1" applyAlignment="1"/>
    <xf numFmtId="0" fontId="9" fillId="0" borderId="16" xfId="0" applyFont="1" applyBorder="1" applyAlignment="1">
      <alignment horizontal="center"/>
    </xf>
    <xf numFmtId="0" fontId="16" fillId="0" borderId="0" xfId="0" applyFont="1"/>
    <xf numFmtId="0" fontId="9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0" fontId="8" fillId="2" borderId="5" xfId="6" applyFont="1" applyFill="1" applyBorder="1"/>
    <xf numFmtId="0" fontId="8" fillId="2" borderId="5" xfId="2" applyFont="1" applyFill="1" applyBorder="1" applyAlignment="1">
      <alignment horizontal="center"/>
    </xf>
    <xf numFmtId="0" fontId="8" fillId="2" borderId="5" xfId="6" applyFont="1" applyFill="1" applyBorder="1" applyAlignment="1">
      <alignment horizontal="center"/>
    </xf>
    <xf numFmtId="43" fontId="8" fillId="2" borderId="5" xfId="1" applyFont="1" applyFill="1" applyBorder="1"/>
    <xf numFmtId="43" fontId="8" fillId="2" borderId="5" xfId="12" applyFont="1" applyFill="1" applyBorder="1" applyAlignment="1">
      <alignment horizontal="center"/>
    </xf>
    <xf numFmtId="43" fontId="8" fillId="0" borderId="6" xfId="1" applyFont="1" applyBorder="1"/>
    <xf numFmtId="0" fontId="8" fillId="0" borderId="0" xfId="0" applyFont="1" applyBorder="1" applyAlignment="1">
      <alignment horizontal="center"/>
    </xf>
    <xf numFmtId="49" fontId="8" fillId="0" borderId="0" xfId="13" applyNumberFormat="1" applyFont="1" applyBorder="1" applyAlignment="1">
      <alignment horizontal="center"/>
    </xf>
    <xf numFmtId="0" fontId="8" fillId="0" borderId="0" xfId="6" applyFont="1" applyBorder="1" applyAlignment="1">
      <alignment horizontal="left"/>
    </xf>
    <xf numFmtId="0" fontId="8" fillId="0" borderId="0" xfId="6" applyFont="1" applyBorder="1"/>
    <xf numFmtId="0" fontId="8" fillId="0" borderId="0" xfId="6" applyFont="1" applyBorder="1" applyAlignment="1">
      <alignment horizontal="center"/>
    </xf>
    <xf numFmtId="43" fontId="8" fillId="0" borderId="0" xfId="1" applyFont="1" applyBorder="1"/>
    <xf numFmtId="1" fontId="8" fillId="0" borderId="1" xfId="2" applyNumberFormat="1" applyFont="1" applyBorder="1" applyAlignment="1">
      <alignment horizontal="center" vertical="top"/>
    </xf>
    <xf numFmtId="43" fontId="9" fillId="0" borderId="7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43" fontId="8" fillId="0" borderId="13" xfId="1" applyFont="1" applyBorder="1"/>
    <xf numFmtId="43" fontId="8" fillId="0" borderId="5" xfId="1" applyFont="1" applyBorder="1" applyAlignment="1"/>
    <xf numFmtId="43" fontId="8" fillId="0" borderId="13" xfId="12" applyNumberFormat="1" applyFont="1" applyBorder="1" applyAlignment="1">
      <alignment horizontal="center"/>
    </xf>
    <xf numFmtId="43" fontId="8" fillId="0" borderId="17" xfId="1" applyFont="1" applyBorder="1"/>
    <xf numFmtId="0" fontId="9" fillId="0" borderId="17" xfId="0" applyFont="1" applyBorder="1" applyAlignment="1">
      <alignment horizontal="center"/>
    </xf>
    <xf numFmtId="43" fontId="8" fillId="0" borderId="17" xfId="12" applyNumberFormat="1" applyFont="1" applyBorder="1" applyAlignment="1">
      <alignment horizontal="center"/>
    </xf>
    <xf numFmtId="43" fontId="9" fillId="0" borderId="17" xfId="0" applyNumberFormat="1" applyFont="1" applyBorder="1" applyAlignment="1"/>
    <xf numFmtId="0" fontId="8" fillId="0" borderId="5" xfId="2" applyFont="1" applyFill="1" applyBorder="1" applyAlignment="1">
      <alignment horizontal="center"/>
    </xf>
    <xf numFmtId="43" fontId="8" fillId="0" borderId="17" xfId="1" applyFont="1" applyFill="1" applyBorder="1"/>
    <xf numFmtId="43" fontId="8" fillId="0" borderId="17" xfId="12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3" fontId="9" fillId="0" borderId="20" xfId="0" applyNumberFormat="1" applyFont="1" applyBorder="1" applyAlignment="1"/>
    <xf numFmtId="0" fontId="9" fillId="0" borderId="20" xfId="0" applyFont="1" applyFill="1" applyBorder="1" applyAlignment="1">
      <alignment horizontal="center"/>
    </xf>
    <xf numFmtId="43" fontId="9" fillId="0" borderId="2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17" xfId="0" applyFont="1" applyBorder="1" applyAlignment="1"/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8" fillId="0" borderId="1" xfId="1" applyNumberFormat="1" applyFont="1" applyBorder="1" applyAlignment="1">
      <alignment horizontal="right"/>
    </xf>
    <xf numFmtId="166" fontId="8" fillId="0" borderId="17" xfId="1" applyNumberFormat="1" applyFont="1" applyBorder="1" applyAlignment="1">
      <alignment horizontal="right"/>
    </xf>
    <xf numFmtId="166" fontId="8" fillId="0" borderId="2" xfId="1" applyNumberFormat="1" applyFont="1" applyBorder="1"/>
    <xf numFmtId="166" fontId="8" fillId="0" borderId="20" xfId="5" applyNumberFormat="1" applyFont="1" applyBorder="1" applyAlignment="1"/>
    <xf numFmtId="0" fontId="9" fillId="0" borderId="17" xfId="0" applyFont="1" applyBorder="1"/>
    <xf numFmtId="0" fontId="9" fillId="0" borderId="20" xfId="0" applyFont="1" applyBorder="1" applyAlignment="1">
      <alignment horizontal="center"/>
    </xf>
    <xf numFmtId="166" fontId="8" fillId="0" borderId="1" xfId="1" applyNumberFormat="1" applyFont="1" applyBorder="1"/>
    <xf numFmtId="166" fontId="9" fillId="0" borderId="20" xfId="0" applyNumberFormat="1" applyFont="1" applyBorder="1" applyAlignment="1"/>
    <xf numFmtId="0" fontId="9" fillId="0" borderId="1" xfId="0" applyFont="1" applyBorder="1" applyAlignment="1">
      <alignment horizontal="left" vertical="top" wrapText="1"/>
    </xf>
    <xf numFmtId="165" fontId="9" fillId="0" borderId="1" xfId="0" applyNumberFormat="1" applyFont="1" applyBorder="1" applyAlignment="1">
      <alignment horizontal="left" vertical="top" wrapText="1"/>
    </xf>
    <xf numFmtId="43" fontId="8" fillId="0" borderId="20" xfId="5" applyNumberFormat="1" applyFont="1" applyBorder="1" applyAlignment="1"/>
    <xf numFmtId="0" fontId="8" fillId="0" borderId="1" xfId="0" applyFont="1" applyBorder="1" applyAlignment="1">
      <alignment horizontal="center" vertical="top"/>
    </xf>
    <xf numFmtId="43" fontId="8" fillId="0" borderId="18" xfId="1" applyFont="1" applyBorder="1" applyAlignment="1">
      <alignment horizontal="center"/>
    </xf>
    <xf numFmtId="43" fontId="8" fillId="0" borderId="17" xfId="1" applyFont="1" applyBorder="1" applyAlignment="1">
      <alignment horizontal="center"/>
    </xf>
    <xf numFmtId="4" fontId="8" fillId="0" borderId="17" xfId="5" applyNumberFormat="1" applyFont="1" applyBorder="1" applyAlignment="1"/>
    <xf numFmtId="0" fontId="8" fillId="0" borderId="17" xfId="5" applyFont="1" applyBorder="1" applyAlignment="1">
      <alignment horizontal="center"/>
    </xf>
    <xf numFmtId="4" fontId="8" fillId="0" borderId="0" xfId="5" applyNumberFormat="1" applyFont="1" applyBorder="1" applyAlignment="1"/>
    <xf numFmtId="43" fontId="9" fillId="0" borderId="1" xfId="0" applyNumberFormat="1" applyFont="1" applyBorder="1" applyAlignment="1">
      <alignment horizontal="center" vertical="center" wrapText="1"/>
    </xf>
    <xf numFmtId="43" fontId="9" fillId="0" borderId="17" xfId="1" applyFont="1" applyBorder="1"/>
    <xf numFmtId="43" fontId="8" fillId="0" borderId="17" xfId="1" applyFont="1" applyFill="1" applyBorder="1" applyAlignment="1">
      <alignment horizontal="center"/>
    </xf>
    <xf numFmtId="43" fontId="9" fillId="0" borderId="1" xfId="0" applyNumberFormat="1" applyFont="1" applyFill="1" applyBorder="1"/>
    <xf numFmtId="43" fontId="8" fillId="0" borderId="17" xfId="1" applyFont="1" applyBorder="1" applyAlignment="1"/>
    <xf numFmtId="0" fontId="9" fillId="0" borderId="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5" fillId="0" borderId="0" xfId="9" applyFont="1" applyAlignment="1">
      <alignment horizontal="center" vertical="center"/>
    </xf>
    <xf numFmtId="0" fontId="11" fillId="0" borderId="0" xfId="0" applyFont="1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9" fillId="0" borderId="2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9" fillId="0" borderId="2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9" fillId="0" borderId="4" xfId="0" applyFont="1" applyBorder="1" applyAlignment="1">
      <alignment horizontal="right" vertical="center" wrapText="1" indent="2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17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8" fillId="0" borderId="0" xfId="9" applyFont="1" applyAlignment="1">
      <alignment horizontal="center" vertical="center"/>
    </xf>
    <xf numFmtId="43" fontId="8" fillId="0" borderId="17" xfId="5" applyNumberFormat="1" applyFont="1" applyBorder="1" applyAlignment="1"/>
    <xf numFmtId="0" fontId="8" fillId="0" borderId="20" xfId="5" applyFont="1" applyBorder="1" applyAlignment="1"/>
    <xf numFmtId="43" fontId="8" fillId="0" borderId="20" xfId="5" applyNumberFormat="1" applyFont="1" applyBorder="1" applyAlignment="1">
      <alignment horizont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15</xdr:row>
      <xdr:rowOff>0</xdr:rowOff>
    </xdr:from>
    <xdr:to>
      <xdr:col>11</xdr:col>
      <xdr:colOff>1819275</xdr:colOff>
      <xdr:row>20</xdr:row>
      <xdr:rowOff>152400</xdr:rowOff>
    </xdr:to>
    <xdr:sp macro="" textlink="">
      <xdr:nvSpPr>
        <xdr:cNvPr id="4" name="กล่องข้อความ 3"/>
        <xdr:cNvSpPr txBox="1"/>
      </xdr:nvSpPr>
      <xdr:spPr>
        <a:xfrm rot="5400000">
          <a:off x="10896600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2019300</xdr:colOff>
      <xdr:row>12</xdr:row>
      <xdr:rowOff>28575</xdr:rowOff>
    </xdr:from>
    <xdr:to>
      <xdr:col>11</xdr:col>
      <xdr:colOff>2343150</xdr:colOff>
      <xdr:row>17</xdr:row>
      <xdr:rowOff>180975</xdr:rowOff>
    </xdr:to>
    <xdr:sp macro="" textlink="">
      <xdr:nvSpPr>
        <xdr:cNvPr id="2" name="กล่องข้อความ 1"/>
        <xdr:cNvSpPr txBox="1"/>
      </xdr:nvSpPr>
      <xdr:spPr>
        <a:xfrm rot="5400000">
          <a:off x="10782300" y="49530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1885950</xdr:colOff>
      <xdr:row>25</xdr:row>
      <xdr:rowOff>85725</xdr:rowOff>
    </xdr:from>
    <xdr:to>
      <xdr:col>11</xdr:col>
      <xdr:colOff>2209800</xdr:colOff>
      <xdr:row>30</xdr:row>
      <xdr:rowOff>228600</xdr:rowOff>
    </xdr:to>
    <xdr:sp macro="" textlink="">
      <xdr:nvSpPr>
        <xdr:cNvPr id="2" name="กล่องข้อความ 1"/>
        <xdr:cNvSpPr txBox="1"/>
      </xdr:nvSpPr>
      <xdr:spPr>
        <a:xfrm rot="5400000">
          <a:off x="12820650" y="89154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1485900</xdr:colOff>
      <xdr:row>16</xdr:row>
      <xdr:rowOff>9525</xdr:rowOff>
    </xdr:from>
    <xdr:to>
      <xdr:col>11</xdr:col>
      <xdr:colOff>1809750</xdr:colOff>
      <xdr:row>21</xdr:row>
      <xdr:rowOff>161925</xdr:rowOff>
    </xdr:to>
    <xdr:sp macro="" textlink="">
      <xdr:nvSpPr>
        <xdr:cNvPr id="2" name="กล่องข้อความ 1"/>
        <xdr:cNvSpPr txBox="1"/>
      </xdr:nvSpPr>
      <xdr:spPr>
        <a:xfrm rot="5400000">
          <a:off x="11077575" y="58293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1657349</xdr:colOff>
      <xdr:row>54</xdr:row>
      <xdr:rowOff>76202</xdr:rowOff>
    </xdr:from>
    <xdr:to>
      <xdr:col>11</xdr:col>
      <xdr:colOff>1943098</xdr:colOff>
      <xdr:row>58</xdr:row>
      <xdr:rowOff>266700</xdr:rowOff>
    </xdr:to>
    <xdr:sp macro="" textlink="">
      <xdr:nvSpPr>
        <xdr:cNvPr id="2" name="กล่องข้อความ 1"/>
        <xdr:cNvSpPr txBox="1"/>
      </xdr:nvSpPr>
      <xdr:spPr>
        <a:xfrm rot="5400000">
          <a:off x="12015787" y="17930814"/>
          <a:ext cx="1419223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1971675</xdr:colOff>
      <xdr:row>40</xdr:row>
      <xdr:rowOff>123825</xdr:rowOff>
    </xdr:from>
    <xdr:to>
      <xdr:col>11</xdr:col>
      <xdr:colOff>2305050</xdr:colOff>
      <xdr:row>45</xdr:row>
      <xdr:rowOff>285750</xdr:rowOff>
    </xdr:to>
    <xdr:sp macro="" textlink="">
      <xdr:nvSpPr>
        <xdr:cNvPr id="2" name="กล่องข้อความ 1"/>
        <xdr:cNvSpPr txBox="1"/>
      </xdr:nvSpPr>
      <xdr:spPr>
        <a:xfrm rot="5400000">
          <a:off x="10887075" y="135540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1619250</xdr:colOff>
      <xdr:row>67</xdr:row>
      <xdr:rowOff>219075</xdr:rowOff>
    </xdr:from>
    <xdr:to>
      <xdr:col>11</xdr:col>
      <xdr:colOff>1952625</xdr:colOff>
      <xdr:row>73</xdr:row>
      <xdr:rowOff>76200</xdr:rowOff>
    </xdr:to>
    <xdr:sp macro="" textlink="">
      <xdr:nvSpPr>
        <xdr:cNvPr id="2" name="กล่องข้อความ 1"/>
        <xdr:cNvSpPr txBox="1"/>
      </xdr:nvSpPr>
      <xdr:spPr>
        <a:xfrm rot="5400000">
          <a:off x="10877550" y="2221230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1609725</xdr:colOff>
      <xdr:row>21</xdr:row>
      <xdr:rowOff>95250</xdr:rowOff>
    </xdr:from>
    <xdr:to>
      <xdr:col>11</xdr:col>
      <xdr:colOff>1943100</xdr:colOff>
      <xdr:row>26</xdr:row>
      <xdr:rowOff>247650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039475" y="78295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1600200</xdr:colOff>
      <xdr:row>26</xdr:row>
      <xdr:rowOff>95250</xdr:rowOff>
    </xdr:from>
    <xdr:to>
      <xdr:col>11</xdr:col>
      <xdr:colOff>1933575</xdr:colOff>
      <xdr:row>31</xdr:row>
      <xdr:rowOff>247650</xdr:rowOff>
    </xdr:to>
    <xdr:sp macro="" textlink="">
      <xdr:nvSpPr>
        <xdr:cNvPr id="2" name="กล่องข้อความ 1"/>
        <xdr:cNvSpPr txBox="1"/>
      </xdr:nvSpPr>
      <xdr:spPr>
        <a:xfrm rot="5400000">
          <a:off x="12830175" y="90487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1562100</xdr:colOff>
      <xdr:row>16</xdr:row>
      <xdr:rowOff>114300</xdr:rowOff>
    </xdr:from>
    <xdr:to>
      <xdr:col>11</xdr:col>
      <xdr:colOff>1895475</xdr:colOff>
      <xdr:row>21</xdr:row>
      <xdr:rowOff>238125</xdr:rowOff>
    </xdr:to>
    <xdr:sp macro="" textlink="">
      <xdr:nvSpPr>
        <xdr:cNvPr id="2" name="กล่องข้อความ 1"/>
        <xdr:cNvSpPr txBox="1"/>
      </xdr:nvSpPr>
      <xdr:spPr>
        <a:xfrm rot="5400000">
          <a:off x="12401550" y="59340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2028825</xdr:colOff>
      <xdr:row>9</xdr:row>
      <xdr:rowOff>9525</xdr:rowOff>
    </xdr:from>
    <xdr:to>
      <xdr:col>11</xdr:col>
      <xdr:colOff>2362200</xdr:colOff>
      <xdr:row>14</xdr:row>
      <xdr:rowOff>171450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801475" y="369570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1924050</xdr:colOff>
      <xdr:row>9</xdr:row>
      <xdr:rowOff>295275</xdr:rowOff>
    </xdr:from>
    <xdr:to>
      <xdr:col>11</xdr:col>
      <xdr:colOff>2257425</xdr:colOff>
      <xdr:row>15</xdr:row>
      <xdr:rowOff>142875</xdr:rowOff>
    </xdr:to>
    <xdr:sp macro="" textlink="">
      <xdr:nvSpPr>
        <xdr:cNvPr id="2" name="กล่องข้อความ 1"/>
        <xdr:cNvSpPr txBox="1"/>
      </xdr:nvSpPr>
      <xdr:spPr>
        <a:xfrm rot="5400000">
          <a:off x="11791950" y="39909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1362075</xdr:colOff>
      <xdr:row>19</xdr:row>
      <xdr:rowOff>9525</xdr:rowOff>
    </xdr:from>
    <xdr:to>
      <xdr:col>11</xdr:col>
      <xdr:colOff>1695450</xdr:colOff>
      <xdr:row>25</xdr:row>
      <xdr:rowOff>66675</xdr:rowOff>
    </xdr:to>
    <xdr:sp macro="" textlink="">
      <xdr:nvSpPr>
        <xdr:cNvPr id="2" name="กล่องข้อความ 1"/>
        <xdr:cNvSpPr txBox="1"/>
      </xdr:nvSpPr>
      <xdr:spPr>
        <a:xfrm rot="5400000">
          <a:off x="10696575" y="678180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1809750</xdr:colOff>
      <xdr:row>24</xdr:row>
      <xdr:rowOff>19050</xdr:rowOff>
    </xdr:from>
    <xdr:to>
      <xdr:col>11</xdr:col>
      <xdr:colOff>2143125</xdr:colOff>
      <xdr:row>29</xdr:row>
      <xdr:rowOff>171450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820525" y="82962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1866900</xdr:colOff>
      <xdr:row>16</xdr:row>
      <xdr:rowOff>0</xdr:rowOff>
    </xdr:from>
    <xdr:to>
      <xdr:col>11</xdr:col>
      <xdr:colOff>2200275</xdr:colOff>
      <xdr:row>21</xdr:row>
      <xdr:rowOff>161925</xdr:rowOff>
    </xdr:to>
    <xdr:sp macro="" textlink="">
      <xdr:nvSpPr>
        <xdr:cNvPr id="2" name="กล่องข้อความ 1"/>
        <xdr:cNvSpPr txBox="1"/>
      </xdr:nvSpPr>
      <xdr:spPr>
        <a:xfrm rot="5400000">
          <a:off x="11868150" y="591502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1924050</xdr:colOff>
      <xdr:row>42</xdr:row>
      <xdr:rowOff>9525</xdr:rowOff>
    </xdr:from>
    <xdr:to>
      <xdr:col>11</xdr:col>
      <xdr:colOff>2257425</xdr:colOff>
      <xdr:row>47</xdr:row>
      <xdr:rowOff>171450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896725" y="140874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2200275</xdr:colOff>
      <xdr:row>12</xdr:row>
      <xdr:rowOff>0</xdr:rowOff>
    </xdr:from>
    <xdr:to>
      <xdr:col>11</xdr:col>
      <xdr:colOff>2533650</xdr:colOff>
      <xdr:row>17</xdr:row>
      <xdr:rowOff>161925</xdr:rowOff>
    </xdr:to>
    <xdr:sp macro="" textlink="">
      <xdr:nvSpPr>
        <xdr:cNvPr id="2" name="กล่องข้อความ 1"/>
        <xdr:cNvSpPr txBox="1"/>
      </xdr:nvSpPr>
      <xdr:spPr>
        <a:xfrm rot="5400000">
          <a:off x="11839575" y="469582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1809750</xdr:colOff>
      <xdr:row>17</xdr:row>
      <xdr:rowOff>0</xdr:rowOff>
    </xdr:from>
    <xdr:to>
      <xdr:col>11</xdr:col>
      <xdr:colOff>2143125</xdr:colOff>
      <xdr:row>22</xdr:row>
      <xdr:rowOff>161925</xdr:rowOff>
    </xdr:to>
    <xdr:sp macro="" textlink="">
      <xdr:nvSpPr>
        <xdr:cNvPr id="2" name="กล่องข้อความ 1"/>
        <xdr:cNvSpPr txBox="1"/>
      </xdr:nvSpPr>
      <xdr:spPr>
        <a:xfrm rot="5400000">
          <a:off x="11744325" y="61150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1914525</xdr:colOff>
      <xdr:row>17</xdr:row>
      <xdr:rowOff>304800</xdr:rowOff>
    </xdr:from>
    <xdr:to>
      <xdr:col>11</xdr:col>
      <xdr:colOff>2247900</xdr:colOff>
      <xdr:row>23</xdr:row>
      <xdr:rowOff>152400</xdr:rowOff>
    </xdr:to>
    <xdr:sp macro="" textlink="">
      <xdr:nvSpPr>
        <xdr:cNvPr id="2" name="กล่องข้อความ 1"/>
        <xdr:cNvSpPr txBox="1"/>
      </xdr:nvSpPr>
      <xdr:spPr>
        <a:xfrm rot="5400000">
          <a:off x="11839575" y="644842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1647825</xdr:colOff>
      <xdr:row>82</xdr:row>
      <xdr:rowOff>9525</xdr:rowOff>
    </xdr:from>
    <xdr:to>
      <xdr:col>11</xdr:col>
      <xdr:colOff>1981200</xdr:colOff>
      <xdr:row>87</xdr:row>
      <xdr:rowOff>266700</xdr:rowOff>
    </xdr:to>
    <xdr:sp macro="" textlink="">
      <xdr:nvSpPr>
        <xdr:cNvPr id="2" name="กล่องข้อความ 1"/>
        <xdr:cNvSpPr txBox="1"/>
      </xdr:nvSpPr>
      <xdr:spPr>
        <a:xfrm rot="5400000">
          <a:off x="11439525" y="24793575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2019300</xdr:colOff>
      <xdr:row>22</xdr:row>
      <xdr:rowOff>0</xdr:rowOff>
    </xdr:from>
    <xdr:to>
      <xdr:col>11</xdr:col>
      <xdr:colOff>2352675</xdr:colOff>
      <xdr:row>27</xdr:row>
      <xdr:rowOff>161925</xdr:rowOff>
    </xdr:to>
    <xdr:sp macro="" textlink="">
      <xdr:nvSpPr>
        <xdr:cNvPr id="2" name="กล่องข้อความ 1"/>
        <xdr:cNvSpPr txBox="1"/>
      </xdr:nvSpPr>
      <xdr:spPr>
        <a:xfrm rot="5400000">
          <a:off x="11801475" y="765810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1"/>
  <sheetViews>
    <sheetView zoomScaleNormal="100" workbookViewId="0">
      <selection activeCell="O10" sqref="O10"/>
    </sheetView>
  </sheetViews>
  <sheetFormatPr defaultColWidth="9" defaultRowHeight="24"/>
  <cols>
    <col min="1" max="1" width="5.28515625" style="14" customWidth="1"/>
    <col min="2" max="2" width="12" style="282" customWidth="1"/>
    <col min="3" max="3" width="24.42578125" style="256" customWidth="1"/>
    <col min="4" max="4" width="44.7109375" style="14" customWidth="1"/>
    <col min="5" max="5" width="7.5703125" style="14" customWidth="1"/>
    <col min="6" max="6" width="8.5703125" style="14" customWidth="1"/>
    <col min="7" max="7" width="6.5703125" style="14" customWidth="1"/>
    <col min="8" max="9" width="7.5703125" style="14" customWidth="1"/>
    <col min="10" max="10" width="12.5703125" style="14" customWidth="1"/>
    <col min="11" max="11" width="13.85546875" style="14" customWidth="1"/>
    <col min="12" max="12" width="29.7109375" style="282" customWidth="1"/>
    <col min="13" max="16384" width="9" style="14"/>
  </cols>
  <sheetData>
    <row r="1" spans="1:12">
      <c r="B1" s="337"/>
      <c r="L1" s="354" t="s">
        <v>1224</v>
      </c>
    </row>
    <row r="2" spans="1:12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>
      <c r="A4" s="441" t="s">
        <v>1231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 ht="28.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ht="4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>
      <c r="A7" s="239">
        <v>1</v>
      </c>
      <c r="B7" s="113"/>
      <c r="C7" s="34" t="s">
        <v>691</v>
      </c>
      <c r="D7" s="12" t="s">
        <v>692</v>
      </c>
      <c r="E7" s="35" t="s">
        <v>55</v>
      </c>
      <c r="F7" s="35"/>
      <c r="G7" s="35" t="s">
        <v>1225</v>
      </c>
      <c r="H7" s="35">
        <v>1</v>
      </c>
      <c r="I7" s="38">
        <v>1</v>
      </c>
      <c r="J7" s="42">
        <v>478800</v>
      </c>
      <c r="K7" s="42">
        <f>SUM(I7*J7)</f>
        <v>478800</v>
      </c>
      <c r="L7" s="112"/>
    </row>
    <row r="8" spans="1:12">
      <c r="A8" s="239">
        <v>2</v>
      </c>
      <c r="B8" s="108"/>
      <c r="C8" s="34" t="s">
        <v>693</v>
      </c>
      <c r="D8" s="12" t="s">
        <v>694</v>
      </c>
      <c r="E8" s="35" t="s">
        <v>55</v>
      </c>
      <c r="F8" s="35"/>
      <c r="G8" s="35" t="s">
        <v>1225</v>
      </c>
      <c r="H8" s="35">
        <v>1</v>
      </c>
      <c r="I8" s="38">
        <v>1</v>
      </c>
      <c r="J8" s="42">
        <v>158800</v>
      </c>
      <c r="K8" s="42">
        <f t="shared" ref="K8:K13" si="0">SUM(I8*J8)</f>
        <v>158800</v>
      </c>
      <c r="L8" s="112"/>
    </row>
    <row r="9" spans="1:12">
      <c r="A9" s="239">
        <v>3</v>
      </c>
      <c r="B9" s="44"/>
      <c r="C9" s="34" t="s">
        <v>695</v>
      </c>
      <c r="D9" s="12" t="s">
        <v>696</v>
      </c>
      <c r="E9" s="35" t="s">
        <v>55</v>
      </c>
      <c r="F9" s="35"/>
      <c r="G9" s="35" t="s">
        <v>1225</v>
      </c>
      <c r="H9" s="35">
        <v>1</v>
      </c>
      <c r="I9" s="38">
        <v>1</v>
      </c>
      <c r="J9" s="42">
        <v>498800</v>
      </c>
      <c r="K9" s="42">
        <f t="shared" si="0"/>
        <v>498800</v>
      </c>
      <c r="L9" s="112"/>
    </row>
    <row r="10" spans="1:12">
      <c r="A10" s="239">
        <v>4</v>
      </c>
      <c r="B10" s="107"/>
      <c r="C10" s="34" t="s">
        <v>698</v>
      </c>
      <c r="D10" s="6" t="s">
        <v>1153</v>
      </c>
      <c r="E10" s="35" t="s">
        <v>55</v>
      </c>
      <c r="F10" s="35"/>
      <c r="G10" s="35" t="s">
        <v>1225</v>
      </c>
      <c r="H10" s="35">
        <v>1</v>
      </c>
      <c r="I10" s="38">
        <v>1</v>
      </c>
      <c r="J10" s="42">
        <v>178000</v>
      </c>
      <c r="K10" s="42">
        <f t="shared" si="0"/>
        <v>178000</v>
      </c>
      <c r="L10" s="229"/>
    </row>
    <row r="11" spans="1:12">
      <c r="A11" s="239">
        <v>5</v>
      </c>
      <c r="B11" s="44"/>
      <c r="C11" s="34" t="s">
        <v>699</v>
      </c>
      <c r="D11" s="12" t="s">
        <v>700</v>
      </c>
      <c r="E11" s="35" t="s">
        <v>55</v>
      </c>
      <c r="F11" s="35"/>
      <c r="G11" s="35" t="s">
        <v>1225</v>
      </c>
      <c r="H11" s="35">
        <v>1</v>
      </c>
      <c r="I11" s="38">
        <v>1</v>
      </c>
      <c r="J11" s="42">
        <v>94000</v>
      </c>
      <c r="K11" s="42">
        <f t="shared" si="0"/>
        <v>94000</v>
      </c>
      <c r="L11" s="112"/>
    </row>
    <row r="12" spans="1:12">
      <c r="A12" s="239">
        <v>6</v>
      </c>
      <c r="B12" s="115"/>
      <c r="C12" s="34" t="s">
        <v>701</v>
      </c>
      <c r="D12" s="12" t="s">
        <v>702</v>
      </c>
      <c r="E12" s="35" t="s">
        <v>55</v>
      </c>
      <c r="F12" s="35"/>
      <c r="G12" s="35" t="s">
        <v>1225</v>
      </c>
      <c r="H12" s="35">
        <v>1</v>
      </c>
      <c r="I12" s="38">
        <v>1</v>
      </c>
      <c r="J12" s="42">
        <v>22500</v>
      </c>
      <c r="K12" s="42">
        <f t="shared" si="0"/>
        <v>22500</v>
      </c>
      <c r="L12" s="120"/>
    </row>
    <row r="13" spans="1:12" ht="24.75" thickBot="1">
      <c r="A13" s="344">
        <v>7</v>
      </c>
      <c r="B13" s="345" t="s">
        <v>1171</v>
      </c>
      <c r="C13" s="346"/>
      <c r="D13" s="347" t="s">
        <v>703</v>
      </c>
      <c r="E13" s="348" t="s">
        <v>449</v>
      </c>
      <c r="F13" s="348"/>
      <c r="G13" s="35" t="s">
        <v>1225</v>
      </c>
      <c r="H13" s="348">
        <v>2</v>
      </c>
      <c r="I13" s="349">
        <v>2</v>
      </c>
      <c r="J13" s="350">
        <v>16217.5</v>
      </c>
      <c r="K13" s="350">
        <f t="shared" si="0"/>
        <v>32435</v>
      </c>
      <c r="L13" s="351"/>
    </row>
    <row r="14" spans="1:12" ht="24.75" thickBot="1">
      <c r="A14" s="434" t="s">
        <v>381</v>
      </c>
      <c r="B14" s="435"/>
      <c r="C14" s="435"/>
      <c r="D14" s="435"/>
      <c r="E14" s="435"/>
      <c r="F14" s="435"/>
      <c r="G14" s="435"/>
      <c r="H14" s="435"/>
      <c r="I14" s="435"/>
      <c r="J14" s="436"/>
      <c r="K14" s="352">
        <f>SUM(K7:K13)</f>
        <v>1463335</v>
      </c>
      <c r="L14" s="353"/>
    </row>
    <row r="15" spans="1:12" ht="24.75" thickTop="1">
      <c r="A15" s="328"/>
      <c r="B15" s="281"/>
      <c r="C15" s="281"/>
      <c r="D15" s="281"/>
      <c r="E15" s="281"/>
      <c r="F15" s="335"/>
      <c r="G15" s="335"/>
      <c r="H15" s="335"/>
      <c r="I15" s="287"/>
      <c r="J15" s="276"/>
      <c r="K15" s="276"/>
      <c r="L15" s="279"/>
    </row>
    <row r="16" spans="1:12">
      <c r="A16" s="59"/>
      <c r="B16" s="343" t="s">
        <v>4</v>
      </c>
      <c r="C16" s="253" t="s">
        <v>1222</v>
      </c>
      <c r="D16" s="59"/>
      <c r="E16" s="59"/>
      <c r="F16" s="59"/>
      <c r="G16" s="59"/>
      <c r="H16" s="59"/>
      <c r="I16" s="287"/>
      <c r="J16" s="59"/>
      <c r="K16" s="59"/>
      <c r="L16" s="279"/>
    </row>
    <row r="17" spans="1:12">
      <c r="A17" s="59"/>
      <c r="B17" s="279"/>
      <c r="C17" s="253" t="s">
        <v>1223</v>
      </c>
      <c r="D17" s="59"/>
      <c r="E17" s="59"/>
      <c r="F17" s="59"/>
      <c r="G17" s="59"/>
      <c r="H17" s="274"/>
      <c r="I17" s="274"/>
      <c r="J17" s="274"/>
      <c r="K17" s="274"/>
      <c r="L17" s="274"/>
    </row>
    <row r="18" spans="1:12">
      <c r="A18" s="59"/>
      <c r="B18" s="279"/>
      <c r="C18" s="253"/>
      <c r="D18" s="59"/>
      <c r="E18" s="59"/>
      <c r="F18" s="59"/>
      <c r="G18" s="59"/>
      <c r="H18" s="274"/>
      <c r="I18" s="274"/>
      <c r="J18" s="274"/>
      <c r="K18" s="274"/>
      <c r="L18" s="274"/>
    </row>
    <row r="19" spans="1:12">
      <c r="A19" s="59"/>
      <c r="B19" s="279"/>
      <c r="C19" s="253"/>
      <c r="D19" s="59"/>
      <c r="E19" s="59"/>
      <c r="F19" s="59"/>
      <c r="G19" s="59"/>
      <c r="H19" s="431" t="s">
        <v>1206</v>
      </c>
      <c r="I19" s="431"/>
      <c r="J19" s="431"/>
      <c r="K19" s="431"/>
      <c r="L19" s="274"/>
    </row>
    <row r="20" spans="1:12">
      <c r="H20" s="431" t="s">
        <v>1056</v>
      </c>
      <c r="I20" s="431"/>
      <c r="J20" s="431"/>
      <c r="K20" s="431"/>
    </row>
    <row r="21" spans="1:12">
      <c r="H21" s="431" t="s">
        <v>162</v>
      </c>
      <c r="I21" s="431"/>
      <c r="J21" s="431"/>
      <c r="K21" s="431"/>
    </row>
  </sheetData>
  <mergeCells count="18">
    <mergeCell ref="A2:L2"/>
    <mergeCell ref="A3:L3"/>
    <mergeCell ref="A4:L4"/>
    <mergeCell ref="H5:I5"/>
    <mergeCell ref="A5:A6"/>
    <mergeCell ref="B5:B6"/>
    <mergeCell ref="C5:C6"/>
    <mergeCell ref="D5:D6"/>
    <mergeCell ref="H20:K20"/>
    <mergeCell ref="H21:K21"/>
    <mergeCell ref="L5:L6"/>
    <mergeCell ref="H19:K19"/>
    <mergeCell ref="A14:J14"/>
    <mergeCell ref="E5:E6"/>
    <mergeCell ref="F5:F6"/>
    <mergeCell ref="G5:G6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8"/>
  <sheetViews>
    <sheetView zoomScaleNormal="100" workbookViewId="0">
      <selection activeCell="N9" sqref="N9"/>
    </sheetView>
  </sheetViews>
  <sheetFormatPr defaultColWidth="9" defaultRowHeight="24"/>
  <cols>
    <col min="1" max="1" width="5.42578125" style="14" customWidth="1"/>
    <col min="2" max="2" width="13.28515625" style="14" customWidth="1"/>
    <col min="3" max="3" width="24.5703125" style="14" customWidth="1"/>
    <col min="4" max="4" width="31.140625" style="14" customWidth="1"/>
    <col min="5" max="5" width="8.140625" style="14" customWidth="1"/>
    <col min="6" max="6" width="9.7109375" style="14" customWidth="1"/>
    <col min="7" max="7" width="6.7109375" style="14" customWidth="1"/>
    <col min="8" max="8" width="7.28515625" style="14" customWidth="1"/>
    <col min="9" max="9" width="7.140625" style="14" customWidth="1"/>
    <col min="10" max="10" width="13.85546875" style="14" customWidth="1"/>
    <col min="11" max="11" width="14.28515625" style="14" customWidth="1"/>
    <col min="12" max="12" width="37.5703125" style="282" customWidth="1"/>
    <col min="13" max="13" width="14.28515625" style="14" customWidth="1"/>
    <col min="14" max="15" width="10.140625" style="14" customWidth="1"/>
    <col min="16" max="16384" width="9" style="14"/>
  </cols>
  <sheetData>
    <row r="1" spans="1:15">
      <c r="K1" s="76"/>
      <c r="L1" s="354" t="s">
        <v>1227</v>
      </c>
    </row>
    <row r="2" spans="1:15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282"/>
      <c r="N2" s="282"/>
      <c r="O2" s="282"/>
    </row>
    <row r="3" spans="1:15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84"/>
      <c r="N3" s="284"/>
      <c r="O3" s="284"/>
    </row>
    <row r="4" spans="1:15">
      <c r="A4" s="441" t="s">
        <v>1230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79"/>
      <c r="N4" s="279"/>
      <c r="O4" s="279"/>
    </row>
    <row r="5" spans="1:15" s="282" customFormat="1" ht="28.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283"/>
      <c r="N5" s="283"/>
      <c r="O5" s="283"/>
    </row>
    <row r="6" spans="1:15" s="337" customFormat="1" ht="63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336"/>
      <c r="N6" s="336"/>
      <c r="O6" s="336"/>
    </row>
    <row r="7" spans="1:15">
      <c r="A7" s="108">
        <v>1</v>
      </c>
      <c r="B7" s="44"/>
      <c r="C7" s="288" t="s">
        <v>1011</v>
      </c>
      <c r="D7" s="289" t="s">
        <v>697</v>
      </c>
      <c r="E7" s="35" t="s">
        <v>55</v>
      </c>
      <c r="F7" s="35"/>
      <c r="G7" s="35" t="s">
        <v>1225</v>
      </c>
      <c r="H7" s="35">
        <v>1</v>
      </c>
      <c r="I7" s="162">
        <v>1</v>
      </c>
      <c r="J7" s="291">
        <v>18500</v>
      </c>
      <c r="K7" s="291">
        <f t="shared" ref="K7:K10" si="0">SUM(I7*J7)</f>
        <v>18500</v>
      </c>
      <c r="L7" s="112"/>
      <c r="M7" s="265"/>
      <c r="N7" s="265"/>
      <c r="O7" s="265"/>
    </row>
    <row r="8" spans="1:15">
      <c r="A8" s="108">
        <v>2</v>
      </c>
      <c r="B8" s="44"/>
      <c r="C8" s="288" t="s">
        <v>1012</v>
      </c>
      <c r="D8" s="289" t="s">
        <v>1013</v>
      </c>
      <c r="E8" s="35" t="s">
        <v>55</v>
      </c>
      <c r="F8" s="35"/>
      <c r="G8" s="35" t="s">
        <v>1225</v>
      </c>
      <c r="H8" s="35">
        <v>1</v>
      </c>
      <c r="I8" s="162">
        <v>1</v>
      </c>
      <c r="J8" s="291">
        <v>19795</v>
      </c>
      <c r="K8" s="291">
        <f t="shared" si="0"/>
        <v>19795</v>
      </c>
      <c r="L8" s="112"/>
      <c r="M8" s="265"/>
      <c r="N8" s="265"/>
      <c r="O8" s="265"/>
    </row>
    <row r="9" spans="1:15">
      <c r="A9" s="108">
        <v>3</v>
      </c>
      <c r="B9" s="115"/>
      <c r="C9" s="137" t="s">
        <v>424</v>
      </c>
      <c r="D9" s="134" t="s">
        <v>1014</v>
      </c>
      <c r="E9" s="35" t="s">
        <v>55</v>
      </c>
      <c r="F9" s="35"/>
      <c r="G9" s="35" t="s">
        <v>1225</v>
      </c>
      <c r="H9" s="35">
        <v>1</v>
      </c>
      <c r="I9" s="161">
        <v>1</v>
      </c>
      <c r="J9" s="42">
        <v>25000</v>
      </c>
      <c r="K9" s="291">
        <f t="shared" si="0"/>
        <v>25000</v>
      </c>
      <c r="L9" s="229"/>
      <c r="M9" s="59"/>
      <c r="N9" s="59"/>
      <c r="O9" s="59"/>
    </row>
    <row r="10" spans="1:15" ht="24.75" thickBot="1">
      <c r="A10" s="108">
        <v>4</v>
      </c>
      <c r="B10" s="355"/>
      <c r="C10" s="331" t="s">
        <v>1015</v>
      </c>
      <c r="D10" s="356" t="s">
        <v>98</v>
      </c>
      <c r="E10" s="203" t="s">
        <v>55</v>
      </c>
      <c r="F10" s="203"/>
      <c r="G10" s="35" t="s">
        <v>1225</v>
      </c>
      <c r="H10" s="203">
        <v>1</v>
      </c>
      <c r="I10" s="357">
        <v>1</v>
      </c>
      <c r="J10" s="222">
        <v>4000</v>
      </c>
      <c r="K10" s="358">
        <f t="shared" si="0"/>
        <v>4000</v>
      </c>
      <c r="L10" s="205"/>
      <c r="M10" s="59"/>
      <c r="N10" s="59"/>
      <c r="O10" s="59"/>
    </row>
    <row r="11" spans="1:15" ht="24.75" thickBot="1">
      <c r="A11" s="434" t="s">
        <v>381</v>
      </c>
      <c r="B11" s="435"/>
      <c r="C11" s="435"/>
      <c r="D11" s="435"/>
      <c r="E11" s="435"/>
      <c r="F11" s="435"/>
      <c r="G11" s="435"/>
      <c r="H11" s="435"/>
      <c r="I11" s="435"/>
      <c r="J11" s="436"/>
      <c r="K11" s="359">
        <f>SUM(K7:K10)</f>
        <v>67295</v>
      </c>
      <c r="L11" s="360"/>
      <c r="M11" s="274"/>
      <c r="N11" s="279"/>
      <c r="O11" s="279"/>
    </row>
    <row r="12" spans="1:15" ht="24.75" thickTop="1">
      <c r="A12" s="281"/>
      <c r="B12" s="281"/>
      <c r="C12" s="281"/>
      <c r="D12" s="281"/>
      <c r="E12" s="281"/>
      <c r="F12" s="335"/>
      <c r="G12" s="335"/>
      <c r="H12" s="335"/>
      <c r="I12" s="287"/>
      <c r="J12" s="276"/>
      <c r="K12" s="276"/>
      <c r="L12" s="279"/>
      <c r="M12" s="274"/>
      <c r="N12" s="279"/>
      <c r="O12" s="279"/>
    </row>
    <row r="13" spans="1:15">
      <c r="A13" s="59"/>
      <c r="B13" s="343" t="s">
        <v>4</v>
      </c>
      <c r="C13" s="253" t="s">
        <v>1222</v>
      </c>
      <c r="D13" s="59"/>
      <c r="E13" s="59"/>
      <c r="F13" s="59"/>
      <c r="G13" s="59"/>
      <c r="H13" s="59"/>
      <c r="I13" s="287"/>
      <c r="J13" s="59"/>
      <c r="K13" s="59"/>
      <c r="L13" s="334"/>
      <c r="M13" s="59"/>
      <c r="N13" s="59"/>
      <c r="O13" s="59"/>
    </row>
    <row r="14" spans="1:15">
      <c r="A14" s="59"/>
      <c r="B14" s="334"/>
      <c r="C14" s="253" t="s">
        <v>1223</v>
      </c>
      <c r="D14" s="59"/>
      <c r="E14" s="59"/>
      <c r="F14" s="59"/>
      <c r="G14" s="59"/>
      <c r="L14" s="274"/>
      <c r="M14" s="279"/>
      <c r="N14" s="279"/>
      <c r="O14" s="279"/>
    </row>
    <row r="15" spans="1:15">
      <c r="A15" s="59"/>
      <c r="B15" s="334"/>
      <c r="C15" s="253"/>
      <c r="D15" s="59"/>
      <c r="E15" s="59"/>
      <c r="F15" s="59"/>
      <c r="G15" s="59"/>
      <c r="L15" s="274"/>
      <c r="M15" s="279"/>
      <c r="N15" s="279"/>
      <c r="O15" s="279"/>
    </row>
    <row r="16" spans="1:15">
      <c r="A16" s="59"/>
      <c r="B16" s="334"/>
      <c r="C16" s="253"/>
      <c r="D16" s="59"/>
      <c r="E16" s="59"/>
      <c r="F16" s="59"/>
      <c r="G16" s="59"/>
      <c r="H16" s="431" t="s">
        <v>1206</v>
      </c>
      <c r="I16" s="431"/>
      <c r="J16" s="431"/>
      <c r="K16" s="431"/>
      <c r="L16" s="274"/>
      <c r="M16" s="279"/>
      <c r="N16" s="279"/>
      <c r="O16" s="279"/>
    </row>
    <row r="17" spans="2:12">
      <c r="B17" s="337"/>
      <c r="C17" s="256"/>
      <c r="H17" s="431" t="s">
        <v>1056</v>
      </c>
      <c r="I17" s="431"/>
      <c r="J17" s="431"/>
      <c r="K17" s="431"/>
      <c r="L17" s="337"/>
    </row>
    <row r="18" spans="2:12">
      <c r="B18" s="337"/>
      <c r="C18" s="256"/>
      <c r="H18" s="431" t="s">
        <v>162</v>
      </c>
      <c r="I18" s="431"/>
      <c r="J18" s="431"/>
      <c r="K18" s="431"/>
      <c r="L18" s="337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H17:K17"/>
    <mergeCell ref="H16:K16"/>
    <mergeCell ref="H18:K18"/>
    <mergeCell ref="K5:K6"/>
    <mergeCell ref="L5:L6"/>
    <mergeCell ref="A11:J11"/>
  </mergeCells>
  <printOptions horizontalCentered="1"/>
  <pageMargins left="0.19685039370078741" right="0" top="0.59055118110236227" bottom="0.19685039370078741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0"/>
  <sheetViews>
    <sheetView zoomScaleNormal="100" workbookViewId="0">
      <selection activeCell="L10" sqref="L10"/>
    </sheetView>
  </sheetViews>
  <sheetFormatPr defaultColWidth="9" defaultRowHeight="24"/>
  <cols>
    <col min="1" max="1" width="5.85546875" style="14" customWidth="1"/>
    <col min="2" max="2" width="15" style="14" customWidth="1"/>
    <col min="3" max="3" width="38.7109375" style="14" customWidth="1"/>
    <col min="4" max="4" width="45.85546875" style="14" customWidth="1"/>
    <col min="5" max="5" width="8" style="14" customWidth="1"/>
    <col min="6" max="6" width="9.28515625" style="14" customWidth="1"/>
    <col min="7" max="7" width="7" style="14" customWidth="1"/>
    <col min="8" max="8" width="8.5703125" style="14" customWidth="1"/>
    <col min="9" max="9" width="7.85546875" style="14" customWidth="1"/>
    <col min="10" max="10" width="13.85546875" style="14" customWidth="1"/>
    <col min="11" max="11" width="14.140625" style="14" customWidth="1"/>
    <col min="12" max="12" width="34.140625" style="282" customWidth="1"/>
    <col min="13" max="16384" width="9" style="14"/>
  </cols>
  <sheetData>
    <row r="1" spans="1:17">
      <c r="L1" s="354" t="s">
        <v>1232</v>
      </c>
    </row>
    <row r="2" spans="1:17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7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7">
      <c r="A4" s="441" t="s">
        <v>1229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7" ht="24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7" ht="4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7">
      <c r="A7" s="239">
        <v>1</v>
      </c>
      <c r="B7" s="113"/>
      <c r="C7" s="240" t="s">
        <v>769</v>
      </c>
      <c r="D7" s="12" t="s">
        <v>770</v>
      </c>
      <c r="E7" s="35" t="s">
        <v>55</v>
      </c>
      <c r="F7" s="365"/>
      <c r="G7" s="365" t="s">
        <v>1225</v>
      </c>
      <c r="H7" s="365">
        <v>1</v>
      </c>
      <c r="I7" s="292">
        <v>1</v>
      </c>
      <c r="J7" s="42">
        <v>56074.76</v>
      </c>
      <c r="K7" s="42">
        <f t="shared" ref="K7:K24" si="0">SUM(I7*J7)</f>
        <v>56074.76</v>
      </c>
      <c r="L7" s="112"/>
    </row>
    <row r="8" spans="1:17">
      <c r="A8" s="239">
        <v>2</v>
      </c>
      <c r="B8" s="44"/>
      <c r="C8" s="240" t="s">
        <v>771</v>
      </c>
      <c r="D8" s="12" t="s">
        <v>772</v>
      </c>
      <c r="E8" s="35" t="s">
        <v>55</v>
      </c>
      <c r="F8" s="365"/>
      <c r="G8" s="365" t="s">
        <v>1225</v>
      </c>
      <c r="H8" s="365">
        <v>10</v>
      </c>
      <c r="I8" s="292">
        <v>10</v>
      </c>
      <c r="J8" s="42">
        <v>3000</v>
      </c>
      <c r="K8" s="42">
        <f t="shared" si="0"/>
        <v>30000</v>
      </c>
      <c r="L8" s="112"/>
    </row>
    <row r="9" spans="1:17">
      <c r="A9" s="239">
        <v>3</v>
      </c>
      <c r="B9" s="44"/>
      <c r="C9" s="240" t="s">
        <v>773</v>
      </c>
      <c r="D9" s="34" t="s">
        <v>774</v>
      </c>
      <c r="E9" s="35" t="s">
        <v>55</v>
      </c>
      <c r="F9" s="365"/>
      <c r="G9" s="365" t="s">
        <v>1225</v>
      </c>
      <c r="H9" s="365">
        <v>10</v>
      </c>
      <c r="I9" s="292">
        <v>10</v>
      </c>
      <c r="J9" s="42">
        <v>3000</v>
      </c>
      <c r="K9" s="42">
        <f t="shared" si="0"/>
        <v>30000</v>
      </c>
      <c r="L9" s="112"/>
      <c r="Q9" s="361"/>
    </row>
    <row r="10" spans="1:17">
      <c r="A10" s="239">
        <v>4</v>
      </c>
      <c r="B10" s="44"/>
      <c r="C10" s="240" t="s">
        <v>775</v>
      </c>
      <c r="D10" s="12" t="s">
        <v>776</v>
      </c>
      <c r="E10" s="35" t="s">
        <v>55</v>
      </c>
      <c r="F10" s="365"/>
      <c r="G10" s="365" t="s">
        <v>1225</v>
      </c>
      <c r="H10" s="365">
        <v>1</v>
      </c>
      <c r="I10" s="292">
        <v>1</v>
      </c>
      <c r="J10" s="42">
        <v>40000</v>
      </c>
      <c r="K10" s="42">
        <f t="shared" si="0"/>
        <v>40000</v>
      </c>
      <c r="L10" s="120"/>
    </row>
    <row r="11" spans="1:17">
      <c r="A11" s="239">
        <v>5</v>
      </c>
      <c r="B11" s="115"/>
      <c r="C11" s="240" t="s">
        <v>777</v>
      </c>
      <c r="D11" s="293" t="s">
        <v>778</v>
      </c>
      <c r="E11" s="35" t="s">
        <v>55</v>
      </c>
      <c r="F11" s="366"/>
      <c r="G11" s="365" t="s">
        <v>1225</v>
      </c>
      <c r="H11" s="366">
        <v>10</v>
      </c>
      <c r="I11" s="294">
        <v>10</v>
      </c>
      <c r="J11" s="42">
        <v>40000</v>
      </c>
      <c r="K11" s="42">
        <f t="shared" si="0"/>
        <v>400000</v>
      </c>
      <c r="L11" s="120"/>
    </row>
    <row r="12" spans="1:17">
      <c r="A12" s="239">
        <v>6</v>
      </c>
      <c r="B12" s="107"/>
      <c r="C12" s="240" t="s">
        <v>779</v>
      </c>
      <c r="D12" s="12" t="s">
        <v>780</v>
      </c>
      <c r="E12" s="35" t="s">
        <v>55</v>
      </c>
      <c r="F12" s="365"/>
      <c r="G12" s="365" t="s">
        <v>1225</v>
      </c>
      <c r="H12" s="365">
        <v>1</v>
      </c>
      <c r="I12" s="292">
        <v>1</v>
      </c>
      <c r="J12" s="42">
        <v>199700</v>
      </c>
      <c r="K12" s="42">
        <f t="shared" si="0"/>
        <v>199700</v>
      </c>
      <c r="L12" s="229"/>
    </row>
    <row r="13" spans="1:17">
      <c r="A13" s="239">
        <v>7</v>
      </c>
      <c r="B13" s="107"/>
      <c r="C13" s="34" t="s">
        <v>781</v>
      </c>
      <c r="D13" s="12" t="s">
        <v>782</v>
      </c>
      <c r="E13" s="35" t="s">
        <v>55</v>
      </c>
      <c r="F13" s="365"/>
      <c r="G13" s="365" t="s">
        <v>1225</v>
      </c>
      <c r="H13" s="365">
        <v>1</v>
      </c>
      <c r="I13" s="292">
        <v>1</v>
      </c>
      <c r="J13" s="42">
        <v>9950</v>
      </c>
      <c r="K13" s="42">
        <f t="shared" si="0"/>
        <v>9950</v>
      </c>
      <c r="L13" s="229"/>
    </row>
    <row r="14" spans="1:17">
      <c r="A14" s="239">
        <v>8</v>
      </c>
      <c r="B14" s="243"/>
      <c r="C14" s="34" t="s">
        <v>783</v>
      </c>
      <c r="D14" s="12" t="s">
        <v>539</v>
      </c>
      <c r="E14" s="35" t="s">
        <v>56</v>
      </c>
      <c r="F14" s="365"/>
      <c r="G14" s="365" t="s">
        <v>1225</v>
      </c>
      <c r="H14" s="365">
        <v>1</v>
      </c>
      <c r="I14" s="292">
        <v>1</v>
      </c>
      <c r="J14" s="42">
        <v>33000</v>
      </c>
      <c r="K14" s="42">
        <f t="shared" si="0"/>
        <v>33000</v>
      </c>
      <c r="L14" s="229"/>
    </row>
    <row r="15" spans="1:17">
      <c r="A15" s="239">
        <v>9</v>
      </c>
      <c r="B15" s="33"/>
      <c r="C15" s="34" t="s">
        <v>784</v>
      </c>
      <c r="D15" s="12" t="s">
        <v>785</v>
      </c>
      <c r="E15" s="229" t="s">
        <v>55</v>
      </c>
      <c r="F15" s="341"/>
      <c r="G15" s="365" t="s">
        <v>1225</v>
      </c>
      <c r="H15" s="341">
        <v>1</v>
      </c>
      <c r="I15" s="292">
        <v>1</v>
      </c>
      <c r="J15" s="42">
        <v>28000</v>
      </c>
      <c r="K15" s="42">
        <f t="shared" si="0"/>
        <v>28000</v>
      </c>
      <c r="L15" s="229"/>
    </row>
    <row r="16" spans="1:17">
      <c r="A16" s="239">
        <v>10</v>
      </c>
      <c r="B16" s="33"/>
      <c r="C16" s="34" t="s">
        <v>786</v>
      </c>
      <c r="D16" s="12" t="s">
        <v>787</v>
      </c>
      <c r="E16" s="229" t="s">
        <v>55</v>
      </c>
      <c r="F16" s="341"/>
      <c r="G16" s="365" t="s">
        <v>1225</v>
      </c>
      <c r="H16" s="341">
        <v>1</v>
      </c>
      <c r="I16" s="292">
        <v>1</v>
      </c>
      <c r="J16" s="42">
        <v>12550</v>
      </c>
      <c r="K16" s="42">
        <f t="shared" si="0"/>
        <v>12550</v>
      </c>
      <c r="L16" s="229"/>
    </row>
    <row r="17" spans="1:12">
      <c r="A17" s="239">
        <v>11</v>
      </c>
      <c r="B17" s="33"/>
      <c r="C17" s="34" t="s">
        <v>788</v>
      </c>
      <c r="D17" s="12" t="s">
        <v>1155</v>
      </c>
      <c r="E17" s="229" t="s">
        <v>55</v>
      </c>
      <c r="F17" s="341"/>
      <c r="G17" s="365" t="s">
        <v>1225</v>
      </c>
      <c r="H17" s="341">
        <v>2</v>
      </c>
      <c r="I17" s="292">
        <v>2</v>
      </c>
      <c r="J17" s="42">
        <v>122836</v>
      </c>
      <c r="K17" s="42">
        <f t="shared" si="0"/>
        <v>245672</v>
      </c>
      <c r="L17" s="229"/>
    </row>
    <row r="18" spans="1:12">
      <c r="A18" s="239">
        <v>12</v>
      </c>
      <c r="B18" s="33"/>
      <c r="C18" s="34" t="s">
        <v>789</v>
      </c>
      <c r="D18" s="12" t="s">
        <v>1156</v>
      </c>
      <c r="E18" s="229" t="s">
        <v>55</v>
      </c>
      <c r="F18" s="341"/>
      <c r="G18" s="365" t="s">
        <v>1225</v>
      </c>
      <c r="H18" s="341">
        <v>1</v>
      </c>
      <c r="I18" s="292">
        <v>1</v>
      </c>
      <c r="J18" s="42">
        <v>78463</v>
      </c>
      <c r="K18" s="42">
        <f t="shared" si="0"/>
        <v>78463</v>
      </c>
      <c r="L18" s="229"/>
    </row>
    <row r="19" spans="1:12">
      <c r="A19" s="239">
        <v>13</v>
      </c>
      <c r="B19" s="44"/>
      <c r="C19" s="34" t="s">
        <v>790</v>
      </c>
      <c r="D19" s="12" t="s">
        <v>791</v>
      </c>
      <c r="E19" s="35" t="s">
        <v>55</v>
      </c>
      <c r="F19" s="35"/>
      <c r="G19" s="365" t="s">
        <v>1225</v>
      </c>
      <c r="H19" s="35">
        <v>1</v>
      </c>
      <c r="I19" s="38">
        <v>1</v>
      </c>
      <c r="J19" s="42">
        <v>22900</v>
      </c>
      <c r="K19" s="42">
        <f t="shared" si="0"/>
        <v>22900</v>
      </c>
      <c r="L19" s="112"/>
    </row>
    <row r="20" spans="1:12" ht="43.5" customHeight="1">
      <c r="A20" s="295">
        <v>14</v>
      </c>
      <c r="B20" s="129"/>
      <c r="C20" s="136" t="s">
        <v>792</v>
      </c>
      <c r="D20" s="135" t="s">
        <v>1157</v>
      </c>
      <c r="E20" s="140" t="s">
        <v>55</v>
      </c>
      <c r="F20" s="140"/>
      <c r="G20" s="365" t="s">
        <v>1225</v>
      </c>
      <c r="H20" s="140">
        <v>3</v>
      </c>
      <c r="I20" s="163">
        <v>3</v>
      </c>
      <c r="J20" s="156">
        <v>19880</v>
      </c>
      <c r="K20" s="156">
        <f t="shared" si="0"/>
        <v>59640</v>
      </c>
      <c r="L20" s="149"/>
    </row>
    <row r="21" spans="1:12">
      <c r="A21" s="239">
        <v>15</v>
      </c>
      <c r="B21" s="44"/>
      <c r="C21" s="137" t="s">
        <v>793</v>
      </c>
      <c r="D21" s="133" t="s">
        <v>794</v>
      </c>
      <c r="E21" s="35" t="s">
        <v>55</v>
      </c>
      <c r="F21" s="35"/>
      <c r="G21" s="365" t="s">
        <v>1225</v>
      </c>
      <c r="H21" s="35">
        <v>1</v>
      </c>
      <c r="I21" s="161">
        <v>1</v>
      </c>
      <c r="J21" s="42">
        <v>40000</v>
      </c>
      <c r="K21" s="42">
        <f t="shared" si="0"/>
        <v>40000</v>
      </c>
      <c r="L21" s="112"/>
    </row>
    <row r="22" spans="1:12">
      <c r="A22" s="239">
        <v>16</v>
      </c>
      <c r="B22" s="44"/>
      <c r="C22" s="137" t="s">
        <v>795</v>
      </c>
      <c r="D22" s="133" t="s">
        <v>796</v>
      </c>
      <c r="E22" s="35" t="s">
        <v>55</v>
      </c>
      <c r="F22" s="35"/>
      <c r="G22" s="365" t="s">
        <v>1225</v>
      </c>
      <c r="H22" s="35">
        <v>1</v>
      </c>
      <c r="I22" s="161">
        <v>1</v>
      </c>
      <c r="J22" s="42">
        <v>46500</v>
      </c>
      <c r="K22" s="42">
        <f t="shared" si="0"/>
        <v>46500</v>
      </c>
      <c r="L22" s="112"/>
    </row>
    <row r="23" spans="1:12">
      <c r="A23" s="239">
        <v>17</v>
      </c>
      <c r="B23" s="44"/>
      <c r="C23" s="137" t="s">
        <v>797</v>
      </c>
      <c r="D23" s="133" t="s">
        <v>798</v>
      </c>
      <c r="E23" s="35" t="s">
        <v>55</v>
      </c>
      <c r="F23" s="35"/>
      <c r="G23" s="365" t="s">
        <v>1225</v>
      </c>
      <c r="H23" s="35">
        <v>1</v>
      </c>
      <c r="I23" s="161">
        <v>1</v>
      </c>
      <c r="J23" s="42">
        <v>37500</v>
      </c>
      <c r="K23" s="42">
        <f t="shared" si="0"/>
        <v>37500</v>
      </c>
      <c r="L23" s="112"/>
    </row>
    <row r="24" spans="1:12" ht="24.75" thickBot="1">
      <c r="A24" s="311">
        <v>18</v>
      </c>
      <c r="B24" s="367"/>
      <c r="C24" s="248" t="s">
        <v>799</v>
      </c>
      <c r="D24" s="368" t="s">
        <v>800</v>
      </c>
      <c r="E24" s="369" t="s">
        <v>55</v>
      </c>
      <c r="F24" s="369"/>
      <c r="G24" s="365" t="s">
        <v>1225</v>
      </c>
      <c r="H24" s="369">
        <v>1</v>
      </c>
      <c r="I24" s="370">
        <v>1</v>
      </c>
      <c r="J24" s="371">
        <v>80000</v>
      </c>
      <c r="K24" s="222">
        <f t="shared" si="0"/>
        <v>80000</v>
      </c>
      <c r="L24" s="372"/>
    </row>
    <row r="25" spans="1:12" ht="24.75" thickBot="1">
      <c r="A25" s="434" t="s">
        <v>381</v>
      </c>
      <c r="B25" s="435"/>
      <c r="C25" s="435"/>
      <c r="D25" s="435"/>
      <c r="E25" s="435"/>
      <c r="F25" s="435"/>
      <c r="G25" s="435"/>
      <c r="H25" s="435"/>
      <c r="I25" s="435"/>
      <c r="J25" s="436"/>
      <c r="K25" s="352">
        <f>SUM(K7:K24)</f>
        <v>1449949.76</v>
      </c>
      <c r="L25" s="360"/>
    </row>
    <row r="26" spans="1:12" ht="24.75" thickTop="1">
      <c r="A26" s="59"/>
      <c r="B26" s="59"/>
      <c r="C26" s="59"/>
      <c r="D26" s="59"/>
      <c r="E26" s="59"/>
      <c r="F26" s="59"/>
      <c r="G26" s="59"/>
      <c r="H26" s="59"/>
      <c r="I26" s="287"/>
      <c r="J26" s="59"/>
      <c r="K26" s="59"/>
      <c r="L26" s="279"/>
    </row>
    <row r="27" spans="1:12">
      <c r="A27" s="59"/>
      <c r="B27" s="343" t="s">
        <v>4</v>
      </c>
      <c r="C27" s="253" t="s">
        <v>1222</v>
      </c>
      <c r="D27" s="59"/>
      <c r="E27" s="59"/>
      <c r="F27" s="59"/>
      <c r="G27" s="59"/>
      <c r="H27" s="59"/>
      <c r="I27" s="287"/>
      <c r="J27" s="59"/>
      <c r="K27" s="59"/>
      <c r="L27" s="279"/>
    </row>
    <row r="28" spans="1:12">
      <c r="A28" s="59"/>
      <c r="B28" s="338"/>
      <c r="C28" s="253" t="s">
        <v>1223</v>
      </c>
      <c r="D28" s="59"/>
      <c r="E28" s="59"/>
      <c r="F28" s="59"/>
      <c r="G28" s="59"/>
      <c r="H28" s="59"/>
      <c r="I28" s="431" t="s">
        <v>161</v>
      </c>
      <c r="J28" s="431"/>
      <c r="K28" s="431"/>
      <c r="L28" s="431"/>
    </row>
    <row r="29" spans="1:12">
      <c r="A29" s="59"/>
      <c r="B29" s="59"/>
      <c r="C29" s="59"/>
      <c r="D29" s="59"/>
      <c r="E29" s="59"/>
      <c r="F29" s="59"/>
      <c r="G29" s="59"/>
      <c r="H29" s="59"/>
      <c r="I29" s="431" t="s">
        <v>1058</v>
      </c>
      <c r="J29" s="431"/>
      <c r="K29" s="431"/>
      <c r="L29" s="431"/>
    </row>
    <row r="30" spans="1:12">
      <c r="A30" s="59"/>
      <c r="B30" s="59"/>
      <c r="C30" s="59"/>
      <c r="D30" s="59"/>
      <c r="E30" s="59"/>
      <c r="F30" s="59"/>
      <c r="G30" s="59"/>
      <c r="H30" s="59"/>
      <c r="I30" s="431" t="s">
        <v>162</v>
      </c>
      <c r="J30" s="431"/>
      <c r="K30" s="431"/>
      <c r="L30" s="431"/>
    </row>
  </sheetData>
  <mergeCells count="18">
    <mergeCell ref="I30:L30"/>
    <mergeCell ref="I28:L28"/>
    <mergeCell ref="I29:L29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5:J25"/>
    <mergeCell ref="A2:L2"/>
  </mergeCells>
  <printOptions horizontalCentered="1"/>
  <pageMargins left="0.19685039370078741" right="0" top="0.59055118110236227" bottom="0.19685039370078741" header="0" footer="0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20"/>
  <sheetViews>
    <sheetView workbookViewId="0">
      <selection activeCell="N9" sqref="N9"/>
    </sheetView>
  </sheetViews>
  <sheetFormatPr defaultColWidth="9" defaultRowHeight="24"/>
  <cols>
    <col min="1" max="1" width="5.42578125" style="14" customWidth="1"/>
    <col min="2" max="2" width="11.28515625" style="14" customWidth="1"/>
    <col min="3" max="3" width="28.85546875" style="14" customWidth="1"/>
    <col min="4" max="4" width="45.42578125" style="14" customWidth="1"/>
    <col min="5" max="5" width="7.7109375" style="14" customWidth="1"/>
    <col min="6" max="6" width="9" style="14" customWidth="1"/>
    <col min="7" max="7" width="6.7109375" style="14" customWidth="1"/>
    <col min="8" max="8" width="7.28515625" style="14" customWidth="1"/>
    <col min="9" max="9" width="6.28515625" style="14" customWidth="1"/>
    <col min="10" max="10" width="12.140625" style="14" customWidth="1"/>
    <col min="11" max="11" width="13.85546875" style="14" customWidth="1"/>
    <col min="12" max="12" width="28.28515625" style="282" customWidth="1"/>
    <col min="13" max="13" width="13" style="14" customWidth="1"/>
    <col min="14" max="14" width="9.140625" style="14" customWidth="1"/>
    <col min="15" max="15" width="2.140625" style="14" customWidth="1"/>
    <col min="16" max="16384" width="9" style="14"/>
  </cols>
  <sheetData>
    <row r="1" spans="1:14">
      <c r="L1" s="354" t="s">
        <v>1233</v>
      </c>
    </row>
    <row r="2" spans="1:1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282"/>
      <c r="N2" s="282"/>
    </row>
    <row r="3" spans="1:1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84"/>
      <c r="N3" s="284"/>
    </row>
    <row r="4" spans="1:14">
      <c r="A4" s="441" t="s">
        <v>1239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79"/>
      <c r="N4" s="279"/>
    </row>
    <row r="5" spans="1:1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338"/>
      <c r="N5" s="338"/>
    </row>
    <row r="6" spans="1:14" ht="4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283"/>
      <c r="N6" s="283"/>
    </row>
    <row r="7" spans="1:14">
      <c r="A7" s="108">
        <v>1</v>
      </c>
      <c r="B7" s="113"/>
      <c r="C7" s="240" t="s">
        <v>752</v>
      </c>
      <c r="D7" s="34" t="s">
        <v>753</v>
      </c>
      <c r="E7" s="35" t="s">
        <v>55</v>
      </c>
      <c r="F7" s="35"/>
      <c r="G7" s="35" t="s">
        <v>1225</v>
      </c>
      <c r="H7" s="35">
        <v>4</v>
      </c>
      <c r="I7" s="38">
        <v>2</v>
      </c>
      <c r="J7" s="42">
        <v>3000</v>
      </c>
      <c r="K7" s="297">
        <f t="shared" ref="K7:K14" si="0">SUM(I7*J7)</f>
        <v>6000</v>
      </c>
      <c r="L7" s="112"/>
      <c r="M7" s="265"/>
      <c r="N7" s="265"/>
    </row>
    <row r="8" spans="1:14">
      <c r="A8" s="296">
        <v>2</v>
      </c>
      <c r="B8" s="44"/>
      <c r="C8" s="240" t="s">
        <v>754</v>
      </c>
      <c r="D8" s="12" t="s">
        <v>755</v>
      </c>
      <c r="E8" s="35" t="s">
        <v>55</v>
      </c>
      <c r="F8" s="35"/>
      <c r="G8" s="35" t="s">
        <v>1225</v>
      </c>
      <c r="H8" s="35">
        <v>1</v>
      </c>
      <c r="I8" s="38">
        <v>1</v>
      </c>
      <c r="J8" s="42">
        <v>99900</v>
      </c>
      <c r="K8" s="297">
        <f t="shared" si="0"/>
        <v>99900</v>
      </c>
      <c r="L8" s="298"/>
      <c r="M8" s="265"/>
      <c r="N8" s="265"/>
    </row>
    <row r="9" spans="1:14">
      <c r="A9" s="108">
        <v>3</v>
      </c>
      <c r="B9" s="108"/>
      <c r="C9" s="240" t="s">
        <v>756</v>
      </c>
      <c r="D9" s="12" t="s">
        <v>757</v>
      </c>
      <c r="E9" s="35" t="s">
        <v>55</v>
      </c>
      <c r="F9" s="35"/>
      <c r="G9" s="35" t="s">
        <v>1225</v>
      </c>
      <c r="H9" s="35">
        <v>1</v>
      </c>
      <c r="I9" s="38">
        <v>1</v>
      </c>
      <c r="J9" s="42">
        <v>69800</v>
      </c>
      <c r="K9" s="297">
        <f t="shared" si="0"/>
        <v>69800</v>
      </c>
      <c r="L9" s="298"/>
      <c r="M9" s="265"/>
      <c r="N9" s="265"/>
    </row>
    <row r="10" spans="1:14">
      <c r="A10" s="296">
        <v>4</v>
      </c>
      <c r="B10" s="44"/>
      <c r="C10" s="34" t="s">
        <v>758</v>
      </c>
      <c r="D10" s="12" t="s">
        <v>759</v>
      </c>
      <c r="E10" s="35" t="s">
        <v>1100</v>
      </c>
      <c r="F10" s="35"/>
      <c r="G10" s="35" t="s">
        <v>1225</v>
      </c>
      <c r="H10" s="35">
        <v>1</v>
      </c>
      <c r="I10" s="38">
        <v>1</v>
      </c>
      <c r="J10" s="42">
        <v>69950</v>
      </c>
      <c r="K10" s="297">
        <f t="shared" si="0"/>
        <v>69950</v>
      </c>
      <c r="L10" s="299"/>
      <c r="M10" s="277"/>
      <c r="N10" s="277"/>
    </row>
    <row r="11" spans="1:14">
      <c r="A11" s="108">
        <v>5</v>
      </c>
      <c r="B11" s="44"/>
      <c r="C11" s="34" t="s">
        <v>760</v>
      </c>
      <c r="D11" s="12" t="s">
        <v>759</v>
      </c>
      <c r="E11" s="35" t="s">
        <v>1100</v>
      </c>
      <c r="F11" s="35"/>
      <c r="G11" s="35" t="s">
        <v>1225</v>
      </c>
      <c r="H11" s="35">
        <v>1</v>
      </c>
      <c r="I11" s="38">
        <v>1</v>
      </c>
      <c r="J11" s="42">
        <v>86000</v>
      </c>
      <c r="K11" s="297">
        <f t="shared" si="0"/>
        <v>86000</v>
      </c>
      <c r="L11" s="299"/>
      <c r="M11" s="59"/>
      <c r="N11" s="59"/>
    </row>
    <row r="12" spans="1:14">
      <c r="A12" s="296">
        <v>6</v>
      </c>
      <c r="B12" s="107"/>
      <c r="C12" s="34" t="s">
        <v>761</v>
      </c>
      <c r="D12" s="12" t="s">
        <v>762</v>
      </c>
      <c r="E12" s="35" t="s">
        <v>56</v>
      </c>
      <c r="F12" s="35"/>
      <c r="G12" s="35" t="s">
        <v>1225</v>
      </c>
      <c r="H12" s="35">
        <v>4</v>
      </c>
      <c r="I12" s="38">
        <v>4</v>
      </c>
      <c r="J12" s="42">
        <v>1722</v>
      </c>
      <c r="K12" s="297">
        <f t="shared" si="0"/>
        <v>6888</v>
      </c>
      <c r="L12" s="229"/>
      <c r="M12" s="59"/>
      <c r="N12" s="59"/>
    </row>
    <row r="13" spans="1:14">
      <c r="A13" s="108">
        <v>7</v>
      </c>
      <c r="B13" s="107"/>
      <c r="C13" s="236" t="s">
        <v>763</v>
      </c>
      <c r="D13" s="221" t="s">
        <v>764</v>
      </c>
      <c r="E13" s="35" t="s">
        <v>56</v>
      </c>
      <c r="F13" s="203"/>
      <c r="G13" s="35" t="s">
        <v>1225</v>
      </c>
      <c r="H13" s="203">
        <v>1</v>
      </c>
      <c r="I13" s="220">
        <v>1</v>
      </c>
      <c r="J13" s="222">
        <v>6000</v>
      </c>
      <c r="K13" s="297">
        <f t="shared" si="0"/>
        <v>6000</v>
      </c>
      <c r="L13" s="229"/>
      <c r="M13" s="59"/>
      <c r="N13" s="59"/>
    </row>
    <row r="14" spans="1:14">
      <c r="A14" s="296">
        <v>8</v>
      </c>
      <c r="B14" s="107"/>
      <c r="C14" s="34" t="s">
        <v>765</v>
      </c>
      <c r="D14" s="12" t="s">
        <v>766</v>
      </c>
      <c r="E14" s="35" t="s">
        <v>56</v>
      </c>
      <c r="F14" s="35"/>
      <c r="G14" s="35" t="s">
        <v>1225</v>
      </c>
      <c r="H14" s="35">
        <v>1</v>
      </c>
      <c r="I14" s="38">
        <v>1</v>
      </c>
      <c r="J14" s="42">
        <v>20000</v>
      </c>
      <c r="K14" s="297">
        <f t="shared" si="0"/>
        <v>20000</v>
      </c>
      <c r="L14" s="229"/>
      <c r="M14" s="59"/>
      <c r="N14" s="59"/>
    </row>
    <row r="15" spans="1:14">
      <c r="A15" s="446" t="s">
        <v>381</v>
      </c>
      <c r="B15" s="447"/>
      <c r="C15" s="447"/>
      <c r="D15" s="447"/>
      <c r="E15" s="448"/>
      <c r="F15" s="339"/>
      <c r="G15" s="339"/>
      <c r="H15" s="339"/>
      <c r="I15" s="35"/>
      <c r="J15" s="272"/>
      <c r="K15" s="266">
        <f>SUM(K7:K14)</f>
        <v>364538</v>
      </c>
      <c r="L15" s="280"/>
      <c r="M15" s="279"/>
      <c r="N15" s="279"/>
    </row>
    <row r="16" spans="1:14">
      <c r="A16" s="281"/>
      <c r="B16" s="281"/>
      <c r="C16" s="281"/>
      <c r="D16" s="281"/>
      <c r="E16" s="281"/>
      <c r="F16" s="340"/>
      <c r="G16" s="340"/>
      <c r="H16" s="340"/>
      <c r="I16" s="287"/>
      <c r="J16" s="276"/>
      <c r="K16" s="276"/>
      <c r="L16" s="279"/>
      <c r="M16" s="279"/>
      <c r="N16" s="279"/>
    </row>
    <row r="17" spans="1:14">
      <c r="A17" s="59"/>
      <c r="B17" s="343" t="s">
        <v>4</v>
      </c>
      <c r="C17" s="253" t="s">
        <v>1222</v>
      </c>
      <c r="D17" s="59"/>
      <c r="E17" s="59"/>
      <c r="F17" s="59"/>
      <c r="G17" s="59"/>
      <c r="H17" s="59"/>
      <c r="I17" s="287"/>
      <c r="J17" s="59"/>
      <c r="K17" s="59"/>
      <c r="L17" s="279"/>
      <c r="M17" s="59"/>
      <c r="N17" s="59"/>
    </row>
    <row r="18" spans="1:14">
      <c r="A18" s="59"/>
      <c r="B18" s="338"/>
      <c r="C18" s="253" t="s">
        <v>1223</v>
      </c>
      <c r="D18" s="59"/>
      <c r="E18" s="59"/>
      <c r="F18" s="59"/>
      <c r="G18" s="59"/>
      <c r="H18" s="59"/>
      <c r="I18" s="431" t="s">
        <v>1098</v>
      </c>
      <c r="J18" s="431"/>
      <c r="K18" s="431"/>
      <c r="L18" s="431"/>
      <c r="M18" s="279"/>
      <c r="N18" s="279"/>
    </row>
    <row r="19" spans="1:14">
      <c r="A19" s="59"/>
      <c r="B19" s="59"/>
      <c r="C19" s="59"/>
      <c r="D19" s="59"/>
      <c r="E19" s="59"/>
      <c r="F19" s="59"/>
      <c r="G19" s="59"/>
      <c r="H19" s="59"/>
      <c r="I19" s="431" t="s">
        <v>1055</v>
      </c>
      <c r="J19" s="431"/>
      <c r="K19" s="431"/>
      <c r="L19" s="431"/>
      <c r="M19" s="279"/>
      <c r="N19" s="279"/>
    </row>
    <row r="20" spans="1:14">
      <c r="A20" s="59"/>
      <c r="B20" s="59"/>
      <c r="C20" s="59"/>
      <c r="D20" s="59"/>
      <c r="E20" s="59"/>
      <c r="F20" s="59"/>
      <c r="G20" s="59"/>
      <c r="H20" s="59"/>
      <c r="I20" s="431" t="s">
        <v>162</v>
      </c>
      <c r="J20" s="431"/>
      <c r="K20" s="431"/>
      <c r="L20" s="431"/>
      <c r="M20" s="279"/>
      <c r="N20" s="279"/>
    </row>
  </sheetData>
  <mergeCells count="18">
    <mergeCell ref="K5:K6"/>
    <mergeCell ref="L5:L6"/>
    <mergeCell ref="I20:L20"/>
    <mergeCell ref="A15:E15"/>
    <mergeCell ref="I18:L18"/>
    <mergeCell ref="I19:L1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8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N60"/>
  <sheetViews>
    <sheetView zoomScaleNormal="100" workbookViewId="0">
      <selection activeCell="M6" sqref="M6"/>
    </sheetView>
  </sheetViews>
  <sheetFormatPr defaultColWidth="9" defaultRowHeight="24"/>
  <cols>
    <col min="1" max="1" width="6" style="14" customWidth="1"/>
    <col min="2" max="2" width="13.7109375" style="14" customWidth="1"/>
    <col min="3" max="3" width="35" style="14" customWidth="1"/>
    <col min="4" max="4" width="40.7109375" style="14" customWidth="1"/>
    <col min="5" max="5" width="7.85546875" style="14" customWidth="1"/>
    <col min="6" max="6" width="9.42578125" style="14" customWidth="1"/>
    <col min="7" max="7" width="7.28515625" style="14" customWidth="1"/>
    <col min="8" max="8" width="7.7109375" style="14" customWidth="1"/>
    <col min="9" max="9" width="7.5703125" style="14" customWidth="1"/>
    <col min="10" max="10" width="13.42578125" style="14" customWidth="1"/>
    <col min="11" max="11" width="15.140625" style="14" customWidth="1"/>
    <col min="12" max="12" width="30.5703125" style="282" customWidth="1"/>
    <col min="13" max="13" width="14.28515625" style="14" customWidth="1"/>
    <col min="14" max="16384" width="9" style="14"/>
  </cols>
  <sheetData>
    <row r="1" spans="1:13">
      <c r="L1" s="354" t="s">
        <v>1234</v>
      </c>
    </row>
    <row r="2" spans="1:13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282"/>
    </row>
    <row r="3" spans="1:13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84"/>
    </row>
    <row r="4" spans="1:13">
      <c r="A4" s="441" t="s">
        <v>1238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79"/>
    </row>
    <row r="5" spans="1:13" ht="24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338"/>
    </row>
    <row r="6" spans="1:13" ht="45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3">
      <c r="A7" s="108">
        <v>1</v>
      </c>
      <c r="B7" s="44"/>
      <c r="C7" s="240" t="s">
        <v>801</v>
      </c>
      <c r="D7" s="12" t="s">
        <v>802</v>
      </c>
      <c r="E7" s="35" t="s">
        <v>55</v>
      </c>
      <c r="F7" s="35"/>
      <c r="G7" s="35" t="s">
        <v>1236</v>
      </c>
      <c r="H7" s="35">
        <v>10</v>
      </c>
      <c r="I7" s="38">
        <v>10</v>
      </c>
      <c r="J7" s="297">
        <v>3271.03</v>
      </c>
      <c r="K7" s="297">
        <f>SUM(I7*J7)</f>
        <v>32710.300000000003</v>
      </c>
      <c r="L7" s="112"/>
      <c r="M7" s="265"/>
    </row>
    <row r="8" spans="1:13">
      <c r="A8" s="108">
        <v>2</v>
      </c>
      <c r="B8" s="44"/>
      <c r="C8" s="34" t="s">
        <v>803</v>
      </c>
      <c r="D8" s="12" t="s">
        <v>804</v>
      </c>
      <c r="E8" s="35" t="s">
        <v>55</v>
      </c>
      <c r="F8" s="35"/>
      <c r="G8" s="35" t="s">
        <v>1236</v>
      </c>
      <c r="H8" s="35">
        <v>1</v>
      </c>
      <c r="I8" s="38">
        <v>1</v>
      </c>
      <c r="J8" s="42">
        <v>499900</v>
      </c>
      <c r="K8" s="297">
        <f t="shared" ref="K8:K28" si="0">SUM(I8*J8)</f>
        <v>499900</v>
      </c>
      <c r="L8" s="112"/>
      <c r="M8" s="265"/>
    </row>
    <row r="9" spans="1:13">
      <c r="A9" s="108">
        <v>3</v>
      </c>
      <c r="B9" s="44"/>
      <c r="C9" s="34" t="s">
        <v>805</v>
      </c>
      <c r="D9" s="12" t="s">
        <v>806</v>
      </c>
      <c r="E9" s="35" t="s">
        <v>55</v>
      </c>
      <c r="F9" s="35"/>
      <c r="G9" s="35" t="s">
        <v>1236</v>
      </c>
      <c r="H9" s="35">
        <v>7</v>
      </c>
      <c r="I9" s="38">
        <v>7</v>
      </c>
      <c r="J9" s="42">
        <v>49972</v>
      </c>
      <c r="K9" s="297">
        <f t="shared" si="0"/>
        <v>349804</v>
      </c>
      <c r="L9" s="112"/>
      <c r="M9" s="265"/>
    </row>
    <row r="10" spans="1:13">
      <c r="A10" s="108">
        <v>4</v>
      </c>
      <c r="B10" s="44"/>
      <c r="C10" s="34" t="s">
        <v>807</v>
      </c>
      <c r="D10" s="12" t="s">
        <v>808</v>
      </c>
      <c r="E10" s="35" t="s">
        <v>55</v>
      </c>
      <c r="F10" s="35"/>
      <c r="G10" s="35" t="s">
        <v>1236</v>
      </c>
      <c r="H10" s="35">
        <v>20</v>
      </c>
      <c r="I10" s="38">
        <v>20</v>
      </c>
      <c r="J10" s="42">
        <v>1985</v>
      </c>
      <c r="K10" s="297">
        <f t="shared" si="0"/>
        <v>39700</v>
      </c>
      <c r="L10" s="112"/>
      <c r="M10" s="265"/>
    </row>
    <row r="11" spans="1:13">
      <c r="A11" s="108">
        <v>5</v>
      </c>
      <c r="B11" s="44"/>
      <c r="C11" s="34" t="s">
        <v>809</v>
      </c>
      <c r="D11" s="12" t="s">
        <v>810</v>
      </c>
      <c r="E11" s="35" t="s">
        <v>55</v>
      </c>
      <c r="F11" s="35"/>
      <c r="G11" s="35" t="s">
        <v>1236</v>
      </c>
      <c r="H11" s="35">
        <v>10</v>
      </c>
      <c r="I11" s="38">
        <v>10</v>
      </c>
      <c r="J11" s="42">
        <v>14970</v>
      </c>
      <c r="K11" s="297">
        <f t="shared" si="0"/>
        <v>149700</v>
      </c>
      <c r="L11" s="112"/>
      <c r="M11" s="265"/>
    </row>
    <row r="12" spans="1:13">
      <c r="A12" s="108">
        <v>6</v>
      </c>
      <c r="B12" s="44"/>
      <c r="C12" s="240" t="s">
        <v>811</v>
      </c>
      <c r="D12" s="12" t="s">
        <v>1112</v>
      </c>
      <c r="E12" s="35" t="s">
        <v>55</v>
      </c>
      <c r="F12" s="35"/>
      <c r="G12" s="35" t="s">
        <v>1236</v>
      </c>
      <c r="H12" s="35">
        <v>10</v>
      </c>
      <c r="I12" s="38">
        <v>10</v>
      </c>
      <c r="J12" s="42">
        <v>4970</v>
      </c>
      <c r="K12" s="297">
        <f t="shared" si="0"/>
        <v>49700</v>
      </c>
      <c r="L12" s="112"/>
      <c r="M12" s="277"/>
    </row>
    <row r="13" spans="1:13">
      <c r="A13" s="108">
        <v>7</v>
      </c>
      <c r="B13" s="115"/>
      <c r="C13" s="240" t="s">
        <v>812</v>
      </c>
      <c r="D13" s="12" t="s">
        <v>813</v>
      </c>
      <c r="E13" s="35" t="s">
        <v>55</v>
      </c>
      <c r="F13" s="35"/>
      <c r="G13" s="35" t="s">
        <v>1236</v>
      </c>
      <c r="H13" s="35">
        <v>6</v>
      </c>
      <c r="I13" s="38">
        <v>6</v>
      </c>
      <c r="J13" s="42">
        <v>9950</v>
      </c>
      <c r="K13" s="297">
        <f t="shared" si="0"/>
        <v>59700</v>
      </c>
      <c r="L13" s="112"/>
      <c r="M13" s="59"/>
    </row>
    <row r="14" spans="1:13">
      <c r="A14" s="108">
        <v>8</v>
      </c>
      <c r="B14" s="107"/>
      <c r="C14" s="301" t="s">
        <v>814</v>
      </c>
      <c r="D14" s="236" t="s">
        <v>815</v>
      </c>
      <c r="E14" s="35" t="s">
        <v>55</v>
      </c>
      <c r="F14" s="203"/>
      <c r="G14" s="35" t="s">
        <v>1236</v>
      </c>
      <c r="H14" s="203">
        <v>1</v>
      </c>
      <c r="I14" s="220">
        <v>1</v>
      </c>
      <c r="J14" s="222">
        <v>484700</v>
      </c>
      <c r="K14" s="297">
        <f t="shared" si="0"/>
        <v>484700</v>
      </c>
      <c r="L14" s="112"/>
      <c r="M14" s="59"/>
    </row>
    <row r="15" spans="1:13">
      <c r="A15" s="108">
        <v>9</v>
      </c>
      <c r="B15" s="243"/>
      <c r="C15" s="34" t="s">
        <v>816</v>
      </c>
      <c r="D15" s="34" t="s">
        <v>817</v>
      </c>
      <c r="E15" s="35" t="s">
        <v>55</v>
      </c>
      <c r="F15" s="35"/>
      <c r="G15" s="35" t="s">
        <v>1236</v>
      </c>
      <c r="H15" s="35">
        <v>5</v>
      </c>
      <c r="I15" s="38">
        <v>5</v>
      </c>
      <c r="J15" s="42">
        <v>6940</v>
      </c>
      <c r="K15" s="297">
        <f t="shared" si="0"/>
        <v>34700</v>
      </c>
      <c r="L15" s="112"/>
      <c r="M15" s="59"/>
    </row>
    <row r="16" spans="1:13">
      <c r="A16" s="108">
        <v>10</v>
      </c>
      <c r="B16" s="229"/>
      <c r="C16" s="34" t="s">
        <v>818</v>
      </c>
      <c r="D16" s="34" t="s">
        <v>819</v>
      </c>
      <c r="E16" s="229" t="s">
        <v>55</v>
      </c>
      <c r="F16" s="229"/>
      <c r="G16" s="35" t="s">
        <v>1236</v>
      </c>
      <c r="H16" s="229">
        <v>10</v>
      </c>
      <c r="I16" s="38">
        <v>10</v>
      </c>
      <c r="J16" s="42">
        <v>9975</v>
      </c>
      <c r="K16" s="297">
        <f t="shared" si="0"/>
        <v>99750</v>
      </c>
      <c r="L16" s="112"/>
      <c r="M16" s="59"/>
    </row>
    <row r="17" spans="1:14">
      <c r="A17" s="108">
        <v>11</v>
      </c>
      <c r="B17" s="33"/>
      <c r="C17" s="34" t="s">
        <v>820</v>
      </c>
      <c r="D17" s="34" t="s">
        <v>821</v>
      </c>
      <c r="E17" s="229" t="s">
        <v>55</v>
      </c>
      <c r="F17" s="229"/>
      <c r="G17" s="35" t="s">
        <v>1236</v>
      </c>
      <c r="H17" s="229">
        <v>5</v>
      </c>
      <c r="I17" s="38">
        <v>5</v>
      </c>
      <c r="J17" s="42">
        <v>2985</v>
      </c>
      <c r="K17" s="297">
        <f t="shared" si="0"/>
        <v>14925</v>
      </c>
      <c r="L17" s="112"/>
      <c r="M17" s="59"/>
    </row>
    <row r="18" spans="1:14">
      <c r="A18" s="108">
        <v>12</v>
      </c>
      <c r="B18" s="33"/>
      <c r="C18" s="34" t="s">
        <v>822</v>
      </c>
      <c r="D18" s="34" t="s">
        <v>823</v>
      </c>
      <c r="E18" s="229" t="s">
        <v>55</v>
      </c>
      <c r="F18" s="229"/>
      <c r="G18" s="35" t="s">
        <v>1236</v>
      </c>
      <c r="H18" s="229">
        <v>2</v>
      </c>
      <c r="I18" s="38">
        <v>2</v>
      </c>
      <c r="J18" s="42">
        <v>17200</v>
      </c>
      <c r="K18" s="297">
        <f t="shared" si="0"/>
        <v>34400</v>
      </c>
      <c r="L18" s="112"/>
      <c r="M18" s="59"/>
    </row>
    <row r="19" spans="1:14">
      <c r="A19" s="108">
        <v>13</v>
      </c>
      <c r="B19" s="33"/>
      <c r="C19" s="240" t="s">
        <v>824</v>
      </c>
      <c r="D19" s="34" t="s">
        <v>825</v>
      </c>
      <c r="E19" s="229" t="s">
        <v>55</v>
      </c>
      <c r="F19" s="229"/>
      <c r="G19" s="35" t="s">
        <v>1236</v>
      </c>
      <c r="H19" s="229">
        <v>2</v>
      </c>
      <c r="I19" s="38">
        <v>2</v>
      </c>
      <c r="J19" s="42">
        <v>7950</v>
      </c>
      <c r="K19" s="297">
        <f t="shared" si="0"/>
        <v>15900</v>
      </c>
      <c r="L19" s="112"/>
      <c r="M19" s="59"/>
    </row>
    <row r="20" spans="1:14">
      <c r="A20" s="108">
        <v>14</v>
      </c>
      <c r="B20" s="117"/>
      <c r="C20" s="240" t="s">
        <v>826</v>
      </c>
      <c r="D20" s="34" t="s">
        <v>705</v>
      </c>
      <c r="E20" s="229" t="s">
        <v>55</v>
      </c>
      <c r="F20" s="229"/>
      <c r="G20" s="35" t="s">
        <v>1236</v>
      </c>
      <c r="H20" s="229">
        <v>1</v>
      </c>
      <c r="I20" s="38">
        <v>1</v>
      </c>
      <c r="J20" s="42">
        <v>79500</v>
      </c>
      <c r="K20" s="297">
        <f t="shared" si="0"/>
        <v>79500</v>
      </c>
      <c r="L20" s="112"/>
      <c r="M20" s="59"/>
    </row>
    <row r="21" spans="1:14" ht="42.75" customHeight="1">
      <c r="A21" s="308">
        <v>15</v>
      </c>
      <c r="B21" s="302"/>
      <c r="C21" s="303" t="s">
        <v>1270</v>
      </c>
      <c r="D21" s="304" t="s">
        <v>704</v>
      </c>
      <c r="E21" s="305" t="s">
        <v>55</v>
      </c>
      <c r="F21" s="305"/>
      <c r="G21" s="140" t="s">
        <v>1236</v>
      </c>
      <c r="H21" s="380">
        <v>2</v>
      </c>
      <c r="I21" s="310">
        <v>2</v>
      </c>
      <c r="J21" s="306">
        <v>7925</v>
      </c>
      <c r="K21" s="309">
        <f t="shared" si="0"/>
        <v>15850</v>
      </c>
      <c r="L21" s="307"/>
      <c r="M21" s="265"/>
    </row>
    <row r="22" spans="1:14">
      <c r="A22" s="108">
        <v>16</v>
      </c>
      <c r="B22" s="108"/>
      <c r="C22" s="34" t="s">
        <v>827</v>
      </c>
      <c r="D22" s="12" t="s">
        <v>828</v>
      </c>
      <c r="E22" s="35" t="s">
        <v>55</v>
      </c>
      <c r="F22" s="35"/>
      <c r="G22" s="35" t="s">
        <v>1236</v>
      </c>
      <c r="H22" s="35">
        <v>25</v>
      </c>
      <c r="I22" s="38">
        <v>25</v>
      </c>
      <c r="J22" s="42">
        <v>2992</v>
      </c>
      <c r="K22" s="297">
        <f t="shared" si="0"/>
        <v>74800</v>
      </c>
      <c r="L22" s="112"/>
      <c r="M22" s="265"/>
      <c r="N22" s="39"/>
    </row>
    <row r="23" spans="1:14">
      <c r="A23" s="108">
        <v>17</v>
      </c>
      <c r="B23" s="44"/>
      <c r="C23" s="34" t="s">
        <v>829</v>
      </c>
      <c r="D23" s="12" t="s">
        <v>830</v>
      </c>
      <c r="E23" s="35" t="s">
        <v>55</v>
      </c>
      <c r="F23" s="35"/>
      <c r="G23" s="35" t="s">
        <v>1236</v>
      </c>
      <c r="H23" s="35">
        <v>1</v>
      </c>
      <c r="I23" s="38">
        <v>1</v>
      </c>
      <c r="J23" s="42">
        <v>925000</v>
      </c>
      <c r="K23" s="297">
        <f t="shared" si="0"/>
        <v>925000</v>
      </c>
      <c r="L23" s="112"/>
      <c r="M23" s="265"/>
      <c r="N23" s="39"/>
    </row>
    <row r="24" spans="1:14">
      <c r="A24" s="108">
        <v>18</v>
      </c>
      <c r="B24" s="44"/>
      <c r="C24" s="34" t="s">
        <v>831</v>
      </c>
      <c r="D24" s="12" t="s">
        <v>832</v>
      </c>
      <c r="E24" s="35" t="s">
        <v>55</v>
      </c>
      <c r="F24" s="35"/>
      <c r="G24" s="35" t="s">
        <v>1236</v>
      </c>
      <c r="H24" s="35">
        <v>1</v>
      </c>
      <c r="I24" s="38">
        <v>1</v>
      </c>
      <c r="J24" s="42">
        <v>541900</v>
      </c>
      <c r="K24" s="297">
        <f t="shared" si="0"/>
        <v>541900</v>
      </c>
      <c r="L24" s="112"/>
      <c r="M24" s="277"/>
      <c r="N24" s="39"/>
    </row>
    <row r="25" spans="1:14">
      <c r="A25" s="108">
        <v>19</v>
      </c>
      <c r="B25" s="115"/>
      <c r="C25" s="34" t="s">
        <v>833</v>
      </c>
      <c r="D25" s="12" t="s">
        <v>834</v>
      </c>
      <c r="E25" s="35" t="s">
        <v>55</v>
      </c>
      <c r="F25" s="35"/>
      <c r="G25" s="35" t="s">
        <v>1236</v>
      </c>
      <c r="H25" s="35">
        <v>1</v>
      </c>
      <c r="I25" s="38">
        <v>1</v>
      </c>
      <c r="J25" s="42">
        <v>121300</v>
      </c>
      <c r="K25" s="297">
        <f t="shared" si="0"/>
        <v>121300</v>
      </c>
      <c r="L25" s="112"/>
      <c r="M25" s="277"/>
      <c r="N25" s="39"/>
    </row>
    <row r="26" spans="1:14">
      <c r="A26" s="108">
        <v>20</v>
      </c>
      <c r="B26" s="115"/>
      <c r="C26" s="34" t="s">
        <v>835</v>
      </c>
      <c r="D26" s="12" t="s">
        <v>836</v>
      </c>
      <c r="E26" s="35" t="s">
        <v>55</v>
      </c>
      <c r="F26" s="35"/>
      <c r="G26" s="35" t="s">
        <v>1236</v>
      </c>
      <c r="H26" s="35">
        <v>5</v>
      </c>
      <c r="I26" s="38">
        <v>5</v>
      </c>
      <c r="J26" s="42">
        <v>89880</v>
      </c>
      <c r="K26" s="297">
        <f t="shared" si="0"/>
        <v>449400</v>
      </c>
      <c r="L26" s="112"/>
      <c r="M26" s="59"/>
      <c r="N26" s="39"/>
    </row>
    <row r="27" spans="1:14">
      <c r="A27" s="108">
        <v>21</v>
      </c>
      <c r="B27" s="314"/>
      <c r="C27" s="236" t="s">
        <v>837</v>
      </c>
      <c r="D27" s="221" t="s">
        <v>838</v>
      </c>
      <c r="E27" s="203" t="s">
        <v>55</v>
      </c>
      <c r="F27" s="203"/>
      <c r="G27" s="203" t="s">
        <v>1225</v>
      </c>
      <c r="H27" s="203">
        <v>5</v>
      </c>
      <c r="I27" s="220">
        <v>5</v>
      </c>
      <c r="J27" s="222">
        <v>34882</v>
      </c>
      <c r="K27" s="297">
        <f t="shared" si="0"/>
        <v>174410</v>
      </c>
      <c r="L27" s="312"/>
      <c r="M27" s="59"/>
      <c r="N27" s="39"/>
    </row>
    <row r="28" spans="1:14" ht="24.75" thickBot="1">
      <c r="A28" s="108">
        <v>22</v>
      </c>
      <c r="B28" s="115"/>
      <c r="C28" s="34" t="s">
        <v>839</v>
      </c>
      <c r="D28" s="12" t="s">
        <v>840</v>
      </c>
      <c r="E28" s="35" t="s">
        <v>55</v>
      </c>
      <c r="F28" s="35"/>
      <c r="G28" s="35" t="s">
        <v>1225</v>
      </c>
      <c r="H28" s="35">
        <v>5</v>
      </c>
      <c r="I28" s="38">
        <v>5</v>
      </c>
      <c r="J28" s="42">
        <v>34882</v>
      </c>
      <c r="K28" s="297">
        <f t="shared" si="0"/>
        <v>174410</v>
      </c>
      <c r="L28" s="312"/>
      <c r="M28" s="59"/>
      <c r="N28" s="39"/>
    </row>
    <row r="29" spans="1:14" ht="24.75" thickBot="1">
      <c r="A29" s="449" t="s">
        <v>1203</v>
      </c>
      <c r="B29" s="450"/>
      <c r="C29" s="450"/>
      <c r="D29" s="450"/>
      <c r="E29" s="450"/>
      <c r="F29" s="450"/>
      <c r="G29" s="450"/>
      <c r="H29" s="450"/>
      <c r="I29" s="450"/>
      <c r="J29" s="451"/>
      <c r="K29" s="383">
        <f>SUM(K7:K28)</f>
        <v>4422159.3</v>
      </c>
      <c r="L29" s="385"/>
      <c r="M29" s="59"/>
      <c r="N29" s="39"/>
    </row>
    <row r="30" spans="1:14" ht="24.75" thickTop="1">
      <c r="A30" s="374"/>
      <c r="B30" s="375"/>
      <c r="C30" s="376"/>
      <c r="D30" s="377"/>
      <c r="E30" s="287"/>
      <c r="F30" s="287"/>
      <c r="G30" s="287"/>
      <c r="H30" s="287"/>
      <c r="I30" s="378"/>
      <c r="J30" s="379"/>
      <c r="K30" s="379"/>
      <c r="L30" s="354" t="s">
        <v>1235</v>
      </c>
      <c r="M30" s="59"/>
      <c r="N30" s="39"/>
    </row>
    <row r="31" spans="1:14">
      <c r="A31" s="439" t="s">
        <v>550</v>
      </c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59"/>
      <c r="N31" s="39"/>
    </row>
    <row r="32" spans="1:14">
      <c r="A32" s="440" t="s">
        <v>1228</v>
      </c>
      <c r="B32" s="440"/>
      <c r="C32" s="440"/>
      <c r="D32" s="440"/>
      <c r="E32" s="440"/>
      <c r="F32" s="440"/>
      <c r="G32" s="440"/>
      <c r="H32" s="440"/>
      <c r="I32" s="440"/>
      <c r="J32" s="440"/>
      <c r="K32" s="440"/>
      <c r="L32" s="440"/>
      <c r="M32" s="59"/>
      <c r="N32" s="39"/>
    </row>
    <row r="33" spans="1:14">
      <c r="A33" s="441" t="s">
        <v>1238</v>
      </c>
      <c r="B33" s="441"/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59"/>
      <c r="N33" s="39"/>
    </row>
    <row r="34" spans="1:14" ht="22.5" customHeight="1">
      <c r="A34" s="432" t="s">
        <v>1196</v>
      </c>
      <c r="B34" s="432" t="s">
        <v>1226</v>
      </c>
      <c r="C34" s="432" t="s">
        <v>1221</v>
      </c>
      <c r="D34" s="444" t="s">
        <v>0</v>
      </c>
      <c r="E34" s="432" t="s">
        <v>1216</v>
      </c>
      <c r="F34" s="432" t="s">
        <v>1215</v>
      </c>
      <c r="G34" s="437" t="s">
        <v>1217</v>
      </c>
      <c r="H34" s="442" t="s">
        <v>2</v>
      </c>
      <c r="I34" s="443"/>
      <c r="J34" s="432" t="s">
        <v>1220</v>
      </c>
      <c r="K34" s="432" t="s">
        <v>1202</v>
      </c>
      <c r="L34" s="432" t="s">
        <v>1219</v>
      </c>
      <c r="M34" s="59"/>
      <c r="N34" s="39"/>
    </row>
    <row r="35" spans="1:14" ht="46.5" customHeight="1">
      <c r="A35" s="433"/>
      <c r="B35" s="433"/>
      <c r="C35" s="433"/>
      <c r="D35" s="445"/>
      <c r="E35" s="433"/>
      <c r="F35" s="433"/>
      <c r="G35" s="438"/>
      <c r="H35" s="176" t="s">
        <v>1218</v>
      </c>
      <c r="I35" s="126" t="s">
        <v>69</v>
      </c>
      <c r="J35" s="433"/>
      <c r="K35" s="433"/>
      <c r="L35" s="433"/>
      <c r="M35" s="59"/>
      <c r="N35" s="39"/>
    </row>
    <row r="36" spans="1:14" ht="24" customHeight="1">
      <c r="A36" s="452" t="s">
        <v>1204</v>
      </c>
      <c r="B36" s="453"/>
      <c r="C36" s="453"/>
      <c r="D36" s="453"/>
      <c r="E36" s="453"/>
      <c r="F36" s="453"/>
      <c r="G36" s="453"/>
      <c r="H36" s="453"/>
      <c r="I36" s="453"/>
      <c r="J36" s="454"/>
      <c r="K36" s="381">
        <f>SUM(K29)</f>
        <v>4422159.3</v>
      </c>
      <c r="L36" s="342"/>
      <c r="M36" s="59"/>
      <c r="N36" s="39"/>
    </row>
    <row r="37" spans="1:14">
      <c r="A37" s="108">
        <v>23</v>
      </c>
      <c r="B37" s="107"/>
      <c r="C37" s="34" t="s">
        <v>841</v>
      </c>
      <c r="D37" s="12" t="s">
        <v>842</v>
      </c>
      <c r="E37" s="35" t="s">
        <v>55</v>
      </c>
      <c r="F37" s="35"/>
      <c r="G37" s="35" t="s">
        <v>1225</v>
      </c>
      <c r="H37" s="35">
        <v>1</v>
      </c>
      <c r="I37" s="38">
        <v>1</v>
      </c>
      <c r="J37" s="42">
        <v>499690</v>
      </c>
      <c r="K37" s="297">
        <f t="shared" ref="K37:K53" si="1">SUM(I37*J37)</f>
        <v>499690</v>
      </c>
      <c r="L37" s="112"/>
      <c r="M37" s="59"/>
      <c r="N37" s="39"/>
    </row>
    <row r="38" spans="1:14">
      <c r="A38" s="108">
        <v>24</v>
      </c>
      <c r="B38" s="107"/>
      <c r="C38" s="34" t="s">
        <v>843</v>
      </c>
      <c r="D38" s="12" t="s">
        <v>844</v>
      </c>
      <c r="E38" s="35" t="s">
        <v>55</v>
      </c>
      <c r="F38" s="35"/>
      <c r="G38" s="35" t="s">
        <v>1225</v>
      </c>
      <c r="H38" s="35">
        <v>1</v>
      </c>
      <c r="I38" s="38">
        <v>1</v>
      </c>
      <c r="J38" s="42">
        <v>179760</v>
      </c>
      <c r="K38" s="297">
        <f t="shared" si="1"/>
        <v>179760</v>
      </c>
      <c r="L38" s="229"/>
      <c r="M38" s="59"/>
      <c r="N38" s="39"/>
    </row>
    <row r="39" spans="1:14">
      <c r="A39" s="108">
        <v>25</v>
      </c>
      <c r="B39" s="107"/>
      <c r="C39" s="240" t="s">
        <v>845</v>
      </c>
      <c r="D39" s="12" t="s">
        <v>846</v>
      </c>
      <c r="E39" s="35" t="s">
        <v>55</v>
      </c>
      <c r="F39" s="35"/>
      <c r="G39" s="35" t="s">
        <v>1225</v>
      </c>
      <c r="H39" s="35">
        <v>5</v>
      </c>
      <c r="I39" s="38">
        <v>5</v>
      </c>
      <c r="J39" s="42">
        <v>92234</v>
      </c>
      <c r="K39" s="297">
        <f t="shared" si="1"/>
        <v>461170</v>
      </c>
      <c r="L39" s="229"/>
      <c r="M39" s="59"/>
      <c r="N39" s="39"/>
    </row>
    <row r="40" spans="1:14">
      <c r="A40" s="108">
        <v>26</v>
      </c>
      <c r="B40" s="243"/>
      <c r="C40" s="240" t="s">
        <v>847</v>
      </c>
      <c r="D40" s="12" t="s">
        <v>848</v>
      </c>
      <c r="E40" s="35" t="s">
        <v>55</v>
      </c>
      <c r="F40" s="35"/>
      <c r="G40" s="35" t="s">
        <v>1225</v>
      </c>
      <c r="H40" s="35">
        <v>5</v>
      </c>
      <c r="I40" s="38">
        <v>5</v>
      </c>
      <c r="J40" s="42">
        <v>59706</v>
      </c>
      <c r="K40" s="297">
        <f t="shared" si="1"/>
        <v>298530</v>
      </c>
      <c r="L40" s="229"/>
      <c r="M40" s="59"/>
      <c r="N40" s="39"/>
    </row>
    <row r="41" spans="1:14">
      <c r="A41" s="108">
        <v>27</v>
      </c>
      <c r="B41" s="229"/>
      <c r="C41" s="240" t="s">
        <v>849</v>
      </c>
      <c r="D41" s="12" t="s">
        <v>850</v>
      </c>
      <c r="E41" s="229" t="s">
        <v>55</v>
      </c>
      <c r="F41" s="229"/>
      <c r="G41" s="35" t="s">
        <v>1225</v>
      </c>
      <c r="H41" s="229">
        <v>1</v>
      </c>
      <c r="I41" s="38">
        <v>1</v>
      </c>
      <c r="J41" s="42">
        <v>200000</v>
      </c>
      <c r="K41" s="297">
        <f t="shared" si="1"/>
        <v>200000</v>
      </c>
      <c r="L41" s="229"/>
      <c r="M41" s="59"/>
      <c r="N41" s="39"/>
    </row>
    <row r="42" spans="1:14">
      <c r="A42" s="108">
        <v>28</v>
      </c>
      <c r="B42" s="33"/>
      <c r="C42" s="240" t="s">
        <v>851</v>
      </c>
      <c r="D42" s="12" t="s">
        <v>852</v>
      </c>
      <c r="E42" s="229" t="s">
        <v>55</v>
      </c>
      <c r="F42" s="229"/>
      <c r="G42" s="35" t="s">
        <v>1225</v>
      </c>
      <c r="H42" s="229">
        <v>1</v>
      </c>
      <c r="I42" s="38">
        <v>1</v>
      </c>
      <c r="J42" s="42">
        <v>48950</v>
      </c>
      <c r="K42" s="297">
        <f t="shared" si="1"/>
        <v>48950</v>
      </c>
      <c r="L42" s="229"/>
      <c r="M42" s="59"/>
      <c r="N42" s="39"/>
    </row>
    <row r="43" spans="1:14">
      <c r="A43" s="108">
        <v>29</v>
      </c>
      <c r="B43" s="33"/>
      <c r="C43" s="240" t="s">
        <v>853</v>
      </c>
      <c r="D43" s="12" t="s">
        <v>854</v>
      </c>
      <c r="E43" s="229" t="s">
        <v>55</v>
      </c>
      <c r="F43" s="229"/>
      <c r="G43" s="35" t="s">
        <v>1225</v>
      </c>
      <c r="H43" s="229">
        <v>1</v>
      </c>
      <c r="I43" s="38">
        <v>1</v>
      </c>
      <c r="J43" s="42">
        <v>29700</v>
      </c>
      <c r="K43" s="297">
        <f t="shared" si="1"/>
        <v>29700</v>
      </c>
      <c r="L43" s="229"/>
      <c r="M43" s="59"/>
    </row>
    <row r="44" spans="1:14">
      <c r="A44" s="108">
        <v>30</v>
      </c>
      <c r="B44" s="33"/>
      <c r="C44" s="240" t="s">
        <v>855</v>
      </c>
      <c r="D44" s="12" t="s">
        <v>856</v>
      </c>
      <c r="E44" s="229" t="s">
        <v>55</v>
      </c>
      <c r="F44" s="229"/>
      <c r="G44" s="35" t="s">
        <v>1225</v>
      </c>
      <c r="H44" s="229">
        <v>1</v>
      </c>
      <c r="I44" s="38">
        <v>1</v>
      </c>
      <c r="J44" s="42">
        <v>115060</v>
      </c>
      <c r="K44" s="297">
        <f t="shared" si="1"/>
        <v>115060</v>
      </c>
      <c r="L44" s="229"/>
      <c r="M44" s="59"/>
    </row>
    <row r="45" spans="1:14">
      <c r="A45" s="108">
        <v>31</v>
      </c>
      <c r="B45" s="33"/>
      <c r="C45" s="240" t="s">
        <v>857</v>
      </c>
      <c r="D45" s="12" t="s">
        <v>858</v>
      </c>
      <c r="E45" s="229" t="s">
        <v>55</v>
      </c>
      <c r="F45" s="229"/>
      <c r="G45" s="35" t="s">
        <v>1225</v>
      </c>
      <c r="H45" s="229">
        <v>1</v>
      </c>
      <c r="I45" s="38">
        <v>1</v>
      </c>
      <c r="J45" s="42">
        <v>99000</v>
      </c>
      <c r="K45" s="297">
        <f t="shared" si="1"/>
        <v>99000</v>
      </c>
      <c r="L45" s="229"/>
      <c r="M45" s="59"/>
    </row>
    <row r="46" spans="1:14">
      <c r="A46" s="108">
        <v>32</v>
      </c>
      <c r="B46" s="44"/>
      <c r="C46" s="34" t="s">
        <v>859</v>
      </c>
      <c r="D46" s="12" t="s">
        <v>860</v>
      </c>
      <c r="E46" s="229" t="s">
        <v>55</v>
      </c>
      <c r="F46" s="229"/>
      <c r="G46" s="35" t="s">
        <v>1225</v>
      </c>
      <c r="H46" s="229">
        <v>1</v>
      </c>
      <c r="I46" s="38">
        <v>1</v>
      </c>
      <c r="J46" s="42">
        <v>271500</v>
      </c>
      <c r="K46" s="297">
        <f t="shared" si="1"/>
        <v>271500</v>
      </c>
      <c r="L46" s="112"/>
      <c r="M46" s="265"/>
    </row>
    <row r="47" spans="1:14">
      <c r="A47" s="108">
        <v>33</v>
      </c>
      <c r="B47" s="113"/>
      <c r="C47" s="34" t="s">
        <v>861</v>
      </c>
      <c r="D47" s="11" t="s">
        <v>862</v>
      </c>
      <c r="E47" s="229" t="s">
        <v>55</v>
      </c>
      <c r="F47" s="229"/>
      <c r="G47" s="35" t="s">
        <v>1225</v>
      </c>
      <c r="H47" s="229">
        <v>1</v>
      </c>
      <c r="I47" s="38">
        <v>1</v>
      </c>
      <c r="J47" s="42">
        <v>58300</v>
      </c>
      <c r="K47" s="297">
        <f t="shared" si="1"/>
        <v>58300</v>
      </c>
      <c r="L47" s="112"/>
      <c r="M47" s="265"/>
    </row>
    <row r="48" spans="1:14">
      <c r="A48" s="108">
        <v>34</v>
      </c>
      <c r="B48" s="44"/>
      <c r="C48" s="34" t="s">
        <v>863</v>
      </c>
      <c r="D48" s="12" t="s">
        <v>864</v>
      </c>
      <c r="E48" s="229" t="s">
        <v>55</v>
      </c>
      <c r="F48" s="229"/>
      <c r="G48" s="35" t="s">
        <v>1225</v>
      </c>
      <c r="H48" s="229">
        <v>1</v>
      </c>
      <c r="I48" s="38">
        <v>1</v>
      </c>
      <c r="J48" s="42">
        <v>46200</v>
      </c>
      <c r="K48" s="297">
        <f t="shared" si="1"/>
        <v>46200</v>
      </c>
      <c r="L48" s="112"/>
      <c r="M48" s="265"/>
    </row>
    <row r="49" spans="1:13">
      <c r="A49" s="108">
        <v>35</v>
      </c>
      <c r="B49" s="44"/>
      <c r="C49" s="34" t="s">
        <v>865</v>
      </c>
      <c r="D49" s="12" t="s">
        <v>866</v>
      </c>
      <c r="E49" s="229" t="s">
        <v>55</v>
      </c>
      <c r="F49" s="229"/>
      <c r="G49" s="35" t="s">
        <v>1225</v>
      </c>
      <c r="H49" s="229">
        <v>1</v>
      </c>
      <c r="I49" s="38">
        <v>1</v>
      </c>
      <c r="J49" s="42">
        <v>42900</v>
      </c>
      <c r="K49" s="297">
        <f t="shared" si="1"/>
        <v>42900</v>
      </c>
      <c r="L49" s="112"/>
      <c r="M49" s="265"/>
    </row>
    <row r="50" spans="1:13">
      <c r="A50" s="108">
        <v>36</v>
      </c>
      <c r="B50" s="44"/>
      <c r="C50" s="34" t="s">
        <v>867</v>
      </c>
      <c r="D50" s="12" t="s">
        <v>868</v>
      </c>
      <c r="E50" s="229" t="s">
        <v>55</v>
      </c>
      <c r="F50" s="229"/>
      <c r="G50" s="35" t="s">
        <v>1225</v>
      </c>
      <c r="H50" s="229">
        <v>1</v>
      </c>
      <c r="I50" s="38">
        <v>1</v>
      </c>
      <c r="J50" s="42">
        <v>12100</v>
      </c>
      <c r="K50" s="297">
        <f t="shared" si="1"/>
        <v>12100</v>
      </c>
      <c r="L50" s="112"/>
      <c r="M50" s="265"/>
    </row>
    <row r="51" spans="1:13">
      <c r="A51" s="108">
        <v>37</v>
      </c>
      <c r="B51" s="108"/>
      <c r="C51" s="34" t="s">
        <v>869</v>
      </c>
      <c r="D51" s="12" t="s">
        <v>870</v>
      </c>
      <c r="E51" s="229" t="s">
        <v>55</v>
      </c>
      <c r="F51" s="229"/>
      <c r="G51" s="35" t="s">
        <v>1225</v>
      </c>
      <c r="H51" s="229">
        <v>1</v>
      </c>
      <c r="I51" s="38">
        <v>1</v>
      </c>
      <c r="J51" s="42">
        <v>176550</v>
      </c>
      <c r="K51" s="297">
        <f t="shared" si="1"/>
        <v>176550</v>
      </c>
      <c r="L51" s="112"/>
      <c r="M51" s="265"/>
    </row>
    <row r="52" spans="1:13">
      <c r="A52" s="108">
        <v>38</v>
      </c>
      <c r="B52" s="44"/>
      <c r="C52" s="34" t="s">
        <v>871</v>
      </c>
      <c r="D52" s="89" t="s">
        <v>872</v>
      </c>
      <c r="E52" s="229" t="s">
        <v>55</v>
      </c>
      <c r="F52" s="229"/>
      <c r="G52" s="35" t="s">
        <v>1225</v>
      </c>
      <c r="H52" s="229">
        <v>9</v>
      </c>
      <c r="I52" s="38">
        <v>9</v>
      </c>
      <c r="J52" s="155">
        <v>131182</v>
      </c>
      <c r="K52" s="297">
        <f t="shared" si="1"/>
        <v>1180638</v>
      </c>
      <c r="L52" s="112"/>
      <c r="M52" s="265"/>
    </row>
    <row r="53" spans="1:13" ht="24.75" thickBot="1">
      <c r="A53" s="382">
        <v>39</v>
      </c>
      <c r="B53" s="313"/>
      <c r="C53" s="236" t="s">
        <v>873</v>
      </c>
      <c r="D53" s="329" t="s">
        <v>715</v>
      </c>
      <c r="E53" s="205" t="s">
        <v>55</v>
      </c>
      <c r="F53" s="205"/>
      <c r="G53" s="203" t="s">
        <v>1225</v>
      </c>
      <c r="H53" s="205">
        <v>10</v>
      </c>
      <c r="I53" s="220">
        <v>10</v>
      </c>
      <c r="J53" s="384">
        <v>1605</v>
      </c>
      <c r="K53" s="373">
        <f t="shared" si="1"/>
        <v>16050</v>
      </c>
      <c r="L53" s="312"/>
      <c r="M53" s="265"/>
    </row>
    <row r="54" spans="1:13" ht="24.75" thickBot="1">
      <c r="A54" s="434" t="s">
        <v>381</v>
      </c>
      <c r="B54" s="435"/>
      <c r="C54" s="435"/>
      <c r="D54" s="435"/>
      <c r="E54" s="435"/>
      <c r="F54" s="435"/>
      <c r="G54" s="435"/>
      <c r="H54" s="435"/>
      <c r="I54" s="435"/>
      <c r="J54" s="436"/>
      <c r="K54" s="359">
        <f>SUM(K36:K53)</f>
        <v>8158257.2999999998</v>
      </c>
      <c r="L54" s="360"/>
      <c r="M54" s="274"/>
    </row>
    <row r="55" spans="1:13" ht="24.75" thickTop="1">
      <c r="A55" s="281"/>
      <c r="B55" s="281"/>
      <c r="C55" s="281"/>
      <c r="D55" s="281"/>
      <c r="E55" s="281"/>
      <c r="F55" s="340"/>
      <c r="G55" s="340"/>
      <c r="H55" s="340"/>
      <c r="I55" s="287"/>
      <c r="J55" s="276"/>
      <c r="K55" s="276"/>
      <c r="L55" s="279"/>
      <c r="M55" s="274"/>
    </row>
    <row r="56" spans="1:13">
      <c r="A56" s="59"/>
      <c r="B56" s="343" t="s">
        <v>4</v>
      </c>
      <c r="C56" s="253" t="s">
        <v>1222</v>
      </c>
      <c r="D56" s="59"/>
      <c r="E56" s="59"/>
      <c r="F56" s="59"/>
      <c r="G56" s="59"/>
      <c r="H56" s="59"/>
      <c r="I56" s="287"/>
      <c r="J56" s="59"/>
      <c r="K56" s="59"/>
      <c r="L56" s="279"/>
      <c r="M56" s="59"/>
    </row>
    <row r="57" spans="1:13">
      <c r="A57" s="59"/>
      <c r="B57" s="338"/>
      <c r="C57" s="253" t="s">
        <v>1223</v>
      </c>
      <c r="D57" s="59"/>
      <c r="E57" s="59"/>
      <c r="F57" s="59"/>
      <c r="G57" s="59"/>
      <c r="H57" s="59"/>
      <c r="I57" s="431" t="s">
        <v>161</v>
      </c>
      <c r="J57" s="431"/>
      <c r="K57" s="431"/>
      <c r="L57" s="431"/>
      <c r="M57" s="279"/>
    </row>
    <row r="58" spans="1:13">
      <c r="A58" s="59"/>
      <c r="B58" s="59"/>
      <c r="C58" s="59"/>
      <c r="D58" s="59"/>
      <c r="E58" s="59"/>
      <c r="F58" s="59"/>
      <c r="G58" s="59"/>
      <c r="H58" s="59"/>
      <c r="I58" s="431" t="s">
        <v>1213</v>
      </c>
      <c r="J58" s="431"/>
      <c r="K58" s="431"/>
      <c r="L58" s="431"/>
      <c r="M58" s="279"/>
    </row>
    <row r="59" spans="1:13">
      <c r="A59" s="59"/>
      <c r="B59" s="59"/>
      <c r="C59" s="59"/>
      <c r="D59" s="59"/>
      <c r="E59" s="59"/>
      <c r="F59" s="59"/>
      <c r="G59" s="59"/>
      <c r="H59" s="59"/>
      <c r="I59" s="431" t="s">
        <v>162</v>
      </c>
      <c r="J59" s="431"/>
      <c r="K59" s="431"/>
      <c r="L59" s="431"/>
      <c r="M59" s="279"/>
    </row>
    <row r="60" spans="1:13">
      <c r="A60" s="59"/>
      <c r="B60" s="59"/>
      <c r="C60" s="59"/>
      <c r="D60" s="59"/>
      <c r="E60" s="59"/>
      <c r="F60" s="59"/>
      <c r="G60" s="59"/>
      <c r="H60" s="59"/>
      <c r="I60" s="279"/>
      <c r="J60" s="279"/>
      <c r="K60" s="279"/>
      <c r="L60" s="279"/>
      <c r="M60" s="279"/>
    </row>
  </sheetData>
  <mergeCells count="34">
    <mergeCell ref="A2:L2"/>
    <mergeCell ref="A3:L3"/>
    <mergeCell ref="A4:L4"/>
    <mergeCell ref="J34:J35"/>
    <mergeCell ref="F5:F6"/>
    <mergeCell ref="G5:G6"/>
    <mergeCell ref="H5:I5"/>
    <mergeCell ref="K34:K35"/>
    <mergeCell ref="L34:L35"/>
    <mergeCell ref="L5:L6"/>
    <mergeCell ref="J5:J6"/>
    <mergeCell ref="K5:K6"/>
    <mergeCell ref="H34:I34"/>
    <mergeCell ref="F34:F35"/>
    <mergeCell ref="G34:G35"/>
    <mergeCell ref="A5:A6"/>
    <mergeCell ref="I59:L59"/>
    <mergeCell ref="A54:J54"/>
    <mergeCell ref="A31:L31"/>
    <mergeCell ref="A32:L32"/>
    <mergeCell ref="A33:L33"/>
    <mergeCell ref="A36:J36"/>
    <mergeCell ref="A34:A35"/>
    <mergeCell ref="B34:B35"/>
    <mergeCell ref="C34:C35"/>
    <mergeCell ref="D34:D35"/>
    <mergeCell ref="E34:E35"/>
    <mergeCell ref="I57:L57"/>
    <mergeCell ref="I58:L58"/>
    <mergeCell ref="B5:B6"/>
    <mergeCell ref="C5:C6"/>
    <mergeCell ref="D5:D6"/>
    <mergeCell ref="E5:E6"/>
    <mergeCell ref="A29:J29"/>
  </mergeCells>
  <printOptions horizontalCentered="1"/>
  <pageMargins left="0.19685039370078741" right="0" top="0.59055118110236227" bottom="0.19685039370078741" header="0" footer="0"/>
  <pageSetup paperSize="9" scale="75" orientation="landscape" r:id="rId1"/>
  <rowBreaks count="1" manualBreakCount="1">
    <brk id="29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46"/>
  <sheetViews>
    <sheetView zoomScaleNormal="100" workbookViewId="0">
      <selection activeCell="N14" sqref="N14"/>
    </sheetView>
  </sheetViews>
  <sheetFormatPr defaultColWidth="9" defaultRowHeight="24"/>
  <cols>
    <col min="1" max="1" width="5.28515625" style="14" customWidth="1"/>
    <col min="2" max="2" width="10.7109375" style="14" customWidth="1"/>
    <col min="3" max="3" width="34.28515625" style="14" customWidth="1"/>
    <col min="4" max="4" width="31.42578125" style="14" customWidth="1"/>
    <col min="5" max="5" width="7.7109375" style="14" customWidth="1"/>
    <col min="6" max="6" width="8.85546875" style="14" customWidth="1"/>
    <col min="7" max="7" width="6" style="14" customWidth="1"/>
    <col min="8" max="8" width="7.28515625" style="14" customWidth="1"/>
    <col min="9" max="9" width="6.140625" style="14" customWidth="1"/>
    <col min="10" max="10" width="12.140625" style="14" customWidth="1"/>
    <col min="11" max="11" width="14" style="14" customWidth="1"/>
    <col min="12" max="12" width="35.85546875" style="282" customWidth="1"/>
    <col min="13" max="14" width="14.28515625" style="14" customWidth="1"/>
    <col min="15" max="16384" width="9" style="14"/>
  </cols>
  <sheetData>
    <row r="1" spans="1:14">
      <c r="L1" s="354" t="s">
        <v>1241</v>
      </c>
    </row>
    <row r="2" spans="1:1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282"/>
      <c r="N2" s="282"/>
    </row>
    <row r="3" spans="1:1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84"/>
      <c r="N3" s="284"/>
    </row>
    <row r="4" spans="1:14">
      <c r="A4" s="441" t="s">
        <v>1240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79"/>
      <c r="N4" s="279"/>
    </row>
    <row r="5" spans="1:1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362"/>
      <c r="N5" s="362"/>
    </row>
    <row r="6" spans="1:14" ht="45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283"/>
      <c r="N6" s="283"/>
    </row>
    <row r="7" spans="1:14">
      <c r="A7" s="108">
        <v>1</v>
      </c>
      <c r="B7" s="33"/>
      <c r="C7" s="34" t="s">
        <v>706</v>
      </c>
      <c r="D7" s="34" t="s">
        <v>707</v>
      </c>
      <c r="E7" s="229" t="s">
        <v>55</v>
      </c>
      <c r="F7" s="229"/>
      <c r="G7" s="229" t="s">
        <v>1225</v>
      </c>
      <c r="H7" s="229">
        <v>4</v>
      </c>
      <c r="I7" s="38">
        <v>4</v>
      </c>
      <c r="J7" s="42">
        <v>29853</v>
      </c>
      <c r="K7" s="42">
        <f>SUM(I7*J7)</f>
        <v>119412</v>
      </c>
      <c r="L7" s="229"/>
      <c r="M7" s="59"/>
      <c r="N7" s="59"/>
    </row>
    <row r="8" spans="1:14">
      <c r="A8" s="311">
        <v>2</v>
      </c>
      <c r="B8" s="33"/>
      <c r="C8" s="34" t="s">
        <v>708</v>
      </c>
      <c r="D8" s="34" t="s">
        <v>709</v>
      </c>
      <c r="E8" s="229" t="s">
        <v>55</v>
      </c>
      <c r="F8" s="229"/>
      <c r="G8" s="229" t="s">
        <v>1225</v>
      </c>
      <c r="H8" s="229">
        <v>5</v>
      </c>
      <c r="I8" s="38">
        <v>5</v>
      </c>
      <c r="J8" s="42">
        <v>67987.8</v>
      </c>
      <c r="K8" s="42">
        <f t="shared" ref="K8:K27" si="0">SUM(I8*J8)</f>
        <v>339939</v>
      </c>
      <c r="L8" s="229"/>
      <c r="M8" s="59"/>
      <c r="N8" s="59"/>
    </row>
    <row r="9" spans="1:14">
      <c r="A9" s="108">
        <v>3</v>
      </c>
      <c r="B9" s="44"/>
      <c r="C9" s="34" t="s">
        <v>710</v>
      </c>
      <c r="D9" s="34" t="s">
        <v>711</v>
      </c>
      <c r="E9" s="35" t="s">
        <v>55</v>
      </c>
      <c r="F9" s="35"/>
      <c r="G9" s="229" t="s">
        <v>1225</v>
      </c>
      <c r="H9" s="35">
        <v>20</v>
      </c>
      <c r="I9" s="38">
        <v>20</v>
      </c>
      <c r="J9" s="42">
        <v>7918</v>
      </c>
      <c r="K9" s="42">
        <f t="shared" si="0"/>
        <v>158360</v>
      </c>
      <c r="L9" s="112"/>
      <c r="M9" s="265"/>
      <c r="N9" s="265"/>
    </row>
    <row r="10" spans="1:14">
      <c r="A10" s="311">
        <v>4</v>
      </c>
      <c r="B10" s="44"/>
      <c r="C10" s="34" t="s">
        <v>712</v>
      </c>
      <c r="D10" s="34" t="s">
        <v>713</v>
      </c>
      <c r="E10" s="35" t="s">
        <v>55</v>
      </c>
      <c r="F10" s="35"/>
      <c r="G10" s="229" t="s">
        <v>1225</v>
      </c>
      <c r="H10" s="35">
        <v>2</v>
      </c>
      <c r="I10" s="38">
        <v>2</v>
      </c>
      <c r="J10" s="42">
        <v>65000</v>
      </c>
      <c r="K10" s="42">
        <f t="shared" si="0"/>
        <v>130000</v>
      </c>
      <c r="L10" s="112"/>
      <c r="M10" s="265"/>
      <c r="N10" s="265"/>
    </row>
    <row r="11" spans="1:14">
      <c r="A11" s="108">
        <v>5</v>
      </c>
      <c r="B11" s="115"/>
      <c r="C11" s="34" t="s">
        <v>714</v>
      </c>
      <c r="D11" s="12" t="s">
        <v>715</v>
      </c>
      <c r="E11" s="35" t="s">
        <v>55</v>
      </c>
      <c r="F11" s="35"/>
      <c r="G11" s="229" t="s">
        <v>1225</v>
      </c>
      <c r="H11" s="35">
        <v>10</v>
      </c>
      <c r="I11" s="38">
        <v>10</v>
      </c>
      <c r="J11" s="42">
        <v>1605</v>
      </c>
      <c r="K11" s="42">
        <f t="shared" si="0"/>
        <v>16050</v>
      </c>
      <c r="L11" s="229"/>
      <c r="M11" s="59"/>
      <c r="N11" s="59"/>
    </row>
    <row r="12" spans="1:14">
      <c r="A12" s="311">
        <v>6</v>
      </c>
      <c r="B12" s="33"/>
      <c r="C12" s="34" t="s">
        <v>716</v>
      </c>
      <c r="D12" s="12" t="s">
        <v>717</v>
      </c>
      <c r="E12" s="229" t="s">
        <v>56</v>
      </c>
      <c r="F12" s="229"/>
      <c r="G12" s="229" t="s">
        <v>1225</v>
      </c>
      <c r="H12" s="229">
        <v>1</v>
      </c>
      <c r="I12" s="38">
        <v>1</v>
      </c>
      <c r="J12" s="42">
        <v>6200</v>
      </c>
      <c r="K12" s="42">
        <f t="shared" si="0"/>
        <v>6200</v>
      </c>
      <c r="L12" s="229"/>
      <c r="M12" s="59"/>
      <c r="N12" s="59"/>
    </row>
    <row r="13" spans="1:14">
      <c r="A13" s="108">
        <v>7</v>
      </c>
      <c r="B13" s="33"/>
      <c r="C13" s="34" t="s">
        <v>718</v>
      </c>
      <c r="D13" s="34" t="s">
        <v>719</v>
      </c>
      <c r="E13" s="229" t="s">
        <v>55</v>
      </c>
      <c r="F13" s="229"/>
      <c r="G13" s="229" t="s">
        <v>1225</v>
      </c>
      <c r="H13" s="229">
        <v>2</v>
      </c>
      <c r="I13" s="38">
        <v>2</v>
      </c>
      <c r="J13" s="42">
        <v>79850</v>
      </c>
      <c r="K13" s="42">
        <f t="shared" si="0"/>
        <v>159700</v>
      </c>
      <c r="L13" s="229"/>
      <c r="M13" s="59"/>
      <c r="N13" s="59"/>
    </row>
    <row r="14" spans="1:14">
      <c r="A14" s="311">
        <v>8</v>
      </c>
      <c r="B14" s="33"/>
      <c r="C14" s="34" t="s">
        <v>720</v>
      </c>
      <c r="D14" s="12" t="s">
        <v>539</v>
      </c>
      <c r="E14" s="229" t="s">
        <v>56</v>
      </c>
      <c r="F14" s="229"/>
      <c r="G14" s="229" t="s">
        <v>1225</v>
      </c>
      <c r="H14" s="229">
        <v>1</v>
      </c>
      <c r="I14" s="38">
        <v>1</v>
      </c>
      <c r="J14" s="42">
        <v>33000</v>
      </c>
      <c r="K14" s="42">
        <f t="shared" si="0"/>
        <v>33000</v>
      </c>
      <c r="L14" s="229"/>
      <c r="M14" s="59"/>
      <c r="N14" s="59"/>
    </row>
    <row r="15" spans="1:14">
      <c r="A15" s="108">
        <v>9</v>
      </c>
      <c r="B15" s="44"/>
      <c r="C15" s="34" t="s">
        <v>246</v>
      </c>
      <c r="D15" s="12" t="s">
        <v>721</v>
      </c>
      <c r="E15" s="35" t="s">
        <v>56</v>
      </c>
      <c r="F15" s="35"/>
      <c r="G15" s="229" t="s">
        <v>1225</v>
      </c>
      <c r="H15" s="35">
        <v>1</v>
      </c>
      <c r="I15" s="38">
        <v>1</v>
      </c>
      <c r="J15" s="42">
        <v>8500</v>
      </c>
      <c r="K15" s="42">
        <f t="shared" si="0"/>
        <v>8500</v>
      </c>
      <c r="L15" s="112"/>
      <c r="M15" s="265"/>
      <c r="N15" s="265"/>
    </row>
    <row r="16" spans="1:14">
      <c r="A16" s="311">
        <v>10</v>
      </c>
      <c r="B16" s="113"/>
      <c r="C16" s="34" t="s">
        <v>722</v>
      </c>
      <c r="D16" s="12" t="s">
        <v>723</v>
      </c>
      <c r="E16" s="35" t="s">
        <v>56</v>
      </c>
      <c r="F16" s="35"/>
      <c r="G16" s="229" t="s">
        <v>1225</v>
      </c>
      <c r="H16" s="35">
        <v>1</v>
      </c>
      <c r="I16" s="38">
        <v>1</v>
      </c>
      <c r="J16" s="42">
        <v>22000</v>
      </c>
      <c r="K16" s="42">
        <f t="shared" si="0"/>
        <v>22000</v>
      </c>
      <c r="L16" s="112"/>
      <c r="M16" s="265"/>
      <c r="N16" s="265"/>
    </row>
    <row r="17" spans="1:14">
      <c r="A17" s="108">
        <v>11</v>
      </c>
      <c r="B17" s="44"/>
      <c r="C17" s="34" t="s">
        <v>724</v>
      </c>
      <c r="D17" s="12" t="s">
        <v>233</v>
      </c>
      <c r="E17" s="35" t="s">
        <v>56</v>
      </c>
      <c r="F17" s="35"/>
      <c r="G17" s="229" t="s">
        <v>1225</v>
      </c>
      <c r="H17" s="35">
        <v>1</v>
      </c>
      <c r="I17" s="38">
        <v>1</v>
      </c>
      <c r="J17" s="42">
        <v>1400</v>
      </c>
      <c r="K17" s="42">
        <f t="shared" si="0"/>
        <v>1400</v>
      </c>
      <c r="L17" s="112"/>
      <c r="M17" s="265"/>
      <c r="N17" s="265"/>
    </row>
    <row r="18" spans="1:14">
      <c r="A18" s="311">
        <v>12</v>
      </c>
      <c r="B18" s="44"/>
      <c r="C18" s="34" t="s">
        <v>725</v>
      </c>
      <c r="D18" s="12" t="s">
        <v>726</v>
      </c>
      <c r="E18" s="35" t="s">
        <v>56</v>
      </c>
      <c r="F18" s="35"/>
      <c r="G18" s="229" t="s">
        <v>1225</v>
      </c>
      <c r="H18" s="35">
        <v>1</v>
      </c>
      <c r="I18" s="38">
        <v>1</v>
      </c>
      <c r="J18" s="42">
        <v>3400</v>
      </c>
      <c r="K18" s="42">
        <f t="shared" si="0"/>
        <v>3400</v>
      </c>
      <c r="L18" s="112"/>
      <c r="M18" s="265"/>
      <c r="N18" s="265"/>
    </row>
    <row r="19" spans="1:14">
      <c r="A19" s="108">
        <v>13</v>
      </c>
      <c r="B19" s="44"/>
      <c r="C19" s="34" t="s">
        <v>727</v>
      </c>
      <c r="D19" s="12" t="s">
        <v>728</v>
      </c>
      <c r="E19" s="35" t="s">
        <v>56</v>
      </c>
      <c r="F19" s="35"/>
      <c r="G19" s="229" t="s">
        <v>1225</v>
      </c>
      <c r="H19" s="35">
        <v>1</v>
      </c>
      <c r="I19" s="38">
        <v>1</v>
      </c>
      <c r="J19" s="42">
        <v>13589</v>
      </c>
      <c r="K19" s="42">
        <f t="shared" si="0"/>
        <v>13589</v>
      </c>
      <c r="L19" s="112"/>
      <c r="M19" s="265"/>
      <c r="N19" s="265"/>
    </row>
    <row r="20" spans="1:14">
      <c r="A20" s="311">
        <v>14</v>
      </c>
      <c r="B20" s="108"/>
      <c r="C20" s="34" t="s">
        <v>729</v>
      </c>
      <c r="D20" s="12" t="s">
        <v>730</v>
      </c>
      <c r="E20" s="35" t="s">
        <v>55</v>
      </c>
      <c r="F20" s="35"/>
      <c r="G20" s="229" t="s">
        <v>1225</v>
      </c>
      <c r="H20" s="35">
        <v>5</v>
      </c>
      <c r="I20" s="38">
        <v>5</v>
      </c>
      <c r="J20" s="42">
        <v>14970</v>
      </c>
      <c r="K20" s="42">
        <f t="shared" si="0"/>
        <v>74850</v>
      </c>
      <c r="L20" s="112"/>
      <c r="M20" s="265"/>
      <c r="N20" s="265"/>
    </row>
    <row r="21" spans="1:14">
      <c r="A21" s="108">
        <v>15</v>
      </c>
      <c r="B21" s="44"/>
      <c r="C21" s="34" t="s">
        <v>731</v>
      </c>
      <c r="D21" s="12" t="s">
        <v>732</v>
      </c>
      <c r="E21" s="35" t="s">
        <v>55</v>
      </c>
      <c r="F21" s="35"/>
      <c r="G21" s="229" t="s">
        <v>1225</v>
      </c>
      <c r="H21" s="35">
        <v>2</v>
      </c>
      <c r="I21" s="38">
        <v>2</v>
      </c>
      <c r="J21" s="42">
        <v>44900</v>
      </c>
      <c r="K21" s="42">
        <f t="shared" si="0"/>
        <v>89800</v>
      </c>
      <c r="L21" s="112"/>
      <c r="M21" s="265"/>
      <c r="N21" s="265"/>
    </row>
    <row r="22" spans="1:14">
      <c r="A22" s="311">
        <v>16</v>
      </c>
      <c r="B22" s="44"/>
      <c r="C22" s="34" t="s">
        <v>733</v>
      </c>
      <c r="D22" s="34" t="s">
        <v>734</v>
      </c>
      <c r="E22" s="35" t="s">
        <v>55</v>
      </c>
      <c r="F22" s="35"/>
      <c r="G22" s="229" t="s">
        <v>1225</v>
      </c>
      <c r="H22" s="35">
        <v>1</v>
      </c>
      <c r="I22" s="38">
        <v>1</v>
      </c>
      <c r="J22" s="42">
        <v>22500</v>
      </c>
      <c r="K22" s="42">
        <f t="shared" si="0"/>
        <v>22500</v>
      </c>
      <c r="L22" s="112"/>
      <c r="M22" s="265"/>
      <c r="N22" s="265"/>
    </row>
    <row r="23" spans="1:14">
      <c r="A23" s="108">
        <v>17</v>
      </c>
      <c r="B23" s="44"/>
      <c r="C23" s="34" t="s">
        <v>735</v>
      </c>
      <c r="D23" s="34" t="s">
        <v>736</v>
      </c>
      <c r="E23" s="35" t="s">
        <v>1100</v>
      </c>
      <c r="F23" s="35"/>
      <c r="G23" s="229" t="s">
        <v>1225</v>
      </c>
      <c r="H23" s="35">
        <v>1</v>
      </c>
      <c r="I23" s="38">
        <v>1</v>
      </c>
      <c r="J23" s="42">
        <v>3990</v>
      </c>
      <c r="K23" s="42">
        <f t="shared" si="0"/>
        <v>3990</v>
      </c>
      <c r="L23" s="120"/>
      <c r="M23" s="277"/>
      <c r="N23" s="277"/>
    </row>
    <row r="24" spans="1:14" ht="20.25" customHeight="1">
      <c r="A24" s="311">
        <v>18</v>
      </c>
      <c r="B24" s="115"/>
      <c r="C24" s="34" t="s">
        <v>737</v>
      </c>
      <c r="D24" s="12" t="s">
        <v>738</v>
      </c>
      <c r="E24" s="35" t="s">
        <v>1100</v>
      </c>
      <c r="F24" s="35"/>
      <c r="G24" s="229" t="s">
        <v>1225</v>
      </c>
      <c r="H24" s="35">
        <v>6</v>
      </c>
      <c r="I24" s="38">
        <v>6</v>
      </c>
      <c r="J24" s="42">
        <v>1333.33</v>
      </c>
      <c r="K24" s="42">
        <f t="shared" si="0"/>
        <v>7999.98</v>
      </c>
      <c r="L24" s="229"/>
      <c r="M24" s="59"/>
      <c r="N24" s="59"/>
    </row>
    <row r="25" spans="1:14">
      <c r="A25" s="108">
        <v>19</v>
      </c>
      <c r="B25" s="107"/>
      <c r="C25" s="34" t="s">
        <v>739</v>
      </c>
      <c r="D25" s="12" t="s">
        <v>740</v>
      </c>
      <c r="E25" s="35" t="s">
        <v>56</v>
      </c>
      <c r="F25" s="35"/>
      <c r="G25" s="229" t="s">
        <v>1225</v>
      </c>
      <c r="H25" s="35">
        <v>1</v>
      </c>
      <c r="I25" s="38">
        <v>1</v>
      </c>
      <c r="J25" s="42">
        <v>50290</v>
      </c>
      <c r="K25" s="42">
        <f t="shared" si="0"/>
        <v>50290</v>
      </c>
      <c r="L25" s="229"/>
      <c r="M25" s="59"/>
      <c r="N25" s="59"/>
    </row>
    <row r="26" spans="1:14">
      <c r="A26" s="311">
        <v>20</v>
      </c>
      <c r="B26" s="117"/>
      <c r="C26" s="34" t="s">
        <v>741</v>
      </c>
      <c r="D26" s="132" t="s">
        <v>742</v>
      </c>
      <c r="E26" s="229" t="s">
        <v>56</v>
      </c>
      <c r="F26" s="229"/>
      <c r="G26" s="229" t="s">
        <v>1225</v>
      </c>
      <c r="H26" s="229">
        <v>1</v>
      </c>
      <c r="I26" s="38">
        <v>1</v>
      </c>
      <c r="J26" s="42">
        <v>2990</v>
      </c>
      <c r="K26" s="42">
        <f t="shared" si="0"/>
        <v>2990</v>
      </c>
      <c r="L26" s="229"/>
      <c r="M26" s="59"/>
      <c r="N26" s="59"/>
    </row>
    <row r="27" spans="1:14">
      <c r="A27" s="108">
        <v>21</v>
      </c>
      <c r="B27" s="44"/>
      <c r="C27" s="34" t="s">
        <v>743</v>
      </c>
      <c r="D27" s="132" t="s">
        <v>744</v>
      </c>
      <c r="E27" s="35" t="s">
        <v>56</v>
      </c>
      <c r="F27" s="35"/>
      <c r="G27" s="229" t="s">
        <v>1225</v>
      </c>
      <c r="H27" s="35">
        <v>1</v>
      </c>
      <c r="I27" s="38">
        <v>1</v>
      </c>
      <c r="J27" s="42">
        <v>1990</v>
      </c>
      <c r="K27" s="42">
        <f t="shared" si="0"/>
        <v>1990</v>
      </c>
      <c r="L27" s="112"/>
      <c r="M27" s="265"/>
      <c r="N27" s="265"/>
    </row>
    <row r="28" spans="1:14" ht="24.75" thickBot="1">
      <c r="A28" s="458" t="s">
        <v>1203</v>
      </c>
      <c r="B28" s="459"/>
      <c r="C28" s="459"/>
      <c r="D28" s="459"/>
      <c r="E28" s="459"/>
      <c r="F28" s="459"/>
      <c r="G28" s="459"/>
      <c r="H28" s="459"/>
      <c r="I28" s="459"/>
      <c r="J28" s="460"/>
      <c r="K28" s="386">
        <f>SUM(K7:K27)</f>
        <v>1265959.98</v>
      </c>
      <c r="L28" s="388"/>
      <c r="M28" s="265"/>
      <c r="N28" s="265"/>
    </row>
    <row r="29" spans="1:14" ht="24.75" thickTop="1">
      <c r="L29" s="354" t="s">
        <v>1242</v>
      </c>
      <c r="M29" s="265"/>
      <c r="N29" s="265"/>
    </row>
    <row r="30" spans="1:14">
      <c r="A30" s="439" t="s">
        <v>550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265"/>
      <c r="N30" s="265"/>
    </row>
    <row r="31" spans="1:14">
      <c r="A31" s="440" t="s">
        <v>1228</v>
      </c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265"/>
      <c r="N31" s="265"/>
    </row>
    <row r="32" spans="1:14">
      <c r="A32" s="441" t="s">
        <v>1240</v>
      </c>
      <c r="B32" s="441"/>
      <c r="C32" s="441"/>
      <c r="D32" s="441"/>
      <c r="E32" s="441"/>
      <c r="F32" s="441"/>
      <c r="G32" s="441"/>
      <c r="H32" s="441"/>
      <c r="I32" s="441"/>
      <c r="J32" s="441"/>
      <c r="K32" s="441"/>
      <c r="L32" s="441"/>
      <c r="M32" s="265"/>
      <c r="N32" s="265"/>
    </row>
    <row r="33" spans="1:14">
      <c r="A33" s="432" t="s">
        <v>1196</v>
      </c>
      <c r="B33" s="432" t="s">
        <v>1226</v>
      </c>
      <c r="C33" s="432" t="s">
        <v>1221</v>
      </c>
      <c r="D33" s="444" t="s">
        <v>0</v>
      </c>
      <c r="E33" s="432" t="s">
        <v>1216</v>
      </c>
      <c r="F33" s="432" t="s">
        <v>1215</v>
      </c>
      <c r="G33" s="437" t="s">
        <v>1217</v>
      </c>
      <c r="H33" s="442" t="s">
        <v>2</v>
      </c>
      <c r="I33" s="443"/>
      <c r="J33" s="432" t="s">
        <v>1220</v>
      </c>
      <c r="K33" s="432" t="s">
        <v>1202</v>
      </c>
      <c r="L33" s="432" t="s">
        <v>1219</v>
      </c>
      <c r="M33" s="265"/>
      <c r="N33" s="265"/>
    </row>
    <row r="34" spans="1:14" ht="48">
      <c r="A34" s="433"/>
      <c r="B34" s="433"/>
      <c r="C34" s="433"/>
      <c r="D34" s="445"/>
      <c r="E34" s="433"/>
      <c r="F34" s="433"/>
      <c r="G34" s="438"/>
      <c r="H34" s="176" t="s">
        <v>1218</v>
      </c>
      <c r="I34" s="126" t="s">
        <v>69</v>
      </c>
      <c r="J34" s="433"/>
      <c r="K34" s="433"/>
      <c r="L34" s="433"/>
      <c r="M34" s="265"/>
      <c r="N34" s="265"/>
    </row>
    <row r="35" spans="1:14">
      <c r="A35" s="452" t="s">
        <v>1204</v>
      </c>
      <c r="B35" s="453"/>
      <c r="C35" s="453"/>
      <c r="D35" s="453"/>
      <c r="E35" s="453"/>
      <c r="F35" s="453"/>
      <c r="G35" s="453"/>
      <c r="H35" s="453"/>
      <c r="I35" s="453"/>
      <c r="J35" s="454"/>
      <c r="K35" s="381">
        <f>SUM(K28)</f>
        <v>1265959.98</v>
      </c>
      <c r="L35" s="363"/>
      <c r="M35" s="265"/>
      <c r="N35" s="265"/>
    </row>
    <row r="36" spans="1:14">
      <c r="A36" s="311">
        <v>22</v>
      </c>
      <c r="B36" s="113"/>
      <c r="C36" s="34" t="s">
        <v>745</v>
      </c>
      <c r="D36" s="132" t="s">
        <v>746</v>
      </c>
      <c r="E36" s="35" t="s">
        <v>56</v>
      </c>
      <c r="F36" s="35"/>
      <c r="G36" s="229" t="s">
        <v>1225</v>
      </c>
      <c r="H36" s="35">
        <v>6</v>
      </c>
      <c r="I36" s="38">
        <v>6</v>
      </c>
      <c r="J36" s="42">
        <v>2354</v>
      </c>
      <c r="K36" s="42">
        <f>SUM(I36*J36)</f>
        <v>14124</v>
      </c>
      <c r="L36" s="112"/>
      <c r="M36" s="265"/>
      <c r="N36" s="265"/>
    </row>
    <row r="37" spans="1:14">
      <c r="A37" s="108">
        <v>23</v>
      </c>
      <c r="B37" s="44"/>
      <c r="C37" s="34" t="s">
        <v>747</v>
      </c>
      <c r="D37" s="132" t="s">
        <v>748</v>
      </c>
      <c r="E37" s="35" t="s">
        <v>56</v>
      </c>
      <c r="F37" s="35"/>
      <c r="G37" s="229" t="s">
        <v>1225</v>
      </c>
      <c r="H37" s="35">
        <v>1</v>
      </c>
      <c r="I37" s="38">
        <v>1</v>
      </c>
      <c r="J37" s="42">
        <v>7383</v>
      </c>
      <c r="K37" s="42">
        <f t="shared" ref="K37:K39" si="1">SUM(I37*J37)</f>
        <v>7383</v>
      </c>
      <c r="L37" s="112"/>
      <c r="M37" s="265"/>
      <c r="N37" s="265"/>
    </row>
    <row r="38" spans="1:14">
      <c r="A38" s="311">
        <v>24</v>
      </c>
      <c r="B38" s="44"/>
      <c r="C38" s="34" t="s">
        <v>749</v>
      </c>
      <c r="D38" s="132" t="s">
        <v>750</v>
      </c>
      <c r="E38" s="35" t="s">
        <v>55</v>
      </c>
      <c r="F38" s="35"/>
      <c r="G38" s="229" t="s">
        <v>1225</v>
      </c>
      <c r="H38" s="35">
        <v>1</v>
      </c>
      <c r="I38" s="38">
        <v>1</v>
      </c>
      <c r="J38" s="42">
        <v>44960</v>
      </c>
      <c r="K38" s="42">
        <f t="shared" si="1"/>
        <v>44960</v>
      </c>
      <c r="L38" s="112"/>
      <c r="M38" s="265"/>
      <c r="N38" s="265"/>
    </row>
    <row r="39" spans="1:14">
      <c r="A39" s="108">
        <v>25</v>
      </c>
      <c r="B39" s="44"/>
      <c r="C39" s="315" t="s">
        <v>751</v>
      </c>
      <c r="D39" s="132" t="s">
        <v>473</v>
      </c>
      <c r="E39" s="35" t="s">
        <v>56</v>
      </c>
      <c r="F39" s="35"/>
      <c r="G39" s="229" t="s">
        <v>1225</v>
      </c>
      <c r="H39" s="35">
        <v>1</v>
      </c>
      <c r="I39" s="114">
        <v>1</v>
      </c>
      <c r="J39" s="42">
        <v>44800</v>
      </c>
      <c r="K39" s="42">
        <f t="shared" si="1"/>
        <v>44800</v>
      </c>
      <c r="L39" s="112"/>
      <c r="M39" s="265"/>
      <c r="N39" s="265"/>
    </row>
    <row r="40" spans="1:14" ht="24.75" thickBot="1">
      <c r="A40" s="455" t="s">
        <v>381</v>
      </c>
      <c r="B40" s="456"/>
      <c r="C40" s="456"/>
      <c r="D40" s="456"/>
      <c r="E40" s="456"/>
      <c r="F40" s="456"/>
      <c r="G40" s="456"/>
      <c r="H40" s="456"/>
      <c r="I40" s="456"/>
      <c r="J40" s="457"/>
      <c r="K40" s="389">
        <f>SUM(K35:K39)</f>
        <v>1377226.98</v>
      </c>
      <c r="L40" s="387"/>
      <c r="M40" s="279"/>
      <c r="N40" s="279"/>
    </row>
    <row r="41" spans="1:14" ht="24" customHeight="1" thickTop="1">
      <c r="A41" s="281"/>
      <c r="B41" s="281"/>
      <c r="C41" s="281"/>
      <c r="D41" s="281"/>
      <c r="E41" s="281"/>
      <c r="F41" s="364"/>
      <c r="G41" s="364"/>
      <c r="H41" s="364"/>
      <c r="I41" s="287"/>
      <c r="J41" s="276"/>
      <c r="K41" s="276"/>
      <c r="L41" s="279"/>
      <c r="M41" s="279"/>
      <c r="N41" s="279"/>
    </row>
    <row r="42" spans="1:14" ht="24" customHeight="1">
      <c r="A42" s="59"/>
      <c r="B42" s="343" t="s">
        <v>4</v>
      </c>
      <c r="C42" s="253" t="s">
        <v>1222</v>
      </c>
      <c r="D42" s="59"/>
      <c r="E42" s="59"/>
      <c r="F42" s="59"/>
      <c r="G42" s="59"/>
      <c r="H42" s="59"/>
      <c r="I42" s="274" t="s">
        <v>1121</v>
      </c>
      <c r="J42" s="274"/>
      <c r="K42" s="274"/>
      <c r="L42" s="274"/>
      <c r="M42" s="279"/>
      <c r="N42" s="279"/>
    </row>
    <row r="43" spans="1:14" ht="24" customHeight="1">
      <c r="A43" s="59"/>
      <c r="B43" s="362"/>
      <c r="C43" s="253" t="s">
        <v>1223</v>
      </c>
      <c r="D43" s="59"/>
      <c r="E43" s="59"/>
      <c r="F43" s="59"/>
      <c r="G43" s="59"/>
      <c r="H43" s="59"/>
      <c r="I43" s="274" t="s">
        <v>1121</v>
      </c>
      <c r="J43" s="274"/>
      <c r="K43" s="274"/>
      <c r="L43" s="274"/>
      <c r="M43" s="279"/>
      <c r="N43" s="279"/>
    </row>
    <row r="44" spans="1:14" ht="24" customHeight="1">
      <c r="A44" s="59"/>
      <c r="B44" s="59"/>
      <c r="C44" s="59"/>
      <c r="D44" s="59"/>
      <c r="E44" s="59"/>
      <c r="F44" s="59"/>
      <c r="G44" s="59"/>
      <c r="H44" s="59"/>
      <c r="I44" s="431" t="s">
        <v>1019</v>
      </c>
      <c r="J44" s="431"/>
      <c r="K44" s="431"/>
      <c r="L44" s="274"/>
      <c r="M44" s="279"/>
      <c r="N44" s="279"/>
    </row>
    <row r="45" spans="1:14" ht="24" customHeight="1">
      <c r="I45" s="431" t="s">
        <v>1028</v>
      </c>
      <c r="J45" s="431"/>
      <c r="K45" s="431"/>
      <c r="L45" s="274"/>
    </row>
    <row r="46" spans="1:14">
      <c r="I46" s="431" t="s">
        <v>162</v>
      </c>
      <c r="J46" s="431"/>
      <c r="K46" s="431"/>
      <c r="L46" s="274"/>
    </row>
  </sheetData>
  <mergeCells count="34">
    <mergeCell ref="A2:L2"/>
    <mergeCell ref="A3:L3"/>
    <mergeCell ref="A4:L4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J33:J34"/>
    <mergeCell ref="L5:L6"/>
    <mergeCell ref="A28:J28"/>
    <mergeCell ref="A30:L30"/>
    <mergeCell ref="A31:L31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  <mergeCell ref="I44:K44"/>
    <mergeCell ref="I45:K45"/>
    <mergeCell ref="I46:K46"/>
    <mergeCell ref="K33:K34"/>
    <mergeCell ref="L33:L34"/>
    <mergeCell ref="A40:J40"/>
    <mergeCell ref="A35:J35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73"/>
  <sheetViews>
    <sheetView zoomScaleNormal="100" workbookViewId="0">
      <selection activeCell="O8" sqref="O8"/>
    </sheetView>
  </sheetViews>
  <sheetFormatPr defaultColWidth="9" defaultRowHeight="24"/>
  <cols>
    <col min="1" max="1" width="5.42578125" style="14" customWidth="1"/>
    <col min="2" max="2" width="11.28515625" style="14" customWidth="1"/>
    <col min="3" max="3" width="32.42578125" style="14" customWidth="1"/>
    <col min="4" max="4" width="36.28515625" style="256" customWidth="1"/>
    <col min="5" max="5" width="8" style="257" customWidth="1"/>
    <col min="6" max="6" width="8.5703125" style="257" customWidth="1"/>
    <col min="7" max="7" width="6.85546875" style="257" customWidth="1"/>
    <col min="8" max="8" width="7.5703125" style="257" customWidth="1"/>
    <col min="9" max="9" width="6.42578125" style="257" customWidth="1"/>
    <col min="10" max="10" width="12.28515625" style="257" customWidth="1"/>
    <col min="11" max="11" width="13.85546875" style="257" customWidth="1"/>
    <col min="12" max="12" width="31" style="80" customWidth="1"/>
    <col min="13" max="16384" width="9" style="14"/>
  </cols>
  <sheetData>
    <row r="1" spans="1:12">
      <c r="D1" s="14"/>
      <c r="E1" s="14"/>
      <c r="F1" s="14"/>
      <c r="G1" s="14"/>
      <c r="H1" s="14"/>
      <c r="I1" s="14"/>
      <c r="J1" s="14"/>
      <c r="K1" s="14"/>
      <c r="L1" s="354" t="s">
        <v>1243</v>
      </c>
    </row>
    <row r="2" spans="1:12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>
      <c r="A4" s="441" t="s">
        <v>1244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ht="46.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>
      <c r="A7" s="108">
        <v>1</v>
      </c>
      <c r="B7" s="44"/>
      <c r="C7" s="34" t="s">
        <v>874</v>
      </c>
      <c r="D7" s="34" t="s">
        <v>875</v>
      </c>
      <c r="E7" s="110" t="s">
        <v>55</v>
      </c>
      <c r="F7" s="110"/>
      <c r="G7" s="110" t="s">
        <v>1236</v>
      </c>
      <c r="H7" s="114">
        <v>4</v>
      </c>
      <c r="I7" s="114">
        <v>4</v>
      </c>
      <c r="J7" s="118">
        <v>35000</v>
      </c>
      <c r="K7" s="118">
        <f>SUM(I7*J7)</f>
        <v>140000</v>
      </c>
      <c r="L7" s="84"/>
    </row>
    <row r="8" spans="1:12">
      <c r="A8" s="108">
        <v>2</v>
      </c>
      <c r="B8" s="44"/>
      <c r="C8" s="34" t="s">
        <v>876</v>
      </c>
      <c r="D8" s="34" t="s">
        <v>877</v>
      </c>
      <c r="E8" s="110" t="s">
        <v>55</v>
      </c>
      <c r="F8" s="110"/>
      <c r="G8" s="110" t="s">
        <v>1236</v>
      </c>
      <c r="H8" s="114">
        <v>2</v>
      </c>
      <c r="I8" s="114">
        <v>2</v>
      </c>
      <c r="J8" s="118">
        <v>17500</v>
      </c>
      <c r="K8" s="118">
        <f t="shared" ref="K8:K27" si="0">SUM(I8*J8)</f>
        <v>35000</v>
      </c>
      <c r="L8" s="84"/>
    </row>
    <row r="9" spans="1:12">
      <c r="A9" s="108">
        <v>3</v>
      </c>
      <c r="B9" s="44"/>
      <c r="C9" s="34" t="s">
        <v>878</v>
      </c>
      <c r="D9" s="34" t="s">
        <v>879</v>
      </c>
      <c r="E9" s="110" t="s">
        <v>55</v>
      </c>
      <c r="F9" s="110"/>
      <c r="G9" s="110" t="s">
        <v>1236</v>
      </c>
      <c r="H9" s="114">
        <v>4</v>
      </c>
      <c r="I9" s="114">
        <v>4</v>
      </c>
      <c r="J9" s="118">
        <v>2500</v>
      </c>
      <c r="K9" s="118">
        <f t="shared" si="0"/>
        <v>10000</v>
      </c>
      <c r="L9" s="84"/>
    </row>
    <row r="10" spans="1:12" ht="21" customHeight="1">
      <c r="A10" s="108">
        <v>4</v>
      </c>
      <c r="B10" s="44"/>
      <c r="C10" s="34" t="s">
        <v>880</v>
      </c>
      <c r="D10" s="34" t="s">
        <v>136</v>
      </c>
      <c r="E10" s="110" t="s">
        <v>55</v>
      </c>
      <c r="F10" s="110"/>
      <c r="G10" s="110" t="s">
        <v>1236</v>
      </c>
      <c r="H10" s="114">
        <v>20</v>
      </c>
      <c r="I10" s="114">
        <v>20</v>
      </c>
      <c r="J10" s="118">
        <v>2600</v>
      </c>
      <c r="K10" s="118">
        <f t="shared" si="0"/>
        <v>52000</v>
      </c>
      <c r="L10" s="84"/>
    </row>
    <row r="11" spans="1:12">
      <c r="A11" s="108">
        <v>5</v>
      </c>
      <c r="B11" s="44"/>
      <c r="C11" s="34" t="s">
        <v>881</v>
      </c>
      <c r="D11" s="34" t="s">
        <v>882</v>
      </c>
      <c r="E11" s="110" t="s">
        <v>55</v>
      </c>
      <c r="F11" s="110"/>
      <c r="G11" s="110" t="s">
        <v>1236</v>
      </c>
      <c r="H11" s="114">
        <v>20</v>
      </c>
      <c r="I11" s="114">
        <v>20</v>
      </c>
      <c r="J11" s="118">
        <v>1200</v>
      </c>
      <c r="K11" s="118">
        <f t="shared" si="0"/>
        <v>24000</v>
      </c>
      <c r="L11" s="84"/>
    </row>
    <row r="12" spans="1:12">
      <c r="A12" s="108">
        <v>6</v>
      </c>
      <c r="B12" s="108"/>
      <c r="C12" s="34" t="s">
        <v>883</v>
      </c>
      <c r="D12" s="34" t="s">
        <v>884</v>
      </c>
      <c r="E12" s="110" t="s">
        <v>55</v>
      </c>
      <c r="F12" s="110"/>
      <c r="G12" s="110" t="s">
        <v>1236</v>
      </c>
      <c r="H12" s="114">
        <v>1</v>
      </c>
      <c r="I12" s="114">
        <v>1</v>
      </c>
      <c r="J12" s="118">
        <v>12500</v>
      </c>
      <c r="K12" s="118">
        <f t="shared" si="0"/>
        <v>12500</v>
      </c>
      <c r="L12" s="84"/>
    </row>
    <row r="13" spans="1:12">
      <c r="A13" s="108">
        <v>7</v>
      </c>
      <c r="B13" s="44"/>
      <c r="C13" s="34" t="s">
        <v>885</v>
      </c>
      <c r="D13" s="34" t="s">
        <v>875</v>
      </c>
      <c r="E13" s="110" t="s">
        <v>55</v>
      </c>
      <c r="F13" s="110"/>
      <c r="G13" s="110" t="s">
        <v>1236</v>
      </c>
      <c r="H13" s="114">
        <v>10</v>
      </c>
      <c r="I13" s="114">
        <v>10</v>
      </c>
      <c r="J13" s="118">
        <v>34500</v>
      </c>
      <c r="K13" s="118">
        <f t="shared" si="0"/>
        <v>345000</v>
      </c>
      <c r="L13" s="84"/>
    </row>
    <row r="14" spans="1:12">
      <c r="A14" s="108">
        <v>8</v>
      </c>
      <c r="B14" s="44"/>
      <c r="C14" s="34" t="s">
        <v>886</v>
      </c>
      <c r="D14" s="34" t="s">
        <v>887</v>
      </c>
      <c r="E14" s="110" t="s">
        <v>55</v>
      </c>
      <c r="F14" s="110"/>
      <c r="G14" s="110" t="s">
        <v>1236</v>
      </c>
      <c r="H14" s="114">
        <v>2</v>
      </c>
      <c r="I14" s="114">
        <v>2</v>
      </c>
      <c r="J14" s="118">
        <v>9000</v>
      </c>
      <c r="K14" s="118">
        <f t="shared" si="0"/>
        <v>18000</v>
      </c>
      <c r="L14" s="84"/>
    </row>
    <row r="15" spans="1:12">
      <c r="A15" s="108">
        <v>9</v>
      </c>
      <c r="B15" s="44"/>
      <c r="C15" s="34" t="s">
        <v>888</v>
      </c>
      <c r="D15" s="34" t="s">
        <v>879</v>
      </c>
      <c r="E15" s="110" t="s">
        <v>55</v>
      </c>
      <c r="F15" s="110"/>
      <c r="G15" s="110" t="s">
        <v>1236</v>
      </c>
      <c r="H15" s="114">
        <v>2</v>
      </c>
      <c r="I15" s="114">
        <v>2</v>
      </c>
      <c r="J15" s="118">
        <v>2500</v>
      </c>
      <c r="K15" s="118">
        <f t="shared" si="0"/>
        <v>5000</v>
      </c>
      <c r="L15" s="84"/>
    </row>
    <row r="16" spans="1:12">
      <c r="A16" s="108">
        <v>10</v>
      </c>
      <c r="B16" s="115"/>
      <c r="C16" s="34" t="s">
        <v>889</v>
      </c>
      <c r="D16" s="34" t="s">
        <v>136</v>
      </c>
      <c r="E16" s="110" t="s">
        <v>55</v>
      </c>
      <c r="F16" s="110"/>
      <c r="G16" s="110" t="s">
        <v>1236</v>
      </c>
      <c r="H16" s="114">
        <v>10</v>
      </c>
      <c r="I16" s="114">
        <v>10</v>
      </c>
      <c r="J16" s="118">
        <v>2500</v>
      </c>
      <c r="K16" s="118">
        <f t="shared" si="0"/>
        <v>25000</v>
      </c>
      <c r="L16" s="84"/>
    </row>
    <row r="17" spans="1:12">
      <c r="A17" s="108">
        <v>11</v>
      </c>
      <c r="B17" s="115"/>
      <c r="C17" s="34" t="s">
        <v>890</v>
      </c>
      <c r="D17" s="34" t="s">
        <v>882</v>
      </c>
      <c r="E17" s="110" t="s">
        <v>55</v>
      </c>
      <c r="F17" s="110"/>
      <c r="G17" s="110" t="s">
        <v>1236</v>
      </c>
      <c r="H17" s="114">
        <v>20</v>
      </c>
      <c r="I17" s="114">
        <v>20</v>
      </c>
      <c r="J17" s="118">
        <v>1200</v>
      </c>
      <c r="K17" s="118">
        <f t="shared" si="0"/>
        <v>24000</v>
      </c>
      <c r="L17" s="84"/>
    </row>
    <row r="18" spans="1:12">
      <c r="A18" s="108">
        <v>12</v>
      </c>
      <c r="B18" s="115"/>
      <c r="C18" s="34" t="s">
        <v>891</v>
      </c>
      <c r="D18" s="34" t="s">
        <v>875</v>
      </c>
      <c r="E18" s="110" t="s">
        <v>55</v>
      </c>
      <c r="F18" s="110"/>
      <c r="G18" s="110" t="s">
        <v>1236</v>
      </c>
      <c r="H18" s="114">
        <v>3</v>
      </c>
      <c r="I18" s="114">
        <v>3</v>
      </c>
      <c r="J18" s="118">
        <v>38900</v>
      </c>
      <c r="K18" s="118">
        <f t="shared" si="0"/>
        <v>116700</v>
      </c>
      <c r="L18" s="84"/>
    </row>
    <row r="19" spans="1:12">
      <c r="A19" s="108">
        <v>13</v>
      </c>
      <c r="B19" s="115"/>
      <c r="C19" s="34" t="s">
        <v>892</v>
      </c>
      <c r="D19" s="34" t="s">
        <v>884</v>
      </c>
      <c r="E19" s="110" t="s">
        <v>55</v>
      </c>
      <c r="F19" s="110"/>
      <c r="G19" s="110" t="s">
        <v>1236</v>
      </c>
      <c r="H19" s="114">
        <v>1</v>
      </c>
      <c r="I19" s="114">
        <v>1</v>
      </c>
      <c r="J19" s="118">
        <v>20000</v>
      </c>
      <c r="K19" s="118">
        <f t="shared" si="0"/>
        <v>20000</v>
      </c>
      <c r="L19" s="84"/>
    </row>
    <row r="20" spans="1:12">
      <c r="A20" s="108">
        <v>14</v>
      </c>
      <c r="B20" s="107"/>
      <c r="C20" s="34" t="s">
        <v>893</v>
      </c>
      <c r="D20" s="34" t="s">
        <v>894</v>
      </c>
      <c r="E20" s="110" t="s">
        <v>55</v>
      </c>
      <c r="F20" s="110"/>
      <c r="G20" s="110" t="s">
        <v>1236</v>
      </c>
      <c r="H20" s="114">
        <v>1</v>
      </c>
      <c r="I20" s="114">
        <v>1</v>
      </c>
      <c r="J20" s="118">
        <v>20000</v>
      </c>
      <c r="K20" s="118">
        <f t="shared" si="0"/>
        <v>20000</v>
      </c>
      <c r="L20" s="84"/>
    </row>
    <row r="21" spans="1:12">
      <c r="A21" s="108">
        <v>15</v>
      </c>
      <c r="B21" s="107"/>
      <c r="C21" s="34" t="s">
        <v>895</v>
      </c>
      <c r="D21" s="34" t="s">
        <v>896</v>
      </c>
      <c r="E21" s="110" t="s">
        <v>55</v>
      </c>
      <c r="F21" s="110"/>
      <c r="G21" s="110" t="s">
        <v>1236</v>
      </c>
      <c r="H21" s="114">
        <v>1</v>
      </c>
      <c r="I21" s="114">
        <v>1</v>
      </c>
      <c r="J21" s="118">
        <v>31500</v>
      </c>
      <c r="K21" s="118">
        <f t="shared" si="0"/>
        <v>31500</v>
      </c>
      <c r="L21" s="84"/>
    </row>
    <row r="22" spans="1:12">
      <c r="A22" s="108">
        <v>16</v>
      </c>
      <c r="B22" s="107"/>
      <c r="C22" s="34" t="s">
        <v>897</v>
      </c>
      <c r="D22" s="34" t="s">
        <v>879</v>
      </c>
      <c r="E22" s="110" t="s">
        <v>55</v>
      </c>
      <c r="F22" s="110"/>
      <c r="G22" s="110" t="s">
        <v>1236</v>
      </c>
      <c r="H22" s="114">
        <v>2</v>
      </c>
      <c r="I22" s="114">
        <v>2</v>
      </c>
      <c r="J22" s="118">
        <v>2500</v>
      </c>
      <c r="K22" s="118">
        <f t="shared" si="0"/>
        <v>5000</v>
      </c>
      <c r="L22" s="84"/>
    </row>
    <row r="23" spans="1:12">
      <c r="A23" s="108">
        <v>17</v>
      </c>
      <c r="B23" s="107"/>
      <c r="C23" s="34" t="s">
        <v>898</v>
      </c>
      <c r="D23" s="34" t="s">
        <v>136</v>
      </c>
      <c r="E23" s="110" t="s">
        <v>55</v>
      </c>
      <c r="F23" s="110"/>
      <c r="G23" s="110" t="s">
        <v>1236</v>
      </c>
      <c r="H23" s="114">
        <v>5</v>
      </c>
      <c r="I23" s="114">
        <v>5</v>
      </c>
      <c r="J23" s="118">
        <v>2500</v>
      </c>
      <c r="K23" s="118">
        <f t="shared" si="0"/>
        <v>12500</v>
      </c>
      <c r="L23" s="84"/>
    </row>
    <row r="24" spans="1:12">
      <c r="A24" s="108">
        <v>18</v>
      </c>
      <c r="B24" s="243"/>
      <c r="C24" s="34" t="s">
        <v>899</v>
      </c>
      <c r="D24" s="34" t="s">
        <v>882</v>
      </c>
      <c r="E24" s="110" t="s">
        <v>55</v>
      </c>
      <c r="F24" s="110"/>
      <c r="G24" s="110" t="s">
        <v>1236</v>
      </c>
      <c r="H24" s="114">
        <v>5</v>
      </c>
      <c r="I24" s="114">
        <v>5</v>
      </c>
      <c r="J24" s="118">
        <v>1200</v>
      </c>
      <c r="K24" s="118">
        <f t="shared" si="0"/>
        <v>6000</v>
      </c>
      <c r="L24" s="84"/>
    </row>
    <row r="25" spans="1:12">
      <c r="A25" s="108">
        <v>19</v>
      </c>
      <c r="B25" s="229"/>
      <c r="C25" s="34" t="s">
        <v>900</v>
      </c>
      <c r="D25" s="34" t="s">
        <v>901</v>
      </c>
      <c r="E25" s="81" t="s">
        <v>56</v>
      </c>
      <c r="F25" s="81"/>
      <c r="G25" s="110" t="s">
        <v>1236</v>
      </c>
      <c r="H25" s="114">
        <v>1</v>
      </c>
      <c r="I25" s="114">
        <v>1</v>
      </c>
      <c r="J25" s="118">
        <v>31850</v>
      </c>
      <c r="K25" s="118">
        <f t="shared" si="0"/>
        <v>31850</v>
      </c>
      <c r="L25" s="84"/>
    </row>
    <row r="26" spans="1:12">
      <c r="A26" s="108">
        <v>20</v>
      </c>
      <c r="B26" s="33"/>
      <c r="C26" s="34" t="s">
        <v>902</v>
      </c>
      <c r="D26" s="34" t="s">
        <v>875</v>
      </c>
      <c r="E26" s="81" t="s">
        <v>56</v>
      </c>
      <c r="F26" s="81"/>
      <c r="G26" s="110" t="s">
        <v>1236</v>
      </c>
      <c r="H26" s="114">
        <v>21</v>
      </c>
      <c r="I26" s="114">
        <v>21</v>
      </c>
      <c r="J26" s="118">
        <v>24285.71</v>
      </c>
      <c r="K26" s="118">
        <f t="shared" si="0"/>
        <v>509999.91</v>
      </c>
      <c r="L26" s="84"/>
    </row>
    <row r="27" spans="1:12">
      <c r="A27" s="108">
        <v>21</v>
      </c>
      <c r="B27" s="33"/>
      <c r="C27" s="34" t="s">
        <v>903</v>
      </c>
      <c r="D27" s="34" t="s">
        <v>875</v>
      </c>
      <c r="E27" s="81" t="s">
        <v>55</v>
      </c>
      <c r="F27" s="81"/>
      <c r="G27" s="110" t="s">
        <v>1236</v>
      </c>
      <c r="H27" s="114">
        <v>7</v>
      </c>
      <c r="I27" s="114">
        <v>7</v>
      </c>
      <c r="J27" s="118">
        <v>11862.85</v>
      </c>
      <c r="K27" s="118">
        <f t="shared" si="0"/>
        <v>83039.95</v>
      </c>
      <c r="L27" s="84"/>
    </row>
    <row r="28" spans="1:12" ht="24.75" thickBot="1">
      <c r="A28" s="458" t="s">
        <v>1203</v>
      </c>
      <c r="B28" s="459"/>
      <c r="C28" s="459"/>
      <c r="D28" s="459"/>
      <c r="E28" s="459"/>
      <c r="F28" s="459"/>
      <c r="G28" s="459"/>
      <c r="H28" s="459"/>
      <c r="I28" s="459"/>
      <c r="J28" s="460"/>
      <c r="K28" s="391">
        <f>SUM(K7:K27)</f>
        <v>1527089.8599999999</v>
      </c>
      <c r="L28" s="392"/>
    </row>
    <row r="29" spans="1:12" ht="24.75" thickTop="1">
      <c r="D29" s="14"/>
      <c r="E29" s="14"/>
      <c r="F29" s="14"/>
      <c r="G29" s="14"/>
      <c r="H29" s="14"/>
      <c r="I29" s="14"/>
      <c r="J29" s="14"/>
      <c r="K29" s="14"/>
      <c r="L29" s="354" t="s">
        <v>1245</v>
      </c>
    </row>
    <row r="30" spans="1:12">
      <c r="A30" s="439" t="s">
        <v>550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</row>
    <row r="31" spans="1:12">
      <c r="A31" s="440" t="s">
        <v>1228</v>
      </c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</row>
    <row r="32" spans="1:12">
      <c r="A32" s="441" t="s">
        <v>1244</v>
      </c>
      <c r="B32" s="441"/>
      <c r="C32" s="441"/>
      <c r="D32" s="441"/>
      <c r="E32" s="441"/>
      <c r="F32" s="441"/>
      <c r="G32" s="441"/>
      <c r="H32" s="441"/>
      <c r="I32" s="441"/>
      <c r="J32" s="441"/>
      <c r="K32" s="441"/>
      <c r="L32" s="441"/>
    </row>
    <row r="33" spans="1:12">
      <c r="A33" s="432" t="s">
        <v>1196</v>
      </c>
      <c r="B33" s="432" t="s">
        <v>1226</v>
      </c>
      <c r="C33" s="432" t="s">
        <v>1221</v>
      </c>
      <c r="D33" s="444" t="s">
        <v>0</v>
      </c>
      <c r="E33" s="432" t="s">
        <v>1216</v>
      </c>
      <c r="F33" s="432" t="s">
        <v>1215</v>
      </c>
      <c r="G33" s="437" t="s">
        <v>1217</v>
      </c>
      <c r="H33" s="442" t="s">
        <v>2</v>
      </c>
      <c r="I33" s="443"/>
      <c r="J33" s="432" t="s">
        <v>1220</v>
      </c>
      <c r="K33" s="432" t="s">
        <v>1202</v>
      </c>
      <c r="L33" s="432" t="s">
        <v>1219</v>
      </c>
    </row>
    <row r="34" spans="1:12" ht="48">
      <c r="A34" s="433"/>
      <c r="B34" s="433"/>
      <c r="C34" s="433"/>
      <c r="D34" s="445"/>
      <c r="E34" s="433"/>
      <c r="F34" s="433"/>
      <c r="G34" s="438"/>
      <c r="H34" s="176" t="s">
        <v>1218</v>
      </c>
      <c r="I34" s="126" t="s">
        <v>69</v>
      </c>
      <c r="J34" s="433"/>
      <c r="K34" s="433"/>
      <c r="L34" s="433"/>
    </row>
    <row r="35" spans="1:12">
      <c r="A35" s="363"/>
      <c r="B35" s="464" t="s">
        <v>1204</v>
      </c>
      <c r="C35" s="465"/>
      <c r="D35" s="465"/>
      <c r="E35" s="465"/>
      <c r="F35" s="465"/>
      <c r="G35" s="465"/>
      <c r="H35" s="465"/>
      <c r="I35" s="465"/>
      <c r="J35" s="466"/>
      <c r="K35" s="381">
        <f>SUM(K28)</f>
        <v>1527089.8599999999</v>
      </c>
      <c r="L35" s="363"/>
    </row>
    <row r="36" spans="1:12">
      <c r="A36" s="108">
        <v>22</v>
      </c>
      <c r="B36" s="33"/>
      <c r="C36" s="34" t="s">
        <v>904</v>
      </c>
      <c r="D36" s="34" t="s">
        <v>875</v>
      </c>
      <c r="E36" s="81" t="s">
        <v>55</v>
      </c>
      <c r="F36" s="81"/>
      <c r="G36" s="81" t="s">
        <v>1225</v>
      </c>
      <c r="H36" s="114">
        <v>7</v>
      </c>
      <c r="I36" s="114">
        <v>7</v>
      </c>
      <c r="J36" s="118">
        <v>15500</v>
      </c>
      <c r="K36" s="118">
        <f>SUM(I36*J36)</f>
        <v>108500</v>
      </c>
      <c r="L36" s="84"/>
    </row>
    <row r="37" spans="1:12">
      <c r="A37" s="108">
        <v>23</v>
      </c>
      <c r="B37" s="33"/>
      <c r="C37" s="34" t="s">
        <v>905</v>
      </c>
      <c r="D37" s="34" t="s">
        <v>906</v>
      </c>
      <c r="E37" s="81" t="s">
        <v>56</v>
      </c>
      <c r="F37" s="81"/>
      <c r="G37" s="81" t="s">
        <v>1225</v>
      </c>
      <c r="H37" s="114">
        <v>1</v>
      </c>
      <c r="I37" s="114">
        <v>1</v>
      </c>
      <c r="J37" s="118">
        <v>9900</v>
      </c>
      <c r="K37" s="118">
        <f t="shared" ref="K37:K55" si="1">SUM(I37*J37)</f>
        <v>9900</v>
      </c>
      <c r="L37" s="84"/>
    </row>
    <row r="38" spans="1:12">
      <c r="A38" s="108">
        <v>24</v>
      </c>
      <c r="B38" s="33"/>
      <c r="C38" s="34" t="s">
        <v>907</v>
      </c>
      <c r="D38" s="34" t="s">
        <v>875</v>
      </c>
      <c r="E38" s="81" t="s">
        <v>56</v>
      </c>
      <c r="F38" s="81"/>
      <c r="G38" s="81" t="s">
        <v>1225</v>
      </c>
      <c r="H38" s="114">
        <v>5</v>
      </c>
      <c r="I38" s="114">
        <v>5</v>
      </c>
      <c r="J38" s="118">
        <v>16000</v>
      </c>
      <c r="K38" s="118">
        <f t="shared" si="1"/>
        <v>80000</v>
      </c>
      <c r="L38" s="84"/>
    </row>
    <row r="39" spans="1:12">
      <c r="A39" s="108">
        <v>25</v>
      </c>
      <c r="B39" s="33"/>
      <c r="C39" s="34" t="s">
        <v>908</v>
      </c>
      <c r="D39" s="34" t="s">
        <v>875</v>
      </c>
      <c r="E39" s="81" t="s">
        <v>56</v>
      </c>
      <c r="F39" s="81"/>
      <c r="G39" s="81" t="s">
        <v>1225</v>
      </c>
      <c r="H39" s="114">
        <v>4</v>
      </c>
      <c r="I39" s="114">
        <v>4</v>
      </c>
      <c r="J39" s="118">
        <v>16000</v>
      </c>
      <c r="K39" s="118">
        <f t="shared" si="1"/>
        <v>64000</v>
      </c>
      <c r="L39" s="84"/>
    </row>
    <row r="40" spans="1:12">
      <c r="A40" s="108">
        <v>26</v>
      </c>
      <c r="B40" s="33"/>
      <c r="C40" s="34" t="s">
        <v>909</v>
      </c>
      <c r="D40" s="34" t="s">
        <v>875</v>
      </c>
      <c r="E40" s="81" t="s">
        <v>56</v>
      </c>
      <c r="F40" s="81"/>
      <c r="G40" s="81" t="s">
        <v>1225</v>
      </c>
      <c r="H40" s="114">
        <v>4</v>
      </c>
      <c r="I40" s="114">
        <v>4</v>
      </c>
      <c r="J40" s="118">
        <v>16000</v>
      </c>
      <c r="K40" s="118">
        <f t="shared" si="1"/>
        <v>64000</v>
      </c>
      <c r="L40" s="84"/>
    </row>
    <row r="41" spans="1:12">
      <c r="A41" s="108">
        <v>27</v>
      </c>
      <c r="B41" s="33"/>
      <c r="C41" s="34" t="s">
        <v>910</v>
      </c>
      <c r="D41" s="34" t="s">
        <v>911</v>
      </c>
      <c r="E41" s="81" t="s">
        <v>56</v>
      </c>
      <c r="F41" s="81"/>
      <c r="G41" s="81" t="s">
        <v>1225</v>
      </c>
      <c r="H41" s="114">
        <v>1</v>
      </c>
      <c r="I41" s="114">
        <v>1</v>
      </c>
      <c r="J41" s="118">
        <v>6600</v>
      </c>
      <c r="K41" s="118">
        <f t="shared" si="1"/>
        <v>6600</v>
      </c>
      <c r="L41" s="84"/>
    </row>
    <row r="42" spans="1:12">
      <c r="A42" s="108">
        <v>28</v>
      </c>
      <c r="B42" s="33"/>
      <c r="C42" s="34" t="s">
        <v>912</v>
      </c>
      <c r="D42" s="34" t="s">
        <v>913</v>
      </c>
      <c r="E42" s="81" t="s">
        <v>56</v>
      </c>
      <c r="F42" s="81"/>
      <c r="G42" s="81" t="s">
        <v>1225</v>
      </c>
      <c r="H42" s="114">
        <v>3</v>
      </c>
      <c r="I42" s="114">
        <v>3</v>
      </c>
      <c r="J42" s="118">
        <v>1100</v>
      </c>
      <c r="K42" s="118">
        <f t="shared" si="1"/>
        <v>3300</v>
      </c>
      <c r="L42" s="84"/>
    </row>
    <row r="43" spans="1:12">
      <c r="A43" s="108">
        <v>29</v>
      </c>
      <c r="B43" s="117"/>
      <c r="C43" s="34" t="s">
        <v>914</v>
      </c>
      <c r="D43" s="119" t="s">
        <v>639</v>
      </c>
      <c r="E43" s="81" t="s">
        <v>56</v>
      </c>
      <c r="F43" s="81"/>
      <c r="G43" s="81" t="s">
        <v>1225</v>
      </c>
      <c r="H43" s="114">
        <v>6</v>
      </c>
      <c r="I43" s="114">
        <v>6</v>
      </c>
      <c r="J43" s="111">
        <v>1200</v>
      </c>
      <c r="K43" s="118">
        <f t="shared" si="1"/>
        <v>7200</v>
      </c>
      <c r="L43" s="84"/>
    </row>
    <row r="44" spans="1:12">
      <c r="A44" s="108">
        <v>30</v>
      </c>
      <c r="B44" s="44"/>
      <c r="C44" s="34" t="s">
        <v>916</v>
      </c>
      <c r="D44" s="34" t="s">
        <v>917</v>
      </c>
      <c r="E44" s="81" t="s">
        <v>56</v>
      </c>
      <c r="F44" s="81"/>
      <c r="G44" s="81" t="s">
        <v>1225</v>
      </c>
      <c r="H44" s="114">
        <v>1</v>
      </c>
      <c r="I44" s="114">
        <v>1</v>
      </c>
      <c r="J44" s="118">
        <v>79000</v>
      </c>
      <c r="K44" s="118">
        <f t="shared" si="1"/>
        <v>79000</v>
      </c>
      <c r="L44" s="84"/>
    </row>
    <row r="45" spans="1:12">
      <c r="A45" s="108">
        <v>31</v>
      </c>
      <c r="B45" s="44"/>
      <c r="C45" s="34" t="s">
        <v>918</v>
      </c>
      <c r="D45" s="34" t="s">
        <v>919</v>
      </c>
      <c r="E45" s="81" t="s">
        <v>56</v>
      </c>
      <c r="F45" s="81"/>
      <c r="G45" s="81" t="s">
        <v>1225</v>
      </c>
      <c r="H45" s="114">
        <v>1</v>
      </c>
      <c r="I45" s="114">
        <v>1</v>
      </c>
      <c r="J45" s="118">
        <v>9200</v>
      </c>
      <c r="K45" s="118">
        <f t="shared" si="1"/>
        <v>9200</v>
      </c>
      <c r="L45" s="84"/>
    </row>
    <row r="46" spans="1:12">
      <c r="A46" s="108">
        <v>32</v>
      </c>
      <c r="B46" s="44"/>
      <c r="C46" s="34" t="s">
        <v>920</v>
      </c>
      <c r="D46" s="34" t="s">
        <v>921</v>
      </c>
      <c r="E46" s="81" t="s">
        <v>56</v>
      </c>
      <c r="F46" s="81"/>
      <c r="G46" s="81" t="s">
        <v>1225</v>
      </c>
      <c r="H46" s="114">
        <v>1</v>
      </c>
      <c r="I46" s="114">
        <v>1</v>
      </c>
      <c r="J46" s="118">
        <v>5900</v>
      </c>
      <c r="K46" s="118">
        <f t="shared" si="1"/>
        <v>5900</v>
      </c>
      <c r="L46" s="84"/>
    </row>
    <row r="47" spans="1:12">
      <c r="A47" s="108">
        <v>33</v>
      </c>
      <c r="B47" s="108"/>
      <c r="C47" s="34" t="s">
        <v>922</v>
      </c>
      <c r="D47" s="34" t="s">
        <v>44</v>
      </c>
      <c r="E47" s="81" t="s">
        <v>56</v>
      </c>
      <c r="F47" s="81"/>
      <c r="G47" s="81" t="s">
        <v>1225</v>
      </c>
      <c r="H47" s="114">
        <v>1</v>
      </c>
      <c r="I47" s="114">
        <v>1</v>
      </c>
      <c r="J47" s="151">
        <v>40700</v>
      </c>
      <c r="K47" s="118">
        <f t="shared" si="1"/>
        <v>40700</v>
      </c>
      <c r="L47" s="84"/>
    </row>
    <row r="48" spans="1:12">
      <c r="A48" s="108">
        <v>34</v>
      </c>
      <c r="B48" s="44"/>
      <c r="C48" s="34" t="s">
        <v>923</v>
      </c>
      <c r="D48" s="34" t="s">
        <v>875</v>
      </c>
      <c r="E48" s="110" t="s">
        <v>1100</v>
      </c>
      <c r="F48" s="110"/>
      <c r="G48" s="81" t="s">
        <v>1225</v>
      </c>
      <c r="H48" s="114">
        <v>10</v>
      </c>
      <c r="I48" s="114">
        <v>10</v>
      </c>
      <c r="J48" s="118">
        <v>11730</v>
      </c>
      <c r="K48" s="118">
        <f t="shared" si="1"/>
        <v>117300</v>
      </c>
      <c r="L48" s="84"/>
    </row>
    <row r="49" spans="1:12">
      <c r="A49" s="108">
        <v>35</v>
      </c>
      <c r="B49" s="44"/>
      <c r="C49" s="34" t="s">
        <v>924</v>
      </c>
      <c r="D49" s="34" t="s">
        <v>875</v>
      </c>
      <c r="E49" s="110" t="s">
        <v>1100</v>
      </c>
      <c r="F49" s="110"/>
      <c r="G49" s="81" t="s">
        <v>1225</v>
      </c>
      <c r="H49" s="114">
        <v>10</v>
      </c>
      <c r="I49" s="114">
        <v>10</v>
      </c>
      <c r="J49" s="118">
        <v>11730</v>
      </c>
      <c r="K49" s="118">
        <f t="shared" si="1"/>
        <v>117300</v>
      </c>
      <c r="L49" s="84"/>
    </row>
    <row r="50" spans="1:12">
      <c r="A50" s="108">
        <v>36</v>
      </c>
      <c r="B50" s="115"/>
      <c r="C50" s="34" t="s">
        <v>926</v>
      </c>
      <c r="D50" s="6" t="s">
        <v>927</v>
      </c>
      <c r="E50" s="81" t="s">
        <v>56</v>
      </c>
      <c r="F50" s="81"/>
      <c r="G50" s="81" t="s">
        <v>1225</v>
      </c>
      <c r="H50" s="114">
        <v>1</v>
      </c>
      <c r="I50" s="114">
        <v>1</v>
      </c>
      <c r="J50" s="118">
        <v>14800</v>
      </c>
      <c r="K50" s="118">
        <f t="shared" si="1"/>
        <v>14800</v>
      </c>
      <c r="L50" s="84"/>
    </row>
    <row r="51" spans="1:12">
      <c r="A51" s="108">
        <v>37</v>
      </c>
      <c r="B51" s="115"/>
      <c r="C51" s="34" t="s">
        <v>928</v>
      </c>
      <c r="D51" s="34" t="s">
        <v>929</v>
      </c>
      <c r="E51" s="81" t="s">
        <v>56</v>
      </c>
      <c r="F51" s="81"/>
      <c r="G51" s="81" t="s">
        <v>1225</v>
      </c>
      <c r="H51" s="114">
        <v>1</v>
      </c>
      <c r="I51" s="114">
        <v>1</v>
      </c>
      <c r="J51" s="118">
        <v>3600</v>
      </c>
      <c r="K51" s="118">
        <f t="shared" si="1"/>
        <v>3600</v>
      </c>
      <c r="L51" s="84"/>
    </row>
    <row r="52" spans="1:12">
      <c r="A52" s="108">
        <v>38</v>
      </c>
      <c r="B52" s="107"/>
      <c r="C52" s="34" t="s">
        <v>930</v>
      </c>
      <c r="D52" s="34" t="s">
        <v>931</v>
      </c>
      <c r="E52" s="110" t="s">
        <v>55</v>
      </c>
      <c r="F52" s="110"/>
      <c r="G52" s="81" t="s">
        <v>1225</v>
      </c>
      <c r="H52" s="114">
        <v>3</v>
      </c>
      <c r="I52" s="114">
        <v>3</v>
      </c>
      <c r="J52" s="118">
        <v>3400</v>
      </c>
      <c r="K52" s="118">
        <f t="shared" si="1"/>
        <v>10200</v>
      </c>
      <c r="L52" s="84"/>
    </row>
    <row r="53" spans="1:12">
      <c r="A53" s="108">
        <v>39</v>
      </c>
      <c r="B53" s="107"/>
      <c r="C53" s="236" t="s">
        <v>932</v>
      </c>
      <c r="D53" s="236" t="s">
        <v>933</v>
      </c>
      <c r="E53" s="110" t="s">
        <v>55</v>
      </c>
      <c r="F53" s="390"/>
      <c r="G53" s="81" t="s">
        <v>1225</v>
      </c>
      <c r="H53" s="246">
        <v>2</v>
      </c>
      <c r="I53" s="246">
        <v>2</v>
      </c>
      <c r="J53" s="316">
        <v>2200</v>
      </c>
      <c r="K53" s="118">
        <f t="shared" si="1"/>
        <v>4400</v>
      </c>
      <c r="L53" s="84"/>
    </row>
    <row r="54" spans="1:12">
      <c r="A54" s="108">
        <v>40</v>
      </c>
      <c r="B54" s="107"/>
      <c r="C54" s="34" t="s">
        <v>934</v>
      </c>
      <c r="D54" s="34" t="s">
        <v>935</v>
      </c>
      <c r="E54" s="81" t="s">
        <v>56</v>
      </c>
      <c r="F54" s="81"/>
      <c r="G54" s="81" t="s">
        <v>1225</v>
      </c>
      <c r="H54" s="114">
        <v>49</v>
      </c>
      <c r="I54" s="114">
        <v>49</v>
      </c>
      <c r="J54" s="118">
        <v>14000</v>
      </c>
      <c r="K54" s="118">
        <f t="shared" si="1"/>
        <v>686000</v>
      </c>
      <c r="L54" s="84"/>
    </row>
    <row r="55" spans="1:12">
      <c r="A55" s="108">
        <v>41</v>
      </c>
      <c r="B55" s="107"/>
      <c r="C55" s="34" t="s">
        <v>936</v>
      </c>
      <c r="D55" s="34" t="s">
        <v>875</v>
      </c>
      <c r="E55" s="81" t="s">
        <v>56</v>
      </c>
      <c r="F55" s="81"/>
      <c r="G55" s="81" t="s">
        <v>1225</v>
      </c>
      <c r="H55" s="114">
        <v>49</v>
      </c>
      <c r="I55" s="114">
        <v>49</v>
      </c>
      <c r="J55" s="118">
        <v>13979.59</v>
      </c>
      <c r="K55" s="118">
        <f t="shared" si="1"/>
        <v>684999.91</v>
      </c>
      <c r="L55" s="84"/>
    </row>
    <row r="56" spans="1:12" ht="24.75" thickBot="1">
      <c r="A56" s="458" t="s">
        <v>1203</v>
      </c>
      <c r="B56" s="459"/>
      <c r="C56" s="459"/>
      <c r="D56" s="459"/>
      <c r="E56" s="459"/>
      <c r="F56" s="459"/>
      <c r="G56" s="459"/>
      <c r="H56" s="459"/>
      <c r="I56" s="459"/>
      <c r="J56" s="460"/>
      <c r="K56" s="391">
        <f>SUM(K35:K55)</f>
        <v>3643989.77</v>
      </c>
      <c r="L56" s="392"/>
    </row>
    <row r="57" spans="1:12" ht="24.75" thickTop="1">
      <c r="D57" s="14"/>
      <c r="E57" s="14"/>
      <c r="F57" s="14"/>
      <c r="G57" s="14"/>
      <c r="H57" s="14"/>
      <c r="I57" s="14"/>
      <c r="J57" s="14"/>
      <c r="K57" s="14"/>
      <c r="L57" s="354" t="s">
        <v>1246</v>
      </c>
    </row>
    <row r="58" spans="1:12">
      <c r="A58" s="439" t="s">
        <v>550</v>
      </c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</row>
    <row r="59" spans="1:12">
      <c r="A59" s="440" t="s">
        <v>1228</v>
      </c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</row>
    <row r="60" spans="1:12">
      <c r="A60" s="441" t="s">
        <v>1244</v>
      </c>
      <c r="B60" s="441"/>
      <c r="C60" s="441"/>
      <c r="D60" s="441"/>
      <c r="E60" s="441"/>
      <c r="F60" s="441"/>
      <c r="G60" s="441"/>
      <c r="H60" s="441"/>
      <c r="I60" s="441"/>
      <c r="J60" s="441"/>
      <c r="K60" s="441"/>
      <c r="L60" s="441"/>
    </row>
    <row r="61" spans="1:12">
      <c r="A61" s="432" t="s">
        <v>1196</v>
      </c>
      <c r="B61" s="432" t="s">
        <v>1226</v>
      </c>
      <c r="C61" s="432" t="s">
        <v>1221</v>
      </c>
      <c r="D61" s="444" t="s">
        <v>0</v>
      </c>
      <c r="E61" s="432" t="s">
        <v>1216</v>
      </c>
      <c r="F61" s="432" t="s">
        <v>1215</v>
      </c>
      <c r="G61" s="437" t="s">
        <v>1217</v>
      </c>
      <c r="H61" s="442" t="s">
        <v>2</v>
      </c>
      <c r="I61" s="443"/>
      <c r="J61" s="432" t="s">
        <v>1220</v>
      </c>
      <c r="K61" s="432" t="s">
        <v>1202</v>
      </c>
      <c r="L61" s="432" t="s">
        <v>1219</v>
      </c>
    </row>
    <row r="62" spans="1:12" ht="48">
      <c r="A62" s="433"/>
      <c r="B62" s="433"/>
      <c r="C62" s="433"/>
      <c r="D62" s="445"/>
      <c r="E62" s="433"/>
      <c r="F62" s="433"/>
      <c r="G62" s="438"/>
      <c r="H62" s="176" t="s">
        <v>1218</v>
      </c>
      <c r="I62" s="126" t="s">
        <v>69</v>
      </c>
      <c r="J62" s="433"/>
      <c r="K62" s="433"/>
      <c r="L62" s="433"/>
    </row>
    <row r="63" spans="1:12">
      <c r="A63" s="461" t="s">
        <v>1204</v>
      </c>
      <c r="B63" s="462"/>
      <c r="C63" s="462"/>
      <c r="D63" s="462"/>
      <c r="E63" s="462"/>
      <c r="F63" s="462"/>
      <c r="G63" s="462"/>
      <c r="H63" s="462"/>
      <c r="I63" s="462"/>
      <c r="J63" s="463"/>
      <c r="K63" s="118">
        <f>SUM(K56)</f>
        <v>3643989.77</v>
      </c>
      <c r="L63" s="84"/>
    </row>
    <row r="64" spans="1:12">
      <c r="A64" s="108">
        <v>42</v>
      </c>
      <c r="B64" s="229"/>
      <c r="C64" s="34" t="s">
        <v>937</v>
      </c>
      <c r="D64" s="34" t="s">
        <v>374</v>
      </c>
      <c r="E64" s="81" t="s">
        <v>56</v>
      </c>
      <c r="F64" s="81"/>
      <c r="G64" s="81" t="s">
        <v>1225</v>
      </c>
      <c r="H64" s="114">
        <v>1</v>
      </c>
      <c r="I64" s="114">
        <v>1</v>
      </c>
      <c r="J64" s="118">
        <v>1006.25</v>
      </c>
      <c r="K64" s="118">
        <f>SUM(I64*J64)</f>
        <v>1006.25</v>
      </c>
      <c r="L64" s="81"/>
    </row>
    <row r="65" spans="1:12">
      <c r="A65" s="108">
        <v>43</v>
      </c>
      <c r="B65" s="33"/>
      <c r="C65" s="34" t="s">
        <v>938</v>
      </c>
      <c r="D65" s="6" t="s">
        <v>1032</v>
      </c>
      <c r="E65" s="81" t="s">
        <v>55</v>
      </c>
      <c r="F65" s="81"/>
      <c r="G65" s="81" t="s">
        <v>1225</v>
      </c>
      <c r="H65" s="114">
        <v>4</v>
      </c>
      <c r="I65" s="114">
        <v>4</v>
      </c>
      <c r="J65" s="118">
        <v>3000</v>
      </c>
      <c r="K65" s="118">
        <f t="shared" ref="K65:K66" si="2">SUM(I65*J65)</f>
        <v>12000</v>
      </c>
      <c r="L65" s="81"/>
    </row>
    <row r="66" spans="1:12">
      <c r="A66" s="108">
        <v>44</v>
      </c>
      <c r="B66" s="33"/>
      <c r="C66" s="137" t="s">
        <v>940</v>
      </c>
      <c r="D66" s="137" t="s">
        <v>941</v>
      </c>
      <c r="E66" s="81" t="s">
        <v>55</v>
      </c>
      <c r="F66" s="81"/>
      <c r="G66" s="81" t="s">
        <v>1225</v>
      </c>
      <c r="H66" s="164">
        <v>160</v>
      </c>
      <c r="I66" s="164">
        <v>160</v>
      </c>
      <c r="J66" s="118">
        <v>400</v>
      </c>
      <c r="K66" s="118">
        <f t="shared" si="2"/>
        <v>64000</v>
      </c>
      <c r="L66" s="81"/>
    </row>
    <row r="67" spans="1:12">
      <c r="A67" s="446" t="s">
        <v>381</v>
      </c>
      <c r="B67" s="447"/>
      <c r="C67" s="447"/>
      <c r="D67" s="447"/>
      <c r="E67" s="447"/>
      <c r="F67" s="447"/>
      <c r="G67" s="447"/>
      <c r="H67" s="447"/>
      <c r="I67" s="447"/>
      <c r="J67" s="447"/>
      <c r="K67" s="317">
        <f>SUM(K63:K66)</f>
        <v>3720996.02</v>
      </c>
      <c r="L67" s="318"/>
    </row>
    <row r="68" spans="1:12" ht="24" customHeight="1">
      <c r="A68" s="59"/>
      <c r="B68" s="59"/>
      <c r="C68" s="59"/>
      <c r="D68" s="253"/>
      <c r="E68" s="254"/>
      <c r="F68" s="254"/>
      <c r="G68" s="254"/>
      <c r="H68" s="254"/>
      <c r="I68" s="319"/>
      <c r="J68" s="254"/>
      <c r="K68" s="254"/>
      <c r="L68" s="86"/>
    </row>
    <row r="69" spans="1:12">
      <c r="A69" s="59"/>
      <c r="B69" s="343" t="s">
        <v>4</v>
      </c>
      <c r="C69" s="253" t="s">
        <v>1222</v>
      </c>
      <c r="D69" s="59"/>
      <c r="E69" s="59"/>
      <c r="F69" s="59"/>
      <c r="G69" s="254"/>
      <c r="H69" s="254"/>
      <c r="I69" s="274"/>
      <c r="J69" s="274"/>
      <c r="K69" s="274"/>
      <c r="L69" s="274"/>
    </row>
    <row r="70" spans="1:12">
      <c r="A70" s="59"/>
      <c r="B70" s="362"/>
      <c r="C70" s="253" t="s">
        <v>1223</v>
      </c>
      <c r="D70" s="59"/>
      <c r="E70" s="59"/>
      <c r="F70" s="59"/>
      <c r="G70" s="254"/>
      <c r="H70" s="254"/>
      <c r="I70" s="274"/>
      <c r="J70" s="274"/>
      <c r="K70" s="274"/>
      <c r="L70" s="274"/>
    </row>
    <row r="71" spans="1:12">
      <c r="I71" s="431" t="s">
        <v>161</v>
      </c>
      <c r="J71" s="431"/>
      <c r="K71" s="431"/>
      <c r="L71" s="274"/>
    </row>
    <row r="72" spans="1:12">
      <c r="I72" s="431" t="s">
        <v>942</v>
      </c>
      <c r="J72" s="431"/>
      <c r="K72" s="431"/>
      <c r="L72" s="274"/>
    </row>
    <row r="73" spans="1:12">
      <c r="I73" s="431" t="s">
        <v>162</v>
      </c>
      <c r="J73" s="431"/>
      <c r="K73" s="431"/>
      <c r="L73" s="274"/>
    </row>
  </sheetData>
  <mergeCells count="5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8:J28"/>
    <mergeCell ref="A30:L30"/>
    <mergeCell ref="A31:L31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J33:J34"/>
    <mergeCell ref="K33:K34"/>
    <mergeCell ref="L33:L34"/>
    <mergeCell ref="B35:J35"/>
    <mergeCell ref="A56:J56"/>
    <mergeCell ref="A58:L58"/>
    <mergeCell ref="A59:L59"/>
    <mergeCell ref="A60:L60"/>
    <mergeCell ref="L61:L62"/>
    <mergeCell ref="A63:J63"/>
    <mergeCell ref="I71:K71"/>
    <mergeCell ref="I72:K72"/>
    <mergeCell ref="I73:K73"/>
    <mergeCell ref="F61:F62"/>
    <mergeCell ref="G61:G62"/>
    <mergeCell ref="H61:I61"/>
    <mergeCell ref="J61:J62"/>
    <mergeCell ref="K61:K62"/>
    <mergeCell ref="A61:A62"/>
    <mergeCell ref="B61:B62"/>
    <mergeCell ref="C61:C62"/>
    <mergeCell ref="D61:D62"/>
    <mergeCell ref="E61:E62"/>
    <mergeCell ref="A67:J67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26"/>
  <sheetViews>
    <sheetView zoomScaleNormal="100" workbookViewId="0">
      <selection activeCell="N8" sqref="N8"/>
    </sheetView>
  </sheetViews>
  <sheetFormatPr defaultColWidth="9" defaultRowHeight="24"/>
  <cols>
    <col min="1" max="1" width="5.42578125" style="14" customWidth="1"/>
    <col min="2" max="2" width="13.28515625" style="14" customWidth="1"/>
    <col min="3" max="3" width="29.85546875" style="14" customWidth="1"/>
    <col min="4" max="4" width="38.28515625" style="14" customWidth="1"/>
    <col min="5" max="5" width="8" style="14" customWidth="1"/>
    <col min="6" max="6" width="8.85546875" style="14" customWidth="1"/>
    <col min="7" max="7" width="7.5703125" style="14" customWidth="1"/>
    <col min="8" max="8" width="7.28515625" style="14" customWidth="1"/>
    <col min="9" max="9" width="6.7109375" style="14" customWidth="1"/>
    <col min="10" max="10" width="12.140625" style="14" customWidth="1"/>
    <col min="11" max="11" width="14.42578125" style="14" customWidth="1"/>
    <col min="12" max="12" width="30.7109375" style="80" customWidth="1"/>
    <col min="13" max="13" width="18.28515625" style="14" customWidth="1"/>
    <col min="14" max="14" width="12.7109375" style="14" customWidth="1"/>
    <col min="15" max="15" width="9" style="14"/>
    <col min="16" max="16" width="12.42578125" style="14" bestFit="1" customWidth="1"/>
    <col min="17" max="16384" width="9" style="14"/>
  </cols>
  <sheetData>
    <row r="1" spans="1:16">
      <c r="L1" s="354" t="s">
        <v>1247</v>
      </c>
    </row>
    <row r="2" spans="1:16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321"/>
    </row>
    <row r="3" spans="1:16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323"/>
    </row>
    <row r="4" spans="1:16">
      <c r="A4" s="441" t="s">
        <v>1248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320"/>
    </row>
    <row r="5" spans="1:16" ht="27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322"/>
    </row>
    <row r="6" spans="1:16" ht="46.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265"/>
      <c r="N6" s="238"/>
    </row>
    <row r="7" spans="1:16">
      <c r="A7" s="108">
        <v>1</v>
      </c>
      <c r="B7" s="44"/>
      <c r="C7" s="315" t="s">
        <v>943</v>
      </c>
      <c r="D7" s="132" t="s">
        <v>944</v>
      </c>
      <c r="E7" s="35" t="s">
        <v>55</v>
      </c>
      <c r="F7" s="35"/>
      <c r="G7" s="35" t="s">
        <v>1225</v>
      </c>
      <c r="H7" s="114">
        <v>40</v>
      </c>
      <c r="I7" s="114">
        <v>40</v>
      </c>
      <c r="J7" s="111">
        <v>8500</v>
      </c>
      <c r="K7" s="111">
        <f>SUM(I7*J7)</f>
        <v>340000</v>
      </c>
      <c r="L7" s="84"/>
      <c r="M7" s="265"/>
      <c r="N7" s="238"/>
    </row>
    <row r="8" spans="1:16">
      <c r="A8" s="108">
        <v>2</v>
      </c>
      <c r="B8" s="44"/>
      <c r="C8" s="315" t="s">
        <v>945</v>
      </c>
      <c r="D8" s="132" t="s">
        <v>91</v>
      </c>
      <c r="E8" s="35" t="s">
        <v>55</v>
      </c>
      <c r="F8" s="35"/>
      <c r="G8" s="35" t="s">
        <v>1225</v>
      </c>
      <c r="H8" s="114">
        <v>1</v>
      </c>
      <c r="I8" s="114">
        <v>1</v>
      </c>
      <c r="J8" s="111">
        <v>24000</v>
      </c>
      <c r="K8" s="111">
        <f t="shared" ref="K8:K20" si="0">SUM(I8*J8)</f>
        <v>24000</v>
      </c>
      <c r="L8" s="84"/>
      <c r="M8" s="265"/>
      <c r="N8" s="238"/>
      <c r="P8" s="238"/>
    </row>
    <row r="9" spans="1:16">
      <c r="A9" s="108">
        <v>3</v>
      </c>
      <c r="B9" s="44"/>
      <c r="C9" s="315" t="s">
        <v>946</v>
      </c>
      <c r="D9" s="132" t="s">
        <v>31</v>
      </c>
      <c r="E9" s="35" t="s">
        <v>56</v>
      </c>
      <c r="F9" s="35"/>
      <c r="G9" s="35" t="s">
        <v>1225</v>
      </c>
      <c r="H9" s="114">
        <v>80</v>
      </c>
      <c r="I9" s="114">
        <v>60</v>
      </c>
      <c r="J9" s="111">
        <v>800</v>
      </c>
      <c r="K9" s="111">
        <f t="shared" si="0"/>
        <v>48000</v>
      </c>
      <c r="L9" s="138"/>
      <c r="M9" s="265"/>
      <c r="N9" s="238"/>
    </row>
    <row r="10" spans="1:16">
      <c r="A10" s="108">
        <v>4</v>
      </c>
      <c r="B10" s="44"/>
      <c r="C10" s="315" t="s">
        <v>947</v>
      </c>
      <c r="D10" s="132" t="s">
        <v>948</v>
      </c>
      <c r="E10" s="35" t="s">
        <v>56</v>
      </c>
      <c r="F10" s="35"/>
      <c r="G10" s="35" t="s">
        <v>1225</v>
      </c>
      <c r="H10" s="114">
        <v>80</v>
      </c>
      <c r="I10" s="114">
        <v>70</v>
      </c>
      <c r="J10" s="111">
        <v>536</v>
      </c>
      <c r="K10" s="111">
        <f t="shared" si="0"/>
        <v>37520</v>
      </c>
      <c r="L10" s="138"/>
      <c r="M10" s="265"/>
      <c r="N10" s="238"/>
    </row>
    <row r="11" spans="1:16">
      <c r="A11" s="108">
        <v>5</v>
      </c>
      <c r="B11" s="107"/>
      <c r="C11" s="34" t="s">
        <v>950</v>
      </c>
      <c r="D11" s="12" t="s">
        <v>68</v>
      </c>
      <c r="E11" s="35" t="s">
        <v>55</v>
      </c>
      <c r="F11" s="35"/>
      <c r="G11" s="35" t="s">
        <v>1225</v>
      </c>
      <c r="H11" s="38">
        <v>1</v>
      </c>
      <c r="I11" s="38">
        <v>1</v>
      </c>
      <c r="J11" s="111">
        <v>17000</v>
      </c>
      <c r="K11" s="111">
        <f t="shared" si="0"/>
        <v>17000</v>
      </c>
      <c r="L11" s="81"/>
      <c r="M11" s="275"/>
      <c r="N11" s="238"/>
    </row>
    <row r="12" spans="1:16">
      <c r="A12" s="108">
        <v>6</v>
      </c>
      <c r="B12" s="107"/>
      <c r="C12" s="315" t="s">
        <v>951</v>
      </c>
      <c r="D12" s="132" t="s">
        <v>944</v>
      </c>
      <c r="E12" s="35" t="s">
        <v>55</v>
      </c>
      <c r="F12" s="35"/>
      <c r="G12" s="35" t="s">
        <v>1225</v>
      </c>
      <c r="H12" s="114">
        <v>10</v>
      </c>
      <c r="I12" s="114">
        <v>10</v>
      </c>
      <c r="J12" s="111">
        <v>12000</v>
      </c>
      <c r="K12" s="111">
        <f t="shared" si="0"/>
        <v>120000</v>
      </c>
      <c r="L12" s="81"/>
      <c r="M12" s="275"/>
      <c r="N12" s="238"/>
    </row>
    <row r="13" spans="1:16">
      <c r="A13" s="108">
        <v>7</v>
      </c>
      <c r="B13" s="107"/>
      <c r="C13" s="315" t="s">
        <v>952</v>
      </c>
      <c r="D13" s="132" t="s">
        <v>953</v>
      </c>
      <c r="E13" s="35" t="s">
        <v>55</v>
      </c>
      <c r="F13" s="35"/>
      <c r="G13" s="35" t="s">
        <v>1225</v>
      </c>
      <c r="H13" s="114">
        <v>2</v>
      </c>
      <c r="I13" s="114">
        <v>2</v>
      </c>
      <c r="J13" s="111">
        <v>2500</v>
      </c>
      <c r="K13" s="111">
        <f t="shared" si="0"/>
        <v>5000</v>
      </c>
      <c r="L13" s="81"/>
      <c r="M13" s="275"/>
      <c r="N13" s="238"/>
    </row>
    <row r="14" spans="1:16">
      <c r="A14" s="108">
        <v>8</v>
      </c>
      <c r="B14" s="107"/>
      <c r="C14" s="315" t="s">
        <v>954</v>
      </c>
      <c r="D14" s="132" t="s">
        <v>955</v>
      </c>
      <c r="E14" s="35" t="s">
        <v>55</v>
      </c>
      <c r="F14" s="35"/>
      <c r="G14" s="35" t="s">
        <v>1225</v>
      </c>
      <c r="H14" s="114">
        <v>1</v>
      </c>
      <c r="I14" s="114">
        <v>1</v>
      </c>
      <c r="J14" s="111">
        <v>20000</v>
      </c>
      <c r="K14" s="111">
        <f t="shared" si="0"/>
        <v>20000</v>
      </c>
      <c r="L14" s="81"/>
      <c r="M14" s="275"/>
      <c r="N14" s="238"/>
    </row>
    <row r="15" spans="1:16">
      <c r="A15" s="108">
        <v>9</v>
      </c>
      <c r="B15" s="243"/>
      <c r="C15" s="315" t="s">
        <v>956</v>
      </c>
      <c r="D15" s="132" t="s">
        <v>957</v>
      </c>
      <c r="E15" s="35" t="s">
        <v>55</v>
      </c>
      <c r="F15" s="35"/>
      <c r="G15" s="35" t="s">
        <v>1225</v>
      </c>
      <c r="H15" s="114">
        <v>1</v>
      </c>
      <c r="I15" s="114">
        <v>1</v>
      </c>
      <c r="J15" s="111">
        <v>2000</v>
      </c>
      <c r="K15" s="111">
        <f t="shared" si="0"/>
        <v>2000</v>
      </c>
      <c r="L15" s="81"/>
      <c r="M15" s="275"/>
      <c r="N15" s="238"/>
    </row>
    <row r="16" spans="1:16">
      <c r="A16" s="108">
        <v>10</v>
      </c>
      <c r="B16" s="229"/>
      <c r="C16" s="315" t="s">
        <v>956</v>
      </c>
      <c r="D16" s="132" t="s">
        <v>958</v>
      </c>
      <c r="E16" s="229" t="s">
        <v>55</v>
      </c>
      <c r="F16" s="229"/>
      <c r="G16" s="35" t="s">
        <v>1225</v>
      </c>
      <c r="H16" s="114">
        <v>1</v>
      </c>
      <c r="I16" s="114">
        <v>1</v>
      </c>
      <c r="J16" s="111">
        <v>500</v>
      </c>
      <c r="K16" s="111">
        <f t="shared" si="0"/>
        <v>500</v>
      </c>
      <c r="L16" s="81"/>
      <c r="M16" s="275"/>
      <c r="N16" s="238"/>
    </row>
    <row r="17" spans="1:16">
      <c r="A17" s="108">
        <v>11</v>
      </c>
      <c r="B17" s="33"/>
      <c r="C17" s="315" t="s">
        <v>959</v>
      </c>
      <c r="D17" s="132" t="s">
        <v>960</v>
      </c>
      <c r="E17" s="229" t="s">
        <v>55</v>
      </c>
      <c r="F17" s="229"/>
      <c r="G17" s="35" t="s">
        <v>1225</v>
      </c>
      <c r="H17" s="114">
        <v>1</v>
      </c>
      <c r="I17" s="114">
        <v>1</v>
      </c>
      <c r="J17" s="111">
        <v>11214.95</v>
      </c>
      <c r="K17" s="111">
        <f t="shared" si="0"/>
        <v>11214.95</v>
      </c>
      <c r="L17" s="81"/>
      <c r="M17" s="275"/>
      <c r="N17" s="238"/>
    </row>
    <row r="18" spans="1:16">
      <c r="A18" s="108">
        <v>12</v>
      </c>
      <c r="B18" s="33"/>
      <c r="C18" s="315" t="s">
        <v>961</v>
      </c>
      <c r="D18" s="132" t="s">
        <v>962</v>
      </c>
      <c r="E18" s="229" t="s">
        <v>55</v>
      </c>
      <c r="F18" s="229"/>
      <c r="G18" s="35" t="s">
        <v>1225</v>
      </c>
      <c r="H18" s="114">
        <v>1</v>
      </c>
      <c r="I18" s="114">
        <v>1</v>
      </c>
      <c r="J18" s="111">
        <v>7009.35</v>
      </c>
      <c r="K18" s="111">
        <f t="shared" si="0"/>
        <v>7009.35</v>
      </c>
      <c r="L18" s="81"/>
      <c r="M18" s="59"/>
      <c r="N18" s="238"/>
    </row>
    <row r="19" spans="1:16">
      <c r="A19" s="108">
        <v>13</v>
      </c>
      <c r="B19" s="33"/>
      <c r="C19" s="315" t="s">
        <v>963</v>
      </c>
      <c r="D19" s="132" t="s">
        <v>964</v>
      </c>
      <c r="E19" s="229" t="s">
        <v>55</v>
      </c>
      <c r="F19" s="229"/>
      <c r="G19" s="35" t="s">
        <v>1225</v>
      </c>
      <c r="H19" s="114">
        <v>1</v>
      </c>
      <c r="I19" s="114">
        <v>1</v>
      </c>
      <c r="J19" s="111">
        <v>34900</v>
      </c>
      <c r="K19" s="111">
        <f t="shared" si="0"/>
        <v>34900</v>
      </c>
      <c r="L19" s="81"/>
      <c r="M19" s="59"/>
      <c r="N19" s="238"/>
    </row>
    <row r="20" spans="1:16" ht="45" customHeight="1">
      <c r="A20" s="417">
        <v>14</v>
      </c>
      <c r="B20" s="195"/>
      <c r="C20" s="136" t="s">
        <v>965</v>
      </c>
      <c r="D20" s="135" t="s">
        <v>1119</v>
      </c>
      <c r="E20" s="126" t="s">
        <v>55</v>
      </c>
      <c r="F20" s="126"/>
      <c r="G20" s="140" t="s">
        <v>1225</v>
      </c>
      <c r="H20" s="163">
        <v>20</v>
      </c>
      <c r="I20" s="163">
        <v>14</v>
      </c>
      <c r="J20" s="156">
        <v>26450</v>
      </c>
      <c r="K20" s="327">
        <f t="shared" si="0"/>
        <v>370300</v>
      </c>
      <c r="L20" s="85"/>
      <c r="M20" s="59"/>
    </row>
    <row r="21" spans="1:16" ht="24.75" thickBot="1">
      <c r="A21" s="455" t="s">
        <v>381</v>
      </c>
      <c r="B21" s="456"/>
      <c r="C21" s="456"/>
      <c r="D21" s="456"/>
      <c r="E21" s="456"/>
      <c r="F21" s="456"/>
      <c r="G21" s="456"/>
      <c r="H21" s="456"/>
      <c r="I21" s="456"/>
      <c r="J21" s="457"/>
      <c r="K21" s="395">
        <f>SUM(K7:K20)</f>
        <v>1037444.2999999999</v>
      </c>
      <c r="L21" s="396"/>
      <c r="M21" s="320"/>
    </row>
    <row r="22" spans="1:16" ht="24.75" thickTop="1">
      <c r="A22" s="59"/>
      <c r="B22" s="59"/>
      <c r="C22" s="59"/>
      <c r="D22" s="59"/>
      <c r="E22" s="59"/>
      <c r="F22" s="59"/>
      <c r="G22" s="59"/>
      <c r="H22" s="59"/>
      <c r="I22" s="287"/>
      <c r="J22" s="59"/>
      <c r="K22" s="59"/>
      <c r="L22" s="86"/>
      <c r="M22" s="320"/>
      <c r="P22" s="238"/>
    </row>
    <row r="23" spans="1:16">
      <c r="A23" s="59"/>
      <c r="B23" s="343" t="s">
        <v>4</v>
      </c>
      <c r="C23" s="253" t="s">
        <v>1222</v>
      </c>
      <c r="D23" s="59"/>
      <c r="E23" s="59"/>
      <c r="F23" s="59"/>
      <c r="G23" s="59"/>
      <c r="H23" s="59"/>
      <c r="L23" s="274"/>
      <c r="M23" s="320"/>
    </row>
    <row r="24" spans="1:16">
      <c r="A24" s="59"/>
      <c r="B24" s="393"/>
      <c r="C24" s="253" t="s">
        <v>1223</v>
      </c>
      <c r="D24" s="59"/>
      <c r="E24" s="59"/>
      <c r="F24" s="59"/>
      <c r="G24" s="59"/>
      <c r="H24" s="59"/>
      <c r="I24" s="431" t="s">
        <v>161</v>
      </c>
      <c r="J24" s="431"/>
      <c r="K24" s="431"/>
      <c r="L24" s="274"/>
    </row>
    <row r="25" spans="1:16">
      <c r="A25" s="59"/>
      <c r="D25" s="256"/>
      <c r="E25" s="257"/>
      <c r="F25" s="257"/>
      <c r="G25" s="59"/>
      <c r="H25" s="59"/>
      <c r="I25" s="431" t="s">
        <v>966</v>
      </c>
      <c r="J25" s="431"/>
      <c r="K25" s="431"/>
      <c r="L25" s="274"/>
    </row>
    <row r="26" spans="1:16">
      <c r="I26" s="431" t="s">
        <v>162</v>
      </c>
      <c r="J26" s="431"/>
      <c r="K26" s="431"/>
    </row>
  </sheetData>
  <mergeCells count="18">
    <mergeCell ref="I26:K26"/>
    <mergeCell ref="K5:K6"/>
    <mergeCell ref="L5:L6"/>
    <mergeCell ref="A21:J21"/>
    <mergeCell ref="I24:K24"/>
    <mergeCell ref="I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zoomScaleNormal="100" workbookViewId="0">
      <selection activeCell="L13" sqref="L13"/>
    </sheetView>
  </sheetViews>
  <sheetFormatPr defaultColWidth="9" defaultRowHeight="24"/>
  <cols>
    <col min="1" max="1" width="6.7109375" style="14" customWidth="1"/>
    <col min="2" max="2" width="16.85546875" style="14" customWidth="1"/>
    <col min="3" max="3" width="40.140625" style="14" customWidth="1"/>
    <col min="4" max="4" width="41.7109375" style="14" customWidth="1"/>
    <col min="5" max="5" width="8.7109375" style="14" customWidth="1"/>
    <col min="6" max="6" width="9" style="14" customWidth="1"/>
    <col min="7" max="7" width="8.28515625" style="14" customWidth="1"/>
    <col min="8" max="8" width="8.5703125" style="14" customWidth="1"/>
    <col min="9" max="9" width="8.140625" style="14" customWidth="1"/>
    <col min="10" max="10" width="13.85546875" style="14" customWidth="1"/>
    <col min="11" max="11" width="16.5703125" style="14" customWidth="1"/>
    <col min="12" max="12" width="29.85546875" style="14" customWidth="1"/>
    <col min="13" max="16384" width="9" style="14"/>
  </cols>
  <sheetData>
    <row r="1" spans="1:12">
      <c r="L1" s="354" t="s">
        <v>1250</v>
      </c>
    </row>
    <row r="2" spans="1:12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>
      <c r="A4" s="441" t="s">
        <v>1249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 ht="27.7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ht="47.2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>
      <c r="A7" s="108">
        <v>1</v>
      </c>
      <c r="B7" s="44"/>
      <c r="C7" s="89" t="s">
        <v>967</v>
      </c>
      <c r="D7" s="12" t="s">
        <v>968</v>
      </c>
      <c r="E7" s="35" t="s">
        <v>55</v>
      </c>
      <c r="F7" s="35"/>
      <c r="G7" s="35" t="s">
        <v>1225</v>
      </c>
      <c r="H7" s="38">
        <v>15</v>
      </c>
      <c r="I7" s="38">
        <v>15</v>
      </c>
      <c r="J7" s="218">
        <v>25000</v>
      </c>
      <c r="K7" s="218">
        <f>SUM(I7*J7)</f>
        <v>375000</v>
      </c>
      <c r="L7" s="112"/>
    </row>
    <row r="8" spans="1:12">
      <c r="A8" s="239">
        <v>2</v>
      </c>
      <c r="B8" s="113"/>
      <c r="C8" s="89" t="s">
        <v>969</v>
      </c>
      <c r="D8" s="12" t="s">
        <v>944</v>
      </c>
      <c r="E8" s="35" t="s">
        <v>55</v>
      </c>
      <c r="F8" s="35"/>
      <c r="G8" s="35" t="s">
        <v>1225</v>
      </c>
      <c r="H8" s="38">
        <v>25</v>
      </c>
      <c r="I8" s="38">
        <v>25</v>
      </c>
      <c r="J8" s="218">
        <v>8000</v>
      </c>
      <c r="K8" s="218">
        <f t="shared" ref="K8:K25" si="0">SUM(I8*J8)</f>
        <v>200000</v>
      </c>
      <c r="L8" s="112"/>
    </row>
    <row r="9" spans="1:12">
      <c r="A9" s="108">
        <v>3</v>
      </c>
      <c r="B9" s="44"/>
      <c r="C9" s="89" t="s">
        <v>970</v>
      </c>
      <c r="D9" s="12" t="s">
        <v>971</v>
      </c>
      <c r="E9" s="35" t="s">
        <v>55</v>
      </c>
      <c r="F9" s="35"/>
      <c r="G9" s="35" t="s">
        <v>1225</v>
      </c>
      <c r="H9" s="38">
        <v>25</v>
      </c>
      <c r="I9" s="38">
        <v>25</v>
      </c>
      <c r="J9" s="218">
        <v>8000</v>
      </c>
      <c r="K9" s="218">
        <f t="shared" si="0"/>
        <v>200000</v>
      </c>
      <c r="L9" s="112"/>
    </row>
    <row r="10" spans="1:12">
      <c r="A10" s="239">
        <v>4</v>
      </c>
      <c r="B10" s="44"/>
      <c r="C10" s="89" t="s">
        <v>972</v>
      </c>
      <c r="D10" s="12" t="s">
        <v>31</v>
      </c>
      <c r="E10" s="35" t="s">
        <v>55</v>
      </c>
      <c r="F10" s="35"/>
      <c r="G10" s="35" t="s">
        <v>1225</v>
      </c>
      <c r="H10" s="38">
        <v>42</v>
      </c>
      <c r="I10" s="38">
        <v>42</v>
      </c>
      <c r="J10" s="218">
        <v>1600</v>
      </c>
      <c r="K10" s="218">
        <f t="shared" si="0"/>
        <v>67200</v>
      </c>
      <c r="L10" s="112"/>
    </row>
    <row r="11" spans="1:12">
      <c r="A11" s="108">
        <v>5</v>
      </c>
      <c r="B11" s="44"/>
      <c r="C11" s="89" t="s">
        <v>974</v>
      </c>
      <c r="D11" s="12" t="s">
        <v>975</v>
      </c>
      <c r="E11" s="35" t="s">
        <v>55</v>
      </c>
      <c r="F11" s="35"/>
      <c r="G11" s="35" t="s">
        <v>1225</v>
      </c>
      <c r="H11" s="38">
        <v>35</v>
      </c>
      <c r="I11" s="38">
        <v>1</v>
      </c>
      <c r="J11" s="218">
        <v>2400</v>
      </c>
      <c r="K11" s="218">
        <f t="shared" si="0"/>
        <v>2400</v>
      </c>
      <c r="L11" s="120"/>
    </row>
    <row r="12" spans="1:12">
      <c r="A12" s="239">
        <v>6</v>
      </c>
      <c r="B12" s="115"/>
      <c r="C12" s="89" t="s">
        <v>976</v>
      </c>
      <c r="D12" s="12" t="s">
        <v>977</v>
      </c>
      <c r="E12" s="35" t="s">
        <v>55</v>
      </c>
      <c r="F12" s="35"/>
      <c r="G12" s="35" t="s">
        <v>1225</v>
      </c>
      <c r="H12" s="38">
        <v>4</v>
      </c>
      <c r="I12" s="38">
        <v>4</v>
      </c>
      <c r="J12" s="218">
        <v>20000</v>
      </c>
      <c r="K12" s="218">
        <f t="shared" si="0"/>
        <v>80000</v>
      </c>
      <c r="L12" s="229"/>
    </row>
    <row r="13" spans="1:12">
      <c r="A13" s="108">
        <v>7</v>
      </c>
      <c r="B13" s="115"/>
      <c r="C13" s="89" t="s">
        <v>978</v>
      </c>
      <c r="D13" s="12" t="s">
        <v>979</v>
      </c>
      <c r="E13" s="35" t="s">
        <v>55</v>
      </c>
      <c r="F13" s="35"/>
      <c r="G13" s="35" t="s">
        <v>1225</v>
      </c>
      <c r="H13" s="38">
        <v>1</v>
      </c>
      <c r="I13" s="38">
        <v>1</v>
      </c>
      <c r="J13" s="37">
        <v>5000</v>
      </c>
      <c r="K13" s="218">
        <f t="shared" si="0"/>
        <v>5000</v>
      </c>
      <c r="L13" s="229"/>
    </row>
    <row r="14" spans="1:12">
      <c r="A14" s="239">
        <v>8</v>
      </c>
      <c r="B14" s="115"/>
      <c r="C14" s="89" t="s">
        <v>980</v>
      </c>
      <c r="D14" s="12" t="s">
        <v>981</v>
      </c>
      <c r="E14" s="35" t="s">
        <v>55</v>
      </c>
      <c r="F14" s="35"/>
      <c r="G14" s="35" t="s">
        <v>1225</v>
      </c>
      <c r="H14" s="38">
        <v>2</v>
      </c>
      <c r="I14" s="38">
        <v>2</v>
      </c>
      <c r="J14" s="218">
        <v>2000</v>
      </c>
      <c r="K14" s="218">
        <f t="shared" si="0"/>
        <v>4000</v>
      </c>
      <c r="L14" s="229"/>
    </row>
    <row r="15" spans="1:12">
      <c r="A15" s="108">
        <v>9</v>
      </c>
      <c r="B15" s="107"/>
      <c r="C15" s="89" t="s">
        <v>982</v>
      </c>
      <c r="D15" s="12" t="s">
        <v>983</v>
      </c>
      <c r="E15" s="35" t="s">
        <v>55</v>
      </c>
      <c r="F15" s="35"/>
      <c r="G15" s="35" t="s">
        <v>1225</v>
      </c>
      <c r="H15" s="38">
        <v>25</v>
      </c>
      <c r="I15" s="38">
        <v>25</v>
      </c>
      <c r="J15" s="218">
        <v>8000</v>
      </c>
      <c r="K15" s="218">
        <f t="shared" si="0"/>
        <v>200000</v>
      </c>
      <c r="L15" s="229"/>
    </row>
    <row r="16" spans="1:12">
      <c r="A16" s="239">
        <v>10</v>
      </c>
      <c r="B16" s="107"/>
      <c r="C16" s="89" t="s">
        <v>984</v>
      </c>
      <c r="D16" s="12" t="s">
        <v>32</v>
      </c>
      <c r="E16" s="35" t="s">
        <v>55</v>
      </c>
      <c r="F16" s="35"/>
      <c r="G16" s="35" t="s">
        <v>1225</v>
      </c>
      <c r="H16" s="38">
        <v>58</v>
      </c>
      <c r="I16" s="38">
        <v>58</v>
      </c>
      <c r="J16" s="218">
        <v>8000</v>
      </c>
      <c r="K16" s="218">
        <f t="shared" si="0"/>
        <v>464000</v>
      </c>
      <c r="L16" s="229"/>
    </row>
    <row r="17" spans="1:12">
      <c r="A17" s="108">
        <v>11</v>
      </c>
      <c r="B17" s="33"/>
      <c r="C17" s="89" t="s">
        <v>985</v>
      </c>
      <c r="D17" s="12" t="s">
        <v>973</v>
      </c>
      <c r="E17" s="229" t="s">
        <v>55</v>
      </c>
      <c r="F17" s="229"/>
      <c r="G17" s="35" t="s">
        <v>1225</v>
      </c>
      <c r="H17" s="38">
        <v>46</v>
      </c>
      <c r="I17" s="38">
        <v>46</v>
      </c>
      <c r="J17" s="218">
        <v>2500</v>
      </c>
      <c r="K17" s="218">
        <f t="shared" si="0"/>
        <v>115000</v>
      </c>
      <c r="L17" s="229"/>
    </row>
    <row r="18" spans="1:12">
      <c r="A18" s="239">
        <v>12</v>
      </c>
      <c r="B18" s="33"/>
      <c r="C18" s="89" t="s">
        <v>986</v>
      </c>
      <c r="D18" s="12" t="s">
        <v>91</v>
      </c>
      <c r="E18" s="229" t="s">
        <v>55</v>
      </c>
      <c r="F18" s="229"/>
      <c r="G18" s="35" t="s">
        <v>1225</v>
      </c>
      <c r="H18" s="38">
        <v>1</v>
      </c>
      <c r="I18" s="38">
        <v>1</v>
      </c>
      <c r="J18" s="218">
        <v>33000</v>
      </c>
      <c r="K18" s="218">
        <f t="shared" si="0"/>
        <v>33000</v>
      </c>
      <c r="L18" s="229"/>
    </row>
    <row r="19" spans="1:12">
      <c r="A19" s="108">
        <v>13</v>
      </c>
      <c r="B19" s="33"/>
      <c r="C19" s="89" t="s">
        <v>987</v>
      </c>
      <c r="D19" s="12" t="s">
        <v>988</v>
      </c>
      <c r="E19" s="229" t="s">
        <v>56</v>
      </c>
      <c r="F19" s="229"/>
      <c r="G19" s="35" t="s">
        <v>1225</v>
      </c>
      <c r="H19" s="38">
        <v>2</v>
      </c>
      <c r="I19" s="38">
        <v>2</v>
      </c>
      <c r="J19" s="218">
        <v>1175</v>
      </c>
      <c r="K19" s="218">
        <f t="shared" si="0"/>
        <v>2350</v>
      </c>
      <c r="L19" s="229"/>
    </row>
    <row r="20" spans="1:12">
      <c r="A20" s="239">
        <v>14</v>
      </c>
      <c r="B20" s="33"/>
      <c r="C20" s="329" t="s">
        <v>989</v>
      </c>
      <c r="D20" s="221" t="s">
        <v>134</v>
      </c>
      <c r="E20" s="229" t="s">
        <v>56</v>
      </c>
      <c r="F20" s="205"/>
      <c r="G20" s="35" t="s">
        <v>1225</v>
      </c>
      <c r="H20" s="220">
        <v>1</v>
      </c>
      <c r="I20" s="220">
        <v>1</v>
      </c>
      <c r="J20" s="271">
        <v>5296.5</v>
      </c>
      <c r="K20" s="218">
        <f t="shared" si="0"/>
        <v>5296.5</v>
      </c>
      <c r="L20" s="229"/>
    </row>
    <row r="21" spans="1:12">
      <c r="A21" s="108">
        <v>15</v>
      </c>
      <c r="B21" s="33"/>
      <c r="C21" s="89" t="s">
        <v>990</v>
      </c>
      <c r="D21" s="12" t="s">
        <v>983</v>
      </c>
      <c r="E21" s="229" t="s">
        <v>56</v>
      </c>
      <c r="F21" s="229"/>
      <c r="G21" s="35" t="s">
        <v>1225</v>
      </c>
      <c r="H21" s="38">
        <v>7</v>
      </c>
      <c r="I21" s="38">
        <v>7</v>
      </c>
      <c r="J21" s="218">
        <v>12200</v>
      </c>
      <c r="K21" s="218">
        <f t="shared" si="0"/>
        <v>85400</v>
      </c>
      <c r="L21" s="229"/>
    </row>
    <row r="22" spans="1:12">
      <c r="A22" s="239">
        <v>16</v>
      </c>
      <c r="B22" s="33"/>
      <c r="C22" s="89" t="s">
        <v>991</v>
      </c>
      <c r="D22" s="12" t="s">
        <v>983</v>
      </c>
      <c r="E22" s="229" t="s">
        <v>56</v>
      </c>
      <c r="F22" s="229"/>
      <c r="G22" s="35" t="s">
        <v>1225</v>
      </c>
      <c r="H22" s="38">
        <v>6</v>
      </c>
      <c r="I22" s="38">
        <v>6</v>
      </c>
      <c r="J22" s="218">
        <v>12200</v>
      </c>
      <c r="K22" s="218">
        <f t="shared" si="0"/>
        <v>73200</v>
      </c>
      <c r="L22" s="229"/>
    </row>
    <row r="23" spans="1:12">
      <c r="A23" s="108">
        <v>17</v>
      </c>
      <c r="B23" s="33"/>
      <c r="C23" s="89" t="s">
        <v>992</v>
      </c>
      <c r="D23" s="12" t="s">
        <v>993</v>
      </c>
      <c r="E23" s="229" t="s">
        <v>55</v>
      </c>
      <c r="F23" s="229"/>
      <c r="G23" s="35" t="s">
        <v>1225</v>
      </c>
      <c r="H23" s="38">
        <v>1</v>
      </c>
      <c r="I23" s="38">
        <v>1</v>
      </c>
      <c r="J23" s="218">
        <v>24000</v>
      </c>
      <c r="K23" s="218">
        <f t="shared" si="0"/>
        <v>24000</v>
      </c>
      <c r="L23" s="229"/>
    </row>
    <row r="24" spans="1:12">
      <c r="A24" s="239">
        <v>18</v>
      </c>
      <c r="B24" s="113"/>
      <c r="C24" s="89" t="s">
        <v>994</v>
      </c>
      <c r="D24" s="12" t="s">
        <v>68</v>
      </c>
      <c r="E24" s="35" t="s">
        <v>55</v>
      </c>
      <c r="F24" s="35"/>
      <c r="G24" s="35" t="s">
        <v>1225</v>
      </c>
      <c r="H24" s="38">
        <v>15</v>
      </c>
      <c r="I24" s="38">
        <v>15</v>
      </c>
      <c r="J24" s="41">
        <v>17000</v>
      </c>
      <c r="K24" s="218">
        <f t="shared" si="0"/>
        <v>255000</v>
      </c>
      <c r="L24" s="112"/>
    </row>
    <row r="25" spans="1:12">
      <c r="A25" s="108">
        <v>19</v>
      </c>
      <c r="B25" s="44"/>
      <c r="C25" s="89" t="s">
        <v>995</v>
      </c>
      <c r="D25" s="12" t="s">
        <v>996</v>
      </c>
      <c r="E25" s="35" t="s">
        <v>55</v>
      </c>
      <c r="F25" s="35"/>
      <c r="G25" s="35" t="s">
        <v>1225</v>
      </c>
      <c r="H25" s="38">
        <v>30</v>
      </c>
      <c r="I25" s="38">
        <v>30</v>
      </c>
      <c r="J25" s="41">
        <v>400</v>
      </c>
      <c r="K25" s="218">
        <f t="shared" si="0"/>
        <v>12000</v>
      </c>
      <c r="L25" s="112"/>
    </row>
    <row r="26" spans="1:12" ht="24.75" thickBot="1">
      <c r="A26" s="455" t="s">
        <v>381</v>
      </c>
      <c r="B26" s="456"/>
      <c r="C26" s="456"/>
      <c r="D26" s="456"/>
      <c r="E26" s="456"/>
      <c r="F26" s="456"/>
      <c r="G26" s="456"/>
      <c r="H26" s="456"/>
      <c r="I26" s="456"/>
      <c r="J26" s="457"/>
      <c r="K26" s="395">
        <f>SUM(K7:K25)</f>
        <v>2202846.5</v>
      </c>
      <c r="L26" s="397"/>
    </row>
    <row r="27" spans="1:12" ht="24.75" thickTop="1">
      <c r="A27" s="59"/>
      <c r="B27" s="59"/>
      <c r="C27" s="59"/>
      <c r="D27" s="59"/>
      <c r="E27" s="59"/>
      <c r="F27" s="59"/>
      <c r="G27" s="59"/>
      <c r="H27" s="59"/>
      <c r="I27" s="287"/>
      <c r="J27" s="59"/>
      <c r="K27" s="59"/>
      <c r="L27" s="59"/>
    </row>
    <row r="28" spans="1:12">
      <c r="A28" s="59"/>
      <c r="B28" s="343" t="s">
        <v>4</v>
      </c>
      <c r="C28" s="253" t="s">
        <v>1222</v>
      </c>
      <c r="D28" s="59"/>
      <c r="E28" s="59"/>
      <c r="F28" s="59"/>
      <c r="G28" s="59"/>
      <c r="H28" s="59"/>
      <c r="I28" s="287"/>
      <c r="J28" s="59"/>
      <c r="K28" s="59"/>
      <c r="L28" s="59"/>
    </row>
    <row r="29" spans="1:12">
      <c r="A29" s="59"/>
      <c r="B29" s="393"/>
      <c r="C29" s="253" t="s">
        <v>1223</v>
      </c>
      <c r="D29" s="59"/>
      <c r="E29" s="59"/>
      <c r="F29" s="59"/>
      <c r="G29" s="59"/>
      <c r="H29" s="59"/>
      <c r="I29" s="431" t="s">
        <v>161</v>
      </c>
      <c r="J29" s="431"/>
      <c r="K29" s="431"/>
      <c r="L29" s="274"/>
    </row>
    <row r="30" spans="1:12">
      <c r="A30" s="59"/>
      <c r="D30" s="256"/>
      <c r="E30" s="257"/>
      <c r="F30" s="257"/>
      <c r="G30" s="59"/>
      <c r="H30" s="59"/>
      <c r="I30" s="431" t="s">
        <v>1097</v>
      </c>
      <c r="J30" s="431"/>
      <c r="K30" s="431"/>
      <c r="L30" s="274"/>
    </row>
    <row r="31" spans="1:12">
      <c r="A31" s="59"/>
      <c r="B31" s="59"/>
      <c r="C31" s="59"/>
      <c r="D31" s="59"/>
      <c r="E31" s="59"/>
      <c r="F31" s="59"/>
      <c r="G31" s="59"/>
      <c r="H31" s="59"/>
      <c r="I31" s="431" t="s">
        <v>162</v>
      </c>
      <c r="J31" s="431"/>
      <c r="K31" s="431"/>
      <c r="L31" s="274"/>
    </row>
    <row r="32" spans="1:12">
      <c r="A32" s="59"/>
      <c r="B32" s="59"/>
      <c r="C32" s="59"/>
      <c r="D32" s="59"/>
      <c r="E32" s="59"/>
      <c r="F32" s="59"/>
      <c r="G32" s="59"/>
      <c r="H32" s="59"/>
      <c r="I32" s="324"/>
      <c r="J32" s="324"/>
      <c r="K32" s="324"/>
      <c r="L32" s="324"/>
    </row>
  </sheetData>
  <mergeCells count="18">
    <mergeCell ref="I31:K31"/>
    <mergeCell ref="K5:K6"/>
    <mergeCell ref="L5:L6"/>
    <mergeCell ref="A26:J26"/>
    <mergeCell ref="I29:K29"/>
    <mergeCell ref="I30:K3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56"/>
  <sheetViews>
    <sheetView zoomScaleNormal="100" workbookViewId="0">
      <selection activeCell="D11" sqref="D11"/>
    </sheetView>
  </sheetViews>
  <sheetFormatPr defaultRowHeight="21"/>
  <cols>
    <col min="1" max="1" width="5.7109375" style="40" customWidth="1"/>
    <col min="2" max="2" width="11.7109375" style="40" customWidth="1"/>
    <col min="3" max="3" width="37" style="333" customWidth="1"/>
    <col min="4" max="4" width="47.28515625" style="40" customWidth="1"/>
    <col min="5" max="5" width="8.140625" style="40" customWidth="1"/>
    <col min="6" max="6" width="8.7109375" style="40" customWidth="1"/>
    <col min="7" max="9" width="8.28515625" style="40" customWidth="1"/>
    <col min="10" max="10" width="14.140625" style="40" customWidth="1"/>
    <col min="11" max="11" width="15.140625" style="40" customWidth="1"/>
    <col min="12" max="12" width="30.42578125" style="300" customWidth="1"/>
    <col min="13" max="16384" width="9.140625" style="40"/>
  </cols>
  <sheetData>
    <row r="1" spans="1:12" ht="24">
      <c r="L1" s="354" t="s">
        <v>1252</v>
      </c>
    </row>
    <row r="2" spans="1:12" s="14" customFormat="1" ht="2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 s="14" customFormat="1" ht="2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 s="14" customFormat="1" ht="24">
      <c r="A4" s="441" t="s">
        <v>1251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 s="14" customFormat="1" ht="2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s="14" customFormat="1" ht="44.2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 s="14" customFormat="1" ht="24">
      <c r="A7" s="229">
        <v>1</v>
      </c>
      <c r="B7" s="33"/>
      <c r="C7" s="259" t="s">
        <v>382</v>
      </c>
      <c r="D7" s="241" t="s">
        <v>391</v>
      </c>
      <c r="E7" s="35" t="s">
        <v>56</v>
      </c>
      <c r="F7" s="35"/>
      <c r="G7" s="35" t="s">
        <v>1225</v>
      </c>
      <c r="H7" s="35">
        <v>1</v>
      </c>
      <c r="I7" s="35">
        <v>1</v>
      </c>
      <c r="J7" s="41">
        <v>33000</v>
      </c>
      <c r="K7" s="41">
        <f>SUM(I7*J7)</f>
        <v>33000</v>
      </c>
      <c r="L7" s="229"/>
    </row>
    <row r="8" spans="1:12" s="14" customFormat="1" ht="24">
      <c r="A8" s="229">
        <v>2</v>
      </c>
      <c r="B8" s="33"/>
      <c r="C8" s="236" t="s">
        <v>383</v>
      </c>
      <c r="D8" s="221" t="s">
        <v>392</v>
      </c>
      <c r="E8" s="35" t="s">
        <v>1100</v>
      </c>
      <c r="F8" s="35"/>
      <c r="G8" s="35" t="s">
        <v>1225</v>
      </c>
      <c r="H8" s="35">
        <v>5</v>
      </c>
      <c r="I8" s="35">
        <v>5</v>
      </c>
      <c r="J8" s="42">
        <v>3970</v>
      </c>
      <c r="K8" s="41">
        <f t="shared" ref="K8:K15" si="0">SUM(I8*J8)</f>
        <v>19850</v>
      </c>
      <c r="L8" s="229"/>
    </row>
    <row r="9" spans="1:12" s="14" customFormat="1" ht="24">
      <c r="A9" s="229">
        <v>3</v>
      </c>
      <c r="B9" s="33"/>
      <c r="C9" s="34" t="s">
        <v>384</v>
      </c>
      <c r="D9" s="12" t="s">
        <v>393</v>
      </c>
      <c r="E9" s="35" t="s">
        <v>56</v>
      </c>
      <c r="F9" s="35"/>
      <c r="G9" s="35" t="s">
        <v>1225</v>
      </c>
      <c r="H9" s="35">
        <v>1</v>
      </c>
      <c r="I9" s="35">
        <v>1</v>
      </c>
      <c r="J9" s="42">
        <v>690</v>
      </c>
      <c r="K9" s="41">
        <f t="shared" si="0"/>
        <v>690</v>
      </c>
      <c r="L9" s="229"/>
    </row>
    <row r="10" spans="1:12" s="14" customFormat="1" ht="24">
      <c r="A10" s="229">
        <v>4</v>
      </c>
      <c r="B10" s="33"/>
      <c r="C10" s="34" t="s">
        <v>385</v>
      </c>
      <c r="D10" s="12" t="s">
        <v>394</v>
      </c>
      <c r="E10" s="35" t="s">
        <v>55</v>
      </c>
      <c r="F10" s="35"/>
      <c r="G10" s="35" t="s">
        <v>1225</v>
      </c>
      <c r="H10" s="35">
        <v>1</v>
      </c>
      <c r="I10" s="35">
        <v>1</v>
      </c>
      <c r="J10" s="42">
        <v>3350</v>
      </c>
      <c r="K10" s="41">
        <f t="shared" si="0"/>
        <v>3350</v>
      </c>
      <c r="L10" s="229"/>
    </row>
    <row r="11" spans="1:12" s="14" customFormat="1" ht="24">
      <c r="A11" s="229">
        <v>5</v>
      </c>
      <c r="B11" s="33"/>
      <c r="C11" s="34" t="s">
        <v>386</v>
      </c>
      <c r="D11" s="12" t="s">
        <v>276</v>
      </c>
      <c r="E11" s="35" t="s">
        <v>55</v>
      </c>
      <c r="F11" s="35"/>
      <c r="G11" s="35" t="s">
        <v>1225</v>
      </c>
      <c r="H11" s="35">
        <v>2</v>
      </c>
      <c r="I11" s="35">
        <v>2</v>
      </c>
      <c r="J11" s="42">
        <v>32000</v>
      </c>
      <c r="K11" s="41">
        <f t="shared" si="0"/>
        <v>64000</v>
      </c>
      <c r="L11" s="229"/>
    </row>
    <row r="12" spans="1:12" s="14" customFormat="1" ht="24">
      <c r="A12" s="229">
        <v>6</v>
      </c>
      <c r="B12" s="33"/>
      <c r="C12" s="34" t="s">
        <v>387</v>
      </c>
      <c r="D12" s="12" t="s">
        <v>68</v>
      </c>
      <c r="E12" s="35" t="s">
        <v>55</v>
      </c>
      <c r="F12" s="35"/>
      <c r="G12" s="35" t="s">
        <v>1225</v>
      </c>
      <c r="H12" s="35">
        <v>2</v>
      </c>
      <c r="I12" s="35">
        <v>2</v>
      </c>
      <c r="J12" s="42">
        <v>17000</v>
      </c>
      <c r="K12" s="41">
        <f t="shared" si="0"/>
        <v>34000</v>
      </c>
      <c r="L12" s="229"/>
    </row>
    <row r="13" spans="1:12" s="14" customFormat="1" ht="24">
      <c r="A13" s="229">
        <v>7</v>
      </c>
      <c r="B13" s="33"/>
      <c r="C13" s="137" t="s">
        <v>388</v>
      </c>
      <c r="D13" s="133" t="s">
        <v>395</v>
      </c>
      <c r="E13" s="35" t="s">
        <v>55</v>
      </c>
      <c r="F13" s="35"/>
      <c r="G13" s="35" t="s">
        <v>1225</v>
      </c>
      <c r="H13" s="35">
        <v>2</v>
      </c>
      <c r="I13" s="35">
        <v>2</v>
      </c>
      <c r="J13" s="42">
        <v>1950</v>
      </c>
      <c r="K13" s="41">
        <f t="shared" si="0"/>
        <v>3900</v>
      </c>
      <c r="L13" s="229"/>
    </row>
    <row r="14" spans="1:12" s="14" customFormat="1" ht="24">
      <c r="A14" s="229">
        <v>8</v>
      </c>
      <c r="B14" s="33"/>
      <c r="C14" s="137" t="s">
        <v>389</v>
      </c>
      <c r="D14" s="133" t="s">
        <v>396</v>
      </c>
      <c r="E14" s="35" t="s">
        <v>55</v>
      </c>
      <c r="F14" s="35"/>
      <c r="G14" s="35" t="s">
        <v>1225</v>
      </c>
      <c r="H14" s="35">
        <v>1</v>
      </c>
      <c r="I14" s="35">
        <v>1</v>
      </c>
      <c r="J14" s="42">
        <v>30000</v>
      </c>
      <c r="K14" s="41">
        <f t="shared" si="0"/>
        <v>30000</v>
      </c>
      <c r="L14" s="229"/>
    </row>
    <row r="15" spans="1:12" s="14" customFormat="1" ht="24">
      <c r="A15" s="229">
        <v>9</v>
      </c>
      <c r="B15" s="33"/>
      <c r="C15" s="331" t="s">
        <v>390</v>
      </c>
      <c r="D15" s="332" t="s">
        <v>68</v>
      </c>
      <c r="E15" s="35" t="s">
        <v>55</v>
      </c>
      <c r="F15" s="35"/>
      <c r="G15" s="35" t="s">
        <v>1225</v>
      </c>
      <c r="H15" s="35">
        <v>1</v>
      </c>
      <c r="I15" s="35">
        <v>1</v>
      </c>
      <c r="J15" s="222">
        <v>20000</v>
      </c>
      <c r="K15" s="41">
        <f t="shared" si="0"/>
        <v>20000</v>
      </c>
      <c r="L15" s="229"/>
    </row>
    <row r="16" spans="1:12" s="14" customFormat="1" ht="24.75" thickBot="1">
      <c r="A16" s="455" t="s">
        <v>381</v>
      </c>
      <c r="B16" s="456"/>
      <c r="C16" s="456"/>
      <c r="D16" s="456"/>
      <c r="E16" s="456"/>
      <c r="F16" s="456"/>
      <c r="G16" s="456"/>
      <c r="H16" s="456"/>
      <c r="I16" s="456"/>
      <c r="J16" s="457"/>
      <c r="K16" s="389">
        <f>SUM(K7:K15)</f>
        <v>208790</v>
      </c>
      <c r="L16" s="401"/>
    </row>
    <row r="17" spans="1:12" s="14" customFormat="1" ht="24.75" thickTop="1">
      <c r="A17" s="326"/>
      <c r="B17" s="326"/>
      <c r="C17" s="326"/>
      <c r="D17" s="326"/>
      <c r="E17" s="326"/>
      <c r="F17" s="394"/>
      <c r="G17" s="394"/>
      <c r="H17" s="394"/>
      <c r="I17" s="59"/>
      <c r="J17" s="276"/>
      <c r="K17" s="276"/>
      <c r="L17" s="274"/>
    </row>
    <row r="18" spans="1:12" ht="26.25" customHeight="1">
      <c r="B18" s="343" t="s">
        <v>4</v>
      </c>
      <c r="C18" s="253" t="s">
        <v>1222</v>
      </c>
      <c r="D18" s="59"/>
    </row>
    <row r="19" spans="1:12" ht="24">
      <c r="B19" s="398"/>
      <c r="C19" s="253" t="s">
        <v>1223</v>
      </c>
      <c r="D19" s="59"/>
      <c r="I19" s="431" t="s">
        <v>1027</v>
      </c>
      <c r="J19" s="431"/>
      <c r="K19" s="431"/>
      <c r="L19" s="431"/>
    </row>
    <row r="20" spans="1:12" ht="24">
      <c r="I20" s="431" t="s">
        <v>397</v>
      </c>
      <c r="J20" s="431"/>
      <c r="K20" s="431"/>
      <c r="L20" s="431"/>
    </row>
    <row r="21" spans="1:12" ht="24">
      <c r="I21" s="431" t="s">
        <v>162</v>
      </c>
      <c r="J21" s="431"/>
      <c r="K21" s="431"/>
      <c r="L21" s="431"/>
    </row>
    <row r="22" spans="1:12" s="14" customFormat="1" ht="24">
      <c r="C22" s="256"/>
      <c r="L22" s="325"/>
    </row>
    <row r="23" spans="1:12" s="14" customFormat="1" ht="24">
      <c r="C23" s="256"/>
      <c r="L23" s="325"/>
    </row>
    <row r="24" spans="1:12" s="14" customFormat="1" ht="24">
      <c r="C24" s="256"/>
      <c r="L24" s="325"/>
    </row>
    <row r="25" spans="1:12" s="14" customFormat="1" ht="24">
      <c r="C25" s="256"/>
      <c r="L25" s="325"/>
    </row>
    <row r="26" spans="1:12" s="14" customFormat="1" ht="24">
      <c r="C26" s="256"/>
      <c r="L26" s="325"/>
    </row>
    <row r="27" spans="1:12" s="14" customFormat="1" ht="24">
      <c r="C27" s="256"/>
      <c r="L27" s="325"/>
    </row>
    <row r="28" spans="1:12" s="14" customFormat="1" ht="24">
      <c r="C28" s="256"/>
      <c r="L28" s="325"/>
    </row>
    <row r="29" spans="1:12" s="14" customFormat="1" ht="24">
      <c r="C29" s="256"/>
      <c r="L29" s="325"/>
    </row>
    <row r="30" spans="1:12" s="14" customFormat="1" ht="24">
      <c r="C30" s="256"/>
      <c r="L30" s="325"/>
    </row>
    <row r="31" spans="1:12" s="14" customFormat="1" ht="24">
      <c r="C31" s="256"/>
      <c r="L31" s="325"/>
    </row>
    <row r="32" spans="1:12" s="14" customFormat="1" ht="24">
      <c r="C32" s="256"/>
      <c r="L32" s="325"/>
    </row>
    <row r="33" spans="3:12" s="14" customFormat="1" ht="24">
      <c r="C33" s="256"/>
      <c r="L33" s="325"/>
    </row>
    <row r="34" spans="3:12" s="14" customFormat="1" ht="24">
      <c r="C34" s="256"/>
      <c r="L34" s="325"/>
    </row>
    <row r="35" spans="3:12" s="14" customFormat="1" ht="24">
      <c r="C35" s="256"/>
      <c r="L35" s="325"/>
    </row>
    <row r="36" spans="3:12" s="14" customFormat="1" ht="24">
      <c r="C36" s="256"/>
      <c r="L36" s="325"/>
    </row>
    <row r="37" spans="3:12" s="14" customFormat="1" ht="24">
      <c r="C37" s="256"/>
      <c r="L37" s="325"/>
    </row>
    <row r="38" spans="3:12" s="14" customFormat="1" ht="24">
      <c r="C38" s="256"/>
      <c r="L38" s="325"/>
    </row>
    <row r="39" spans="3:12" s="14" customFormat="1" ht="24">
      <c r="C39" s="256"/>
      <c r="L39" s="325"/>
    </row>
    <row r="40" spans="3:12" s="14" customFormat="1" ht="24">
      <c r="C40" s="256"/>
      <c r="L40" s="325"/>
    </row>
    <row r="41" spans="3:12" s="14" customFormat="1" ht="24">
      <c r="C41" s="256"/>
      <c r="L41" s="325"/>
    </row>
    <row r="42" spans="3:12" s="14" customFormat="1" ht="24">
      <c r="C42" s="256"/>
      <c r="L42" s="325"/>
    </row>
    <row r="43" spans="3:12" s="14" customFormat="1" ht="24">
      <c r="C43" s="256"/>
      <c r="L43" s="325"/>
    </row>
    <row r="44" spans="3:12" s="14" customFormat="1" ht="24">
      <c r="C44" s="256"/>
      <c r="L44" s="325"/>
    </row>
    <row r="45" spans="3:12" s="14" customFormat="1" ht="24">
      <c r="C45" s="256"/>
      <c r="L45" s="325"/>
    </row>
    <row r="46" spans="3:12" s="14" customFormat="1" ht="24">
      <c r="C46" s="256"/>
      <c r="L46" s="325"/>
    </row>
    <row r="47" spans="3:12" s="14" customFormat="1" ht="24">
      <c r="C47" s="256"/>
      <c r="L47" s="325"/>
    </row>
    <row r="48" spans="3:12" s="14" customFormat="1" ht="24">
      <c r="C48" s="256"/>
      <c r="L48" s="325"/>
    </row>
    <row r="49" spans="3:12" s="14" customFormat="1" ht="24">
      <c r="C49" s="256"/>
      <c r="L49" s="325"/>
    </row>
    <row r="50" spans="3:12" s="14" customFormat="1" ht="24">
      <c r="C50" s="256"/>
      <c r="L50" s="325"/>
    </row>
    <row r="51" spans="3:12" s="14" customFormat="1" ht="24">
      <c r="C51" s="256"/>
      <c r="L51" s="325"/>
    </row>
    <row r="52" spans="3:12" s="14" customFormat="1" ht="24">
      <c r="C52" s="256"/>
      <c r="L52" s="325"/>
    </row>
    <row r="53" spans="3:12" s="14" customFormat="1" ht="24">
      <c r="C53" s="256"/>
      <c r="L53" s="325"/>
    </row>
    <row r="54" spans="3:12" s="14" customFormat="1" ht="24">
      <c r="C54" s="256"/>
      <c r="L54" s="325"/>
    </row>
    <row r="55" spans="3:12" s="14" customFormat="1" ht="24">
      <c r="C55" s="256"/>
      <c r="L55" s="325"/>
    </row>
    <row r="56" spans="3:12" s="14" customFormat="1" ht="24">
      <c r="C56" s="256"/>
      <c r="L56" s="325"/>
    </row>
  </sheetData>
  <mergeCells count="18">
    <mergeCell ref="L5:L6"/>
    <mergeCell ref="A16:J16"/>
    <mergeCell ref="A2:L2"/>
    <mergeCell ref="A3:L3"/>
    <mergeCell ref="A4:L4"/>
    <mergeCell ref="I21:L21"/>
    <mergeCell ref="I19:L19"/>
    <mergeCell ref="I20:L20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4"/>
  <sheetViews>
    <sheetView workbookViewId="0">
      <selection activeCell="I16" sqref="I16"/>
    </sheetView>
  </sheetViews>
  <sheetFormatPr defaultRowHeight="21"/>
  <cols>
    <col min="1" max="1" width="5.5703125" style="40" customWidth="1"/>
    <col min="2" max="2" width="12.5703125" style="40" customWidth="1"/>
    <col min="3" max="3" width="26.42578125" style="40" customWidth="1"/>
    <col min="4" max="4" width="38.5703125" style="40" customWidth="1"/>
    <col min="5" max="5" width="8.140625" style="40" customWidth="1"/>
    <col min="6" max="6" width="8.7109375" style="40" customWidth="1"/>
    <col min="7" max="7" width="8.42578125" style="40" customWidth="1"/>
    <col min="8" max="9" width="8.5703125" style="40" customWidth="1"/>
    <col min="10" max="10" width="15.7109375" style="40" customWidth="1"/>
    <col min="11" max="11" width="15.42578125" style="40" customWidth="1"/>
    <col min="12" max="12" width="37.85546875" style="40" customWidth="1"/>
    <col min="13" max="16384" width="9.140625" style="40"/>
  </cols>
  <sheetData>
    <row r="1" spans="1:12" ht="24">
      <c r="L1" s="354" t="s">
        <v>1255</v>
      </c>
    </row>
    <row r="2" spans="1:12" ht="2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 ht="2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 ht="24">
      <c r="A4" s="441" t="s">
        <v>1254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 ht="2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ht="43.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 ht="24">
      <c r="A7" s="108">
        <v>1</v>
      </c>
      <c r="B7" s="44" t="s">
        <v>1173</v>
      </c>
      <c r="C7" s="288" t="s">
        <v>1092</v>
      </c>
      <c r="D7" s="289" t="s">
        <v>1093</v>
      </c>
      <c r="E7" s="35" t="s">
        <v>1034</v>
      </c>
      <c r="F7" s="35"/>
      <c r="G7" s="35" t="s">
        <v>1225</v>
      </c>
      <c r="H7" s="35">
        <v>1</v>
      </c>
      <c r="I7" s="290">
        <v>0</v>
      </c>
      <c r="J7" s="41">
        <v>25500</v>
      </c>
      <c r="K7" s="406">
        <f>SUM(I7*J7)</f>
        <v>0</v>
      </c>
      <c r="L7" s="112" t="s">
        <v>70</v>
      </c>
    </row>
    <row r="8" spans="1:12" ht="24.75" thickBot="1">
      <c r="A8" s="455" t="s">
        <v>381</v>
      </c>
      <c r="B8" s="456"/>
      <c r="C8" s="456"/>
      <c r="D8" s="456"/>
      <c r="E8" s="456"/>
      <c r="F8" s="456"/>
      <c r="G8" s="456"/>
      <c r="H8" s="456"/>
      <c r="I8" s="456"/>
      <c r="J8" s="457"/>
      <c r="K8" s="407">
        <f>SUM(I8*J8)</f>
        <v>0</v>
      </c>
      <c r="L8" s="401"/>
    </row>
    <row r="9" spans="1:12" ht="24.75" thickTop="1">
      <c r="A9" s="326"/>
      <c r="B9" s="326"/>
      <c r="C9" s="326"/>
      <c r="D9" s="326"/>
      <c r="E9" s="326"/>
      <c r="F9" s="400"/>
      <c r="G9" s="400"/>
      <c r="H9" s="400"/>
      <c r="I9" s="287"/>
      <c r="J9" s="276"/>
      <c r="K9" s="330"/>
      <c r="L9" s="274"/>
    </row>
    <row r="10" spans="1:12" ht="24">
      <c r="A10" s="59"/>
      <c r="B10" s="343" t="s">
        <v>4</v>
      </c>
      <c r="C10" s="253" t="s">
        <v>1222</v>
      </c>
      <c r="D10" s="59"/>
      <c r="E10" s="59"/>
      <c r="F10" s="59"/>
      <c r="G10" s="59"/>
      <c r="H10" s="59"/>
      <c r="I10" s="287"/>
      <c r="J10" s="59"/>
      <c r="K10" s="59"/>
      <c r="L10" s="59"/>
    </row>
    <row r="11" spans="1:12" ht="24">
      <c r="A11" s="59"/>
      <c r="B11" s="399"/>
      <c r="C11" s="253" t="s">
        <v>1223</v>
      </c>
      <c r="D11" s="59"/>
      <c r="E11" s="59"/>
      <c r="F11" s="59"/>
      <c r="G11" s="59"/>
      <c r="H11" s="59"/>
      <c r="I11" s="431" t="s">
        <v>161</v>
      </c>
      <c r="J11" s="431"/>
      <c r="K11" s="431"/>
      <c r="L11" s="431"/>
    </row>
    <row r="12" spans="1:12" ht="24">
      <c r="A12" s="59"/>
      <c r="B12" s="59"/>
      <c r="C12" s="59"/>
      <c r="D12" s="59"/>
      <c r="E12" s="59"/>
      <c r="F12" s="59"/>
      <c r="G12" s="59"/>
      <c r="H12" s="59"/>
      <c r="I12" s="431" t="s">
        <v>1259</v>
      </c>
      <c r="J12" s="431"/>
      <c r="K12" s="431"/>
      <c r="L12" s="431"/>
    </row>
    <row r="13" spans="1:12" ht="24">
      <c r="A13" s="59"/>
      <c r="B13" s="59"/>
      <c r="C13" s="59"/>
      <c r="D13" s="59"/>
      <c r="E13" s="59"/>
      <c r="F13" s="59"/>
      <c r="G13" s="59"/>
      <c r="H13" s="59"/>
      <c r="I13" s="431" t="s">
        <v>162</v>
      </c>
      <c r="J13" s="431"/>
      <c r="K13" s="431"/>
      <c r="L13" s="431"/>
    </row>
    <row r="14" spans="1:12" ht="2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mergeCells count="18">
    <mergeCell ref="A8:J8"/>
    <mergeCell ref="I11:L11"/>
    <mergeCell ref="I12:L12"/>
    <mergeCell ref="I13:L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7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6"/>
  <sheetViews>
    <sheetView workbookViewId="0">
      <selection activeCell="A9" sqref="A9:J9"/>
    </sheetView>
  </sheetViews>
  <sheetFormatPr defaultRowHeight="21"/>
  <cols>
    <col min="1" max="1" width="6.140625" style="40" customWidth="1"/>
    <col min="2" max="2" width="14.140625" style="40" customWidth="1"/>
    <col min="3" max="3" width="32.28515625" style="40" customWidth="1"/>
    <col min="4" max="4" width="32.140625" style="40" customWidth="1"/>
    <col min="5" max="5" width="8.28515625" style="40" customWidth="1"/>
    <col min="6" max="6" width="9" style="40" customWidth="1"/>
    <col min="7" max="9" width="8.7109375" style="40" customWidth="1"/>
    <col min="10" max="11" width="15" style="40" customWidth="1"/>
    <col min="12" max="12" width="36.42578125" style="40" customWidth="1"/>
    <col min="13" max="13" width="16.7109375" style="40" customWidth="1"/>
    <col min="14" max="16384" width="9.140625" style="40"/>
  </cols>
  <sheetData>
    <row r="1" spans="1:15" ht="24">
      <c r="L1" s="354" t="s">
        <v>1257</v>
      </c>
    </row>
    <row r="2" spans="1:15" ht="2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14"/>
      <c r="N2" s="14"/>
      <c r="O2" s="14"/>
    </row>
    <row r="3" spans="1:15" ht="2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14"/>
      <c r="N3" s="14"/>
      <c r="O3" s="14"/>
    </row>
    <row r="4" spans="1:15" ht="24">
      <c r="A4" s="441" t="s">
        <v>1256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14"/>
      <c r="N4" s="14"/>
      <c r="O4" s="14"/>
    </row>
    <row r="5" spans="1:15" ht="23.2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14"/>
      <c r="N5" s="14"/>
      <c r="O5" s="14"/>
    </row>
    <row r="6" spans="1:15" ht="45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8"/>
      <c r="N6" s="32"/>
      <c r="O6" s="32"/>
    </row>
    <row r="7" spans="1:15" ht="24">
      <c r="A7" s="229">
        <v>1</v>
      </c>
      <c r="B7" s="66" t="s">
        <v>1214</v>
      </c>
      <c r="C7" s="34" t="s">
        <v>1072</v>
      </c>
      <c r="D7" s="12" t="s">
        <v>1073</v>
      </c>
      <c r="E7" s="35" t="s">
        <v>56</v>
      </c>
      <c r="F7" s="35"/>
      <c r="G7" s="35" t="s">
        <v>1225</v>
      </c>
      <c r="H7" s="35">
        <v>1</v>
      </c>
      <c r="I7" s="36">
        <v>0</v>
      </c>
      <c r="J7" s="37">
        <v>27900</v>
      </c>
      <c r="K7" s="408">
        <f>SUM(I7*J7)</f>
        <v>0</v>
      </c>
      <c r="L7" s="229" t="s">
        <v>70</v>
      </c>
      <c r="M7" s="59"/>
      <c r="N7" s="39"/>
    </row>
    <row r="8" spans="1:15" ht="24">
      <c r="A8" s="229">
        <v>2</v>
      </c>
      <c r="B8" s="66" t="s">
        <v>1172</v>
      </c>
      <c r="C8" s="34" t="s">
        <v>1094</v>
      </c>
      <c r="D8" s="12" t="s">
        <v>1095</v>
      </c>
      <c r="E8" s="35" t="s">
        <v>56</v>
      </c>
      <c r="F8" s="35"/>
      <c r="G8" s="35" t="s">
        <v>1225</v>
      </c>
      <c r="H8" s="35">
        <v>1</v>
      </c>
      <c r="I8" s="36">
        <v>0</v>
      </c>
      <c r="J8" s="37">
        <v>17712</v>
      </c>
      <c r="K8" s="408">
        <f>SUM(I8*J8)</f>
        <v>0</v>
      </c>
      <c r="L8" s="229" t="s">
        <v>70</v>
      </c>
      <c r="M8" s="59"/>
      <c r="N8" s="39"/>
    </row>
    <row r="9" spans="1:15" ht="24.75" thickBot="1">
      <c r="A9" s="455" t="s">
        <v>1201</v>
      </c>
      <c r="B9" s="456"/>
      <c r="C9" s="456"/>
      <c r="D9" s="456"/>
      <c r="E9" s="456"/>
      <c r="F9" s="456"/>
      <c r="G9" s="456"/>
      <c r="H9" s="456"/>
      <c r="I9" s="456"/>
      <c r="J9" s="457"/>
      <c r="K9" s="409">
        <f>SUM(K7:K8)</f>
        <v>0</v>
      </c>
      <c r="L9" s="410"/>
      <c r="M9" s="59"/>
      <c r="N9" s="14"/>
      <c r="O9" s="14"/>
    </row>
    <row r="10" spans="1:15" ht="24.75" thickTop="1">
      <c r="A10" s="320"/>
      <c r="B10" s="320"/>
      <c r="C10" s="320"/>
      <c r="D10" s="320"/>
      <c r="E10" s="320"/>
      <c r="F10" s="399"/>
      <c r="G10" s="399"/>
      <c r="H10" s="399"/>
      <c r="I10" s="78"/>
      <c r="J10" s="78"/>
      <c r="K10" s="78"/>
      <c r="L10" s="59"/>
      <c r="M10" s="59"/>
      <c r="N10" s="14"/>
      <c r="O10" s="14"/>
    </row>
    <row r="11" spans="1:15" ht="24">
      <c r="A11" s="14"/>
      <c r="B11" s="343" t="s">
        <v>4</v>
      </c>
      <c r="C11" s="253" t="s">
        <v>1222</v>
      </c>
      <c r="D11" s="59"/>
      <c r="E11" s="59"/>
      <c r="F11" s="59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24">
      <c r="A12" s="14"/>
      <c r="B12" s="399"/>
      <c r="C12" s="253" t="s">
        <v>1223</v>
      </c>
      <c r="D12" s="59"/>
      <c r="E12" s="59"/>
      <c r="F12" s="59"/>
      <c r="G12" s="14"/>
      <c r="H12" s="14"/>
      <c r="I12" s="467" t="s">
        <v>161</v>
      </c>
      <c r="J12" s="467"/>
      <c r="K12" s="467"/>
      <c r="L12" s="467"/>
      <c r="M12" s="322"/>
      <c r="N12" s="14"/>
      <c r="O12" s="14"/>
    </row>
    <row r="13" spans="1:15" ht="24">
      <c r="A13" s="14"/>
      <c r="B13" s="14"/>
      <c r="C13" s="14"/>
      <c r="D13" s="14"/>
      <c r="E13" s="14"/>
      <c r="F13" s="14"/>
      <c r="G13" s="14"/>
      <c r="H13" s="14"/>
      <c r="I13" s="467" t="s">
        <v>1020</v>
      </c>
      <c r="J13" s="467"/>
      <c r="K13" s="467"/>
      <c r="L13" s="467"/>
      <c r="M13" s="322"/>
      <c r="N13" s="14"/>
      <c r="O13" s="14"/>
    </row>
    <row r="14" spans="1:15" ht="24">
      <c r="A14" s="14"/>
      <c r="B14" s="14"/>
      <c r="C14" s="14"/>
      <c r="D14" s="14"/>
      <c r="E14" s="14"/>
      <c r="F14" s="14"/>
      <c r="G14" s="14"/>
      <c r="H14" s="14"/>
      <c r="I14" s="467" t="s">
        <v>162</v>
      </c>
      <c r="J14" s="467"/>
      <c r="K14" s="467"/>
      <c r="L14" s="467"/>
      <c r="M14" s="322"/>
      <c r="N14" s="14"/>
      <c r="O14" s="14"/>
    </row>
    <row r="15" spans="1:15" ht="2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ht="2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</sheetData>
  <mergeCells count="18">
    <mergeCell ref="A2:L2"/>
    <mergeCell ref="A3:L3"/>
    <mergeCell ref="A4:L4"/>
    <mergeCell ref="I12:L12"/>
    <mergeCell ref="I13:L13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9:J9"/>
    <mergeCell ref="I14:L14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9"/>
  <sheetViews>
    <sheetView topLeftCell="A4" workbookViewId="0">
      <selection activeCell="P15" sqref="P15"/>
    </sheetView>
  </sheetViews>
  <sheetFormatPr defaultColWidth="9" defaultRowHeight="21"/>
  <cols>
    <col min="1" max="1" width="5.42578125" style="40" customWidth="1"/>
    <col min="2" max="2" width="12.85546875" style="40" customWidth="1"/>
    <col min="3" max="3" width="28.140625" style="40" customWidth="1"/>
    <col min="4" max="4" width="35.7109375" style="40" customWidth="1"/>
    <col min="5" max="5" width="7.85546875" style="40" customWidth="1"/>
    <col min="6" max="6" width="8.5703125" style="40" customWidth="1"/>
    <col min="7" max="8" width="7.85546875" style="40" customWidth="1"/>
    <col min="9" max="9" width="7.140625" style="40" customWidth="1"/>
    <col min="10" max="10" width="13.7109375" style="40" customWidth="1"/>
    <col min="11" max="11" width="15" style="40" customWidth="1"/>
    <col min="12" max="12" width="27.5703125" style="300" customWidth="1"/>
    <col min="13" max="13" width="14.42578125" style="40" customWidth="1"/>
    <col min="14" max="14" width="14.28515625" style="40" customWidth="1"/>
    <col min="15" max="15" width="2.5703125" style="40" hidden="1" customWidth="1"/>
    <col min="16" max="16384" width="9" style="40"/>
  </cols>
  <sheetData>
    <row r="1" spans="1:14" ht="23.25" customHeight="1">
      <c r="L1" s="354" t="s">
        <v>1258</v>
      </c>
    </row>
    <row r="2" spans="1:14" ht="2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282"/>
      <c r="N2" s="282"/>
    </row>
    <row r="3" spans="1:14" ht="2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84"/>
      <c r="N3" s="284"/>
    </row>
    <row r="4" spans="1:14" ht="24">
      <c r="A4" s="441" t="s">
        <v>1237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79"/>
      <c r="N4" s="279"/>
    </row>
    <row r="5" spans="1:14" ht="2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362"/>
      <c r="N5" s="362"/>
    </row>
    <row r="6" spans="1:14" ht="47.2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N6" s="283"/>
    </row>
    <row r="7" spans="1:14" ht="24">
      <c r="A7" s="108">
        <v>1</v>
      </c>
      <c r="B7" s="115"/>
      <c r="C7" s="34" t="s">
        <v>758</v>
      </c>
      <c r="D7" s="12" t="s">
        <v>759</v>
      </c>
      <c r="E7" s="35" t="s">
        <v>1100</v>
      </c>
      <c r="F7" s="35"/>
      <c r="G7" s="35" t="s">
        <v>1225</v>
      </c>
      <c r="H7" s="38">
        <v>1</v>
      </c>
      <c r="I7" s="38">
        <v>0</v>
      </c>
      <c r="J7" s="42">
        <v>69950</v>
      </c>
      <c r="K7" s="412">
        <f>SUM(I7*J7)</f>
        <v>0</v>
      </c>
      <c r="L7" s="120" t="s">
        <v>70</v>
      </c>
      <c r="M7" s="277"/>
      <c r="N7" s="277"/>
    </row>
    <row r="8" spans="1:14" ht="24">
      <c r="A8" s="239">
        <v>2</v>
      </c>
      <c r="B8" s="115"/>
      <c r="C8" s="34" t="s">
        <v>760</v>
      </c>
      <c r="D8" s="12" t="s">
        <v>759</v>
      </c>
      <c r="E8" s="35" t="s">
        <v>1100</v>
      </c>
      <c r="F8" s="35"/>
      <c r="G8" s="35" t="s">
        <v>1225</v>
      </c>
      <c r="H8" s="38">
        <v>1</v>
      </c>
      <c r="I8" s="38">
        <v>0</v>
      </c>
      <c r="J8" s="42">
        <v>86000</v>
      </c>
      <c r="K8" s="412">
        <f t="shared" ref="K8:K17" si="0">SUM(I8*J8)</f>
        <v>0</v>
      </c>
      <c r="L8" s="229" t="s">
        <v>70</v>
      </c>
      <c r="M8" s="59"/>
      <c r="N8" s="275"/>
    </row>
    <row r="9" spans="1:14" ht="24">
      <c r="A9" s="108">
        <v>3</v>
      </c>
      <c r="B9" s="44"/>
      <c r="C9" s="240" t="s">
        <v>767</v>
      </c>
      <c r="D9" s="12" t="s">
        <v>768</v>
      </c>
      <c r="E9" s="35" t="s">
        <v>55</v>
      </c>
      <c r="F9" s="35"/>
      <c r="G9" s="35" t="s">
        <v>1225</v>
      </c>
      <c r="H9" s="38">
        <v>2</v>
      </c>
      <c r="I9" s="38">
        <v>0</v>
      </c>
      <c r="J9" s="42">
        <v>294800</v>
      </c>
      <c r="K9" s="412">
        <f t="shared" si="0"/>
        <v>0</v>
      </c>
      <c r="L9" s="112" t="s">
        <v>70</v>
      </c>
      <c r="M9" s="265"/>
      <c r="N9" s="265"/>
    </row>
    <row r="10" spans="1:14" ht="24">
      <c r="A10" s="239">
        <v>4</v>
      </c>
      <c r="B10" s="44" t="s">
        <v>1158</v>
      </c>
      <c r="C10" s="240" t="s">
        <v>1080</v>
      </c>
      <c r="D10" s="12" t="s">
        <v>1081</v>
      </c>
      <c r="E10" s="35" t="s">
        <v>55</v>
      </c>
      <c r="F10" s="35"/>
      <c r="G10" s="35" t="s">
        <v>1225</v>
      </c>
      <c r="H10" s="38">
        <v>6</v>
      </c>
      <c r="I10" s="38">
        <v>0</v>
      </c>
      <c r="J10" s="42">
        <v>2395000</v>
      </c>
      <c r="K10" s="412">
        <f t="shared" si="0"/>
        <v>0</v>
      </c>
      <c r="L10" s="112" t="s">
        <v>70</v>
      </c>
      <c r="M10" s="265"/>
      <c r="N10" s="265"/>
    </row>
    <row r="11" spans="1:14" ht="24">
      <c r="A11" s="108">
        <v>5</v>
      </c>
      <c r="B11" s="44"/>
      <c r="C11" s="240" t="s">
        <v>1116</v>
      </c>
      <c r="D11" s="12" t="s">
        <v>1082</v>
      </c>
      <c r="E11" s="35" t="s">
        <v>56</v>
      </c>
      <c r="F11" s="35"/>
      <c r="G11" s="35" t="s">
        <v>1225</v>
      </c>
      <c r="H11" s="38">
        <v>1</v>
      </c>
      <c r="I11" s="38">
        <v>0</v>
      </c>
      <c r="J11" s="42">
        <v>3500</v>
      </c>
      <c r="K11" s="412">
        <f t="shared" si="0"/>
        <v>0</v>
      </c>
      <c r="L11" s="112" t="s">
        <v>70</v>
      </c>
      <c r="M11" s="265"/>
      <c r="N11" s="265"/>
    </row>
    <row r="12" spans="1:14" ht="24">
      <c r="A12" s="239">
        <v>6</v>
      </c>
      <c r="B12" s="44" t="s">
        <v>1069</v>
      </c>
      <c r="C12" s="240" t="s">
        <v>1065</v>
      </c>
      <c r="D12" s="53" t="s">
        <v>1114</v>
      </c>
      <c r="E12" s="35" t="s">
        <v>1100</v>
      </c>
      <c r="F12" s="35"/>
      <c r="G12" s="35" t="s">
        <v>1225</v>
      </c>
      <c r="H12" s="38">
        <v>6</v>
      </c>
      <c r="I12" s="38">
        <v>0</v>
      </c>
      <c r="J12" s="42">
        <v>38000</v>
      </c>
      <c r="K12" s="412">
        <f t="shared" si="0"/>
        <v>0</v>
      </c>
      <c r="L12" s="112" t="s">
        <v>70</v>
      </c>
      <c r="M12" s="265"/>
      <c r="N12" s="265"/>
    </row>
    <row r="13" spans="1:14" ht="24">
      <c r="A13" s="108">
        <v>7</v>
      </c>
      <c r="B13" s="44" t="s">
        <v>1069</v>
      </c>
      <c r="C13" s="240" t="s">
        <v>1067</v>
      </c>
      <c r="D13" s="53" t="s">
        <v>1062</v>
      </c>
      <c r="E13" s="35" t="s">
        <v>1100</v>
      </c>
      <c r="F13" s="35"/>
      <c r="G13" s="35" t="s">
        <v>1225</v>
      </c>
      <c r="H13" s="38">
        <v>2</v>
      </c>
      <c r="I13" s="38">
        <v>0</v>
      </c>
      <c r="J13" s="42">
        <v>31000</v>
      </c>
      <c r="K13" s="412">
        <f t="shared" si="0"/>
        <v>0</v>
      </c>
      <c r="L13" s="112" t="s">
        <v>70</v>
      </c>
      <c r="M13" s="265"/>
      <c r="N13" s="265"/>
    </row>
    <row r="14" spans="1:14" ht="24">
      <c r="A14" s="239">
        <v>8</v>
      </c>
      <c r="B14" s="44" t="s">
        <v>1069</v>
      </c>
      <c r="C14" s="240" t="s">
        <v>1066</v>
      </c>
      <c r="D14" s="53" t="s">
        <v>1063</v>
      </c>
      <c r="E14" s="35" t="s">
        <v>1100</v>
      </c>
      <c r="F14" s="35"/>
      <c r="G14" s="35" t="s">
        <v>1225</v>
      </c>
      <c r="H14" s="38">
        <v>1</v>
      </c>
      <c r="I14" s="38">
        <v>0</v>
      </c>
      <c r="J14" s="42">
        <v>35000</v>
      </c>
      <c r="K14" s="412">
        <f t="shared" si="0"/>
        <v>0</v>
      </c>
      <c r="L14" s="112" t="s">
        <v>70</v>
      </c>
      <c r="M14" s="265"/>
      <c r="N14" s="265"/>
    </row>
    <row r="15" spans="1:14" ht="24">
      <c r="A15" s="108">
        <v>9</v>
      </c>
      <c r="B15" s="44" t="s">
        <v>1069</v>
      </c>
      <c r="C15" s="240" t="s">
        <v>1068</v>
      </c>
      <c r="D15" s="53" t="s">
        <v>1064</v>
      </c>
      <c r="E15" s="35" t="s">
        <v>1100</v>
      </c>
      <c r="F15" s="35"/>
      <c r="G15" s="35" t="s">
        <v>1225</v>
      </c>
      <c r="H15" s="38">
        <v>1</v>
      </c>
      <c r="I15" s="38">
        <v>0</v>
      </c>
      <c r="J15" s="42">
        <v>25000</v>
      </c>
      <c r="K15" s="412">
        <f t="shared" si="0"/>
        <v>0</v>
      </c>
      <c r="L15" s="112" t="s">
        <v>70</v>
      </c>
      <c r="M15" s="265"/>
      <c r="N15" s="265"/>
    </row>
    <row r="16" spans="1:14" ht="24">
      <c r="A16" s="239">
        <v>10</v>
      </c>
      <c r="B16" s="44" t="s">
        <v>1086</v>
      </c>
      <c r="C16" s="240" t="s">
        <v>1115</v>
      </c>
      <c r="D16" s="53" t="s">
        <v>1087</v>
      </c>
      <c r="E16" s="35" t="s">
        <v>56</v>
      </c>
      <c r="F16" s="35"/>
      <c r="G16" s="35" t="s">
        <v>1225</v>
      </c>
      <c r="H16" s="38">
        <v>1</v>
      </c>
      <c r="I16" s="38">
        <v>0</v>
      </c>
      <c r="J16" s="42">
        <v>2900</v>
      </c>
      <c r="K16" s="412">
        <f t="shared" si="0"/>
        <v>0</v>
      </c>
      <c r="L16" s="112" t="s">
        <v>70</v>
      </c>
      <c r="M16" s="265"/>
      <c r="N16" s="265"/>
    </row>
    <row r="17" spans="1:14" ht="24">
      <c r="A17" s="108">
        <v>11</v>
      </c>
      <c r="B17" s="44" t="s">
        <v>1083</v>
      </c>
      <c r="C17" s="34" t="s">
        <v>1084</v>
      </c>
      <c r="D17" s="53" t="s">
        <v>1085</v>
      </c>
      <c r="E17" s="35" t="s">
        <v>56</v>
      </c>
      <c r="F17" s="35"/>
      <c r="G17" s="35" t="s">
        <v>1225</v>
      </c>
      <c r="H17" s="38">
        <v>1</v>
      </c>
      <c r="I17" s="38">
        <v>0</v>
      </c>
      <c r="J17" s="42">
        <v>12260</v>
      </c>
      <c r="K17" s="412">
        <f t="shared" si="0"/>
        <v>0</v>
      </c>
      <c r="L17" s="112" t="s">
        <v>70</v>
      </c>
      <c r="M17" s="265"/>
      <c r="N17" s="265"/>
    </row>
    <row r="18" spans="1:14" ht="24.75" thickBot="1">
      <c r="A18" s="455" t="s">
        <v>381</v>
      </c>
      <c r="B18" s="456"/>
      <c r="C18" s="456"/>
      <c r="D18" s="456"/>
      <c r="E18" s="456"/>
      <c r="F18" s="456"/>
      <c r="G18" s="456"/>
      <c r="H18" s="456"/>
      <c r="I18" s="456"/>
      <c r="J18" s="457"/>
      <c r="K18" s="413">
        <f>SUM(K7:K17)</f>
        <v>0</v>
      </c>
      <c r="L18" s="411"/>
      <c r="M18" s="279"/>
      <c r="N18" s="279"/>
    </row>
    <row r="19" spans="1:14" ht="24.75" thickTop="1">
      <c r="A19" s="281"/>
      <c r="B19" s="281"/>
      <c r="C19" s="281"/>
      <c r="D19" s="281"/>
      <c r="E19" s="281"/>
      <c r="F19" s="364"/>
      <c r="G19" s="364"/>
      <c r="H19" s="364"/>
      <c r="I19" s="287"/>
      <c r="J19" s="276"/>
      <c r="K19" s="276"/>
      <c r="L19" s="279"/>
      <c r="M19" s="279"/>
      <c r="N19" s="279"/>
    </row>
    <row r="20" spans="1:14" ht="24">
      <c r="A20" s="281"/>
      <c r="B20" s="343" t="s">
        <v>4</v>
      </c>
      <c r="C20" s="253" t="s">
        <v>1222</v>
      </c>
      <c r="D20" s="59"/>
      <c r="E20" s="281"/>
      <c r="F20" s="364"/>
      <c r="G20" s="364"/>
      <c r="H20" s="364"/>
      <c r="I20" s="287"/>
      <c r="J20" s="276"/>
      <c r="K20" s="276"/>
      <c r="L20" s="279"/>
      <c r="M20" s="279"/>
      <c r="N20" s="279"/>
    </row>
    <row r="21" spans="1:14" ht="23.25" customHeight="1">
      <c r="A21" s="59"/>
      <c r="B21" s="362"/>
      <c r="C21" s="253" t="s">
        <v>1223</v>
      </c>
      <c r="D21" s="59"/>
      <c r="E21" s="59"/>
      <c r="F21" s="59"/>
      <c r="G21" s="59"/>
      <c r="H21" s="59"/>
      <c r="I21" s="431" t="s">
        <v>161</v>
      </c>
      <c r="J21" s="431"/>
      <c r="K21" s="431"/>
      <c r="L21" s="431"/>
      <c r="M21" s="279"/>
      <c r="N21" s="279"/>
    </row>
    <row r="22" spans="1:14" ht="19.5" customHeight="1">
      <c r="A22" s="59"/>
      <c r="B22" s="59"/>
      <c r="C22" s="59"/>
      <c r="D22" s="59"/>
      <c r="E22" s="59"/>
      <c r="F22" s="59"/>
      <c r="G22" s="59"/>
      <c r="H22" s="59"/>
      <c r="I22" s="431" t="s">
        <v>1057</v>
      </c>
      <c r="J22" s="431"/>
      <c r="K22" s="431"/>
      <c r="L22" s="431"/>
      <c r="M22" s="279"/>
      <c r="N22" s="279"/>
    </row>
    <row r="23" spans="1:14" ht="18.75" customHeight="1">
      <c r="A23" s="59"/>
      <c r="B23" s="59"/>
      <c r="C23" s="59"/>
      <c r="D23" s="59"/>
      <c r="E23" s="59"/>
      <c r="F23" s="59"/>
      <c r="G23" s="59"/>
      <c r="H23" s="59"/>
      <c r="I23" s="431" t="s">
        <v>162</v>
      </c>
      <c r="J23" s="431"/>
      <c r="K23" s="431"/>
      <c r="L23" s="431"/>
      <c r="M23" s="279"/>
      <c r="N23" s="279"/>
    </row>
    <row r="24" spans="1:14" ht="18.75" customHeight="1">
      <c r="A24" s="59"/>
      <c r="B24" s="59"/>
      <c r="C24" s="59"/>
      <c r="D24" s="59"/>
      <c r="E24" s="59"/>
      <c r="F24" s="59"/>
      <c r="G24" s="59"/>
      <c r="H24" s="59"/>
      <c r="I24" s="279"/>
      <c r="J24" s="279"/>
      <c r="K24" s="279"/>
      <c r="L24" s="279"/>
      <c r="M24" s="279"/>
      <c r="N24" s="279"/>
    </row>
    <row r="25" spans="1:14" s="14" customFormat="1" ht="24">
      <c r="L25" s="282"/>
    </row>
    <row r="26" spans="1:14" s="14" customFormat="1" ht="24">
      <c r="L26" s="282"/>
    </row>
    <row r="27" spans="1:14" s="14" customFormat="1" ht="24">
      <c r="L27" s="282"/>
    </row>
    <row r="28" spans="1:14" s="14" customFormat="1" ht="24">
      <c r="L28" s="282"/>
    </row>
    <row r="29" spans="1:14" s="14" customFormat="1" ht="24">
      <c r="L29" s="282"/>
    </row>
  </sheetData>
  <mergeCells count="18">
    <mergeCell ref="A18:J18"/>
    <mergeCell ref="I23:L23"/>
    <mergeCell ref="I21:L21"/>
    <mergeCell ref="I22:L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" header="0" footer="0"/>
  <pageSetup paperSize="9" scale="80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9"/>
  <sheetViews>
    <sheetView zoomScaleNormal="100" workbookViewId="0">
      <selection activeCell="F29" sqref="F29"/>
    </sheetView>
  </sheetViews>
  <sheetFormatPr defaultColWidth="9" defaultRowHeight="24"/>
  <cols>
    <col min="1" max="1" width="5.5703125" style="14" customWidth="1"/>
    <col min="2" max="2" width="12.140625" style="14" customWidth="1"/>
    <col min="3" max="3" width="30.5703125" style="14" customWidth="1"/>
    <col min="4" max="4" width="43.28515625" style="14" customWidth="1"/>
    <col min="5" max="5" width="8" style="14" customWidth="1"/>
    <col min="6" max="6" width="8.85546875" style="14" customWidth="1"/>
    <col min="7" max="7" width="9.140625" style="14" customWidth="1"/>
    <col min="8" max="9" width="8.85546875" style="14" customWidth="1"/>
    <col min="10" max="10" width="11.7109375" style="14" customWidth="1"/>
    <col min="11" max="11" width="13.28515625" style="14" customWidth="1"/>
    <col min="12" max="12" width="34.140625" style="189" customWidth="1"/>
    <col min="13" max="13" width="18.5703125" style="14" customWidth="1"/>
    <col min="14" max="14" width="12.140625" style="14" customWidth="1"/>
    <col min="15" max="16384" width="9" style="14"/>
  </cols>
  <sheetData>
    <row r="1" spans="1:14">
      <c r="L1" s="354" t="s">
        <v>1260</v>
      </c>
    </row>
    <row r="2" spans="1:1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4">
      <c r="A4" s="441" t="s">
        <v>1263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4" s="223" customFormat="1" ht="4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191"/>
      <c r="N6" s="191"/>
    </row>
    <row r="7" spans="1:14" s="200" customFormat="1" ht="24" customHeight="1">
      <c r="A7" s="126">
        <v>1</v>
      </c>
      <c r="B7" s="195"/>
      <c r="C7" s="196" t="s">
        <v>72</v>
      </c>
      <c r="D7" s="196" t="s">
        <v>89</v>
      </c>
      <c r="E7" s="140" t="s">
        <v>55</v>
      </c>
      <c r="F7" s="197"/>
      <c r="G7" s="197" t="s">
        <v>1225</v>
      </c>
      <c r="H7" s="197">
        <v>2</v>
      </c>
      <c r="I7" s="197">
        <v>1</v>
      </c>
      <c r="J7" s="198">
        <v>2200</v>
      </c>
      <c r="K7" s="198">
        <f>SUM(I7*J7)</f>
        <v>2200</v>
      </c>
      <c r="L7" s="414" t="s">
        <v>1121</v>
      </c>
      <c r="M7" s="199"/>
      <c r="N7" s="199"/>
    </row>
    <row r="8" spans="1:14" s="40" customFormat="1">
      <c r="A8" s="190">
        <v>2</v>
      </c>
      <c r="B8" s="33"/>
      <c r="C8" s="96" t="s">
        <v>73</v>
      </c>
      <c r="D8" s="96" t="s">
        <v>90</v>
      </c>
      <c r="E8" s="35" t="s">
        <v>55</v>
      </c>
      <c r="F8" s="36"/>
      <c r="G8" s="197" t="s">
        <v>1225</v>
      </c>
      <c r="H8" s="36">
        <v>1</v>
      </c>
      <c r="I8" s="36">
        <v>1</v>
      </c>
      <c r="J8" s="97">
        <v>2250</v>
      </c>
      <c r="K8" s="198">
        <f t="shared" ref="K8:K22" si="0">SUM(I8*J8)</f>
        <v>2250</v>
      </c>
      <c r="L8" s="190"/>
      <c r="M8" s="59"/>
      <c r="N8" s="59"/>
    </row>
    <row r="9" spans="1:14" s="40" customFormat="1">
      <c r="A9" s="126">
        <v>3</v>
      </c>
      <c r="B9" s="33"/>
      <c r="C9" s="96" t="s">
        <v>74</v>
      </c>
      <c r="D9" s="96" t="s">
        <v>89</v>
      </c>
      <c r="E9" s="35" t="s">
        <v>56</v>
      </c>
      <c r="F9" s="36"/>
      <c r="G9" s="197" t="s">
        <v>1225</v>
      </c>
      <c r="H9" s="36">
        <v>1</v>
      </c>
      <c r="I9" s="36">
        <v>1</v>
      </c>
      <c r="J9" s="97">
        <v>2600</v>
      </c>
      <c r="K9" s="198">
        <f t="shared" si="0"/>
        <v>2600</v>
      </c>
      <c r="L9" s="190"/>
      <c r="M9" s="59"/>
      <c r="N9" s="59"/>
    </row>
    <row r="10" spans="1:14" s="40" customFormat="1">
      <c r="A10" s="229">
        <v>4</v>
      </c>
      <c r="B10" s="33"/>
      <c r="C10" s="51" t="s">
        <v>75</v>
      </c>
      <c r="D10" s="52" t="s">
        <v>91</v>
      </c>
      <c r="E10" s="35" t="s">
        <v>56</v>
      </c>
      <c r="F10" s="36"/>
      <c r="G10" s="197" t="s">
        <v>1225</v>
      </c>
      <c r="H10" s="36">
        <v>1</v>
      </c>
      <c r="I10" s="36">
        <v>1</v>
      </c>
      <c r="J10" s="97">
        <v>24000</v>
      </c>
      <c r="K10" s="198">
        <f t="shared" si="0"/>
        <v>24000</v>
      </c>
      <c r="L10" s="190"/>
      <c r="M10" s="59"/>
      <c r="N10" s="59"/>
    </row>
    <row r="11" spans="1:14" s="40" customFormat="1">
      <c r="A11" s="126">
        <v>5</v>
      </c>
      <c r="B11" s="33"/>
      <c r="C11" s="201" t="s">
        <v>76</v>
      </c>
      <c r="D11" s="201" t="s">
        <v>92</v>
      </c>
      <c r="E11" s="35" t="s">
        <v>56</v>
      </c>
      <c r="F11" s="36"/>
      <c r="G11" s="197" t="s">
        <v>1225</v>
      </c>
      <c r="H11" s="36">
        <v>1</v>
      </c>
      <c r="I11" s="204">
        <v>1</v>
      </c>
      <c r="J11" s="202">
        <v>7000</v>
      </c>
      <c r="K11" s="198">
        <f t="shared" si="0"/>
        <v>7000</v>
      </c>
      <c r="L11" s="190"/>
      <c r="M11" s="59"/>
      <c r="N11" s="59"/>
    </row>
    <row r="12" spans="1:14" s="40" customFormat="1">
      <c r="A12" s="229">
        <v>6</v>
      </c>
      <c r="B12" s="33"/>
      <c r="C12" s="51" t="s">
        <v>77</v>
      </c>
      <c r="D12" s="52" t="s">
        <v>91</v>
      </c>
      <c r="E12" s="35" t="s">
        <v>56</v>
      </c>
      <c r="F12" s="36"/>
      <c r="G12" s="197" t="s">
        <v>1225</v>
      </c>
      <c r="H12" s="36">
        <v>1</v>
      </c>
      <c r="I12" s="36">
        <v>1</v>
      </c>
      <c r="J12" s="97">
        <v>17300</v>
      </c>
      <c r="K12" s="198">
        <f t="shared" si="0"/>
        <v>17300</v>
      </c>
      <c r="L12" s="190"/>
      <c r="M12" s="59"/>
      <c r="N12" s="59"/>
    </row>
    <row r="13" spans="1:14" s="40" customFormat="1">
      <c r="A13" s="126">
        <v>7</v>
      </c>
      <c r="B13" s="33"/>
      <c r="C13" s="51" t="s">
        <v>78</v>
      </c>
      <c r="D13" s="52" t="s">
        <v>93</v>
      </c>
      <c r="E13" s="35" t="s">
        <v>56</v>
      </c>
      <c r="F13" s="36"/>
      <c r="G13" s="197" t="s">
        <v>1225</v>
      </c>
      <c r="H13" s="36">
        <v>1</v>
      </c>
      <c r="I13" s="36">
        <v>1</v>
      </c>
      <c r="J13" s="97">
        <v>1700</v>
      </c>
      <c r="K13" s="198">
        <f t="shared" si="0"/>
        <v>1700</v>
      </c>
      <c r="L13" s="190"/>
      <c r="M13" s="59"/>
      <c r="N13" s="59"/>
    </row>
    <row r="14" spans="1:14" s="40" customFormat="1">
      <c r="A14" s="229">
        <v>8</v>
      </c>
      <c r="B14" s="33"/>
      <c r="C14" s="51" t="s">
        <v>79</v>
      </c>
      <c r="D14" s="52" t="s">
        <v>1139</v>
      </c>
      <c r="E14" s="68" t="s">
        <v>56</v>
      </c>
      <c r="F14" s="36"/>
      <c r="G14" s="197" t="s">
        <v>1225</v>
      </c>
      <c r="H14" s="36">
        <v>1</v>
      </c>
      <c r="I14" s="36">
        <v>1</v>
      </c>
      <c r="J14" s="97">
        <v>9800</v>
      </c>
      <c r="K14" s="198">
        <f t="shared" si="0"/>
        <v>9800</v>
      </c>
      <c r="L14" s="190"/>
      <c r="M14" s="59"/>
      <c r="N14" s="59"/>
    </row>
    <row r="15" spans="1:14" s="40" customFormat="1">
      <c r="A15" s="126">
        <v>9</v>
      </c>
      <c r="B15" s="33"/>
      <c r="C15" s="51" t="s">
        <v>80</v>
      </c>
      <c r="D15" s="52" t="s">
        <v>94</v>
      </c>
      <c r="E15" s="190" t="s">
        <v>56</v>
      </c>
      <c r="F15" s="36"/>
      <c r="G15" s="197" t="s">
        <v>1225</v>
      </c>
      <c r="H15" s="36">
        <v>1</v>
      </c>
      <c r="I15" s="36">
        <v>1</v>
      </c>
      <c r="J15" s="97">
        <v>22000</v>
      </c>
      <c r="K15" s="198">
        <f t="shared" si="0"/>
        <v>22000</v>
      </c>
      <c r="L15" s="190"/>
      <c r="M15" s="59"/>
      <c r="N15" s="59"/>
    </row>
    <row r="16" spans="1:14" s="200" customFormat="1">
      <c r="A16" s="229">
        <v>10</v>
      </c>
      <c r="B16" s="195"/>
      <c r="C16" s="206" t="s">
        <v>81</v>
      </c>
      <c r="D16" s="207" t="s">
        <v>1140</v>
      </c>
      <c r="E16" s="126" t="s">
        <v>56</v>
      </c>
      <c r="F16" s="197"/>
      <c r="G16" s="197" t="s">
        <v>1225</v>
      </c>
      <c r="H16" s="197">
        <v>2</v>
      </c>
      <c r="I16" s="197">
        <v>1</v>
      </c>
      <c r="J16" s="208">
        <v>7000</v>
      </c>
      <c r="K16" s="198">
        <f t="shared" si="0"/>
        <v>7000</v>
      </c>
      <c r="L16" s="414" t="s">
        <v>1121</v>
      </c>
      <c r="M16" s="199"/>
      <c r="N16" s="199"/>
    </row>
    <row r="17" spans="1:14" s="40" customFormat="1">
      <c r="A17" s="126">
        <v>11</v>
      </c>
      <c r="B17" s="91"/>
      <c r="C17" s="51" t="s">
        <v>82</v>
      </c>
      <c r="D17" s="5" t="s">
        <v>1031</v>
      </c>
      <c r="E17" s="190" t="s">
        <v>56</v>
      </c>
      <c r="F17" s="36"/>
      <c r="G17" s="197" t="s">
        <v>1225</v>
      </c>
      <c r="H17" s="36">
        <v>1</v>
      </c>
      <c r="I17" s="36">
        <v>1</v>
      </c>
      <c r="J17" s="97">
        <v>93400</v>
      </c>
      <c r="K17" s="198">
        <f t="shared" si="0"/>
        <v>93400</v>
      </c>
      <c r="L17" s="190"/>
      <c r="M17" s="59"/>
      <c r="N17" s="59"/>
    </row>
    <row r="18" spans="1:14" s="214" customFormat="1" ht="24" customHeight="1">
      <c r="A18" s="229">
        <v>12</v>
      </c>
      <c r="B18" s="209"/>
      <c r="C18" s="210" t="s">
        <v>83</v>
      </c>
      <c r="D18" s="211" t="s">
        <v>95</v>
      </c>
      <c r="E18" s="212" t="s">
        <v>55</v>
      </c>
      <c r="F18" s="197"/>
      <c r="G18" s="197" t="s">
        <v>1225</v>
      </c>
      <c r="H18" s="197">
        <v>3</v>
      </c>
      <c r="I18" s="197">
        <v>1</v>
      </c>
      <c r="J18" s="198">
        <v>3200</v>
      </c>
      <c r="K18" s="198">
        <f t="shared" si="0"/>
        <v>3200</v>
      </c>
      <c r="L18" s="415" t="s">
        <v>1121</v>
      </c>
      <c r="M18" s="213"/>
      <c r="N18" s="213"/>
    </row>
    <row r="19" spans="1:14" s="40" customFormat="1">
      <c r="A19" s="126">
        <v>13</v>
      </c>
      <c r="B19" s="91"/>
      <c r="C19" s="51" t="s">
        <v>84</v>
      </c>
      <c r="D19" s="52" t="s">
        <v>96</v>
      </c>
      <c r="E19" s="190" t="s">
        <v>55</v>
      </c>
      <c r="F19" s="36"/>
      <c r="G19" s="197" t="s">
        <v>1225</v>
      </c>
      <c r="H19" s="36">
        <v>1</v>
      </c>
      <c r="I19" s="36">
        <v>1</v>
      </c>
      <c r="J19" s="97">
        <v>900</v>
      </c>
      <c r="K19" s="198">
        <f t="shared" si="0"/>
        <v>900</v>
      </c>
      <c r="L19" s="190"/>
      <c r="M19" s="59"/>
      <c r="N19" s="59"/>
    </row>
    <row r="20" spans="1:14" s="40" customFormat="1">
      <c r="A20" s="229">
        <v>14</v>
      </c>
      <c r="B20" s="91"/>
      <c r="C20" s="51" t="s">
        <v>85</v>
      </c>
      <c r="D20" s="52" t="s">
        <v>97</v>
      </c>
      <c r="E20" s="190" t="s">
        <v>55</v>
      </c>
      <c r="F20" s="36"/>
      <c r="G20" s="197" t="s">
        <v>1225</v>
      </c>
      <c r="H20" s="36">
        <v>1</v>
      </c>
      <c r="I20" s="36">
        <v>1</v>
      </c>
      <c r="J20" s="97">
        <v>1100</v>
      </c>
      <c r="K20" s="198">
        <f t="shared" si="0"/>
        <v>1100</v>
      </c>
      <c r="L20" s="190"/>
      <c r="M20" s="59"/>
      <c r="N20" s="59"/>
    </row>
    <row r="21" spans="1:14" s="40" customFormat="1">
      <c r="A21" s="126">
        <v>15</v>
      </c>
      <c r="B21" s="91"/>
      <c r="C21" s="34" t="s">
        <v>86</v>
      </c>
      <c r="D21" s="12" t="s">
        <v>66</v>
      </c>
      <c r="E21" s="190" t="s">
        <v>55</v>
      </c>
      <c r="F21" s="36"/>
      <c r="G21" s="197" t="s">
        <v>1225</v>
      </c>
      <c r="H21" s="36">
        <v>1</v>
      </c>
      <c r="I21" s="36">
        <v>1</v>
      </c>
      <c r="J21" s="42">
        <v>5350</v>
      </c>
      <c r="K21" s="198">
        <f t="shared" si="0"/>
        <v>5350</v>
      </c>
      <c r="L21" s="190"/>
      <c r="M21" s="59"/>
      <c r="N21" s="59"/>
    </row>
    <row r="22" spans="1:14" s="40" customFormat="1">
      <c r="A22" s="229">
        <v>16</v>
      </c>
      <c r="B22" s="91"/>
      <c r="C22" s="51" t="s">
        <v>87</v>
      </c>
      <c r="D22" s="51" t="s">
        <v>67</v>
      </c>
      <c r="E22" s="190" t="s">
        <v>55</v>
      </c>
      <c r="F22" s="36"/>
      <c r="G22" s="197" t="s">
        <v>1225</v>
      </c>
      <c r="H22" s="36">
        <v>1</v>
      </c>
      <c r="I22" s="36">
        <v>1</v>
      </c>
      <c r="J22" s="41">
        <v>2590</v>
      </c>
      <c r="K22" s="198">
        <f t="shared" si="0"/>
        <v>2590</v>
      </c>
      <c r="L22" s="190"/>
      <c r="M22" s="59"/>
      <c r="N22" s="59"/>
    </row>
    <row r="23" spans="1:14" ht="24.75" thickBot="1">
      <c r="A23" s="455" t="s">
        <v>1201</v>
      </c>
      <c r="B23" s="456"/>
      <c r="C23" s="456"/>
      <c r="D23" s="456"/>
      <c r="E23" s="456"/>
      <c r="F23" s="456"/>
      <c r="G23" s="456"/>
      <c r="H23" s="456"/>
      <c r="I23" s="456"/>
      <c r="J23" s="457"/>
      <c r="K23" s="416">
        <f>SUM(K7:K22)</f>
        <v>202390</v>
      </c>
      <c r="L23" s="387"/>
      <c r="M23" s="59"/>
      <c r="N23" s="59"/>
    </row>
    <row r="24" spans="1:14" ht="24.75" thickTop="1">
      <c r="A24" s="192"/>
      <c r="B24" s="192"/>
      <c r="C24" s="192"/>
      <c r="D24" s="192"/>
      <c r="E24" s="192"/>
      <c r="F24" s="217"/>
      <c r="G24" s="217"/>
      <c r="H24" s="217"/>
      <c r="I24" s="217"/>
      <c r="J24" s="77"/>
      <c r="K24" s="77"/>
      <c r="L24" s="192"/>
      <c r="M24" s="59"/>
      <c r="N24" s="59"/>
    </row>
    <row r="25" spans="1:14" ht="25.5" customHeight="1">
      <c r="B25" s="343" t="s">
        <v>4</v>
      </c>
      <c r="C25" s="253" t="s">
        <v>1222</v>
      </c>
      <c r="D25" s="59"/>
      <c r="E25" s="404"/>
      <c r="F25" s="404"/>
      <c r="G25" s="274"/>
      <c r="H25" s="274"/>
      <c r="I25" s="431" t="s">
        <v>1262</v>
      </c>
      <c r="J25" s="431"/>
      <c r="K25" s="431"/>
      <c r="L25" s="274"/>
      <c r="M25" s="192"/>
      <c r="N25" s="192"/>
    </row>
    <row r="26" spans="1:14" ht="23.25" customHeight="1">
      <c r="B26" s="403"/>
      <c r="C26" s="253" t="s">
        <v>1223</v>
      </c>
      <c r="D26" s="59"/>
      <c r="E26" s="59"/>
      <c r="F26" s="59"/>
      <c r="H26" s="274"/>
      <c r="I26" s="431" t="s">
        <v>1261</v>
      </c>
      <c r="J26" s="431"/>
      <c r="K26" s="431"/>
      <c r="L26" s="274"/>
      <c r="M26" s="192"/>
      <c r="N26" s="192"/>
    </row>
    <row r="27" spans="1:14">
      <c r="F27" s="274"/>
      <c r="G27" s="274"/>
      <c r="H27" s="274"/>
      <c r="I27" s="431" t="s">
        <v>162</v>
      </c>
      <c r="J27" s="431"/>
      <c r="K27" s="431"/>
      <c r="L27" s="274"/>
      <c r="M27" s="192"/>
      <c r="N27" s="192"/>
    </row>
    <row r="28" spans="1:14">
      <c r="F28" s="192"/>
      <c r="G28" s="403"/>
      <c r="H28" s="403"/>
      <c r="I28" s="403"/>
      <c r="J28" s="192"/>
      <c r="K28" s="192"/>
      <c r="L28" s="192"/>
      <c r="M28" s="192"/>
      <c r="N28" s="192"/>
    </row>
    <row r="29" spans="1:14">
      <c r="F29" s="192"/>
      <c r="G29" s="403"/>
      <c r="H29" s="403"/>
      <c r="I29" s="403"/>
      <c r="J29" s="192"/>
      <c r="K29" s="192"/>
      <c r="L29" s="192"/>
      <c r="M29" s="192"/>
      <c r="N29" s="192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3:J23"/>
    <mergeCell ref="I26:K26"/>
    <mergeCell ref="I27:K27"/>
    <mergeCell ref="I25:K25"/>
  </mergeCells>
  <printOptions horizontalCentered="1"/>
  <pageMargins left="0.19685039370078741" right="0" top="0.59055118110236227" bottom="0.19685039370078741" header="0" footer="0"/>
  <pageSetup paperSize="9" scale="75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9"/>
  <sheetViews>
    <sheetView zoomScaleNormal="100" workbookViewId="0">
      <selection activeCell="N7" sqref="N7"/>
    </sheetView>
  </sheetViews>
  <sheetFormatPr defaultColWidth="9" defaultRowHeight="24"/>
  <cols>
    <col min="1" max="1" width="5.42578125" style="14" customWidth="1"/>
    <col min="2" max="2" width="13.85546875" style="14" customWidth="1"/>
    <col min="3" max="3" width="30.5703125" style="14" customWidth="1"/>
    <col min="4" max="4" width="37" style="14" customWidth="1"/>
    <col min="5" max="5" width="8.42578125" style="14" customWidth="1"/>
    <col min="6" max="6" width="8.85546875" style="14" customWidth="1"/>
    <col min="7" max="9" width="9.28515625" style="14" customWidth="1"/>
    <col min="10" max="10" width="12.85546875" style="14" customWidth="1"/>
    <col min="11" max="11" width="15.28515625" style="14" customWidth="1"/>
    <col min="12" max="12" width="34.5703125" style="189" customWidth="1"/>
    <col min="13" max="16384" width="9" style="14"/>
  </cols>
  <sheetData>
    <row r="1" spans="1:12">
      <c r="L1" s="354" t="s">
        <v>1265</v>
      </c>
    </row>
    <row r="2" spans="1:12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>
      <c r="A4" s="441" t="s">
        <v>1264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s="223" customFormat="1" ht="43.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>
      <c r="A7" s="190">
        <v>1</v>
      </c>
      <c r="B7" s="33"/>
      <c r="C7" s="106" t="s">
        <v>145</v>
      </c>
      <c r="D7" s="106" t="s">
        <v>152</v>
      </c>
      <c r="E7" s="35" t="s">
        <v>1100</v>
      </c>
      <c r="F7" s="35"/>
      <c r="G7" s="35" t="s">
        <v>1225</v>
      </c>
      <c r="H7" s="36">
        <v>1</v>
      </c>
      <c r="I7" s="36">
        <v>1</v>
      </c>
      <c r="J7" s="218">
        <v>29000</v>
      </c>
      <c r="K7" s="218">
        <f t="shared" ref="K7:K14" si="0">SUM(I7*J7)</f>
        <v>29000</v>
      </c>
      <c r="L7" s="190"/>
    </row>
    <row r="8" spans="1:12">
      <c r="A8" s="190">
        <v>2</v>
      </c>
      <c r="B8" s="33"/>
      <c r="C8" s="34" t="s">
        <v>146</v>
      </c>
      <c r="D8" s="12" t="s">
        <v>153</v>
      </c>
      <c r="E8" s="35" t="s">
        <v>56</v>
      </c>
      <c r="F8" s="35"/>
      <c r="G8" s="35" t="s">
        <v>1225</v>
      </c>
      <c r="H8" s="36">
        <v>1</v>
      </c>
      <c r="I8" s="36">
        <v>1</v>
      </c>
      <c r="J8" s="219">
        <v>26000</v>
      </c>
      <c r="K8" s="218">
        <f t="shared" si="0"/>
        <v>26000</v>
      </c>
      <c r="L8" s="190"/>
    </row>
    <row r="9" spans="1:12">
      <c r="A9" s="229">
        <v>3</v>
      </c>
      <c r="B9" s="33"/>
      <c r="C9" s="34" t="s">
        <v>147</v>
      </c>
      <c r="D9" s="12" t="s">
        <v>154</v>
      </c>
      <c r="E9" s="35" t="s">
        <v>55</v>
      </c>
      <c r="F9" s="35"/>
      <c r="G9" s="35" t="s">
        <v>1225</v>
      </c>
      <c r="H9" s="36">
        <v>1</v>
      </c>
      <c r="I9" s="36">
        <v>1</v>
      </c>
      <c r="J9" s="219">
        <v>800</v>
      </c>
      <c r="K9" s="218">
        <f t="shared" si="0"/>
        <v>800</v>
      </c>
      <c r="L9" s="190"/>
    </row>
    <row r="10" spans="1:12">
      <c r="A10" s="229">
        <v>4</v>
      </c>
      <c r="B10" s="33"/>
      <c r="C10" s="34" t="s">
        <v>148</v>
      </c>
      <c r="D10" s="12" t="s">
        <v>1141</v>
      </c>
      <c r="E10" s="35" t="s">
        <v>1100</v>
      </c>
      <c r="F10" s="35"/>
      <c r="G10" s="35" t="s">
        <v>1225</v>
      </c>
      <c r="H10" s="36">
        <v>1</v>
      </c>
      <c r="I10" s="36">
        <v>1</v>
      </c>
      <c r="J10" s="219">
        <v>11000</v>
      </c>
      <c r="K10" s="218">
        <f t="shared" si="0"/>
        <v>11000</v>
      </c>
      <c r="L10" s="190"/>
    </row>
    <row r="11" spans="1:12">
      <c r="A11" s="229">
        <v>5</v>
      </c>
      <c r="B11" s="33"/>
      <c r="C11" s="51" t="s">
        <v>149</v>
      </c>
      <c r="D11" s="51" t="s">
        <v>67</v>
      </c>
      <c r="E11" s="35" t="s">
        <v>55</v>
      </c>
      <c r="F11" s="35"/>
      <c r="G11" s="35" t="s">
        <v>1225</v>
      </c>
      <c r="H11" s="36">
        <v>1</v>
      </c>
      <c r="I11" s="36">
        <v>1</v>
      </c>
      <c r="J11" s="41">
        <v>2590</v>
      </c>
      <c r="K11" s="218">
        <f t="shared" si="0"/>
        <v>2590</v>
      </c>
      <c r="L11" s="190"/>
    </row>
    <row r="12" spans="1:12">
      <c r="A12" s="229">
        <v>6</v>
      </c>
      <c r="B12" s="33"/>
      <c r="C12" s="34" t="s">
        <v>150</v>
      </c>
      <c r="D12" s="12" t="s">
        <v>157</v>
      </c>
      <c r="E12" s="35" t="s">
        <v>55</v>
      </c>
      <c r="F12" s="35"/>
      <c r="G12" s="35" t="s">
        <v>1225</v>
      </c>
      <c r="H12" s="36">
        <v>1</v>
      </c>
      <c r="I12" s="36">
        <v>1</v>
      </c>
      <c r="J12" s="42">
        <v>4750</v>
      </c>
      <c r="K12" s="218">
        <f t="shared" si="0"/>
        <v>4750</v>
      </c>
      <c r="L12" s="190"/>
    </row>
    <row r="13" spans="1:12">
      <c r="A13" s="229">
        <v>7</v>
      </c>
      <c r="B13" s="107" t="s">
        <v>1039</v>
      </c>
      <c r="C13" s="51" t="s">
        <v>151</v>
      </c>
      <c r="D13" s="51" t="s">
        <v>158</v>
      </c>
      <c r="E13" s="35" t="s">
        <v>56</v>
      </c>
      <c r="F13" s="35"/>
      <c r="G13" s="35" t="s">
        <v>1225</v>
      </c>
      <c r="H13" s="36">
        <v>1</v>
      </c>
      <c r="I13" s="36">
        <v>1</v>
      </c>
      <c r="J13" s="41">
        <v>6420</v>
      </c>
      <c r="K13" s="218">
        <f t="shared" si="0"/>
        <v>6420</v>
      </c>
      <c r="L13" s="190"/>
    </row>
    <row r="14" spans="1:12">
      <c r="A14" s="229">
        <v>8</v>
      </c>
      <c r="B14" s="107" t="s">
        <v>160</v>
      </c>
      <c r="C14" s="106" t="s">
        <v>1038</v>
      </c>
      <c r="D14" s="106" t="s">
        <v>159</v>
      </c>
      <c r="E14" s="35" t="s">
        <v>1184</v>
      </c>
      <c r="F14" s="35"/>
      <c r="G14" s="35" t="s">
        <v>1225</v>
      </c>
      <c r="H14" s="36">
        <v>4</v>
      </c>
      <c r="I14" s="36">
        <v>4</v>
      </c>
      <c r="J14" s="41">
        <v>2568</v>
      </c>
      <c r="K14" s="218">
        <f t="shared" si="0"/>
        <v>10272</v>
      </c>
      <c r="L14" s="190"/>
    </row>
    <row r="15" spans="1:12" ht="25.5" customHeight="1" thickBot="1">
      <c r="A15" s="455" t="s">
        <v>1201</v>
      </c>
      <c r="B15" s="456"/>
      <c r="C15" s="456"/>
      <c r="D15" s="456"/>
      <c r="E15" s="456"/>
      <c r="F15" s="456"/>
      <c r="G15" s="456"/>
      <c r="H15" s="456"/>
      <c r="I15" s="456"/>
      <c r="J15" s="457"/>
      <c r="K15" s="418">
        <f>SUM(K7:K14)</f>
        <v>90832</v>
      </c>
      <c r="L15" s="387"/>
    </row>
    <row r="16" spans="1:12" ht="31.5" customHeight="1" thickTop="1"/>
    <row r="17" spans="2:12">
      <c r="B17" s="343" t="s">
        <v>4</v>
      </c>
      <c r="C17" s="253" t="s">
        <v>1222</v>
      </c>
      <c r="D17" s="59"/>
      <c r="E17" s="404"/>
      <c r="I17" s="431" t="s">
        <v>163</v>
      </c>
      <c r="J17" s="431"/>
      <c r="K17" s="431"/>
      <c r="L17" s="431"/>
    </row>
    <row r="18" spans="2:12">
      <c r="B18" s="403"/>
      <c r="C18" s="253" t="s">
        <v>1223</v>
      </c>
      <c r="D18" s="59"/>
      <c r="E18" s="59"/>
      <c r="I18" s="431" t="s">
        <v>1266</v>
      </c>
      <c r="J18" s="431"/>
      <c r="K18" s="431"/>
      <c r="L18" s="431"/>
    </row>
    <row r="19" spans="2:12">
      <c r="I19" s="431" t="s">
        <v>162</v>
      </c>
      <c r="J19" s="431"/>
      <c r="K19" s="431"/>
      <c r="L19" s="431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15:J15"/>
    <mergeCell ref="I17:L17"/>
    <mergeCell ref="I18:L18"/>
    <mergeCell ref="I19:L19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48"/>
  <sheetViews>
    <sheetView workbookViewId="0">
      <selection activeCell="N11" sqref="N11"/>
    </sheetView>
  </sheetViews>
  <sheetFormatPr defaultRowHeight="24"/>
  <cols>
    <col min="1" max="1" width="5.5703125" style="14" customWidth="1"/>
    <col min="2" max="2" width="13.140625" style="14" customWidth="1"/>
    <col min="3" max="3" width="33.85546875" style="14" customWidth="1"/>
    <col min="4" max="4" width="37.28515625" style="14" customWidth="1"/>
    <col min="5" max="5" width="8.28515625" style="14" customWidth="1"/>
    <col min="6" max="6" width="9" style="14" customWidth="1"/>
    <col min="7" max="7" width="7.7109375" style="14" customWidth="1"/>
    <col min="8" max="8" width="8.7109375" style="14" customWidth="1"/>
    <col min="9" max="9" width="8.42578125" style="14" customWidth="1"/>
    <col min="10" max="10" width="12.42578125" style="14" customWidth="1"/>
    <col min="11" max="11" width="15.28515625" style="14" customWidth="1"/>
    <col min="12" max="12" width="34.7109375" style="14" customWidth="1"/>
    <col min="13" max="16384" width="9.140625" style="14"/>
  </cols>
  <sheetData>
    <row r="1" spans="1:12">
      <c r="L1" s="354" t="s">
        <v>1268</v>
      </c>
    </row>
    <row r="2" spans="1:12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2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2">
      <c r="A4" s="441" t="s">
        <v>1267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2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2" ht="46.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</row>
    <row r="7" spans="1:12">
      <c r="A7" s="190">
        <v>1</v>
      </c>
      <c r="B7" s="190"/>
      <c r="C7" s="51" t="s">
        <v>6</v>
      </c>
      <c r="D7" s="52" t="s">
        <v>31</v>
      </c>
      <c r="E7" s="35" t="s">
        <v>55</v>
      </c>
      <c r="F7" s="35"/>
      <c r="G7" s="35" t="s">
        <v>1225</v>
      </c>
      <c r="H7" s="36">
        <v>2</v>
      </c>
      <c r="I7" s="36">
        <v>2</v>
      </c>
      <c r="J7" s="42">
        <v>1495.33</v>
      </c>
      <c r="K7" s="42">
        <f>SUM(I7*J7)</f>
        <v>2990.66</v>
      </c>
      <c r="L7" s="41"/>
    </row>
    <row r="8" spans="1:12">
      <c r="A8" s="190">
        <v>2</v>
      </c>
      <c r="B8" s="190"/>
      <c r="C8" s="51" t="s">
        <v>7</v>
      </c>
      <c r="D8" s="52" t="s">
        <v>32</v>
      </c>
      <c r="E8" s="35" t="s">
        <v>55</v>
      </c>
      <c r="F8" s="35"/>
      <c r="G8" s="35" t="s">
        <v>1225</v>
      </c>
      <c r="H8" s="36">
        <v>1</v>
      </c>
      <c r="I8" s="36">
        <v>1</v>
      </c>
      <c r="J8" s="42">
        <v>8600</v>
      </c>
      <c r="K8" s="42">
        <f t="shared" ref="K8:K29" si="0">SUM(I8*J8)</f>
        <v>8600</v>
      </c>
      <c r="L8" s="41"/>
    </row>
    <row r="9" spans="1:12">
      <c r="A9" s="229">
        <v>3</v>
      </c>
      <c r="B9" s="190"/>
      <c r="C9" s="51" t="s">
        <v>8</v>
      </c>
      <c r="D9" s="52" t="s">
        <v>33</v>
      </c>
      <c r="E9" s="35" t="s">
        <v>55</v>
      </c>
      <c r="F9" s="35"/>
      <c r="G9" s="35" t="s">
        <v>1225</v>
      </c>
      <c r="H9" s="36">
        <v>1</v>
      </c>
      <c r="I9" s="36">
        <v>1</v>
      </c>
      <c r="J9" s="42">
        <v>8600</v>
      </c>
      <c r="K9" s="42">
        <f t="shared" si="0"/>
        <v>8600</v>
      </c>
      <c r="L9" s="41"/>
    </row>
    <row r="10" spans="1:12">
      <c r="A10" s="229">
        <v>4</v>
      </c>
      <c r="B10" s="190"/>
      <c r="C10" s="51" t="s">
        <v>9</v>
      </c>
      <c r="D10" s="52" t="s">
        <v>34</v>
      </c>
      <c r="E10" s="35" t="s">
        <v>55</v>
      </c>
      <c r="F10" s="35"/>
      <c r="G10" s="35" t="s">
        <v>1225</v>
      </c>
      <c r="H10" s="36">
        <v>1</v>
      </c>
      <c r="I10" s="36">
        <v>1</v>
      </c>
      <c r="J10" s="42">
        <v>8000</v>
      </c>
      <c r="K10" s="42">
        <f t="shared" si="0"/>
        <v>8000</v>
      </c>
      <c r="L10" s="41"/>
    </row>
    <row r="11" spans="1:12">
      <c r="A11" s="229">
        <v>5</v>
      </c>
      <c r="B11" s="190"/>
      <c r="C11" s="51" t="s">
        <v>11</v>
      </c>
      <c r="D11" s="52" t="s">
        <v>36</v>
      </c>
      <c r="E11" s="35" t="s">
        <v>55</v>
      </c>
      <c r="F11" s="35"/>
      <c r="G11" s="35" t="s">
        <v>1225</v>
      </c>
      <c r="H11" s="36">
        <v>1</v>
      </c>
      <c r="I11" s="36">
        <v>1</v>
      </c>
      <c r="J11" s="42">
        <v>2500</v>
      </c>
      <c r="K11" s="42">
        <f t="shared" si="0"/>
        <v>2500</v>
      </c>
      <c r="L11" s="41"/>
    </row>
    <row r="12" spans="1:12">
      <c r="A12" s="229">
        <v>6</v>
      </c>
      <c r="B12" s="190"/>
      <c r="C12" s="51" t="s">
        <v>12</v>
      </c>
      <c r="D12" s="52" t="s">
        <v>37</v>
      </c>
      <c r="E12" s="35" t="s">
        <v>55</v>
      </c>
      <c r="F12" s="35"/>
      <c r="G12" s="35" t="s">
        <v>1225</v>
      </c>
      <c r="H12" s="36">
        <v>1</v>
      </c>
      <c r="I12" s="36">
        <v>1</v>
      </c>
      <c r="J12" s="42">
        <v>3800</v>
      </c>
      <c r="K12" s="42">
        <f t="shared" si="0"/>
        <v>3800</v>
      </c>
      <c r="L12" s="41"/>
    </row>
    <row r="13" spans="1:12">
      <c r="A13" s="229">
        <v>7</v>
      </c>
      <c r="B13" s="190"/>
      <c r="C13" s="51" t="s">
        <v>13</v>
      </c>
      <c r="D13" s="52" t="s">
        <v>38</v>
      </c>
      <c r="E13" s="35" t="s">
        <v>55</v>
      </c>
      <c r="F13" s="35"/>
      <c r="G13" s="35" t="s">
        <v>1225</v>
      </c>
      <c r="H13" s="36">
        <v>1</v>
      </c>
      <c r="I13" s="36">
        <v>1</v>
      </c>
      <c r="J13" s="42">
        <v>2600</v>
      </c>
      <c r="K13" s="42">
        <f t="shared" si="0"/>
        <v>2600</v>
      </c>
      <c r="L13" s="41"/>
    </row>
    <row r="14" spans="1:12">
      <c r="A14" s="229">
        <v>8</v>
      </c>
      <c r="B14" s="190"/>
      <c r="C14" s="51" t="s">
        <v>15</v>
      </c>
      <c r="D14" s="52" t="s">
        <v>41</v>
      </c>
      <c r="E14" s="35" t="s">
        <v>56</v>
      </c>
      <c r="F14" s="35"/>
      <c r="G14" s="35" t="s">
        <v>1225</v>
      </c>
      <c r="H14" s="36">
        <v>1</v>
      </c>
      <c r="I14" s="36">
        <v>1</v>
      </c>
      <c r="J14" s="42">
        <v>750</v>
      </c>
      <c r="K14" s="42">
        <f t="shared" si="0"/>
        <v>750</v>
      </c>
      <c r="L14" s="41"/>
    </row>
    <row r="15" spans="1:12">
      <c r="A15" s="229">
        <v>9</v>
      </c>
      <c r="B15" s="190"/>
      <c r="C15" s="51" t="s">
        <v>16</v>
      </c>
      <c r="D15" s="51" t="s">
        <v>42</v>
      </c>
      <c r="E15" s="67" t="s">
        <v>56</v>
      </c>
      <c r="F15" s="67"/>
      <c r="G15" s="35" t="s">
        <v>1225</v>
      </c>
      <c r="H15" s="36">
        <v>1</v>
      </c>
      <c r="I15" s="36">
        <v>1</v>
      </c>
      <c r="J15" s="41">
        <v>6900</v>
      </c>
      <c r="K15" s="42">
        <f t="shared" si="0"/>
        <v>6900</v>
      </c>
      <c r="L15" s="41"/>
    </row>
    <row r="16" spans="1:12">
      <c r="A16" s="229">
        <v>10</v>
      </c>
      <c r="B16" s="190"/>
      <c r="C16" s="51" t="s">
        <v>17</v>
      </c>
      <c r="D16" s="51" t="s">
        <v>42</v>
      </c>
      <c r="E16" s="68" t="s">
        <v>56</v>
      </c>
      <c r="F16" s="68"/>
      <c r="G16" s="35" t="s">
        <v>1225</v>
      </c>
      <c r="H16" s="36">
        <v>1</v>
      </c>
      <c r="I16" s="36">
        <v>1</v>
      </c>
      <c r="J16" s="41">
        <v>11900</v>
      </c>
      <c r="K16" s="42">
        <f t="shared" si="0"/>
        <v>11900</v>
      </c>
      <c r="L16" s="41"/>
    </row>
    <row r="17" spans="1:12">
      <c r="A17" s="229">
        <v>11</v>
      </c>
      <c r="B17" s="190"/>
      <c r="C17" s="51" t="s">
        <v>18</v>
      </c>
      <c r="D17" s="52" t="s">
        <v>43</v>
      </c>
      <c r="E17" s="190" t="s">
        <v>1100</v>
      </c>
      <c r="F17" s="229"/>
      <c r="G17" s="35" t="s">
        <v>1225</v>
      </c>
      <c r="H17" s="36">
        <v>1</v>
      </c>
      <c r="I17" s="36">
        <v>1</v>
      </c>
      <c r="J17" s="42">
        <v>700</v>
      </c>
      <c r="K17" s="42">
        <f t="shared" si="0"/>
        <v>700</v>
      </c>
      <c r="L17" s="41"/>
    </row>
    <row r="18" spans="1:12">
      <c r="A18" s="229">
        <v>12</v>
      </c>
      <c r="B18" s="190"/>
      <c r="C18" s="51" t="s">
        <v>19</v>
      </c>
      <c r="D18" s="51" t="s">
        <v>44</v>
      </c>
      <c r="E18" s="190" t="s">
        <v>56</v>
      </c>
      <c r="F18" s="229"/>
      <c r="G18" s="35" t="s">
        <v>1225</v>
      </c>
      <c r="H18" s="36">
        <v>1</v>
      </c>
      <c r="I18" s="36">
        <v>1</v>
      </c>
      <c r="J18" s="41">
        <v>19088.8</v>
      </c>
      <c r="K18" s="42">
        <f t="shared" si="0"/>
        <v>19088.8</v>
      </c>
      <c r="L18" s="41"/>
    </row>
    <row r="19" spans="1:12">
      <c r="A19" s="229">
        <v>13</v>
      </c>
      <c r="B19" s="190"/>
      <c r="C19" s="51" t="s">
        <v>20</v>
      </c>
      <c r="D19" s="52" t="s">
        <v>45</v>
      </c>
      <c r="E19" s="35" t="s">
        <v>1100</v>
      </c>
      <c r="F19" s="35"/>
      <c r="G19" s="35" t="s">
        <v>1225</v>
      </c>
      <c r="H19" s="36">
        <v>1</v>
      </c>
      <c r="I19" s="36">
        <v>1</v>
      </c>
      <c r="J19" s="42">
        <v>1370</v>
      </c>
      <c r="K19" s="42">
        <f t="shared" si="0"/>
        <v>1370</v>
      </c>
      <c r="L19" s="41"/>
    </row>
    <row r="20" spans="1:12">
      <c r="A20" s="229">
        <v>14</v>
      </c>
      <c r="B20" s="190"/>
      <c r="C20" s="51" t="s">
        <v>21</v>
      </c>
      <c r="D20" s="52" t="s">
        <v>46</v>
      </c>
      <c r="E20" s="35" t="s">
        <v>1100</v>
      </c>
      <c r="F20" s="35"/>
      <c r="G20" s="35" t="s">
        <v>1225</v>
      </c>
      <c r="H20" s="36">
        <v>1</v>
      </c>
      <c r="I20" s="36">
        <v>1</v>
      </c>
      <c r="J20" s="42">
        <v>600</v>
      </c>
      <c r="K20" s="42">
        <f t="shared" si="0"/>
        <v>600</v>
      </c>
      <c r="L20" s="41"/>
    </row>
    <row r="21" spans="1:12">
      <c r="A21" s="229">
        <v>15</v>
      </c>
      <c r="B21" s="190"/>
      <c r="C21" s="51" t="s">
        <v>22</v>
      </c>
      <c r="D21" s="51" t="s">
        <v>47</v>
      </c>
      <c r="E21" s="190" t="s">
        <v>56</v>
      </c>
      <c r="F21" s="229"/>
      <c r="G21" s="35" t="s">
        <v>1225</v>
      </c>
      <c r="H21" s="36">
        <v>1</v>
      </c>
      <c r="I21" s="36">
        <v>1</v>
      </c>
      <c r="J21" s="41">
        <v>5296.5</v>
      </c>
      <c r="K21" s="42">
        <f t="shared" si="0"/>
        <v>5296.5</v>
      </c>
      <c r="L21" s="41"/>
    </row>
    <row r="22" spans="1:12">
      <c r="A22" s="229">
        <v>16</v>
      </c>
      <c r="B22" s="190"/>
      <c r="C22" s="51" t="s">
        <v>24</v>
      </c>
      <c r="D22" s="51" t="s">
        <v>49</v>
      </c>
      <c r="E22" s="190" t="s">
        <v>56</v>
      </c>
      <c r="F22" s="229"/>
      <c r="G22" s="35" t="s">
        <v>1225</v>
      </c>
      <c r="H22" s="36">
        <v>1</v>
      </c>
      <c r="I22" s="36">
        <v>1</v>
      </c>
      <c r="J22" s="41">
        <v>6120</v>
      </c>
      <c r="K22" s="42">
        <f t="shared" si="0"/>
        <v>6120</v>
      </c>
      <c r="L22" s="41"/>
    </row>
    <row r="23" spans="1:12">
      <c r="A23" s="229">
        <v>17</v>
      </c>
      <c r="B23" s="190"/>
      <c r="C23" s="51" t="s">
        <v>26</v>
      </c>
      <c r="D23" s="51" t="s">
        <v>51</v>
      </c>
      <c r="E23" s="190" t="s">
        <v>56</v>
      </c>
      <c r="F23" s="229"/>
      <c r="G23" s="35" t="s">
        <v>1225</v>
      </c>
      <c r="H23" s="36">
        <v>1</v>
      </c>
      <c r="I23" s="36">
        <v>1</v>
      </c>
      <c r="J23" s="41">
        <v>1100</v>
      </c>
      <c r="K23" s="42">
        <f t="shared" si="0"/>
        <v>1100</v>
      </c>
      <c r="L23" s="41"/>
    </row>
    <row r="24" spans="1:12">
      <c r="A24" s="229">
        <v>18</v>
      </c>
      <c r="B24" s="190"/>
      <c r="C24" s="51" t="s">
        <v>27</v>
      </c>
      <c r="D24" s="51" t="s">
        <v>52</v>
      </c>
      <c r="E24" s="190" t="s">
        <v>56</v>
      </c>
      <c r="F24" s="229"/>
      <c r="G24" s="35" t="s">
        <v>1225</v>
      </c>
      <c r="H24" s="36">
        <v>2</v>
      </c>
      <c r="I24" s="36">
        <v>2</v>
      </c>
      <c r="J24" s="41">
        <v>17300</v>
      </c>
      <c r="K24" s="42">
        <f t="shared" si="0"/>
        <v>34600</v>
      </c>
      <c r="L24" s="41"/>
    </row>
    <row r="25" spans="1:12">
      <c r="A25" s="229">
        <v>19</v>
      </c>
      <c r="B25" s="190"/>
      <c r="C25" s="51" t="s">
        <v>28</v>
      </c>
      <c r="D25" s="51" t="s">
        <v>53</v>
      </c>
      <c r="E25" s="190" t="s">
        <v>56</v>
      </c>
      <c r="F25" s="229"/>
      <c r="G25" s="35" t="s">
        <v>1225</v>
      </c>
      <c r="H25" s="36">
        <v>1</v>
      </c>
      <c r="I25" s="36">
        <v>1</v>
      </c>
      <c r="J25" s="41">
        <v>29000</v>
      </c>
      <c r="K25" s="42">
        <f t="shared" si="0"/>
        <v>29000</v>
      </c>
      <c r="L25" s="41"/>
    </row>
    <row r="26" spans="1:12">
      <c r="A26" s="229">
        <v>20</v>
      </c>
      <c r="B26" s="190"/>
      <c r="C26" s="51" t="s">
        <v>29</v>
      </c>
      <c r="D26" s="52" t="s">
        <v>54</v>
      </c>
      <c r="E26" s="190" t="s">
        <v>56</v>
      </c>
      <c r="F26" s="229"/>
      <c r="G26" s="35" t="s">
        <v>1225</v>
      </c>
      <c r="H26" s="36">
        <v>2</v>
      </c>
      <c r="I26" s="36">
        <v>2</v>
      </c>
      <c r="J26" s="42">
        <v>1700</v>
      </c>
      <c r="K26" s="42">
        <f t="shared" si="0"/>
        <v>3400</v>
      </c>
      <c r="L26" s="41"/>
    </row>
    <row r="27" spans="1:12">
      <c r="A27" s="229">
        <v>21</v>
      </c>
      <c r="B27" s="190"/>
      <c r="C27" s="51" t="s">
        <v>57</v>
      </c>
      <c r="D27" s="51" t="s">
        <v>63</v>
      </c>
      <c r="E27" s="35" t="s">
        <v>56</v>
      </c>
      <c r="F27" s="35"/>
      <c r="G27" s="35" t="s">
        <v>1225</v>
      </c>
      <c r="H27" s="36">
        <v>1</v>
      </c>
      <c r="I27" s="36">
        <v>1</v>
      </c>
      <c r="J27" s="41">
        <v>2765.75</v>
      </c>
      <c r="K27" s="42">
        <f t="shared" si="0"/>
        <v>2765.75</v>
      </c>
      <c r="L27" s="41"/>
    </row>
    <row r="28" spans="1:12">
      <c r="A28" s="229">
        <v>22</v>
      </c>
      <c r="B28" s="190"/>
      <c r="C28" s="51" t="s">
        <v>58</v>
      </c>
      <c r="D28" s="51" t="s">
        <v>64</v>
      </c>
      <c r="E28" s="35" t="s">
        <v>55</v>
      </c>
      <c r="F28" s="35"/>
      <c r="G28" s="35" t="s">
        <v>1225</v>
      </c>
      <c r="H28" s="36">
        <v>1</v>
      </c>
      <c r="I28" s="36">
        <v>1</v>
      </c>
      <c r="J28" s="41">
        <v>900</v>
      </c>
      <c r="K28" s="42">
        <f t="shared" si="0"/>
        <v>900</v>
      </c>
      <c r="L28" s="41"/>
    </row>
    <row r="29" spans="1:12">
      <c r="A29" s="205">
        <v>23</v>
      </c>
      <c r="B29" s="205"/>
      <c r="C29" s="201" t="s">
        <v>59</v>
      </c>
      <c r="D29" s="201" t="s">
        <v>65</v>
      </c>
      <c r="E29" s="203" t="s">
        <v>55</v>
      </c>
      <c r="F29" s="203"/>
      <c r="G29" s="35" t="s">
        <v>1225</v>
      </c>
      <c r="H29" s="204">
        <v>1</v>
      </c>
      <c r="I29" s="204">
        <v>1</v>
      </c>
      <c r="J29" s="232">
        <v>1100</v>
      </c>
      <c r="K29" s="42">
        <f t="shared" si="0"/>
        <v>1100</v>
      </c>
      <c r="L29" s="232"/>
    </row>
    <row r="30" spans="1:12" ht="24.75" thickBot="1">
      <c r="A30" s="469" t="s">
        <v>1203</v>
      </c>
      <c r="B30" s="469"/>
      <c r="C30" s="469"/>
      <c r="D30" s="469"/>
      <c r="E30" s="469"/>
      <c r="F30" s="469"/>
      <c r="G30" s="469"/>
      <c r="H30" s="469"/>
      <c r="I30" s="469"/>
      <c r="J30" s="469"/>
      <c r="K30" s="386">
        <f>SUM(K7:K29)</f>
        <v>162681.71000000002</v>
      </c>
      <c r="L30" s="419"/>
    </row>
    <row r="31" spans="1:12" s="59" customFormat="1" ht="24.75" thickTop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354" t="s">
        <v>1269</v>
      </c>
    </row>
    <row r="32" spans="1:12" s="59" customFormat="1">
      <c r="A32" s="439" t="s">
        <v>550</v>
      </c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</row>
    <row r="33" spans="1:12" s="59" customFormat="1">
      <c r="A33" s="440" t="s">
        <v>1228</v>
      </c>
      <c r="B33" s="440"/>
      <c r="C33" s="440"/>
      <c r="D33" s="440"/>
      <c r="E33" s="440"/>
      <c r="F33" s="440"/>
      <c r="G33" s="440"/>
      <c r="H33" s="440"/>
      <c r="I33" s="440"/>
      <c r="J33" s="440"/>
      <c r="K33" s="440"/>
      <c r="L33" s="440"/>
    </row>
    <row r="34" spans="1:12" s="59" customFormat="1">
      <c r="A34" s="441" t="s">
        <v>1267</v>
      </c>
      <c r="B34" s="441"/>
      <c r="C34" s="441"/>
      <c r="D34" s="441"/>
      <c r="E34" s="441"/>
      <c r="F34" s="441"/>
      <c r="G34" s="441"/>
      <c r="H34" s="441"/>
      <c r="I34" s="441"/>
      <c r="J34" s="441"/>
      <c r="K34" s="441"/>
      <c r="L34" s="441"/>
    </row>
    <row r="35" spans="1:12" s="59" customFormat="1">
      <c r="A35" s="432" t="s">
        <v>1196</v>
      </c>
      <c r="B35" s="432" t="s">
        <v>1226</v>
      </c>
      <c r="C35" s="432" t="s">
        <v>1221</v>
      </c>
      <c r="D35" s="444" t="s">
        <v>0</v>
      </c>
      <c r="E35" s="432" t="s">
        <v>1216</v>
      </c>
      <c r="F35" s="432" t="s">
        <v>1215</v>
      </c>
      <c r="G35" s="437" t="s">
        <v>1217</v>
      </c>
      <c r="H35" s="442" t="s">
        <v>2</v>
      </c>
      <c r="I35" s="443"/>
      <c r="J35" s="432" t="s">
        <v>1220</v>
      </c>
      <c r="K35" s="432" t="s">
        <v>1202</v>
      </c>
      <c r="L35" s="432" t="s">
        <v>1219</v>
      </c>
    </row>
    <row r="36" spans="1:12" s="59" customFormat="1" ht="48">
      <c r="A36" s="433"/>
      <c r="B36" s="433"/>
      <c r="C36" s="433"/>
      <c r="D36" s="445"/>
      <c r="E36" s="433"/>
      <c r="F36" s="433"/>
      <c r="G36" s="438"/>
      <c r="H36" s="176" t="s">
        <v>1218</v>
      </c>
      <c r="I36" s="126" t="s">
        <v>69</v>
      </c>
      <c r="J36" s="433"/>
      <c r="K36" s="433"/>
      <c r="L36" s="433"/>
    </row>
    <row r="37" spans="1:12">
      <c r="A37" s="470" t="s">
        <v>1204</v>
      </c>
      <c r="B37" s="470"/>
      <c r="C37" s="470"/>
      <c r="D37" s="470"/>
      <c r="E37" s="470"/>
      <c r="F37" s="470"/>
      <c r="G37" s="470"/>
      <c r="H37" s="470"/>
      <c r="I37" s="470"/>
      <c r="J37" s="470"/>
      <c r="K37" s="423">
        <f>SUM(K30)</f>
        <v>162681.71000000002</v>
      </c>
      <c r="L37" s="175"/>
    </row>
    <row r="38" spans="1:12">
      <c r="A38" s="190">
        <v>24</v>
      </c>
      <c r="B38" s="190"/>
      <c r="C38" s="34" t="s">
        <v>60</v>
      </c>
      <c r="D38" s="12" t="s">
        <v>66</v>
      </c>
      <c r="E38" s="35" t="s">
        <v>55</v>
      </c>
      <c r="F38" s="35"/>
      <c r="G38" s="35" t="s">
        <v>1225</v>
      </c>
      <c r="H38" s="36">
        <v>1</v>
      </c>
      <c r="I38" s="36">
        <v>1</v>
      </c>
      <c r="J38" s="42">
        <v>5350</v>
      </c>
      <c r="K38" s="42">
        <f>SUM(I38*J38)</f>
        <v>5350</v>
      </c>
      <c r="L38" s="41"/>
    </row>
    <row r="39" spans="1:12">
      <c r="A39" s="190">
        <v>25</v>
      </c>
      <c r="B39" s="190"/>
      <c r="C39" s="51" t="s">
        <v>61</v>
      </c>
      <c r="D39" s="51" t="s">
        <v>67</v>
      </c>
      <c r="E39" s="35" t="s">
        <v>55</v>
      </c>
      <c r="F39" s="35"/>
      <c r="G39" s="35" t="s">
        <v>1225</v>
      </c>
      <c r="H39" s="36">
        <v>1</v>
      </c>
      <c r="I39" s="36">
        <v>1</v>
      </c>
      <c r="J39" s="41">
        <v>2590</v>
      </c>
      <c r="K39" s="42">
        <f t="shared" ref="K39:K40" si="1">SUM(I39*J39)</f>
        <v>2590</v>
      </c>
      <c r="L39" s="41"/>
    </row>
    <row r="40" spans="1:12">
      <c r="A40" s="190">
        <v>26</v>
      </c>
      <c r="B40" s="190"/>
      <c r="C40" s="34" t="s">
        <v>62</v>
      </c>
      <c r="D40" s="12" t="s">
        <v>68</v>
      </c>
      <c r="E40" s="35" t="s">
        <v>55</v>
      </c>
      <c r="F40" s="35"/>
      <c r="G40" s="35" t="s">
        <v>1225</v>
      </c>
      <c r="H40" s="36">
        <v>1</v>
      </c>
      <c r="I40" s="36">
        <v>1</v>
      </c>
      <c r="J40" s="42">
        <v>17000</v>
      </c>
      <c r="K40" s="42">
        <f t="shared" si="1"/>
        <v>17000</v>
      </c>
      <c r="L40" s="41"/>
    </row>
    <row r="41" spans="1:12" ht="24.75" thickBot="1">
      <c r="A41" s="455" t="s">
        <v>1201</v>
      </c>
      <c r="B41" s="456"/>
      <c r="C41" s="456"/>
      <c r="D41" s="456"/>
      <c r="E41" s="456"/>
      <c r="F41" s="456"/>
      <c r="G41" s="456"/>
      <c r="H41" s="456"/>
      <c r="I41" s="456"/>
      <c r="J41" s="457"/>
      <c r="K41" s="420">
        <f>SUM(K37:K40)</f>
        <v>187621.71000000002</v>
      </c>
      <c r="L41" s="421"/>
    </row>
    <row r="42" spans="1:12" ht="24.75" thickTop="1">
      <c r="A42" s="403"/>
      <c r="B42" s="403"/>
      <c r="C42" s="403"/>
      <c r="D42" s="403"/>
      <c r="E42" s="403"/>
      <c r="F42" s="403"/>
      <c r="G42" s="403"/>
      <c r="H42" s="403"/>
      <c r="I42" s="403"/>
      <c r="J42" s="403"/>
      <c r="K42" s="422"/>
      <c r="L42" s="77"/>
    </row>
    <row r="43" spans="1:12">
      <c r="B43" s="343" t="s">
        <v>4</v>
      </c>
      <c r="C43" s="253" t="s">
        <v>1222</v>
      </c>
      <c r="D43" s="59"/>
      <c r="E43" s="404"/>
    </row>
    <row r="44" spans="1:12">
      <c r="B44" s="403"/>
      <c r="C44" s="253" t="s">
        <v>1223</v>
      </c>
      <c r="D44" s="59"/>
      <c r="E44" s="59"/>
      <c r="J44" s="468" t="s">
        <v>1018</v>
      </c>
      <c r="K44" s="468"/>
      <c r="L44" s="468"/>
    </row>
    <row r="45" spans="1:12">
      <c r="B45" s="189"/>
      <c r="J45" s="468" t="s">
        <v>1052</v>
      </c>
      <c r="K45" s="468"/>
      <c r="L45" s="468"/>
    </row>
    <row r="46" spans="1:12">
      <c r="B46" s="189"/>
      <c r="J46" s="468" t="s">
        <v>162</v>
      </c>
      <c r="K46" s="468"/>
      <c r="L46" s="468"/>
    </row>
    <row r="47" spans="1:12">
      <c r="B47" s="189"/>
    </row>
    <row r="48" spans="1:12">
      <c r="B48" s="189"/>
    </row>
  </sheetData>
  <mergeCells count="34">
    <mergeCell ref="K35:K36"/>
    <mergeCell ref="L35:L36"/>
    <mergeCell ref="A41:J41"/>
    <mergeCell ref="A37:J37"/>
    <mergeCell ref="A35:A36"/>
    <mergeCell ref="B35:B36"/>
    <mergeCell ref="C35:C36"/>
    <mergeCell ref="D35:D36"/>
    <mergeCell ref="E35:E36"/>
    <mergeCell ref="F35:F36"/>
    <mergeCell ref="G35:G36"/>
    <mergeCell ref="H35:I35"/>
    <mergeCell ref="J35:J36"/>
    <mergeCell ref="H5:I5"/>
    <mergeCell ref="J5:J6"/>
    <mergeCell ref="K5:K6"/>
    <mergeCell ref="L5:L6"/>
    <mergeCell ref="A30:J30"/>
    <mergeCell ref="J45:L45"/>
    <mergeCell ref="J46:L46"/>
    <mergeCell ref="A2:L2"/>
    <mergeCell ref="A3:L3"/>
    <mergeCell ref="A4:L4"/>
    <mergeCell ref="J44:L44"/>
    <mergeCell ref="A5:A6"/>
    <mergeCell ref="B5:B6"/>
    <mergeCell ref="C5:C6"/>
    <mergeCell ref="D5:D6"/>
    <mergeCell ref="E5:E6"/>
    <mergeCell ref="F5:F6"/>
    <mergeCell ref="G5:G6"/>
    <mergeCell ref="A32:L32"/>
    <mergeCell ref="A33:L33"/>
    <mergeCell ref="A34:L34"/>
  </mergeCells>
  <printOptions horizontalCentered="1"/>
  <pageMargins left="0.19685039370078741" right="0" top="0.59055118110236227" bottom="0.19685039370078741" header="0" footer="0"/>
  <pageSetup paperSize="9" scale="75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17"/>
  <sheetViews>
    <sheetView zoomScaleNormal="100" workbookViewId="0">
      <selection activeCell="D8" sqref="D8"/>
    </sheetView>
  </sheetViews>
  <sheetFormatPr defaultColWidth="9" defaultRowHeight="24"/>
  <cols>
    <col min="1" max="1" width="5.5703125" style="14" customWidth="1"/>
    <col min="2" max="2" width="13.85546875" style="14" customWidth="1"/>
    <col min="3" max="3" width="29.28515625" style="14" customWidth="1"/>
    <col min="4" max="4" width="38" style="14" customWidth="1"/>
    <col min="5" max="5" width="7.42578125" style="14" customWidth="1"/>
    <col min="6" max="6" width="9.140625" style="14" customWidth="1"/>
    <col min="7" max="9" width="7.5703125" style="14" customWidth="1"/>
    <col min="10" max="10" width="14.42578125" style="14" customWidth="1"/>
    <col min="11" max="11" width="14.28515625" style="14" customWidth="1"/>
    <col min="12" max="12" width="39.85546875" style="14" customWidth="1"/>
    <col min="13" max="13" width="20.7109375" style="14" customWidth="1"/>
    <col min="14" max="16384" width="9" style="14"/>
  </cols>
  <sheetData>
    <row r="1" spans="1:13">
      <c r="L1" s="354" t="s">
        <v>1271</v>
      </c>
    </row>
    <row r="2" spans="1:13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3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3">
      <c r="A4" s="441" t="s">
        <v>1272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3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3" s="32" customFormat="1" ht="45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8"/>
    </row>
    <row r="7" spans="1:13" s="40" customFormat="1">
      <c r="A7" s="190">
        <v>1</v>
      </c>
      <c r="B7" s="33"/>
      <c r="C7" s="34" t="s">
        <v>165</v>
      </c>
      <c r="D7" s="12" t="s">
        <v>169</v>
      </c>
      <c r="E7" s="35" t="s">
        <v>55</v>
      </c>
      <c r="F7" s="35"/>
      <c r="G7" s="35" t="s">
        <v>1225</v>
      </c>
      <c r="H7" s="36">
        <v>1</v>
      </c>
      <c r="I7" s="36">
        <v>1</v>
      </c>
      <c r="J7" s="43">
        <v>3300</v>
      </c>
      <c r="K7" s="37">
        <f t="shared" ref="K7:K10" si="0">SUM(I7*J7)</f>
        <v>3300</v>
      </c>
      <c r="L7" s="190"/>
      <c r="M7" s="59"/>
    </row>
    <row r="8" spans="1:13" s="40" customFormat="1">
      <c r="A8" s="190">
        <v>2</v>
      </c>
      <c r="B8" s="33"/>
      <c r="C8" s="34" t="s">
        <v>166</v>
      </c>
      <c r="D8" s="12" t="s">
        <v>68</v>
      </c>
      <c r="E8" s="35" t="s">
        <v>55</v>
      </c>
      <c r="F8" s="35"/>
      <c r="G8" s="35" t="s">
        <v>1225</v>
      </c>
      <c r="H8" s="36">
        <v>1</v>
      </c>
      <c r="I8" s="36">
        <v>1</v>
      </c>
      <c r="J8" s="42">
        <v>17000</v>
      </c>
      <c r="K8" s="37">
        <f t="shared" si="0"/>
        <v>17000</v>
      </c>
      <c r="L8" s="190"/>
      <c r="M8" s="59"/>
    </row>
    <row r="9" spans="1:13" s="40" customFormat="1">
      <c r="A9" s="190">
        <v>3</v>
      </c>
      <c r="B9" s="44" t="s">
        <v>1205</v>
      </c>
      <c r="C9" s="45" t="s">
        <v>1078</v>
      </c>
      <c r="D9" s="33" t="s">
        <v>1079</v>
      </c>
      <c r="E9" s="35" t="s">
        <v>56</v>
      </c>
      <c r="F9" s="35"/>
      <c r="G9" s="35" t="s">
        <v>1225</v>
      </c>
      <c r="H9" s="36">
        <v>1</v>
      </c>
      <c r="I9" s="36">
        <v>1</v>
      </c>
      <c r="J9" s="46">
        <v>16800</v>
      </c>
      <c r="K9" s="37">
        <f t="shared" si="0"/>
        <v>16800</v>
      </c>
      <c r="L9" s="190"/>
      <c r="M9" s="59"/>
    </row>
    <row r="10" spans="1:13" s="40" customFormat="1">
      <c r="A10" s="190">
        <v>4</v>
      </c>
      <c r="B10" s="44"/>
      <c r="C10" s="45" t="s">
        <v>164</v>
      </c>
      <c r="D10" s="33" t="s">
        <v>152</v>
      </c>
      <c r="E10" s="35" t="s">
        <v>1100</v>
      </c>
      <c r="F10" s="35"/>
      <c r="G10" s="35" t="s">
        <v>1225</v>
      </c>
      <c r="H10" s="36">
        <v>1</v>
      </c>
      <c r="I10" s="36">
        <v>1</v>
      </c>
      <c r="J10" s="46">
        <v>29000</v>
      </c>
      <c r="K10" s="37">
        <f t="shared" si="0"/>
        <v>29000</v>
      </c>
      <c r="L10" s="190"/>
      <c r="M10" s="59"/>
    </row>
    <row r="11" spans="1:13" ht="23.25" customHeight="1" thickBot="1">
      <c r="A11" s="455" t="s">
        <v>1201</v>
      </c>
      <c r="B11" s="456"/>
      <c r="C11" s="456"/>
      <c r="D11" s="456"/>
      <c r="E11" s="456"/>
      <c r="F11" s="456"/>
      <c r="G11" s="456"/>
      <c r="H11" s="456"/>
      <c r="I11" s="456"/>
      <c r="J11" s="457"/>
      <c r="K11" s="424">
        <f>SUM(K7:K10)</f>
        <v>66100</v>
      </c>
      <c r="L11" s="410"/>
      <c r="M11" s="59"/>
    </row>
    <row r="12" spans="1:13" ht="31.5" customHeight="1" thickTop="1">
      <c r="A12" s="192"/>
      <c r="B12" s="192"/>
      <c r="C12" s="192"/>
      <c r="D12" s="192"/>
      <c r="E12" s="192"/>
      <c r="F12" s="403"/>
      <c r="G12" s="403"/>
      <c r="H12" s="403"/>
      <c r="I12" s="78"/>
      <c r="J12" s="78"/>
      <c r="K12" s="79"/>
      <c r="L12" s="59"/>
      <c r="M12" s="59"/>
    </row>
    <row r="13" spans="1:13" ht="24" customHeight="1">
      <c r="A13" s="403"/>
      <c r="B13" s="343" t="s">
        <v>4</v>
      </c>
      <c r="C13" s="253" t="s">
        <v>1222</v>
      </c>
      <c r="D13" s="59"/>
      <c r="E13" s="404"/>
      <c r="G13" s="403"/>
      <c r="H13" s="403"/>
      <c r="I13" s="78"/>
      <c r="J13" s="78"/>
      <c r="K13" s="79"/>
      <c r="L13" s="59"/>
      <c r="M13" s="59"/>
    </row>
    <row r="14" spans="1:13">
      <c r="B14" s="403"/>
      <c r="C14" s="253" t="s">
        <v>1223</v>
      </c>
      <c r="D14" s="59"/>
      <c r="E14" s="59"/>
      <c r="J14" s="467" t="s">
        <v>1118</v>
      </c>
      <c r="K14" s="467"/>
      <c r="L14" s="467"/>
      <c r="M14" s="191"/>
    </row>
    <row r="15" spans="1:13">
      <c r="J15" s="467" t="s">
        <v>1070</v>
      </c>
      <c r="K15" s="467"/>
      <c r="L15" s="467"/>
      <c r="M15" s="191"/>
    </row>
    <row r="16" spans="1:13">
      <c r="J16" s="467" t="s">
        <v>162</v>
      </c>
      <c r="K16" s="467"/>
      <c r="L16" s="467"/>
      <c r="M16" s="191"/>
    </row>
    <row r="17" ht="24" customHeight="1"/>
  </sheetData>
  <mergeCells count="18">
    <mergeCell ref="J5:J6"/>
    <mergeCell ref="K5:K6"/>
    <mergeCell ref="L5:L6"/>
    <mergeCell ref="A11:J11"/>
    <mergeCell ref="J15:L15"/>
    <mergeCell ref="J16:L16"/>
    <mergeCell ref="A2:L2"/>
    <mergeCell ref="A3:L3"/>
    <mergeCell ref="A4:L4"/>
    <mergeCell ref="J14:L14"/>
    <mergeCell ref="A5:A6"/>
    <mergeCell ref="B5:B6"/>
    <mergeCell ref="C5:C6"/>
    <mergeCell ref="D5:D6"/>
    <mergeCell ref="E5:E6"/>
    <mergeCell ref="F5:F6"/>
    <mergeCell ref="G5:G6"/>
    <mergeCell ref="H5:I5"/>
  </mergeCells>
  <printOptions horizontalCentered="1"/>
  <pageMargins left="0.19685039370078741" right="0" top="0.59055118110236227" bottom="0.19685039370078741" header="0" footer="0"/>
  <pageSetup paperSize="9" scale="7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zoomScaleNormal="100" workbookViewId="0">
      <selection activeCell="L11" sqref="L11"/>
    </sheetView>
  </sheetViews>
  <sheetFormatPr defaultColWidth="9" defaultRowHeight="24" customHeight="1"/>
  <cols>
    <col min="1" max="1" width="5.5703125" style="14" customWidth="1"/>
    <col min="2" max="2" width="11.7109375" style="14" customWidth="1"/>
    <col min="3" max="3" width="32.28515625" style="14" customWidth="1"/>
    <col min="4" max="4" width="39.140625" style="14" customWidth="1"/>
    <col min="5" max="5" width="8.140625" style="14" customWidth="1"/>
    <col min="6" max="6" width="8.85546875" style="14" customWidth="1"/>
    <col min="7" max="9" width="8.42578125" style="14" customWidth="1"/>
    <col min="10" max="10" width="13.28515625" style="14" customWidth="1"/>
    <col min="11" max="11" width="14.85546875" style="14" customWidth="1"/>
    <col min="12" max="12" width="35.5703125" style="14" customWidth="1"/>
    <col min="13" max="13" width="10" style="14" customWidth="1"/>
    <col min="14" max="16384" width="9" style="14"/>
  </cols>
  <sheetData>
    <row r="1" spans="1:13" ht="24" customHeight="1">
      <c r="L1" s="354" t="s">
        <v>1273</v>
      </c>
    </row>
    <row r="2" spans="1:13" ht="24" customHeight="1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3" ht="24" customHeight="1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3" ht="24" customHeight="1">
      <c r="A4" s="441" t="s">
        <v>1274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3" ht="24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3" s="32" customFormat="1" ht="44.2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8"/>
    </row>
    <row r="7" spans="1:13" s="40" customFormat="1" ht="24" customHeight="1">
      <c r="A7" s="193">
        <v>1</v>
      </c>
      <c r="B7" s="33"/>
      <c r="C7" s="106" t="s">
        <v>125</v>
      </c>
      <c r="D7" s="106" t="s">
        <v>134</v>
      </c>
      <c r="E7" s="35" t="s">
        <v>56</v>
      </c>
      <c r="F7" s="35"/>
      <c r="G7" s="35" t="s">
        <v>1225</v>
      </c>
      <c r="H7" s="36">
        <v>1</v>
      </c>
      <c r="I7" s="36">
        <v>1</v>
      </c>
      <c r="J7" s="41">
        <v>5296.5</v>
      </c>
      <c r="K7" s="41">
        <f>SUM(I7*J7)</f>
        <v>5296.5</v>
      </c>
      <c r="L7" s="193"/>
      <c r="M7" s="59"/>
    </row>
    <row r="8" spans="1:13" s="40" customFormat="1" ht="24" customHeight="1">
      <c r="A8" s="193">
        <v>2</v>
      </c>
      <c r="B8" s="33"/>
      <c r="C8" s="106" t="s">
        <v>126</v>
      </c>
      <c r="D8" s="106" t="s">
        <v>44</v>
      </c>
      <c r="E8" s="35" t="s">
        <v>56</v>
      </c>
      <c r="F8" s="35"/>
      <c r="G8" s="35" t="s">
        <v>1225</v>
      </c>
      <c r="H8" s="36">
        <v>1</v>
      </c>
      <c r="I8" s="36">
        <v>1</v>
      </c>
      <c r="J8" s="41">
        <v>19088.8</v>
      </c>
      <c r="K8" s="41">
        <f t="shared" ref="K8:K15" si="0">SUM(I8*J8)</f>
        <v>19088.8</v>
      </c>
      <c r="L8" s="193"/>
      <c r="M8" s="59"/>
    </row>
    <row r="9" spans="1:13" s="40" customFormat="1" ht="24" customHeight="1">
      <c r="A9" s="229">
        <v>3</v>
      </c>
      <c r="B9" s="33"/>
      <c r="C9" s="106" t="s">
        <v>127</v>
      </c>
      <c r="D9" s="106" t="s">
        <v>136</v>
      </c>
      <c r="E9" s="35" t="s">
        <v>56</v>
      </c>
      <c r="F9" s="35"/>
      <c r="G9" s="35" t="s">
        <v>1225</v>
      </c>
      <c r="H9" s="36">
        <v>1</v>
      </c>
      <c r="I9" s="36">
        <v>1</v>
      </c>
      <c r="J9" s="41">
        <v>1800</v>
      </c>
      <c r="K9" s="41">
        <f t="shared" si="0"/>
        <v>1800</v>
      </c>
      <c r="L9" s="193"/>
      <c r="M9" s="59"/>
    </row>
    <row r="10" spans="1:13" s="40" customFormat="1" ht="24" customHeight="1">
      <c r="A10" s="229">
        <v>4</v>
      </c>
      <c r="B10" s="33"/>
      <c r="C10" s="106" t="s">
        <v>128</v>
      </c>
      <c r="D10" s="106" t="s">
        <v>137</v>
      </c>
      <c r="E10" s="35" t="s">
        <v>56</v>
      </c>
      <c r="F10" s="35"/>
      <c r="G10" s="35" t="s">
        <v>1225</v>
      </c>
      <c r="H10" s="36">
        <v>1</v>
      </c>
      <c r="I10" s="36">
        <v>1</v>
      </c>
      <c r="J10" s="41">
        <v>600</v>
      </c>
      <c r="K10" s="41">
        <f t="shared" si="0"/>
        <v>600</v>
      </c>
      <c r="L10" s="193"/>
      <c r="M10" s="59"/>
    </row>
    <row r="11" spans="1:13" s="40" customFormat="1" ht="24" customHeight="1">
      <c r="A11" s="229">
        <v>5</v>
      </c>
      <c r="B11" s="33"/>
      <c r="C11" s="106" t="s">
        <v>129</v>
      </c>
      <c r="D11" s="106" t="s">
        <v>138</v>
      </c>
      <c r="E11" s="35" t="s">
        <v>55</v>
      </c>
      <c r="F11" s="35"/>
      <c r="G11" s="35" t="s">
        <v>1225</v>
      </c>
      <c r="H11" s="36">
        <v>1</v>
      </c>
      <c r="I11" s="36">
        <v>1</v>
      </c>
      <c r="J11" s="41">
        <v>18000</v>
      </c>
      <c r="K11" s="41">
        <f t="shared" si="0"/>
        <v>18000</v>
      </c>
      <c r="L11" s="193"/>
      <c r="M11" s="59"/>
    </row>
    <row r="12" spans="1:13" s="40" customFormat="1" ht="24" customHeight="1">
      <c r="A12" s="229">
        <v>6</v>
      </c>
      <c r="B12" s="33"/>
      <c r="C12" s="106" t="s">
        <v>130</v>
      </c>
      <c r="D12" s="106" t="s">
        <v>139</v>
      </c>
      <c r="E12" s="35" t="s">
        <v>55</v>
      </c>
      <c r="F12" s="35"/>
      <c r="G12" s="35" t="s">
        <v>1225</v>
      </c>
      <c r="H12" s="36">
        <v>1</v>
      </c>
      <c r="I12" s="36">
        <v>1</v>
      </c>
      <c r="J12" s="41">
        <v>1150</v>
      </c>
      <c r="K12" s="41">
        <f t="shared" si="0"/>
        <v>1150</v>
      </c>
      <c r="L12" s="193"/>
      <c r="M12" s="59"/>
    </row>
    <row r="13" spans="1:13" s="40" customFormat="1" ht="24" customHeight="1">
      <c r="A13" s="229">
        <v>7</v>
      </c>
      <c r="B13" s="33"/>
      <c r="C13" s="51" t="s">
        <v>131</v>
      </c>
      <c r="D13" s="51" t="s">
        <v>67</v>
      </c>
      <c r="E13" s="35" t="s">
        <v>55</v>
      </c>
      <c r="F13" s="35"/>
      <c r="G13" s="35" t="s">
        <v>1225</v>
      </c>
      <c r="H13" s="36">
        <v>1</v>
      </c>
      <c r="I13" s="36">
        <v>1</v>
      </c>
      <c r="J13" s="41">
        <v>2590</v>
      </c>
      <c r="K13" s="41">
        <f t="shared" si="0"/>
        <v>2590</v>
      </c>
      <c r="L13" s="193"/>
      <c r="M13" s="59"/>
    </row>
    <row r="14" spans="1:13" s="40" customFormat="1" ht="24" customHeight="1">
      <c r="A14" s="229">
        <v>8</v>
      </c>
      <c r="B14" s="33"/>
      <c r="C14" s="201" t="s">
        <v>132</v>
      </c>
      <c r="D14" s="201" t="s">
        <v>140</v>
      </c>
      <c r="E14" s="35" t="s">
        <v>143</v>
      </c>
      <c r="F14" s="35"/>
      <c r="G14" s="35" t="s">
        <v>1225</v>
      </c>
      <c r="H14" s="36">
        <v>2</v>
      </c>
      <c r="I14" s="36">
        <v>2</v>
      </c>
      <c r="J14" s="232">
        <v>22649</v>
      </c>
      <c r="K14" s="41">
        <f t="shared" si="0"/>
        <v>45298</v>
      </c>
      <c r="L14" s="193"/>
      <c r="M14" s="59"/>
    </row>
    <row r="15" spans="1:13" s="40" customFormat="1" ht="24" customHeight="1">
      <c r="A15" s="229">
        <v>9</v>
      </c>
      <c r="B15" s="33"/>
      <c r="C15" s="51" t="s">
        <v>133</v>
      </c>
      <c r="D15" s="51" t="s">
        <v>141</v>
      </c>
      <c r="E15" s="35" t="s">
        <v>143</v>
      </c>
      <c r="F15" s="35"/>
      <c r="G15" s="35" t="s">
        <v>1225</v>
      </c>
      <c r="H15" s="36">
        <v>2</v>
      </c>
      <c r="I15" s="36">
        <v>2</v>
      </c>
      <c r="J15" s="41">
        <v>7337</v>
      </c>
      <c r="K15" s="41">
        <f t="shared" si="0"/>
        <v>14674</v>
      </c>
      <c r="L15" s="193"/>
      <c r="M15" s="59"/>
    </row>
    <row r="16" spans="1:13" ht="24" customHeight="1" thickBot="1">
      <c r="A16" s="455" t="s">
        <v>381</v>
      </c>
      <c r="B16" s="456"/>
      <c r="C16" s="456"/>
      <c r="D16" s="456"/>
      <c r="E16" s="456"/>
      <c r="F16" s="456"/>
      <c r="G16" s="456"/>
      <c r="H16" s="456"/>
      <c r="I16" s="456"/>
      <c r="J16" s="457"/>
      <c r="K16" s="416">
        <f>SUM(K7:K15)</f>
        <v>108497.3</v>
      </c>
      <c r="L16" s="410"/>
      <c r="M16" s="59"/>
    </row>
    <row r="17" spans="1:13" ht="24" customHeight="1" thickTop="1">
      <c r="A17" s="404"/>
      <c r="B17" s="404"/>
      <c r="C17" s="404"/>
      <c r="D17" s="404"/>
      <c r="E17" s="404"/>
      <c r="F17" s="404"/>
      <c r="G17" s="404"/>
      <c r="H17" s="404"/>
      <c r="I17" s="404"/>
      <c r="J17" s="404"/>
      <c r="K17" s="78"/>
      <c r="L17" s="59"/>
      <c r="M17" s="59"/>
    </row>
    <row r="19" spans="1:13" ht="24" customHeight="1">
      <c r="B19" s="343" t="s">
        <v>4</v>
      </c>
      <c r="C19" s="253" t="s">
        <v>1222</v>
      </c>
      <c r="D19" s="59"/>
      <c r="E19" s="404"/>
      <c r="I19" s="431" t="s">
        <v>161</v>
      </c>
      <c r="J19" s="431"/>
      <c r="K19" s="431"/>
      <c r="L19" s="431"/>
      <c r="M19" s="194"/>
    </row>
    <row r="20" spans="1:13" ht="24" customHeight="1">
      <c r="B20" s="403"/>
      <c r="C20" s="253" t="s">
        <v>1223</v>
      </c>
      <c r="D20" s="59"/>
      <c r="E20" s="59"/>
      <c r="I20" s="431" t="s">
        <v>1044</v>
      </c>
      <c r="J20" s="431"/>
      <c r="K20" s="431"/>
      <c r="L20" s="431"/>
      <c r="M20" s="194"/>
    </row>
    <row r="21" spans="1:13" ht="24" customHeight="1">
      <c r="I21" s="431" t="s">
        <v>162</v>
      </c>
      <c r="J21" s="431"/>
      <c r="K21" s="431"/>
      <c r="L21" s="431"/>
      <c r="M21" s="194"/>
    </row>
  </sheetData>
  <mergeCells count="18">
    <mergeCell ref="J5:J6"/>
    <mergeCell ref="K5:K6"/>
    <mergeCell ref="L5:L6"/>
    <mergeCell ref="A16:J16"/>
    <mergeCell ref="I20:L20"/>
    <mergeCell ref="I21:L21"/>
    <mergeCell ref="A2:L2"/>
    <mergeCell ref="A3:L3"/>
    <mergeCell ref="A4:L4"/>
    <mergeCell ref="I19:L19"/>
    <mergeCell ref="A5:A6"/>
    <mergeCell ref="B5:B6"/>
    <mergeCell ref="C5:C6"/>
    <mergeCell ref="D5:D6"/>
    <mergeCell ref="E5:E6"/>
    <mergeCell ref="F5:F6"/>
    <mergeCell ref="G5:G6"/>
    <mergeCell ref="H5:I5"/>
  </mergeCells>
  <printOptions horizontalCentered="1"/>
  <pageMargins left="0.19685039370078741" right="0" top="0.59055118110236227" bottom="0.19685039370078741" header="0" footer="0"/>
  <pageSetup paperSize="9" scale="75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workbookViewId="0">
      <selection activeCell="I27" sqref="I27"/>
    </sheetView>
  </sheetViews>
  <sheetFormatPr defaultColWidth="9" defaultRowHeight="24"/>
  <cols>
    <col min="1" max="1" width="5.5703125" style="14" customWidth="1"/>
    <col min="2" max="2" width="13.7109375" style="14" customWidth="1"/>
    <col min="3" max="3" width="30.85546875" style="14" customWidth="1"/>
    <col min="4" max="4" width="40.42578125" style="14" customWidth="1"/>
    <col min="5" max="5" width="8" style="14" customWidth="1"/>
    <col min="6" max="6" width="8.85546875" style="14" customWidth="1"/>
    <col min="7" max="7" width="7.5703125" style="14" customWidth="1"/>
    <col min="8" max="9" width="8.42578125" style="14" customWidth="1"/>
    <col min="10" max="10" width="12.5703125" style="14" customWidth="1"/>
    <col min="11" max="11" width="14.5703125" style="14" customWidth="1"/>
    <col min="12" max="12" width="35.85546875" style="228" customWidth="1"/>
    <col min="13" max="13" width="15.85546875" style="228" customWidth="1"/>
    <col min="14" max="16384" width="9" style="14"/>
  </cols>
  <sheetData>
    <row r="1" spans="1:13">
      <c r="L1" s="354" t="s">
        <v>1276</v>
      </c>
      <c r="M1" s="405"/>
    </row>
    <row r="2" spans="1:13" ht="24.75" customHeight="1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3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3">
      <c r="A4" s="441" t="s">
        <v>1275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24"/>
    </row>
    <row r="5" spans="1:13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403"/>
    </row>
    <row r="6" spans="1:13" s="32" customFormat="1" ht="4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8"/>
    </row>
    <row r="7" spans="1:13" s="40" customFormat="1">
      <c r="A7" s="229">
        <v>1</v>
      </c>
      <c r="B7" s="33"/>
      <c r="C7" s="106" t="s">
        <v>187</v>
      </c>
      <c r="D7" s="12" t="s">
        <v>199</v>
      </c>
      <c r="E7" s="35" t="s">
        <v>55</v>
      </c>
      <c r="F7" s="35"/>
      <c r="G7" s="35" t="s">
        <v>1225</v>
      </c>
      <c r="H7" s="36">
        <v>1</v>
      </c>
      <c r="I7" s="36">
        <v>1</v>
      </c>
      <c r="J7" s="41">
        <v>8000</v>
      </c>
      <c r="K7" s="41">
        <f>SUM(I7*J7)</f>
        <v>8000</v>
      </c>
      <c r="L7" s="229"/>
      <c r="M7" s="224"/>
    </row>
    <row r="8" spans="1:13" s="40" customFormat="1">
      <c r="A8" s="229">
        <v>2</v>
      </c>
      <c r="B8" s="33"/>
      <c r="C8" s="34" t="s">
        <v>189</v>
      </c>
      <c r="D8" s="12" t="s">
        <v>201</v>
      </c>
      <c r="E8" s="35" t="s">
        <v>55</v>
      </c>
      <c r="F8" s="35"/>
      <c r="G8" s="35" t="s">
        <v>1225</v>
      </c>
      <c r="H8" s="36">
        <v>1</v>
      </c>
      <c r="I8" s="36">
        <v>1</v>
      </c>
      <c r="J8" s="42">
        <v>17000</v>
      </c>
      <c r="K8" s="41">
        <f t="shared" ref="K8:K16" si="0">SUM(I8*J8)</f>
        <v>17000</v>
      </c>
      <c r="L8" s="229"/>
      <c r="M8" s="224"/>
    </row>
    <row r="9" spans="1:13" s="40" customFormat="1">
      <c r="A9" s="229">
        <v>3</v>
      </c>
      <c r="B9" s="33"/>
      <c r="C9" s="34" t="s">
        <v>190</v>
      </c>
      <c r="D9" s="12" t="s">
        <v>109</v>
      </c>
      <c r="E9" s="35" t="s">
        <v>1100</v>
      </c>
      <c r="F9" s="35"/>
      <c r="G9" s="35" t="s">
        <v>1225</v>
      </c>
      <c r="H9" s="36">
        <v>1</v>
      </c>
      <c r="I9" s="36">
        <v>1</v>
      </c>
      <c r="J9" s="42">
        <v>29000</v>
      </c>
      <c r="K9" s="41">
        <f t="shared" si="0"/>
        <v>29000</v>
      </c>
      <c r="L9" s="229"/>
      <c r="M9" s="224"/>
    </row>
    <row r="10" spans="1:13" s="40" customFormat="1">
      <c r="A10" s="229">
        <v>4</v>
      </c>
      <c r="B10" s="33"/>
      <c r="C10" s="34" t="s">
        <v>191</v>
      </c>
      <c r="D10" s="12" t="s">
        <v>202</v>
      </c>
      <c r="E10" s="110" t="s">
        <v>55</v>
      </c>
      <c r="F10" s="110"/>
      <c r="G10" s="35" t="s">
        <v>1225</v>
      </c>
      <c r="H10" s="36">
        <v>1</v>
      </c>
      <c r="I10" s="36">
        <v>1</v>
      </c>
      <c r="J10" s="42">
        <v>7000</v>
      </c>
      <c r="K10" s="41">
        <f t="shared" si="0"/>
        <v>7000</v>
      </c>
      <c r="L10" s="229"/>
      <c r="M10" s="224"/>
    </row>
    <row r="11" spans="1:13" s="40" customFormat="1">
      <c r="A11" s="229">
        <v>5</v>
      </c>
      <c r="B11" s="33"/>
      <c r="C11" s="34" t="s">
        <v>192</v>
      </c>
      <c r="D11" s="12" t="s">
        <v>203</v>
      </c>
      <c r="E11" s="35" t="s">
        <v>56</v>
      </c>
      <c r="F11" s="35"/>
      <c r="G11" s="35" t="s">
        <v>1225</v>
      </c>
      <c r="H11" s="36">
        <v>1</v>
      </c>
      <c r="I11" s="36">
        <v>1</v>
      </c>
      <c r="J11" s="42">
        <v>5500</v>
      </c>
      <c r="K11" s="41">
        <f t="shared" si="0"/>
        <v>5500</v>
      </c>
      <c r="L11" s="229"/>
      <c r="M11" s="224"/>
    </row>
    <row r="12" spans="1:13" s="40" customFormat="1">
      <c r="A12" s="229">
        <v>6</v>
      </c>
      <c r="B12" s="33"/>
      <c r="C12" s="34" t="s">
        <v>193</v>
      </c>
      <c r="D12" s="12" t="s">
        <v>204</v>
      </c>
      <c r="E12" s="35" t="s">
        <v>56</v>
      </c>
      <c r="F12" s="35"/>
      <c r="G12" s="35" t="s">
        <v>1225</v>
      </c>
      <c r="H12" s="36">
        <v>1</v>
      </c>
      <c r="I12" s="36">
        <v>1</v>
      </c>
      <c r="J12" s="42">
        <v>17300</v>
      </c>
      <c r="K12" s="41">
        <f t="shared" si="0"/>
        <v>17300</v>
      </c>
      <c r="L12" s="229"/>
      <c r="M12" s="224"/>
    </row>
    <row r="13" spans="1:13" s="40" customFormat="1">
      <c r="A13" s="229">
        <v>7</v>
      </c>
      <c r="B13" s="107"/>
      <c r="C13" s="34" t="s">
        <v>194</v>
      </c>
      <c r="D13" s="12" t="s">
        <v>1142</v>
      </c>
      <c r="E13" s="35" t="s">
        <v>1100</v>
      </c>
      <c r="F13" s="35"/>
      <c r="G13" s="35" t="s">
        <v>1225</v>
      </c>
      <c r="H13" s="36">
        <v>1</v>
      </c>
      <c r="I13" s="36">
        <v>1</v>
      </c>
      <c r="J13" s="42">
        <v>4800</v>
      </c>
      <c r="K13" s="41">
        <f t="shared" si="0"/>
        <v>4800</v>
      </c>
      <c r="L13" s="229"/>
      <c r="M13" s="224"/>
    </row>
    <row r="14" spans="1:13" s="40" customFormat="1">
      <c r="A14" s="229">
        <v>8</v>
      </c>
      <c r="B14" s="107"/>
      <c r="C14" s="34" t="s">
        <v>195</v>
      </c>
      <c r="D14" s="12" t="s">
        <v>156</v>
      </c>
      <c r="E14" s="35" t="s">
        <v>55</v>
      </c>
      <c r="F14" s="35"/>
      <c r="G14" s="35" t="s">
        <v>1225</v>
      </c>
      <c r="H14" s="36">
        <v>1</v>
      </c>
      <c r="I14" s="36">
        <v>1</v>
      </c>
      <c r="J14" s="42">
        <v>3950</v>
      </c>
      <c r="K14" s="41">
        <f t="shared" si="0"/>
        <v>3950</v>
      </c>
      <c r="L14" s="229"/>
      <c r="M14" s="224"/>
    </row>
    <row r="15" spans="1:13" s="40" customFormat="1">
      <c r="A15" s="229">
        <v>9</v>
      </c>
      <c r="B15" s="107"/>
      <c r="C15" s="34" t="s">
        <v>196</v>
      </c>
      <c r="D15" s="12" t="s">
        <v>68</v>
      </c>
      <c r="E15" s="35" t="s">
        <v>55</v>
      </c>
      <c r="F15" s="35"/>
      <c r="G15" s="35" t="s">
        <v>1225</v>
      </c>
      <c r="H15" s="36">
        <v>1</v>
      </c>
      <c r="I15" s="36">
        <v>1</v>
      </c>
      <c r="J15" s="42">
        <v>17000</v>
      </c>
      <c r="K15" s="41">
        <f t="shared" si="0"/>
        <v>17000</v>
      </c>
      <c r="L15" s="229"/>
      <c r="M15" s="224"/>
    </row>
    <row r="16" spans="1:13" s="40" customFormat="1">
      <c r="A16" s="229">
        <v>10</v>
      </c>
      <c r="B16" s="66" t="s">
        <v>1167</v>
      </c>
      <c r="C16" s="45" t="s">
        <v>197</v>
      </c>
      <c r="D16" s="33" t="s">
        <v>205</v>
      </c>
      <c r="E16" s="35" t="s">
        <v>56</v>
      </c>
      <c r="F16" s="35"/>
      <c r="G16" s="35" t="s">
        <v>1225</v>
      </c>
      <c r="H16" s="36">
        <v>1</v>
      </c>
      <c r="I16" s="36">
        <v>1</v>
      </c>
      <c r="J16" s="46">
        <v>18900</v>
      </c>
      <c r="K16" s="41">
        <f t="shared" si="0"/>
        <v>18900</v>
      </c>
      <c r="L16" s="229"/>
      <c r="M16" s="224"/>
    </row>
    <row r="17" spans="1:13" ht="24.75" thickBot="1">
      <c r="A17" s="471" t="s">
        <v>381</v>
      </c>
      <c r="B17" s="472"/>
      <c r="C17" s="472"/>
      <c r="D17" s="472"/>
      <c r="E17" s="472"/>
      <c r="F17" s="472"/>
      <c r="G17" s="472"/>
      <c r="H17" s="472"/>
      <c r="I17" s="472"/>
      <c r="J17" s="473"/>
      <c r="K17" s="419">
        <f>SUM(K7:K16)</f>
        <v>128450</v>
      </c>
      <c r="L17" s="387"/>
      <c r="M17" s="224"/>
    </row>
    <row r="18" spans="1:13" ht="24.75" thickTop="1"/>
    <row r="19" spans="1:13">
      <c r="B19" s="343" t="s">
        <v>4</v>
      </c>
      <c r="C19" s="253" t="s">
        <v>1222</v>
      </c>
      <c r="D19" s="59"/>
      <c r="E19" s="404"/>
    </row>
    <row r="20" spans="1:13">
      <c r="B20" s="403"/>
      <c r="C20" s="253" t="s">
        <v>1223</v>
      </c>
      <c r="D20" s="59"/>
      <c r="E20" s="59"/>
      <c r="I20" s="431" t="s">
        <v>1021</v>
      </c>
      <c r="J20" s="431"/>
      <c r="K20" s="431"/>
      <c r="L20" s="431"/>
      <c r="M20" s="224"/>
    </row>
    <row r="21" spans="1:13">
      <c r="I21" s="431" t="s">
        <v>206</v>
      </c>
      <c r="J21" s="431"/>
      <c r="K21" s="431"/>
      <c r="L21" s="431"/>
      <c r="M21" s="224"/>
    </row>
    <row r="22" spans="1:13">
      <c r="I22" s="431" t="s">
        <v>162</v>
      </c>
      <c r="J22" s="431"/>
      <c r="K22" s="431"/>
      <c r="L22" s="431"/>
      <c r="M22" s="224"/>
    </row>
    <row r="23" spans="1:13">
      <c r="I23" s="224"/>
      <c r="J23" s="224"/>
      <c r="K23" s="224"/>
      <c r="L23" s="224"/>
      <c r="M23" s="224"/>
    </row>
  </sheetData>
  <mergeCells count="18">
    <mergeCell ref="A2:L2"/>
    <mergeCell ref="A3:L3"/>
    <mergeCell ref="A4:L4"/>
    <mergeCell ref="A17:J17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I20:L20"/>
    <mergeCell ref="I21:L21"/>
    <mergeCell ref="I22:L22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84"/>
  <sheetViews>
    <sheetView workbookViewId="0">
      <selection activeCell="M86" sqref="M86"/>
    </sheetView>
  </sheetViews>
  <sheetFormatPr defaultColWidth="9" defaultRowHeight="22.5" customHeight="1"/>
  <cols>
    <col min="1" max="1" width="5.5703125" style="14" customWidth="1"/>
    <col min="2" max="2" width="12" style="14" customWidth="1"/>
    <col min="3" max="3" width="35" style="256" customWidth="1"/>
    <col min="4" max="4" width="35.85546875" style="14" customWidth="1"/>
    <col min="5" max="5" width="8" style="257" customWidth="1"/>
    <col min="6" max="6" width="9.28515625" style="257" customWidth="1"/>
    <col min="7" max="9" width="7.7109375" style="257" customWidth="1"/>
    <col min="10" max="10" width="14.28515625" style="257" customWidth="1"/>
    <col min="11" max="11" width="13.85546875" style="257" customWidth="1"/>
    <col min="12" max="12" width="32" style="228" customWidth="1"/>
    <col min="13" max="13" width="15.140625" style="228" customWidth="1"/>
    <col min="14" max="15" width="13.140625" style="14" customWidth="1"/>
    <col min="16" max="16384" width="9" style="14"/>
  </cols>
  <sheetData>
    <row r="1" spans="1:15" ht="22.5" customHeight="1">
      <c r="L1" s="354" t="s">
        <v>1278</v>
      </c>
      <c r="M1" s="405"/>
    </row>
    <row r="2" spans="1:15" ht="22.5" customHeight="1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5" ht="22.5" customHeight="1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231"/>
    </row>
    <row r="4" spans="1:15" ht="22.5" customHeight="1">
      <c r="A4" s="441" t="s">
        <v>1277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224"/>
    </row>
    <row r="5" spans="1:15" ht="22.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403"/>
    </row>
    <row r="6" spans="1:15" s="228" customFormat="1" ht="45.7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230"/>
    </row>
    <row r="7" spans="1:15" ht="22.5" customHeight="1">
      <c r="A7" s="108">
        <v>1</v>
      </c>
      <c r="B7" s="44"/>
      <c r="C7" s="34" t="s">
        <v>598</v>
      </c>
      <c r="D7" s="106" t="s">
        <v>599</v>
      </c>
      <c r="E7" s="110" t="s">
        <v>55</v>
      </c>
      <c r="F7" s="110"/>
      <c r="G7" s="110" t="s">
        <v>1225</v>
      </c>
      <c r="H7" s="110">
        <v>331</v>
      </c>
      <c r="I7" s="110">
        <v>331</v>
      </c>
      <c r="J7" s="111">
        <v>500</v>
      </c>
      <c r="K7" s="111">
        <f>SUM(I7*J7)</f>
        <v>165500</v>
      </c>
      <c r="L7" s="112"/>
      <c r="M7" s="237"/>
      <c r="O7" s="238"/>
    </row>
    <row r="8" spans="1:15" ht="22.5" customHeight="1">
      <c r="A8" s="239">
        <v>2</v>
      </c>
      <c r="B8" s="113"/>
      <c r="C8" s="240" t="s">
        <v>600</v>
      </c>
      <c r="D8" s="241" t="s">
        <v>601</v>
      </c>
      <c r="E8" s="110" t="s">
        <v>55</v>
      </c>
      <c r="F8" s="110"/>
      <c r="G8" s="110" t="s">
        <v>1225</v>
      </c>
      <c r="H8" s="110">
        <v>83</v>
      </c>
      <c r="I8" s="110">
        <v>83</v>
      </c>
      <c r="J8" s="242">
        <v>600</v>
      </c>
      <c r="K8" s="111">
        <f t="shared" ref="K8:K32" si="0">SUM(I8*J8)</f>
        <v>49800</v>
      </c>
      <c r="L8" s="112"/>
      <c r="M8" s="237"/>
    </row>
    <row r="9" spans="1:15" ht="22.5" customHeight="1">
      <c r="A9" s="108">
        <v>3</v>
      </c>
      <c r="B9" s="44"/>
      <c r="C9" s="34" t="s">
        <v>602</v>
      </c>
      <c r="D9" s="12" t="s">
        <v>601</v>
      </c>
      <c r="E9" s="110" t="s">
        <v>56</v>
      </c>
      <c r="F9" s="110"/>
      <c r="G9" s="110" t="s">
        <v>1225</v>
      </c>
      <c r="H9" s="110">
        <v>27</v>
      </c>
      <c r="I9" s="110">
        <v>27</v>
      </c>
      <c r="J9" s="111">
        <v>600</v>
      </c>
      <c r="K9" s="111">
        <f t="shared" si="0"/>
        <v>16200</v>
      </c>
      <c r="L9" s="112"/>
      <c r="M9" s="237"/>
    </row>
    <row r="10" spans="1:15" ht="22.5" customHeight="1">
      <c r="A10" s="239">
        <v>4</v>
      </c>
      <c r="B10" s="44"/>
      <c r="C10" s="34" t="s">
        <v>603</v>
      </c>
      <c r="D10" s="12" t="s">
        <v>604</v>
      </c>
      <c r="E10" s="110" t="s">
        <v>55</v>
      </c>
      <c r="F10" s="110"/>
      <c r="G10" s="110" t="s">
        <v>1225</v>
      </c>
      <c r="H10" s="110">
        <v>1</v>
      </c>
      <c r="I10" s="110">
        <v>1</v>
      </c>
      <c r="J10" s="111">
        <v>15000</v>
      </c>
      <c r="K10" s="111">
        <f t="shared" si="0"/>
        <v>15000</v>
      </c>
      <c r="L10" s="112"/>
      <c r="M10" s="237"/>
    </row>
    <row r="11" spans="1:15" ht="22.5" customHeight="1">
      <c r="A11" s="108">
        <v>5</v>
      </c>
      <c r="B11" s="44"/>
      <c r="C11" s="34" t="s">
        <v>605</v>
      </c>
      <c r="D11" s="34" t="s">
        <v>606</v>
      </c>
      <c r="E11" s="110" t="s">
        <v>55</v>
      </c>
      <c r="F11" s="110"/>
      <c r="G11" s="110" t="s">
        <v>1225</v>
      </c>
      <c r="H11" s="110">
        <v>2</v>
      </c>
      <c r="I11" s="110">
        <v>2</v>
      </c>
      <c r="J11" s="111">
        <v>2350</v>
      </c>
      <c r="K11" s="111">
        <f t="shared" si="0"/>
        <v>4700</v>
      </c>
      <c r="L11" s="112"/>
      <c r="M11" s="237"/>
    </row>
    <row r="12" spans="1:15" ht="22.5" customHeight="1">
      <c r="A12" s="239">
        <v>6</v>
      </c>
      <c r="B12" s="44"/>
      <c r="C12" s="34" t="s">
        <v>607</v>
      </c>
      <c r="D12" s="34" t="s">
        <v>608</v>
      </c>
      <c r="E12" s="110" t="s">
        <v>55</v>
      </c>
      <c r="F12" s="110"/>
      <c r="G12" s="110" t="s">
        <v>1225</v>
      </c>
      <c r="H12" s="110">
        <v>15</v>
      </c>
      <c r="I12" s="110">
        <v>15</v>
      </c>
      <c r="J12" s="111">
        <v>2250</v>
      </c>
      <c r="K12" s="111">
        <f t="shared" si="0"/>
        <v>33750</v>
      </c>
      <c r="L12" s="112"/>
      <c r="M12" s="237"/>
    </row>
    <row r="13" spans="1:15" ht="22.5" customHeight="1">
      <c r="A13" s="108">
        <v>7</v>
      </c>
      <c r="B13" s="108"/>
      <c r="C13" s="34" t="s">
        <v>609</v>
      </c>
      <c r="D13" s="34" t="s">
        <v>610</v>
      </c>
      <c r="E13" s="110" t="s">
        <v>55</v>
      </c>
      <c r="F13" s="110"/>
      <c r="G13" s="110" t="s">
        <v>1225</v>
      </c>
      <c r="H13" s="110">
        <v>1</v>
      </c>
      <c r="I13" s="110">
        <v>1</v>
      </c>
      <c r="J13" s="111">
        <v>3800</v>
      </c>
      <c r="K13" s="111">
        <f t="shared" si="0"/>
        <v>3800</v>
      </c>
      <c r="L13" s="112"/>
      <c r="M13" s="237"/>
    </row>
    <row r="14" spans="1:15" ht="22.5" customHeight="1">
      <c r="A14" s="239">
        <v>8</v>
      </c>
      <c r="B14" s="44"/>
      <c r="C14" s="34" t="s">
        <v>611</v>
      </c>
      <c r="D14" s="12" t="s">
        <v>601</v>
      </c>
      <c r="E14" s="110" t="s">
        <v>55</v>
      </c>
      <c r="F14" s="110"/>
      <c r="G14" s="110" t="s">
        <v>1225</v>
      </c>
      <c r="H14" s="110">
        <v>156</v>
      </c>
      <c r="I14" s="110">
        <v>156</v>
      </c>
      <c r="J14" s="111">
        <v>600</v>
      </c>
      <c r="K14" s="111">
        <f t="shared" si="0"/>
        <v>93600</v>
      </c>
      <c r="L14" s="112"/>
      <c r="M14" s="237"/>
    </row>
    <row r="15" spans="1:15" ht="22.5" customHeight="1">
      <c r="A15" s="108">
        <v>9</v>
      </c>
      <c r="B15" s="44"/>
      <c r="C15" s="34" t="s">
        <v>612</v>
      </c>
      <c r="D15" s="12" t="s">
        <v>604</v>
      </c>
      <c r="E15" s="110" t="s">
        <v>55</v>
      </c>
      <c r="F15" s="110"/>
      <c r="G15" s="110" t="s">
        <v>1225</v>
      </c>
      <c r="H15" s="114">
        <v>1</v>
      </c>
      <c r="I15" s="114">
        <v>1</v>
      </c>
      <c r="J15" s="111">
        <v>13000</v>
      </c>
      <c r="K15" s="111">
        <f t="shared" si="0"/>
        <v>13000</v>
      </c>
      <c r="L15" s="112"/>
      <c r="M15" s="237"/>
    </row>
    <row r="16" spans="1:15" ht="22.5" customHeight="1">
      <c r="A16" s="239">
        <v>10</v>
      </c>
      <c r="B16" s="44"/>
      <c r="C16" s="34" t="s">
        <v>613</v>
      </c>
      <c r="D16" s="34" t="s">
        <v>614</v>
      </c>
      <c r="E16" s="110" t="s">
        <v>1100</v>
      </c>
      <c r="F16" s="110"/>
      <c r="G16" s="110" t="s">
        <v>1225</v>
      </c>
      <c r="H16" s="114">
        <v>1</v>
      </c>
      <c r="I16" s="114">
        <v>1</v>
      </c>
      <c r="J16" s="111">
        <v>3000</v>
      </c>
      <c r="K16" s="111">
        <f t="shared" si="0"/>
        <v>3000</v>
      </c>
      <c r="L16" s="112"/>
      <c r="M16" s="237"/>
    </row>
    <row r="17" spans="1:13" ht="22.5" customHeight="1">
      <c r="A17" s="108">
        <v>11</v>
      </c>
      <c r="B17" s="115"/>
      <c r="C17" s="34" t="s">
        <v>615</v>
      </c>
      <c r="D17" s="34" t="s">
        <v>614</v>
      </c>
      <c r="E17" s="110" t="s">
        <v>1100</v>
      </c>
      <c r="F17" s="110"/>
      <c r="G17" s="110" t="s">
        <v>1225</v>
      </c>
      <c r="H17" s="114">
        <v>1</v>
      </c>
      <c r="I17" s="114">
        <v>1</v>
      </c>
      <c r="J17" s="111">
        <v>2500</v>
      </c>
      <c r="K17" s="111">
        <f t="shared" si="0"/>
        <v>2500</v>
      </c>
      <c r="L17" s="112"/>
      <c r="M17" s="237"/>
    </row>
    <row r="18" spans="1:13" ht="22.5" customHeight="1">
      <c r="A18" s="239">
        <v>12</v>
      </c>
      <c r="B18" s="115"/>
      <c r="C18" s="34" t="s">
        <v>616</v>
      </c>
      <c r="D18" s="34" t="s">
        <v>608</v>
      </c>
      <c r="E18" s="110" t="s">
        <v>1100</v>
      </c>
      <c r="F18" s="110"/>
      <c r="G18" s="110" t="s">
        <v>1225</v>
      </c>
      <c r="H18" s="114">
        <v>1</v>
      </c>
      <c r="I18" s="114">
        <v>1</v>
      </c>
      <c r="J18" s="111">
        <v>2100</v>
      </c>
      <c r="K18" s="111">
        <f t="shared" si="0"/>
        <v>2100</v>
      </c>
      <c r="L18" s="229"/>
      <c r="M18" s="224"/>
    </row>
    <row r="19" spans="1:13" ht="22.5" customHeight="1">
      <c r="A19" s="108">
        <v>13</v>
      </c>
      <c r="B19" s="107"/>
      <c r="C19" s="34" t="s">
        <v>617</v>
      </c>
      <c r="D19" s="34" t="s">
        <v>618</v>
      </c>
      <c r="E19" s="110" t="s">
        <v>56</v>
      </c>
      <c r="F19" s="110"/>
      <c r="G19" s="110" t="s">
        <v>1225</v>
      </c>
      <c r="H19" s="114">
        <v>1</v>
      </c>
      <c r="I19" s="114">
        <v>1</v>
      </c>
      <c r="J19" s="111">
        <v>27500</v>
      </c>
      <c r="K19" s="111">
        <f t="shared" si="0"/>
        <v>27500</v>
      </c>
      <c r="L19" s="229"/>
      <c r="M19" s="224"/>
    </row>
    <row r="20" spans="1:13" ht="22.5" customHeight="1">
      <c r="A20" s="239">
        <v>14</v>
      </c>
      <c r="B20" s="243"/>
      <c r="C20" s="34" t="s">
        <v>619</v>
      </c>
      <c r="D20" s="34" t="s">
        <v>620</v>
      </c>
      <c r="E20" s="110" t="s">
        <v>1127</v>
      </c>
      <c r="F20" s="110"/>
      <c r="G20" s="110" t="s">
        <v>1225</v>
      </c>
      <c r="H20" s="114">
        <v>72</v>
      </c>
      <c r="I20" s="114">
        <v>72</v>
      </c>
      <c r="J20" s="111">
        <v>300</v>
      </c>
      <c r="K20" s="111">
        <f t="shared" si="0"/>
        <v>21600</v>
      </c>
      <c r="L20" s="229"/>
      <c r="M20" s="224"/>
    </row>
    <row r="21" spans="1:13" ht="22.5" customHeight="1">
      <c r="A21" s="108">
        <v>15</v>
      </c>
      <c r="B21" s="229"/>
      <c r="C21" s="34" t="s">
        <v>621</v>
      </c>
      <c r="D21" s="34" t="s">
        <v>622</v>
      </c>
      <c r="E21" s="110" t="s">
        <v>1127</v>
      </c>
      <c r="F21" s="110"/>
      <c r="G21" s="110" t="s">
        <v>1225</v>
      </c>
      <c r="H21" s="114">
        <v>36</v>
      </c>
      <c r="I21" s="114">
        <v>36</v>
      </c>
      <c r="J21" s="111">
        <v>1100</v>
      </c>
      <c r="K21" s="111">
        <f t="shared" si="0"/>
        <v>39600</v>
      </c>
      <c r="L21" s="229"/>
      <c r="M21" s="224"/>
    </row>
    <row r="22" spans="1:13" ht="22.5" customHeight="1">
      <c r="A22" s="239">
        <v>16</v>
      </c>
      <c r="B22" s="33"/>
      <c r="C22" s="34" t="s">
        <v>623</v>
      </c>
      <c r="D22" s="34" t="s">
        <v>624</v>
      </c>
      <c r="E22" s="110" t="s">
        <v>1127</v>
      </c>
      <c r="F22" s="110"/>
      <c r="G22" s="110" t="s">
        <v>1225</v>
      </c>
      <c r="H22" s="114">
        <v>20</v>
      </c>
      <c r="I22" s="114">
        <v>20</v>
      </c>
      <c r="J22" s="111">
        <v>180</v>
      </c>
      <c r="K22" s="111">
        <f t="shared" si="0"/>
        <v>3600</v>
      </c>
      <c r="L22" s="229"/>
      <c r="M22" s="224"/>
    </row>
    <row r="23" spans="1:13" ht="22.5" customHeight="1">
      <c r="A23" s="108">
        <v>17</v>
      </c>
      <c r="B23" s="33"/>
      <c r="C23" s="34" t="s">
        <v>625</v>
      </c>
      <c r="D23" s="12" t="s">
        <v>601</v>
      </c>
      <c r="E23" s="81" t="s">
        <v>56</v>
      </c>
      <c r="F23" s="81"/>
      <c r="G23" s="110" t="s">
        <v>1225</v>
      </c>
      <c r="H23" s="110">
        <v>45</v>
      </c>
      <c r="I23" s="110">
        <v>45</v>
      </c>
      <c r="J23" s="111">
        <v>580</v>
      </c>
      <c r="K23" s="111">
        <f t="shared" si="0"/>
        <v>26100</v>
      </c>
      <c r="L23" s="229"/>
      <c r="M23" s="224"/>
    </row>
    <row r="24" spans="1:13" ht="22.5" customHeight="1">
      <c r="A24" s="239">
        <v>18</v>
      </c>
      <c r="B24" s="33"/>
      <c r="C24" s="34" t="s">
        <v>626</v>
      </c>
      <c r="D24" s="12" t="s">
        <v>601</v>
      </c>
      <c r="E24" s="81" t="s">
        <v>56</v>
      </c>
      <c r="F24" s="81"/>
      <c r="G24" s="110" t="s">
        <v>1225</v>
      </c>
      <c r="H24" s="110">
        <v>80</v>
      </c>
      <c r="I24" s="110">
        <v>80</v>
      </c>
      <c r="J24" s="111">
        <v>580</v>
      </c>
      <c r="K24" s="111">
        <f t="shared" si="0"/>
        <v>46400</v>
      </c>
      <c r="L24" s="229"/>
      <c r="M24" s="224"/>
    </row>
    <row r="25" spans="1:13" ht="22.5" customHeight="1">
      <c r="A25" s="108">
        <v>19</v>
      </c>
      <c r="B25" s="33"/>
      <c r="C25" s="34" t="s">
        <v>627</v>
      </c>
      <c r="D25" s="12" t="s">
        <v>628</v>
      </c>
      <c r="E25" s="81" t="s">
        <v>56</v>
      </c>
      <c r="F25" s="81"/>
      <c r="G25" s="110" t="s">
        <v>1225</v>
      </c>
      <c r="H25" s="110">
        <v>1</v>
      </c>
      <c r="I25" s="110">
        <v>1</v>
      </c>
      <c r="J25" s="111">
        <v>5700</v>
      </c>
      <c r="K25" s="111">
        <f t="shared" si="0"/>
        <v>5700</v>
      </c>
      <c r="L25" s="229"/>
      <c r="M25" s="224"/>
    </row>
    <row r="26" spans="1:13" ht="22.5" customHeight="1">
      <c r="A26" s="239">
        <v>20</v>
      </c>
      <c r="B26" s="33"/>
      <c r="C26" s="34" t="s">
        <v>629</v>
      </c>
      <c r="D26" s="34" t="s">
        <v>614</v>
      </c>
      <c r="E26" s="81" t="s">
        <v>56</v>
      </c>
      <c r="F26" s="81"/>
      <c r="G26" s="110" t="s">
        <v>1225</v>
      </c>
      <c r="H26" s="110">
        <v>1</v>
      </c>
      <c r="I26" s="110">
        <v>1</v>
      </c>
      <c r="J26" s="111">
        <v>2500</v>
      </c>
      <c r="K26" s="111">
        <f t="shared" si="0"/>
        <v>2500</v>
      </c>
      <c r="L26" s="229"/>
      <c r="M26" s="224"/>
    </row>
    <row r="27" spans="1:13" ht="22.5" customHeight="1">
      <c r="A27" s="108">
        <v>21</v>
      </c>
      <c r="B27" s="33"/>
      <c r="C27" s="34" t="s">
        <v>630</v>
      </c>
      <c r="D27" s="34" t="s">
        <v>606</v>
      </c>
      <c r="E27" s="110" t="s">
        <v>1100</v>
      </c>
      <c r="F27" s="110"/>
      <c r="G27" s="110" t="s">
        <v>1225</v>
      </c>
      <c r="H27" s="110">
        <v>4</v>
      </c>
      <c r="I27" s="110">
        <v>4</v>
      </c>
      <c r="J27" s="111">
        <v>3000</v>
      </c>
      <c r="K27" s="111">
        <f t="shared" si="0"/>
        <v>12000</v>
      </c>
      <c r="L27" s="229"/>
      <c r="M27" s="224"/>
    </row>
    <row r="28" spans="1:13" ht="22.5" customHeight="1">
      <c r="A28" s="239">
        <v>22</v>
      </c>
      <c r="B28" s="33"/>
      <c r="C28" s="34" t="s">
        <v>631</v>
      </c>
      <c r="D28" s="34" t="s">
        <v>632</v>
      </c>
      <c r="E28" s="116" t="s">
        <v>56</v>
      </c>
      <c r="F28" s="116"/>
      <c r="G28" s="110" t="s">
        <v>1225</v>
      </c>
      <c r="H28" s="110">
        <v>2</v>
      </c>
      <c r="I28" s="110">
        <v>2</v>
      </c>
      <c r="J28" s="111">
        <v>3424</v>
      </c>
      <c r="K28" s="111">
        <f t="shared" si="0"/>
        <v>6848</v>
      </c>
      <c r="L28" s="229"/>
      <c r="M28" s="224"/>
    </row>
    <row r="29" spans="1:13" ht="22.5" customHeight="1">
      <c r="A29" s="108">
        <v>23</v>
      </c>
      <c r="B29" s="117"/>
      <c r="C29" s="34" t="s">
        <v>633</v>
      </c>
      <c r="D29" s="12" t="s">
        <v>634</v>
      </c>
      <c r="E29" s="116" t="s">
        <v>56</v>
      </c>
      <c r="F29" s="116"/>
      <c r="G29" s="110" t="s">
        <v>1225</v>
      </c>
      <c r="H29" s="110">
        <v>1</v>
      </c>
      <c r="I29" s="110">
        <v>1</v>
      </c>
      <c r="J29" s="111">
        <v>10561</v>
      </c>
      <c r="K29" s="111">
        <f t="shared" si="0"/>
        <v>10561</v>
      </c>
      <c r="L29" s="229"/>
      <c r="M29" s="224"/>
    </row>
    <row r="30" spans="1:13" ht="22.5" customHeight="1">
      <c r="A30" s="239">
        <v>24</v>
      </c>
      <c r="B30" s="113"/>
      <c r="C30" s="34" t="s">
        <v>635</v>
      </c>
      <c r="D30" s="12" t="s">
        <v>636</v>
      </c>
      <c r="E30" s="110" t="s">
        <v>56</v>
      </c>
      <c r="F30" s="110"/>
      <c r="G30" s="110" t="s">
        <v>1225</v>
      </c>
      <c r="H30" s="114">
        <v>1</v>
      </c>
      <c r="I30" s="114">
        <v>1</v>
      </c>
      <c r="J30" s="111">
        <v>11535.6</v>
      </c>
      <c r="K30" s="111">
        <f t="shared" si="0"/>
        <v>11535.6</v>
      </c>
      <c r="L30" s="244"/>
      <c r="M30" s="237"/>
    </row>
    <row r="31" spans="1:13" ht="22.5" customHeight="1">
      <c r="A31" s="108">
        <v>25</v>
      </c>
      <c r="B31" s="44"/>
      <c r="C31" s="34" t="s">
        <v>637</v>
      </c>
      <c r="D31" s="12" t="s">
        <v>601</v>
      </c>
      <c r="E31" s="110" t="s">
        <v>55</v>
      </c>
      <c r="F31" s="110"/>
      <c r="G31" s="110" t="s">
        <v>1225</v>
      </c>
      <c r="H31" s="114">
        <v>80</v>
      </c>
      <c r="I31" s="114">
        <v>80</v>
      </c>
      <c r="J31" s="118">
        <v>580</v>
      </c>
      <c r="K31" s="111">
        <f t="shared" si="0"/>
        <v>46400</v>
      </c>
      <c r="L31" s="112"/>
      <c r="M31" s="237"/>
    </row>
    <row r="32" spans="1:13" ht="22.5" customHeight="1">
      <c r="A32" s="239">
        <v>26</v>
      </c>
      <c r="B32" s="44"/>
      <c r="C32" s="34" t="s">
        <v>638</v>
      </c>
      <c r="D32" s="34" t="s">
        <v>639</v>
      </c>
      <c r="E32" s="110" t="s">
        <v>56</v>
      </c>
      <c r="F32" s="110"/>
      <c r="G32" s="110" t="s">
        <v>1225</v>
      </c>
      <c r="H32" s="114">
        <v>1</v>
      </c>
      <c r="I32" s="114">
        <v>1</v>
      </c>
      <c r="J32" s="118">
        <v>1400</v>
      </c>
      <c r="K32" s="111">
        <f t="shared" si="0"/>
        <v>1400</v>
      </c>
      <c r="L32" s="112"/>
      <c r="M32" s="237"/>
    </row>
    <row r="33" spans="1:13" ht="22.5" customHeight="1">
      <c r="A33" s="477" t="s">
        <v>1203</v>
      </c>
      <c r="B33" s="477"/>
      <c r="C33" s="477"/>
      <c r="D33" s="477"/>
      <c r="E33" s="477"/>
      <c r="F33" s="477"/>
      <c r="G33" s="477"/>
      <c r="H33" s="477"/>
      <c r="I33" s="477"/>
      <c r="J33" s="477"/>
      <c r="K33" s="111">
        <f>SUM(K7:K32)</f>
        <v>664694.6</v>
      </c>
      <c r="L33" s="112"/>
      <c r="M33" s="237"/>
    </row>
    <row r="34" spans="1:13" ht="22.5" customHeight="1">
      <c r="L34" s="354" t="s">
        <v>1279</v>
      </c>
      <c r="M34" s="237"/>
    </row>
    <row r="35" spans="1:13" ht="22.5" customHeight="1">
      <c r="A35" s="439" t="s">
        <v>550</v>
      </c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237"/>
    </row>
    <row r="36" spans="1:13" ht="22.5" customHeight="1">
      <c r="A36" s="440" t="s">
        <v>1228</v>
      </c>
      <c r="B36" s="440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237"/>
    </row>
    <row r="37" spans="1:13" ht="22.5" customHeight="1">
      <c r="A37" s="441" t="s">
        <v>1277</v>
      </c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237"/>
    </row>
    <row r="38" spans="1:13" ht="24.75" customHeight="1">
      <c r="A38" s="432" t="s">
        <v>1196</v>
      </c>
      <c r="B38" s="432" t="s">
        <v>1226</v>
      </c>
      <c r="C38" s="432" t="s">
        <v>1221</v>
      </c>
      <c r="D38" s="444" t="s">
        <v>0</v>
      </c>
      <c r="E38" s="432" t="s">
        <v>1216</v>
      </c>
      <c r="F38" s="432" t="s">
        <v>1215</v>
      </c>
      <c r="G38" s="437" t="s">
        <v>1217</v>
      </c>
      <c r="H38" s="442" t="s">
        <v>2</v>
      </c>
      <c r="I38" s="443"/>
      <c r="J38" s="432" t="s">
        <v>1220</v>
      </c>
      <c r="K38" s="432" t="s">
        <v>1202</v>
      </c>
      <c r="L38" s="432" t="s">
        <v>1219</v>
      </c>
      <c r="M38" s="237"/>
    </row>
    <row r="39" spans="1:13" ht="47.25" customHeight="1">
      <c r="A39" s="433"/>
      <c r="B39" s="433"/>
      <c r="C39" s="433"/>
      <c r="D39" s="445"/>
      <c r="E39" s="433"/>
      <c r="F39" s="433"/>
      <c r="G39" s="438"/>
      <c r="H39" s="176" t="s">
        <v>1218</v>
      </c>
      <c r="I39" s="126" t="s">
        <v>69</v>
      </c>
      <c r="J39" s="433"/>
      <c r="K39" s="433"/>
      <c r="L39" s="433"/>
      <c r="M39" s="237"/>
    </row>
    <row r="40" spans="1:13" ht="24" customHeight="1">
      <c r="A40" s="452" t="s">
        <v>1204</v>
      </c>
      <c r="B40" s="453"/>
      <c r="C40" s="453"/>
      <c r="D40" s="453"/>
      <c r="E40" s="453"/>
      <c r="F40" s="453"/>
      <c r="G40" s="453"/>
      <c r="H40" s="453"/>
      <c r="I40" s="453"/>
      <c r="J40" s="454"/>
      <c r="K40" s="381">
        <f>SUM(K33)</f>
        <v>664694.6</v>
      </c>
      <c r="L40" s="402"/>
      <c r="M40" s="237"/>
    </row>
    <row r="41" spans="1:13" ht="22.5" customHeight="1">
      <c r="A41" s="108">
        <v>27</v>
      </c>
      <c r="B41" s="44"/>
      <c r="C41" s="34" t="s">
        <v>640</v>
      </c>
      <c r="D41" s="12" t="s">
        <v>641</v>
      </c>
      <c r="E41" s="110" t="s">
        <v>56</v>
      </c>
      <c r="F41" s="110"/>
      <c r="G41" s="110" t="s">
        <v>1225</v>
      </c>
      <c r="H41" s="114">
        <v>1</v>
      </c>
      <c r="I41" s="114">
        <v>1</v>
      </c>
      <c r="J41" s="118">
        <v>2920</v>
      </c>
      <c r="K41" s="111">
        <f t="shared" ref="K41:K77" si="1">SUM(I41*J41)</f>
        <v>2920</v>
      </c>
      <c r="L41" s="112"/>
      <c r="M41" s="237"/>
    </row>
    <row r="42" spans="1:13" ht="22.5" customHeight="1">
      <c r="A42" s="239">
        <v>28</v>
      </c>
      <c r="B42" s="108"/>
      <c r="C42" s="34" t="s">
        <v>642</v>
      </c>
      <c r="D42" s="34" t="s">
        <v>643</v>
      </c>
      <c r="E42" s="110" t="s">
        <v>56</v>
      </c>
      <c r="F42" s="110"/>
      <c r="G42" s="110" t="s">
        <v>1225</v>
      </c>
      <c r="H42" s="114">
        <v>1</v>
      </c>
      <c r="I42" s="114">
        <v>1</v>
      </c>
      <c r="J42" s="118">
        <v>5880</v>
      </c>
      <c r="K42" s="111">
        <f t="shared" si="1"/>
        <v>5880</v>
      </c>
      <c r="L42" s="112"/>
      <c r="M42" s="237"/>
    </row>
    <row r="43" spans="1:13" ht="22.5" customHeight="1">
      <c r="A43" s="108">
        <v>29</v>
      </c>
      <c r="B43" s="44"/>
      <c r="C43" s="34" t="s">
        <v>644</v>
      </c>
      <c r="D43" s="34" t="s">
        <v>645</v>
      </c>
      <c r="E43" s="110" t="s">
        <v>56</v>
      </c>
      <c r="F43" s="110"/>
      <c r="G43" s="110" t="s">
        <v>1225</v>
      </c>
      <c r="H43" s="114">
        <v>2</v>
      </c>
      <c r="I43" s="114">
        <v>2</v>
      </c>
      <c r="J43" s="118">
        <v>960</v>
      </c>
      <c r="K43" s="111">
        <f t="shared" si="1"/>
        <v>1920</v>
      </c>
      <c r="L43" s="112"/>
      <c r="M43" s="237"/>
    </row>
    <row r="44" spans="1:13" ht="22.5" customHeight="1">
      <c r="A44" s="239">
        <v>30</v>
      </c>
      <c r="B44" s="44"/>
      <c r="C44" s="34" t="s">
        <v>646</v>
      </c>
      <c r="D44" s="12" t="s">
        <v>647</v>
      </c>
      <c r="E44" s="110" t="s">
        <v>56</v>
      </c>
      <c r="F44" s="110"/>
      <c r="G44" s="110" t="s">
        <v>1225</v>
      </c>
      <c r="H44" s="114">
        <v>1</v>
      </c>
      <c r="I44" s="114">
        <v>1</v>
      </c>
      <c r="J44" s="118">
        <v>5280.45</v>
      </c>
      <c r="K44" s="111">
        <f t="shared" si="1"/>
        <v>5280.45</v>
      </c>
      <c r="L44" s="112"/>
      <c r="M44" s="237"/>
    </row>
    <row r="45" spans="1:13" ht="22.5" customHeight="1">
      <c r="A45" s="108">
        <v>31</v>
      </c>
      <c r="B45" s="115"/>
      <c r="C45" s="34" t="s">
        <v>648</v>
      </c>
      <c r="D45" s="12" t="s">
        <v>601</v>
      </c>
      <c r="E45" s="110" t="s">
        <v>56</v>
      </c>
      <c r="F45" s="110"/>
      <c r="G45" s="110" t="s">
        <v>1225</v>
      </c>
      <c r="H45" s="114">
        <v>80</v>
      </c>
      <c r="I45" s="114">
        <v>80</v>
      </c>
      <c r="J45" s="118">
        <v>460</v>
      </c>
      <c r="K45" s="111">
        <f t="shared" si="1"/>
        <v>36800</v>
      </c>
      <c r="L45" s="229"/>
      <c r="M45" s="224"/>
    </row>
    <row r="46" spans="1:13" ht="22.5" customHeight="1">
      <c r="A46" s="239">
        <v>32</v>
      </c>
      <c r="B46" s="107"/>
      <c r="C46" s="34" t="s">
        <v>649</v>
      </c>
      <c r="D46" s="34" t="s">
        <v>650</v>
      </c>
      <c r="E46" s="110" t="s">
        <v>56</v>
      </c>
      <c r="F46" s="110"/>
      <c r="G46" s="110" t="s">
        <v>1225</v>
      </c>
      <c r="H46" s="114">
        <v>1</v>
      </c>
      <c r="I46" s="114">
        <v>1</v>
      </c>
      <c r="J46" s="111">
        <v>19620</v>
      </c>
      <c r="K46" s="111">
        <f t="shared" si="1"/>
        <v>19620</v>
      </c>
      <c r="L46" s="229"/>
      <c r="M46" s="224"/>
    </row>
    <row r="47" spans="1:13" ht="22.5" customHeight="1">
      <c r="A47" s="108">
        <v>33</v>
      </c>
      <c r="B47" s="107"/>
      <c r="C47" s="34" t="s">
        <v>651</v>
      </c>
      <c r="D47" s="34" t="s">
        <v>639</v>
      </c>
      <c r="E47" s="110" t="s">
        <v>1100</v>
      </c>
      <c r="F47" s="110"/>
      <c r="G47" s="110" t="s">
        <v>1225</v>
      </c>
      <c r="H47" s="114">
        <v>2</v>
      </c>
      <c r="I47" s="114">
        <v>2</v>
      </c>
      <c r="J47" s="118">
        <v>1300</v>
      </c>
      <c r="K47" s="111">
        <f t="shared" si="1"/>
        <v>2600</v>
      </c>
      <c r="L47" s="229"/>
      <c r="M47" s="224"/>
    </row>
    <row r="48" spans="1:13" ht="22.5" customHeight="1">
      <c r="A48" s="239">
        <v>34</v>
      </c>
      <c r="B48" s="243"/>
      <c r="C48" s="34" t="s">
        <v>652</v>
      </c>
      <c r="D48" s="34" t="s">
        <v>639</v>
      </c>
      <c r="E48" s="110" t="s">
        <v>1100</v>
      </c>
      <c r="F48" s="110"/>
      <c r="G48" s="110" t="s">
        <v>1225</v>
      </c>
      <c r="H48" s="114">
        <v>16</v>
      </c>
      <c r="I48" s="114">
        <v>16</v>
      </c>
      <c r="J48" s="118">
        <v>1000</v>
      </c>
      <c r="K48" s="111">
        <f t="shared" si="1"/>
        <v>16000</v>
      </c>
      <c r="L48" s="229"/>
      <c r="M48" s="224"/>
    </row>
    <row r="49" spans="1:13" ht="22.5" customHeight="1">
      <c r="A49" s="108">
        <v>35</v>
      </c>
      <c r="B49" s="229"/>
      <c r="C49" s="34" t="s">
        <v>653</v>
      </c>
      <c r="D49" s="34" t="s">
        <v>654</v>
      </c>
      <c r="E49" s="81" t="s">
        <v>56</v>
      </c>
      <c r="F49" s="81"/>
      <c r="G49" s="110" t="s">
        <v>1225</v>
      </c>
      <c r="H49" s="114">
        <v>1</v>
      </c>
      <c r="I49" s="114">
        <v>1</v>
      </c>
      <c r="J49" s="118">
        <v>7420</v>
      </c>
      <c r="K49" s="111">
        <f t="shared" si="1"/>
        <v>7420</v>
      </c>
      <c r="L49" s="229"/>
      <c r="M49" s="224"/>
    </row>
    <row r="50" spans="1:13" ht="22.5" customHeight="1">
      <c r="A50" s="239">
        <v>36</v>
      </c>
      <c r="B50" s="33"/>
      <c r="C50" s="34" t="s">
        <v>655</v>
      </c>
      <c r="D50" s="34" t="s">
        <v>656</v>
      </c>
      <c r="E50" s="81" t="s">
        <v>55</v>
      </c>
      <c r="F50" s="81"/>
      <c r="G50" s="110" t="s">
        <v>1225</v>
      </c>
      <c r="H50" s="114">
        <v>1</v>
      </c>
      <c r="I50" s="114">
        <v>1</v>
      </c>
      <c r="J50" s="111">
        <v>6000</v>
      </c>
      <c r="K50" s="111">
        <f t="shared" si="1"/>
        <v>6000</v>
      </c>
      <c r="L50" s="229"/>
      <c r="M50" s="224"/>
    </row>
    <row r="51" spans="1:13" ht="22.5" customHeight="1">
      <c r="A51" s="108">
        <v>37</v>
      </c>
      <c r="B51" s="44"/>
      <c r="C51" s="34" t="s">
        <v>657</v>
      </c>
      <c r="D51" s="12" t="s">
        <v>636</v>
      </c>
      <c r="E51" s="110" t="s">
        <v>56</v>
      </c>
      <c r="F51" s="110"/>
      <c r="G51" s="110" t="s">
        <v>1225</v>
      </c>
      <c r="H51" s="114">
        <v>1</v>
      </c>
      <c r="I51" s="114">
        <v>1</v>
      </c>
      <c r="J51" s="111">
        <v>8165</v>
      </c>
      <c r="K51" s="111">
        <f t="shared" si="1"/>
        <v>8165</v>
      </c>
      <c r="L51" s="112"/>
      <c r="M51" s="237"/>
    </row>
    <row r="52" spans="1:13" ht="22.5" customHeight="1">
      <c r="A52" s="239">
        <v>38</v>
      </c>
      <c r="B52" s="44"/>
      <c r="C52" s="34" t="s">
        <v>658</v>
      </c>
      <c r="D52" s="34" t="s">
        <v>659</v>
      </c>
      <c r="E52" s="110" t="s">
        <v>55</v>
      </c>
      <c r="F52" s="110"/>
      <c r="G52" s="110" t="s">
        <v>1225</v>
      </c>
      <c r="H52" s="114">
        <v>280</v>
      </c>
      <c r="I52" s="114">
        <v>280</v>
      </c>
      <c r="J52" s="111">
        <v>200</v>
      </c>
      <c r="K52" s="111">
        <f t="shared" si="1"/>
        <v>56000</v>
      </c>
      <c r="L52" s="112"/>
      <c r="M52" s="237"/>
    </row>
    <row r="53" spans="1:13" ht="22.5" customHeight="1">
      <c r="A53" s="108">
        <v>39</v>
      </c>
      <c r="B53" s="44"/>
      <c r="C53" s="34" t="s">
        <v>660</v>
      </c>
      <c r="D53" s="34" t="s">
        <v>661</v>
      </c>
      <c r="E53" s="110" t="s">
        <v>55</v>
      </c>
      <c r="F53" s="110"/>
      <c r="G53" s="110" t="s">
        <v>1225</v>
      </c>
      <c r="H53" s="114">
        <v>1</v>
      </c>
      <c r="I53" s="114">
        <v>1</v>
      </c>
      <c r="J53" s="111">
        <v>4534</v>
      </c>
      <c r="K53" s="111">
        <f t="shared" si="1"/>
        <v>4534</v>
      </c>
      <c r="L53" s="112"/>
      <c r="M53" s="237"/>
    </row>
    <row r="54" spans="1:13" ht="22.5" customHeight="1">
      <c r="A54" s="239">
        <v>40</v>
      </c>
      <c r="B54" s="44"/>
      <c r="C54" s="34" t="s">
        <v>662</v>
      </c>
      <c r="D54" s="34" t="s">
        <v>663</v>
      </c>
      <c r="E54" s="110" t="s">
        <v>56</v>
      </c>
      <c r="F54" s="110"/>
      <c r="G54" s="110" t="s">
        <v>1225</v>
      </c>
      <c r="H54" s="114">
        <v>1</v>
      </c>
      <c r="I54" s="114">
        <v>1</v>
      </c>
      <c r="J54" s="111">
        <v>6440</v>
      </c>
      <c r="K54" s="111">
        <f t="shared" si="1"/>
        <v>6440</v>
      </c>
      <c r="L54" s="112"/>
      <c r="M54" s="237"/>
    </row>
    <row r="55" spans="1:13" ht="22.5" customHeight="1">
      <c r="A55" s="108">
        <v>41</v>
      </c>
      <c r="B55" s="108"/>
      <c r="C55" s="34" t="s">
        <v>664</v>
      </c>
      <c r="D55" s="34" t="s">
        <v>665</v>
      </c>
      <c r="E55" s="81" t="s">
        <v>56</v>
      </c>
      <c r="F55" s="81"/>
      <c r="G55" s="110" t="s">
        <v>1225</v>
      </c>
      <c r="H55" s="114">
        <v>1</v>
      </c>
      <c r="I55" s="114">
        <v>1</v>
      </c>
      <c r="J55" s="111">
        <v>11490</v>
      </c>
      <c r="K55" s="111">
        <f t="shared" si="1"/>
        <v>11490</v>
      </c>
      <c r="L55" s="112"/>
      <c r="M55" s="237"/>
    </row>
    <row r="56" spans="1:13" ht="22.5" customHeight="1">
      <c r="A56" s="239">
        <v>42</v>
      </c>
      <c r="B56" s="44"/>
      <c r="C56" s="34" t="s">
        <v>666</v>
      </c>
      <c r="D56" s="12" t="s">
        <v>601</v>
      </c>
      <c r="E56" s="110" t="s">
        <v>56</v>
      </c>
      <c r="F56" s="110"/>
      <c r="G56" s="110" t="s">
        <v>1225</v>
      </c>
      <c r="H56" s="114">
        <v>420</v>
      </c>
      <c r="I56" s="114">
        <v>420</v>
      </c>
      <c r="J56" s="118">
        <v>750</v>
      </c>
      <c r="K56" s="111">
        <f t="shared" si="1"/>
        <v>315000</v>
      </c>
      <c r="L56" s="112"/>
      <c r="M56" s="237"/>
    </row>
    <row r="57" spans="1:13" ht="22.5" customHeight="1">
      <c r="A57" s="108">
        <v>43</v>
      </c>
      <c r="B57" s="44"/>
      <c r="C57" s="34" t="s">
        <v>667</v>
      </c>
      <c r="D57" s="34" t="s">
        <v>668</v>
      </c>
      <c r="E57" s="110" t="s">
        <v>56</v>
      </c>
      <c r="F57" s="110"/>
      <c r="G57" s="110" t="s">
        <v>1225</v>
      </c>
      <c r="H57" s="114">
        <v>2</v>
      </c>
      <c r="I57" s="114">
        <v>2</v>
      </c>
      <c r="J57" s="111">
        <v>19320</v>
      </c>
      <c r="K57" s="111">
        <f t="shared" si="1"/>
        <v>38640</v>
      </c>
      <c r="L57" s="120"/>
      <c r="M57" s="245"/>
    </row>
    <row r="58" spans="1:13" ht="22.5" customHeight="1">
      <c r="A58" s="239">
        <v>44</v>
      </c>
      <c r="B58" s="115"/>
      <c r="C58" s="34" t="s">
        <v>669</v>
      </c>
      <c r="D58" s="34" t="s">
        <v>670</v>
      </c>
      <c r="E58" s="110" t="s">
        <v>56</v>
      </c>
      <c r="F58" s="110"/>
      <c r="G58" s="110" t="s">
        <v>1225</v>
      </c>
      <c r="H58" s="114">
        <v>2</v>
      </c>
      <c r="I58" s="114">
        <v>2</v>
      </c>
      <c r="J58" s="111">
        <v>23000</v>
      </c>
      <c r="K58" s="111">
        <f t="shared" si="1"/>
        <v>46000</v>
      </c>
      <c r="L58" s="120"/>
      <c r="M58" s="245"/>
    </row>
    <row r="59" spans="1:13" ht="22.5" customHeight="1">
      <c r="A59" s="108">
        <v>45</v>
      </c>
      <c r="B59" s="115"/>
      <c r="C59" s="34" t="s">
        <v>671</v>
      </c>
      <c r="D59" s="12" t="s">
        <v>601</v>
      </c>
      <c r="E59" s="110" t="s">
        <v>1127</v>
      </c>
      <c r="F59" s="110"/>
      <c r="G59" s="110" t="s">
        <v>1225</v>
      </c>
      <c r="H59" s="114">
        <v>120</v>
      </c>
      <c r="I59" s="114">
        <v>120</v>
      </c>
      <c r="J59" s="118">
        <v>750</v>
      </c>
      <c r="K59" s="111">
        <f t="shared" si="1"/>
        <v>90000</v>
      </c>
      <c r="L59" s="229"/>
      <c r="M59" s="224"/>
    </row>
    <row r="60" spans="1:13" ht="22.5" customHeight="1">
      <c r="A60" s="239">
        <v>46</v>
      </c>
      <c r="B60" s="107"/>
      <c r="C60" s="34" t="s">
        <v>672</v>
      </c>
      <c r="D60" s="34" t="s">
        <v>673</v>
      </c>
      <c r="E60" s="110" t="s">
        <v>56</v>
      </c>
      <c r="F60" s="110"/>
      <c r="G60" s="110" t="s">
        <v>1225</v>
      </c>
      <c r="H60" s="114">
        <v>1</v>
      </c>
      <c r="I60" s="114">
        <v>1</v>
      </c>
      <c r="J60" s="118">
        <v>1980</v>
      </c>
      <c r="K60" s="111">
        <f t="shared" si="1"/>
        <v>1980</v>
      </c>
      <c r="L60" s="229"/>
      <c r="M60" s="224"/>
    </row>
    <row r="61" spans="1:13" ht="22.5" customHeight="1">
      <c r="A61" s="108">
        <v>47</v>
      </c>
      <c r="B61" s="107"/>
      <c r="C61" s="34" t="s">
        <v>674</v>
      </c>
      <c r="D61" s="34" t="s">
        <v>675</v>
      </c>
      <c r="E61" s="110" t="s">
        <v>56</v>
      </c>
      <c r="F61" s="110"/>
      <c r="G61" s="110" t="s">
        <v>1225</v>
      </c>
      <c r="H61" s="114">
        <v>2</v>
      </c>
      <c r="I61" s="114">
        <v>2</v>
      </c>
      <c r="J61" s="111">
        <v>2800</v>
      </c>
      <c r="K61" s="111">
        <f t="shared" si="1"/>
        <v>5600</v>
      </c>
      <c r="L61" s="229"/>
      <c r="M61" s="224"/>
    </row>
    <row r="62" spans="1:13" ht="22.5" customHeight="1">
      <c r="A62" s="239">
        <v>48</v>
      </c>
      <c r="B62" s="107"/>
      <c r="C62" s="34" t="s">
        <v>676</v>
      </c>
      <c r="D62" s="34" t="s">
        <v>89</v>
      </c>
      <c r="E62" s="110" t="s">
        <v>56</v>
      </c>
      <c r="F62" s="110"/>
      <c r="G62" s="110" t="s">
        <v>1225</v>
      </c>
      <c r="H62" s="114">
        <v>2</v>
      </c>
      <c r="I62" s="114">
        <v>2</v>
      </c>
      <c r="J62" s="111">
        <v>3100</v>
      </c>
      <c r="K62" s="111">
        <f t="shared" si="1"/>
        <v>6200</v>
      </c>
      <c r="L62" s="229"/>
      <c r="M62" s="224"/>
    </row>
    <row r="63" spans="1:13" ht="22.5" customHeight="1">
      <c r="A63" s="108">
        <v>49</v>
      </c>
      <c r="B63" s="107"/>
      <c r="C63" s="236" t="s">
        <v>677</v>
      </c>
      <c r="D63" s="236" t="s">
        <v>50</v>
      </c>
      <c r="E63" s="110" t="s">
        <v>56</v>
      </c>
      <c r="F63" s="390"/>
      <c r="G63" s="110" t="s">
        <v>1225</v>
      </c>
      <c r="H63" s="246">
        <v>1</v>
      </c>
      <c r="I63" s="246">
        <v>1</v>
      </c>
      <c r="J63" s="247">
        <v>3000</v>
      </c>
      <c r="K63" s="111">
        <f t="shared" si="1"/>
        <v>3000</v>
      </c>
      <c r="L63" s="229"/>
      <c r="M63" s="224"/>
    </row>
    <row r="64" spans="1:13" ht="22.5" customHeight="1">
      <c r="A64" s="239">
        <v>50</v>
      </c>
      <c r="B64" s="243"/>
      <c r="C64" s="236" t="s">
        <v>678</v>
      </c>
      <c r="D64" s="236" t="s">
        <v>91</v>
      </c>
      <c r="E64" s="390" t="s">
        <v>56</v>
      </c>
      <c r="F64" s="390"/>
      <c r="G64" s="390" t="s">
        <v>1225</v>
      </c>
      <c r="H64" s="246">
        <v>1</v>
      </c>
      <c r="I64" s="246">
        <v>1</v>
      </c>
      <c r="J64" s="247">
        <v>17300</v>
      </c>
      <c r="K64" s="111">
        <f t="shared" si="1"/>
        <v>17300</v>
      </c>
      <c r="L64" s="229"/>
      <c r="M64" s="224"/>
    </row>
    <row r="65" spans="1:15" ht="22.5" customHeight="1">
      <c r="A65" s="478" t="s">
        <v>1203</v>
      </c>
      <c r="B65" s="478"/>
      <c r="C65" s="478"/>
      <c r="D65" s="478"/>
      <c r="E65" s="478"/>
      <c r="F65" s="478"/>
      <c r="G65" s="478"/>
      <c r="H65" s="478"/>
      <c r="I65" s="478"/>
      <c r="J65" s="478"/>
      <c r="K65" s="426">
        <f>SUM(K40:K64)</f>
        <v>1379484.0499999998</v>
      </c>
      <c r="L65" s="229"/>
      <c r="M65" s="224"/>
    </row>
    <row r="66" spans="1:15" ht="22.5" customHeight="1">
      <c r="L66" s="354" t="s">
        <v>1280</v>
      </c>
      <c r="M66" s="403"/>
    </row>
    <row r="67" spans="1:15" ht="22.5" customHeight="1">
      <c r="A67" s="439" t="s">
        <v>550</v>
      </c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03"/>
    </row>
    <row r="68" spans="1:15" ht="22.5" customHeight="1">
      <c r="A68" s="440" t="s">
        <v>1228</v>
      </c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03"/>
    </row>
    <row r="69" spans="1:15" ht="22.5" customHeight="1">
      <c r="A69" s="441" t="s">
        <v>1277</v>
      </c>
      <c r="B69" s="441"/>
      <c r="C69" s="441"/>
      <c r="D69" s="441"/>
      <c r="E69" s="441"/>
      <c r="F69" s="441"/>
      <c r="G69" s="441"/>
      <c r="H69" s="441"/>
      <c r="I69" s="441"/>
      <c r="J69" s="441"/>
      <c r="K69" s="441"/>
      <c r="L69" s="441"/>
      <c r="M69" s="403"/>
    </row>
    <row r="70" spans="1:15" ht="22.5" customHeight="1">
      <c r="A70" s="432" t="s">
        <v>1196</v>
      </c>
      <c r="B70" s="432" t="s">
        <v>1226</v>
      </c>
      <c r="C70" s="432" t="s">
        <v>1221</v>
      </c>
      <c r="D70" s="444" t="s">
        <v>0</v>
      </c>
      <c r="E70" s="432" t="s">
        <v>1216</v>
      </c>
      <c r="F70" s="432" t="s">
        <v>1215</v>
      </c>
      <c r="G70" s="437" t="s">
        <v>1217</v>
      </c>
      <c r="H70" s="442" t="s">
        <v>2</v>
      </c>
      <c r="I70" s="443"/>
      <c r="J70" s="432" t="s">
        <v>1220</v>
      </c>
      <c r="K70" s="432" t="s">
        <v>1202</v>
      </c>
      <c r="L70" s="432" t="s">
        <v>1219</v>
      </c>
      <c r="M70" s="403"/>
    </row>
    <row r="71" spans="1:15" ht="22.5" customHeight="1">
      <c r="A71" s="433"/>
      <c r="B71" s="433"/>
      <c r="C71" s="433"/>
      <c r="D71" s="445"/>
      <c r="E71" s="433"/>
      <c r="F71" s="433"/>
      <c r="G71" s="438"/>
      <c r="H71" s="176" t="s">
        <v>1218</v>
      </c>
      <c r="I71" s="126" t="s">
        <v>69</v>
      </c>
      <c r="J71" s="433"/>
      <c r="K71" s="433"/>
      <c r="L71" s="433"/>
      <c r="M71" s="403"/>
    </row>
    <row r="72" spans="1:15" ht="22.5" customHeight="1">
      <c r="A72" s="461" t="s">
        <v>1204</v>
      </c>
      <c r="B72" s="462"/>
      <c r="C72" s="462"/>
      <c r="D72" s="462"/>
      <c r="E72" s="462"/>
      <c r="F72" s="462"/>
      <c r="G72" s="462"/>
      <c r="H72" s="462"/>
      <c r="I72" s="462"/>
      <c r="J72" s="463"/>
      <c r="K72" s="111">
        <f>SUM(K65)</f>
        <v>1379484.0499999998</v>
      </c>
      <c r="L72" s="229"/>
      <c r="M72" s="403"/>
    </row>
    <row r="73" spans="1:15" ht="22.5" customHeight="1">
      <c r="A73" s="108">
        <v>51</v>
      </c>
      <c r="B73" s="229"/>
      <c r="C73" s="34" t="s">
        <v>679</v>
      </c>
      <c r="D73" s="34" t="s">
        <v>680</v>
      </c>
      <c r="E73" s="81" t="s">
        <v>56</v>
      </c>
      <c r="F73" s="81"/>
      <c r="G73" s="110" t="s">
        <v>1225</v>
      </c>
      <c r="H73" s="114">
        <v>1</v>
      </c>
      <c r="I73" s="114">
        <v>1</v>
      </c>
      <c r="J73" s="242">
        <v>1700</v>
      </c>
      <c r="K73" s="111">
        <f>SUM(I73*J73)</f>
        <v>1700</v>
      </c>
      <c r="L73" s="229"/>
      <c r="M73" s="403"/>
    </row>
    <row r="74" spans="1:15" ht="22.5" customHeight="1">
      <c r="A74" s="239">
        <v>52</v>
      </c>
      <c r="B74" s="33"/>
      <c r="C74" s="34" t="s">
        <v>681</v>
      </c>
      <c r="D74" s="34" t="s">
        <v>682</v>
      </c>
      <c r="E74" s="81" t="s">
        <v>1127</v>
      </c>
      <c r="F74" s="81"/>
      <c r="G74" s="110" t="s">
        <v>1225</v>
      </c>
      <c r="H74" s="114">
        <v>8</v>
      </c>
      <c r="I74" s="114">
        <v>8</v>
      </c>
      <c r="J74" s="118">
        <v>3000</v>
      </c>
      <c r="K74" s="111">
        <f t="shared" si="1"/>
        <v>24000</v>
      </c>
      <c r="L74" s="229"/>
      <c r="M74" s="224"/>
    </row>
    <row r="75" spans="1:15" ht="22.5" customHeight="1">
      <c r="A75" s="108">
        <v>53</v>
      </c>
      <c r="B75" s="33"/>
      <c r="C75" s="34" t="s">
        <v>683</v>
      </c>
      <c r="D75" s="121" t="s">
        <v>684</v>
      </c>
      <c r="E75" s="81" t="s">
        <v>55</v>
      </c>
      <c r="F75" s="81"/>
      <c r="G75" s="110" t="s">
        <v>1225</v>
      </c>
      <c r="H75" s="114">
        <v>1</v>
      </c>
      <c r="I75" s="114">
        <v>1</v>
      </c>
      <c r="J75" s="118">
        <v>16800</v>
      </c>
      <c r="K75" s="111">
        <f t="shared" si="1"/>
        <v>16800</v>
      </c>
      <c r="L75" s="229"/>
      <c r="M75" s="224"/>
    </row>
    <row r="76" spans="1:15" ht="22.5" customHeight="1">
      <c r="A76" s="239">
        <v>54</v>
      </c>
      <c r="B76" s="107"/>
      <c r="C76" s="34" t="s">
        <v>687</v>
      </c>
      <c r="D76" s="121" t="s">
        <v>688</v>
      </c>
      <c r="E76" s="110" t="s">
        <v>55</v>
      </c>
      <c r="F76" s="110"/>
      <c r="G76" s="110" t="s">
        <v>1225</v>
      </c>
      <c r="H76" s="114">
        <v>2</v>
      </c>
      <c r="I76" s="114">
        <v>2</v>
      </c>
      <c r="J76" s="118">
        <v>2000</v>
      </c>
      <c r="K76" s="111">
        <f t="shared" si="1"/>
        <v>4000</v>
      </c>
      <c r="L76" s="229"/>
      <c r="M76" s="224"/>
    </row>
    <row r="77" spans="1:15" ht="22.5" customHeight="1">
      <c r="A77" s="108">
        <v>55</v>
      </c>
      <c r="B77" s="107"/>
      <c r="C77" s="34" t="s">
        <v>689</v>
      </c>
      <c r="D77" s="121" t="s">
        <v>690</v>
      </c>
      <c r="E77" s="110" t="s">
        <v>55</v>
      </c>
      <c r="F77" s="110"/>
      <c r="G77" s="110" t="s">
        <v>1225</v>
      </c>
      <c r="H77" s="114">
        <v>2</v>
      </c>
      <c r="I77" s="114">
        <v>2</v>
      </c>
      <c r="J77" s="118">
        <v>31000</v>
      </c>
      <c r="K77" s="111">
        <f t="shared" si="1"/>
        <v>62000</v>
      </c>
      <c r="L77" s="229"/>
      <c r="M77" s="224"/>
    </row>
    <row r="78" spans="1:15" ht="24" customHeight="1" thickBot="1">
      <c r="A78" s="474" t="s">
        <v>1201</v>
      </c>
      <c r="B78" s="475"/>
      <c r="C78" s="475"/>
      <c r="D78" s="475"/>
      <c r="E78" s="475"/>
      <c r="F78" s="475"/>
      <c r="G78" s="475"/>
      <c r="H78" s="475"/>
      <c r="I78" s="475"/>
      <c r="J78" s="476"/>
      <c r="K78" s="425">
        <f>SUM(K72:K77)</f>
        <v>1487984.0499999998</v>
      </c>
      <c r="L78" s="387"/>
      <c r="M78" s="224"/>
    </row>
    <row r="79" spans="1:15" ht="22.5" customHeight="1" thickTop="1">
      <c r="A79" s="227"/>
      <c r="B79" s="227"/>
      <c r="C79" s="227"/>
      <c r="D79" s="227"/>
      <c r="E79" s="249"/>
      <c r="F79" s="249"/>
      <c r="G79" s="249"/>
      <c r="H79" s="249"/>
      <c r="I79" s="250"/>
      <c r="J79" s="251"/>
      <c r="K79" s="251"/>
      <c r="L79" s="224"/>
      <c r="M79" s="251"/>
      <c r="N79" s="252"/>
      <c r="O79" s="252"/>
    </row>
    <row r="80" spans="1:15" ht="22.5" customHeight="1">
      <c r="A80" s="404"/>
      <c r="B80" s="343" t="s">
        <v>4</v>
      </c>
      <c r="C80" s="253" t="s">
        <v>1222</v>
      </c>
      <c r="D80" s="59"/>
      <c r="E80" s="404"/>
      <c r="F80" s="249"/>
      <c r="G80" s="249"/>
      <c r="H80" s="249"/>
      <c r="I80" s="250"/>
      <c r="J80" s="251"/>
      <c r="K80" s="251"/>
      <c r="L80" s="403"/>
      <c r="M80" s="251"/>
      <c r="N80" s="252"/>
      <c r="O80" s="252"/>
    </row>
    <row r="81" spans="1:14" ht="22.5" customHeight="1">
      <c r="A81" s="59"/>
      <c r="B81" s="403"/>
      <c r="C81" s="253" t="s">
        <v>1223</v>
      </c>
      <c r="D81" s="59"/>
      <c r="E81" s="59"/>
      <c r="F81" s="254"/>
      <c r="G81" s="254"/>
      <c r="H81" s="254"/>
      <c r="I81" s="431" t="s">
        <v>1206</v>
      </c>
      <c r="J81" s="431"/>
      <c r="K81" s="431"/>
      <c r="L81" s="431"/>
      <c r="M81" s="234"/>
      <c r="N81" s="238"/>
    </row>
    <row r="82" spans="1:14" ht="22.5" customHeight="1">
      <c r="A82" s="59"/>
      <c r="C82" s="14"/>
      <c r="E82" s="14"/>
      <c r="F82" s="254"/>
      <c r="G82" s="254"/>
      <c r="H82" s="254"/>
      <c r="I82" s="431" t="s">
        <v>1017</v>
      </c>
      <c r="J82" s="431"/>
      <c r="K82" s="431"/>
      <c r="L82" s="431"/>
      <c r="N82" s="255"/>
    </row>
    <row r="83" spans="1:14" ht="22.5" customHeight="1">
      <c r="A83" s="59"/>
      <c r="B83" s="59"/>
      <c r="C83" s="253"/>
      <c r="D83" s="59"/>
      <c r="E83" s="254"/>
      <c r="F83" s="254"/>
      <c r="G83" s="254"/>
      <c r="H83" s="254"/>
      <c r="I83" s="431" t="s">
        <v>162</v>
      </c>
      <c r="J83" s="431"/>
      <c r="K83" s="431"/>
      <c r="L83" s="431"/>
      <c r="M83" s="224"/>
    </row>
    <row r="84" spans="1:14" ht="22.5" customHeight="1">
      <c r="A84" s="59"/>
      <c r="B84" s="59"/>
      <c r="C84" s="253"/>
      <c r="D84" s="59"/>
      <c r="E84" s="254"/>
      <c r="F84" s="254"/>
      <c r="G84" s="254"/>
      <c r="H84" s="254"/>
      <c r="I84" s="86"/>
      <c r="J84" s="86"/>
      <c r="K84" s="86"/>
      <c r="L84" s="224"/>
      <c r="M84" s="224"/>
    </row>
  </sheetData>
  <mergeCells count="50">
    <mergeCell ref="A72:J72"/>
    <mergeCell ref="A68:L68"/>
    <mergeCell ref="A69:L69"/>
    <mergeCell ref="A70:A71"/>
    <mergeCell ref="B70:B71"/>
    <mergeCell ref="C70:C71"/>
    <mergeCell ref="D70:D71"/>
    <mergeCell ref="E70:E71"/>
    <mergeCell ref="F70:F71"/>
    <mergeCell ref="G70:G71"/>
    <mergeCell ref="H70:I70"/>
    <mergeCell ref="J70:J71"/>
    <mergeCell ref="K70:K71"/>
    <mergeCell ref="L70:L71"/>
    <mergeCell ref="A40:J40"/>
    <mergeCell ref="A65:J65"/>
    <mergeCell ref="A67:L67"/>
    <mergeCell ref="L5:L6"/>
    <mergeCell ref="F5:F6"/>
    <mergeCell ref="G5:G6"/>
    <mergeCell ref="H5:I5"/>
    <mergeCell ref="J5:J6"/>
    <mergeCell ref="K5:K6"/>
    <mergeCell ref="F38:F39"/>
    <mergeCell ref="G38:G39"/>
    <mergeCell ref="H38:I38"/>
    <mergeCell ref="J38:J39"/>
    <mergeCell ref="K38:K39"/>
    <mergeCell ref="A38:A39"/>
    <mergeCell ref="E38:E39"/>
    <mergeCell ref="A2:L2"/>
    <mergeCell ref="A3:L3"/>
    <mergeCell ref="A4:L4"/>
    <mergeCell ref="L38:L39"/>
    <mergeCell ref="I83:L83"/>
    <mergeCell ref="I82:L82"/>
    <mergeCell ref="I81:L81"/>
    <mergeCell ref="A5:A6"/>
    <mergeCell ref="B5:B6"/>
    <mergeCell ref="C5:C6"/>
    <mergeCell ref="D5:D6"/>
    <mergeCell ref="E5:E6"/>
    <mergeCell ref="A78:J78"/>
    <mergeCell ref="A33:J33"/>
    <mergeCell ref="A35:L35"/>
    <mergeCell ref="A36:L36"/>
    <mergeCell ref="A37:L37"/>
    <mergeCell ref="B38:B39"/>
    <mergeCell ref="C38:C39"/>
    <mergeCell ref="D38:D39"/>
  </mergeCells>
  <printOptions horizontalCentered="1"/>
  <pageMargins left="0.19685039370078741" right="0" top="0.39370078740157483" bottom="0.19685039370078741" header="0" footer="0"/>
  <pageSetup paperSize="9" scale="75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6"/>
  <sheetViews>
    <sheetView zoomScaleNormal="100" workbookViewId="0">
      <selection activeCell="L5" sqref="L5:L6"/>
    </sheetView>
  </sheetViews>
  <sheetFormatPr defaultColWidth="9" defaultRowHeight="24"/>
  <cols>
    <col min="1" max="1" width="5.5703125" style="14" customWidth="1"/>
    <col min="2" max="2" width="13.7109375" style="14" customWidth="1"/>
    <col min="3" max="3" width="30" style="228" customWidth="1"/>
    <col min="4" max="4" width="38.28515625" style="14" customWidth="1"/>
    <col min="5" max="5" width="8" style="14" customWidth="1"/>
    <col min="6" max="6" width="8.85546875" style="14" customWidth="1"/>
    <col min="7" max="9" width="8.42578125" style="14" customWidth="1"/>
    <col min="10" max="10" width="13.28515625" style="14" customWidth="1"/>
    <col min="11" max="11" width="14.42578125" style="14" customWidth="1"/>
    <col min="12" max="12" width="37.42578125" style="14" customWidth="1"/>
    <col min="13" max="13" width="16" style="14" customWidth="1"/>
    <col min="14" max="14" width="12" style="14" customWidth="1"/>
    <col min="15" max="16384" width="9" style="14"/>
  </cols>
  <sheetData>
    <row r="1" spans="1:14">
      <c r="C1" s="256"/>
      <c r="E1" s="257"/>
      <c r="F1" s="257"/>
      <c r="G1" s="257"/>
      <c r="H1" s="257"/>
      <c r="I1" s="257"/>
      <c r="J1" s="257"/>
      <c r="K1" s="257"/>
      <c r="L1" s="354" t="s">
        <v>1281</v>
      </c>
    </row>
    <row r="2" spans="1:14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4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4">
      <c r="A4" s="441" t="s">
        <v>1282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4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</row>
    <row r="6" spans="1:14" s="32" customFormat="1" ht="44.25" customHeight="1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8"/>
    </row>
    <row r="7" spans="1:14">
      <c r="A7" s="229">
        <v>1</v>
      </c>
      <c r="B7" s="33"/>
      <c r="C7" s="34" t="s">
        <v>99</v>
      </c>
      <c r="D7" s="12" t="s">
        <v>110</v>
      </c>
      <c r="E7" s="35" t="s">
        <v>56</v>
      </c>
      <c r="F7" s="35"/>
      <c r="G7" s="35" t="s">
        <v>1225</v>
      </c>
      <c r="H7" s="36">
        <v>1</v>
      </c>
      <c r="I7" s="36">
        <v>1</v>
      </c>
      <c r="J7" s="42">
        <v>5900</v>
      </c>
      <c r="K7" s="42">
        <f>SUM(I7*J7)</f>
        <v>5900</v>
      </c>
      <c r="L7" s="229"/>
      <c r="M7" s="59"/>
      <c r="N7" s="238"/>
    </row>
    <row r="8" spans="1:14">
      <c r="A8" s="229">
        <v>2</v>
      </c>
      <c r="B8" s="33"/>
      <c r="C8" s="34" t="s">
        <v>100</v>
      </c>
      <c r="D8" s="119" t="s">
        <v>111</v>
      </c>
      <c r="E8" s="35" t="s">
        <v>56</v>
      </c>
      <c r="F8" s="35"/>
      <c r="G8" s="35" t="s">
        <v>1225</v>
      </c>
      <c r="H8" s="36">
        <v>1</v>
      </c>
      <c r="I8" s="36">
        <v>1</v>
      </c>
      <c r="J8" s="97">
        <v>900</v>
      </c>
      <c r="K8" s="42">
        <f t="shared" ref="K8:K20" si="0">SUM(I8*J8)</f>
        <v>900</v>
      </c>
      <c r="L8" s="229"/>
      <c r="M8" s="59"/>
      <c r="N8" s="238"/>
    </row>
    <row r="9" spans="1:14">
      <c r="A9" s="229">
        <v>3</v>
      </c>
      <c r="B9" s="33"/>
      <c r="C9" s="34" t="s">
        <v>101</v>
      </c>
      <c r="D9" s="119" t="s">
        <v>112</v>
      </c>
      <c r="E9" s="35" t="s">
        <v>56</v>
      </c>
      <c r="F9" s="35"/>
      <c r="G9" s="35" t="s">
        <v>1225</v>
      </c>
      <c r="H9" s="36">
        <v>1</v>
      </c>
      <c r="I9" s="36">
        <v>1</v>
      </c>
      <c r="J9" s="97">
        <v>1200</v>
      </c>
      <c r="K9" s="42">
        <f t="shared" si="0"/>
        <v>1200</v>
      </c>
      <c r="L9" s="229"/>
      <c r="M9" s="59"/>
      <c r="N9" s="238"/>
    </row>
    <row r="10" spans="1:14">
      <c r="A10" s="229">
        <v>4</v>
      </c>
      <c r="B10" s="33"/>
      <c r="C10" s="34" t="s">
        <v>102</v>
      </c>
      <c r="D10" s="119" t="s">
        <v>113</v>
      </c>
      <c r="E10" s="35" t="s">
        <v>56</v>
      </c>
      <c r="F10" s="35"/>
      <c r="G10" s="35" t="s">
        <v>1225</v>
      </c>
      <c r="H10" s="36">
        <v>1</v>
      </c>
      <c r="I10" s="36">
        <v>1</v>
      </c>
      <c r="J10" s="97">
        <v>2900</v>
      </c>
      <c r="K10" s="42">
        <f t="shared" si="0"/>
        <v>2900</v>
      </c>
      <c r="L10" s="229"/>
      <c r="M10" s="59"/>
      <c r="N10" s="238"/>
    </row>
    <row r="11" spans="1:14">
      <c r="A11" s="229">
        <v>5</v>
      </c>
      <c r="B11" s="33"/>
      <c r="C11" s="34" t="s">
        <v>103</v>
      </c>
      <c r="D11" s="119" t="s">
        <v>114</v>
      </c>
      <c r="E11" s="35" t="s">
        <v>56</v>
      </c>
      <c r="F11" s="35"/>
      <c r="G11" s="35" t="s">
        <v>1225</v>
      </c>
      <c r="H11" s="36">
        <v>1</v>
      </c>
      <c r="I11" s="36">
        <v>1</v>
      </c>
      <c r="J11" s="97">
        <v>1200</v>
      </c>
      <c r="K11" s="42">
        <f t="shared" si="0"/>
        <v>1200</v>
      </c>
      <c r="L11" s="229"/>
      <c r="M11" s="59"/>
      <c r="N11" s="238"/>
    </row>
    <row r="12" spans="1:14">
      <c r="A12" s="229">
        <v>6</v>
      </c>
      <c r="B12" s="33"/>
      <c r="C12" s="34" t="s">
        <v>104</v>
      </c>
      <c r="D12" s="119" t="s">
        <v>115</v>
      </c>
      <c r="E12" s="35" t="s">
        <v>56</v>
      </c>
      <c r="F12" s="35"/>
      <c r="G12" s="35" t="s">
        <v>1225</v>
      </c>
      <c r="H12" s="36">
        <v>1</v>
      </c>
      <c r="I12" s="36">
        <v>1</v>
      </c>
      <c r="J12" s="97">
        <v>250</v>
      </c>
      <c r="K12" s="42">
        <f t="shared" si="0"/>
        <v>250</v>
      </c>
      <c r="L12" s="229"/>
      <c r="M12" s="59"/>
      <c r="N12" s="238"/>
    </row>
    <row r="13" spans="1:14">
      <c r="A13" s="229">
        <v>7</v>
      </c>
      <c r="B13" s="33"/>
      <c r="C13" s="34" t="s">
        <v>105</v>
      </c>
      <c r="D13" s="12" t="s">
        <v>116</v>
      </c>
      <c r="E13" s="35" t="s">
        <v>55</v>
      </c>
      <c r="F13" s="35"/>
      <c r="G13" s="35" t="s">
        <v>1225</v>
      </c>
      <c r="H13" s="36">
        <v>6</v>
      </c>
      <c r="I13" s="36">
        <v>6</v>
      </c>
      <c r="J13" s="42">
        <v>500</v>
      </c>
      <c r="K13" s="42">
        <f t="shared" si="0"/>
        <v>3000</v>
      </c>
      <c r="L13" s="229"/>
      <c r="M13" s="59"/>
      <c r="N13" s="238"/>
    </row>
    <row r="14" spans="1:14">
      <c r="A14" s="229">
        <v>8</v>
      </c>
      <c r="B14" s="33"/>
      <c r="C14" s="34" t="s">
        <v>106</v>
      </c>
      <c r="D14" s="12" t="s">
        <v>117</v>
      </c>
      <c r="E14" s="35" t="s">
        <v>55</v>
      </c>
      <c r="F14" s="35"/>
      <c r="G14" s="35" t="s">
        <v>1225</v>
      </c>
      <c r="H14" s="36">
        <v>1</v>
      </c>
      <c r="I14" s="36">
        <v>1</v>
      </c>
      <c r="J14" s="42">
        <v>600</v>
      </c>
      <c r="K14" s="42">
        <f t="shared" si="0"/>
        <v>600</v>
      </c>
      <c r="L14" s="229"/>
      <c r="M14" s="59"/>
      <c r="N14" s="238"/>
    </row>
    <row r="15" spans="1:14">
      <c r="A15" s="229">
        <v>9</v>
      </c>
      <c r="B15" s="33"/>
      <c r="C15" s="34" t="s">
        <v>106</v>
      </c>
      <c r="D15" s="12" t="s">
        <v>118</v>
      </c>
      <c r="E15" s="35" t="s">
        <v>55</v>
      </c>
      <c r="F15" s="35"/>
      <c r="G15" s="35" t="s">
        <v>1225</v>
      </c>
      <c r="H15" s="36">
        <v>1</v>
      </c>
      <c r="I15" s="36">
        <v>1</v>
      </c>
      <c r="J15" s="42">
        <v>500</v>
      </c>
      <c r="K15" s="42">
        <f t="shared" si="0"/>
        <v>500</v>
      </c>
      <c r="L15" s="229"/>
      <c r="M15" s="59"/>
      <c r="N15" s="238"/>
    </row>
    <row r="16" spans="1:14">
      <c r="A16" s="229">
        <v>10</v>
      </c>
      <c r="B16" s="33"/>
      <c r="C16" s="34" t="s">
        <v>106</v>
      </c>
      <c r="D16" s="12" t="s">
        <v>119</v>
      </c>
      <c r="E16" s="35" t="s">
        <v>55</v>
      </c>
      <c r="F16" s="35"/>
      <c r="G16" s="35" t="s">
        <v>1225</v>
      </c>
      <c r="H16" s="36">
        <v>1</v>
      </c>
      <c r="I16" s="36">
        <v>1</v>
      </c>
      <c r="J16" s="41">
        <v>500</v>
      </c>
      <c r="K16" s="42">
        <f t="shared" si="0"/>
        <v>500</v>
      </c>
      <c r="L16" s="229"/>
      <c r="M16" s="59"/>
      <c r="N16" s="238"/>
    </row>
    <row r="17" spans="1:14">
      <c r="A17" s="229">
        <v>11</v>
      </c>
      <c r="B17" s="33"/>
      <c r="C17" s="34" t="s">
        <v>106</v>
      </c>
      <c r="D17" s="12" t="s">
        <v>120</v>
      </c>
      <c r="E17" s="35" t="s">
        <v>55</v>
      </c>
      <c r="F17" s="35"/>
      <c r="G17" s="35" t="s">
        <v>1225</v>
      </c>
      <c r="H17" s="36">
        <v>1</v>
      </c>
      <c r="I17" s="36">
        <v>1</v>
      </c>
      <c r="J17" s="42">
        <v>400</v>
      </c>
      <c r="K17" s="42">
        <f t="shared" si="0"/>
        <v>400</v>
      </c>
      <c r="L17" s="229"/>
      <c r="M17" s="59"/>
      <c r="N17" s="238"/>
    </row>
    <row r="18" spans="1:14">
      <c r="A18" s="229">
        <v>12</v>
      </c>
      <c r="B18" s="33"/>
      <c r="C18" s="34" t="s">
        <v>107</v>
      </c>
      <c r="D18" s="12" t="s">
        <v>66</v>
      </c>
      <c r="E18" s="35" t="s">
        <v>55</v>
      </c>
      <c r="F18" s="35"/>
      <c r="G18" s="35" t="s">
        <v>1225</v>
      </c>
      <c r="H18" s="36">
        <v>1</v>
      </c>
      <c r="I18" s="36">
        <v>1</v>
      </c>
      <c r="J18" s="42">
        <v>5350</v>
      </c>
      <c r="K18" s="42">
        <f t="shared" si="0"/>
        <v>5350</v>
      </c>
      <c r="L18" s="229"/>
      <c r="M18" s="59"/>
      <c r="N18" s="238"/>
    </row>
    <row r="19" spans="1:14">
      <c r="A19" s="229">
        <v>13</v>
      </c>
      <c r="B19" s="91"/>
      <c r="C19" s="34" t="s">
        <v>108</v>
      </c>
      <c r="D19" s="12" t="s">
        <v>68</v>
      </c>
      <c r="E19" s="35" t="s">
        <v>55</v>
      </c>
      <c r="F19" s="35"/>
      <c r="G19" s="35" t="s">
        <v>1225</v>
      </c>
      <c r="H19" s="36">
        <v>1</v>
      </c>
      <c r="I19" s="36">
        <v>1</v>
      </c>
      <c r="J19" s="42">
        <v>17000</v>
      </c>
      <c r="K19" s="42">
        <f t="shared" si="0"/>
        <v>17000</v>
      </c>
      <c r="L19" s="229"/>
      <c r="M19" s="59"/>
      <c r="N19" s="238"/>
    </row>
    <row r="20" spans="1:14">
      <c r="A20" s="229">
        <v>14</v>
      </c>
      <c r="B20" s="66">
        <v>22128</v>
      </c>
      <c r="C20" s="70" t="s">
        <v>1040</v>
      </c>
      <c r="D20" s="122" t="s">
        <v>123</v>
      </c>
      <c r="E20" s="229" t="s">
        <v>56</v>
      </c>
      <c r="F20" s="229"/>
      <c r="G20" s="35" t="s">
        <v>1225</v>
      </c>
      <c r="H20" s="36">
        <v>1</v>
      </c>
      <c r="I20" s="36">
        <v>1</v>
      </c>
      <c r="J20" s="41">
        <v>15700</v>
      </c>
      <c r="K20" s="42">
        <f t="shared" si="0"/>
        <v>15700</v>
      </c>
      <c r="L20" s="229"/>
      <c r="M20" s="59"/>
      <c r="N20" s="238"/>
    </row>
    <row r="21" spans="1:14" ht="24.75" thickBot="1">
      <c r="A21" s="455" t="s">
        <v>1201</v>
      </c>
      <c r="B21" s="456"/>
      <c r="C21" s="456"/>
      <c r="D21" s="456"/>
      <c r="E21" s="456"/>
      <c r="F21" s="456"/>
      <c r="G21" s="456"/>
      <c r="H21" s="456"/>
      <c r="I21" s="456"/>
      <c r="J21" s="457"/>
      <c r="K21" s="427">
        <f>SUM(K7:K20)</f>
        <v>55400</v>
      </c>
      <c r="L21" s="410"/>
      <c r="M21" s="59"/>
    </row>
    <row r="22" spans="1:14" ht="24.75" thickTop="1">
      <c r="A22" s="404"/>
      <c r="B22" s="404"/>
      <c r="C22" s="404"/>
      <c r="D22" s="404"/>
      <c r="E22" s="404"/>
      <c r="F22" s="404"/>
      <c r="G22" s="404"/>
      <c r="H22" s="404"/>
      <c r="I22" s="404"/>
      <c r="J22" s="404"/>
      <c r="K22" s="258"/>
      <c r="L22" s="59"/>
      <c r="M22" s="59"/>
    </row>
    <row r="23" spans="1:14">
      <c r="A23" s="224"/>
      <c r="B23" s="224"/>
      <c r="C23" s="224"/>
      <c r="D23" s="224"/>
      <c r="E23" s="224"/>
      <c r="F23" s="403"/>
      <c r="G23" s="403"/>
      <c r="H23" s="403"/>
      <c r="I23" s="78"/>
      <c r="J23" s="258"/>
      <c r="K23" s="258"/>
      <c r="L23" s="59"/>
      <c r="M23" s="59"/>
    </row>
    <row r="24" spans="1:14" ht="24" customHeight="1">
      <c r="B24" s="343" t="s">
        <v>4</v>
      </c>
      <c r="C24" s="253" t="s">
        <v>1222</v>
      </c>
      <c r="D24" s="59"/>
      <c r="E24" s="404"/>
      <c r="I24" s="431" t="s">
        <v>161</v>
      </c>
      <c r="J24" s="431"/>
      <c r="K24" s="431"/>
      <c r="L24" s="431"/>
      <c r="M24" s="224"/>
    </row>
    <row r="25" spans="1:14">
      <c r="B25" s="403"/>
      <c r="C25" s="253" t="s">
        <v>1223</v>
      </c>
      <c r="D25" s="59"/>
      <c r="E25" s="59"/>
      <c r="I25" s="431" t="s">
        <v>1043</v>
      </c>
      <c r="J25" s="431"/>
      <c r="K25" s="431"/>
      <c r="L25" s="431"/>
      <c r="M25" s="224"/>
    </row>
    <row r="26" spans="1:14">
      <c r="C26" s="14"/>
      <c r="I26" s="431" t="s">
        <v>162</v>
      </c>
      <c r="J26" s="431"/>
      <c r="K26" s="431"/>
      <c r="L26" s="431"/>
      <c r="M26" s="224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1:J21"/>
    <mergeCell ref="I24:L24"/>
    <mergeCell ref="I25:L25"/>
    <mergeCell ref="I26:L26"/>
  </mergeCells>
  <printOptions horizontalCentered="1"/>
  <pageMargins left="0.19685039370078741" right="0" top="0.59055118110236227" bottom="0.19685039370078741" header="0" footer="0"/>
  <pageSetup paperSize="9" scale="75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17"/>
  <sheetViews>
    <sheetView tabSelected="1" zoomScaleNormal="100" workbookViewId="0">
      <selection activeCell="M16" sqref="M16"/>
    </sheetView>
  </sheetViews>
  <sheetFormatPr defaultColWidth="9" defaultRowHeight="24"/>
  <cols>
    <col min="1" max="1" width="5.28515625" style="14" customWidth="1"/>
    <col min="2" max="2" width="12.140625" style="14" customWidth="1"/>
    <col min="3" max="3" width="30.28515625" style="14" customWidth="1"/>
    <col min="4" max="4" width="34.28515625" style="14" customWidth="1"/>
    <col min="5" max="5" width="7.7109375" style="14" customWidth="1"/>
    <col min="6" max="6" width="8.5703125" style="14" customWidth="1"/>
    <col min="7" max="8" width="7.140625" style="14" customWidth="1"/>
    <col min="9" max="9" width="7.5703125" style="14" customWidth="1"/>
    <col min="10" max="10" width="13.42578125" style="14" customWidth="1"/>
    <col min="11" max="11" width="14" style="14" customWidth="1"/>
    <col min="12" max="12" width="36.42578125" style="228" customWidth="1"/>
    <col min="13" max="13" width="19.5703125" style="14" customWidth="1"/>
    <col min="14" max="16384" width="9" style="14"/>
  </cols>
  <sheetData>
    <row r="1" spans="1:15">
      <c r="L1" s="354" t="s">
        <v>1284</v>
      </c>
    </row>
    <row r="2" spans="1:15" ht="23.25" customHeight="1">
      <c r="A2" s="439" t="s">
        <v>550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1:15" ht="22.5" customHeight="1">
      <c r="A3" s="440" t="s">
        <v>1228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1:15" ht="24" customHeight="1">
      <c r="A4" s="441" t="s">
        <v>1282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1:15" ht="44.25" customHeight="1">
      <c r="A5" s="432" t="s">
        <v>1196</v>
      </c>
      <c r="B5" s="432" t="s">
        <v>1226</v>
      </c>
      <c r="C5" s="432" t="s">
        <v>1221</v>
      </c>
      <c r="D5" s="444" t="s">
        <v>0</v>
      </c>
      <c r="E5" s="432" t="s">
        <v>1216</v>
      </c>
      <c r="F5" s="432" t="s">
        <v>1215</v>
      </c>
      <c r="G5" s="437" t="s">
        <v>1217</v>
      </c>
      <c r="H5" s="442" t="s">
        <v>2</v>
      </c>
      <c r="I5" s="443"/>
      <c r="J5" s="432" t="s">
        <v>1220</v>
      </c>
      <c r="K5" s="432" t="s">
        <v>1202</v>
      </c>
      <c r="L5" s="432" t="s">
        <v>1219</v>
      </c>
      <c r="M5" s="58"/>
      <c r="N5" s="58"/>
      <c r="O5" s="58"/>
    </row>
    <row r="6" spans="1:15" ht="48">
      <c r="A6" s="433"/>
      <c r="B6" s="433"/>
      <c r="C6" s="433"/>
      <c r="D6" s="445"/>
      <c r="E6" s="433"/>
      <c r="F6" s="433"/>
      <c r="G6" s="438"/>
      <c r="H6" s="176" t="s">
        <v>1218</v>
      </c>
      <c r="I6" s="126" t="s">
        <v>69</v>
      </c>
      <c r="J6" s="433"/>
      <c r="K6" s="433"/>
      <c r="L6" s="433"/>
      <c r="M6" s="59"/>
      <c r="N6" s="59"/>
      <c r="O6" s="59"/>
    </row>
    <row r="7" spans="1:15">
      <c r="A7" s="229">
        <v>1</v>
      </c>
      <c r="B7" s="33"/>
      <c r="C7" s="106" t="s">
        <v>58</v>
      </c>
      <c r="D7" s="106" t="s">
        <v>313</v>
      </c>
      <c r="E7" s="35" t="s">
        <v>55</v>
      </c>
      <c r="F7" s="35"/>
      <c r="G7" s="35"/>
      <c r="H7" s="36">
        <v>1</v>
      </c>
      <c r="I7" s="36">
        <v>1</v>
      </c>
      <c r="J7" s="41">
        <v>900</v>
      </c>
      <c r="K7" s="260">
        <f t="shared" ref="K7:K11" si="0">SUM(I7*J7)</f>
        <v>900</v>
      </c>
      <c r="L7" s="229"/>
      <c r="M7" s="59"/>
      <c r="N7" s="59"/>
      <c r="O7" s="59"/>
    </row>
    <row r="8" spans="1:15">
      <c r="A8" s="229">
        <v>2</v>
      </c>
      <c r="B8" s="33"/>
      <c r="C8" s="106" t="s">
        <v>307</v>
      </c>
      <c r="D8" s="106" t="s">
        <v>314</v>
      </c>
      <c r="E8" s="35" t="s">
        <v>55</v>
      </c>
      <c r="F8" s="35"/>
      <c r="G8" s="35"/>
      <c r="H8" s="36">
        <v>1</v>
      </c>
      <c r="I8" s="36">
        <v>1</v>
      </c>
      <c r="J8" s="41">
        <v>1100</v>
      </c>
      <c r="K8" s="260">
        <f t="shared" si="0"/>
        <v>1100</v>
      </c>
      <c r="L8" s="229"/>
      <c r="M8" s="59"/>
      <c r="N8" s="59"/>
      <c r="O8" s="59"/>
    </row>
    <row r="9" spans="1:15">
      <c r="A9" s="229">
        <v>3</v>
      </c>
      <c r="B9" s="44"/>
      <c r="C9" s="106" t="s">
        <v>310</v>
      </c>
      <c r="D9" s="106" t="s">
        <v>314</v>
      </c>
      <c r="E9" s="35" t="s">
        <v>55</v>
      </c>
      <c r="F9" s="35"/>
      <c r="G9" s="35"/>
      <c r="H9" s="36">
        <v>2</v>
      </c>
      <c r="I9" s="36">
        <v>2</v>
      </c>
      <c r="J9" s="41">
        <v>1150</v>
      </c>
      <c r="K9" s="260">
        <f t="shared" si="0"/>
        <v>2300</v>
      </c>
      <c r="L9" s="229"/>
      <c r="M9" s="59"/>
      <c r="N9" s="59"/>
      <c r="O9" s="59"/>
    </row>
    <row r="10" spans="1:15">
      <c r="A10" s="229">
        <v>4</v>
      </c>
      <c r="B10" s="33"/>
      <c r="C10" s="106" t="s">
        <v>311</v>
      </c>
      <c r="D10" s="106" t="s">
        <v>169</v>
      </c>
      <c r="E10" s="35" t="s">
        <v>55</v>
      </c>
      <c r="F10" s="35"/>
      <c r="G10" s="35"/>
      <c r="H10" s="36">
        <v>1</v>
      </c>
      <c r="I10" s="36">
        <v>1</v>
      </c>
      <c r="J10" s="41">
        <v>3300</v>
      </c>
      <c r="K10" s="260">
        <f t="shared" si="0"/>
        <v>3300</v>
      </c>
      <c r="L10" s="229"/>
      <c r="M10" s="59"/>
      <c r="N10" s="59"/>
      <c r="O10" s="59"/>
    </row>
    <row r="11" spans="1:15">
      <c r="A11" s="229">
        <v>5</v>
      </c>
      <c r="B11" s="33"/>
      <c r="C11" s="34" t="s">
        <v>312</v>
      </c>
      <c r="D11" s="12" t="s">
        <v>68</v>
      </c>
      <c r="E11" s="35" t="s">
        <v>55</v>
      </c>
      <c r="F11" s="35"/>
      <c r="G11" s="35"/>
      <c r="H11" s="36">
        <v>1</v>
      </c>
      <c r="I11" s="36">
        <v>1</v>
      </c>
      <c r="J11" s="42">
        <v>17000</v>
      </c>
      <c r="K11" s="260">
        <f t="shared" si="0"/>
        <v>17000</v>
      </c>
      <c r="L11" s="229"/>
      <c r="M11" s="59"/>
      <c r="N11" s="59"/>
      <c r="O11" s="59"/>
    </row>
    <row r="12" spans="1:15" ht="24.75" thickBot="1">
      <c r="A12" s="471" t="s">
        <v>1201</v>
      </c>
      <c r="B12" s="472"/>
      <c r="C12" s="472"/>
      <c r="D12" s="472"/>
      <c r="E12" s="473"/>
      <c r="F12" s="429"/>
      <c r="G12" s="429"/>
      <c r="H12" s="429"/>
      <c r="I12" s="494"/>
      <c r="J12" s="495"/>
      <c r="K12" s="496">
        <f>SUM(K7:K11)</f>
        <v>24600</v>
      </c>
      <c r="L12" s="387"/>
      <c r="M12" s="59"/>
      <c r="N12" s="59"/>
      <c r="O12" s="59"/>
    </row>
    <row r="13" spans="1:15" ht="24.75" thickTop="1">
      <c r="A13" s="224"/>
      <c r="B13" s="224"/>
      <c r="C13" s="224"/>
      <c r="D13" s="224"/>
      <c r="E13" s="224"/>
      <c r="F13" s="428"/>
      <c r="G13" s="428"/>
      <c r="H13" s="428"/>
      <c r="I13" s="78"/>
      <c r="J13" s="262"/>
      <c r="K13" s="217"/>
      <c r="L13" s="224"/>
      <c r="M13" s="59"/>
      <c r="N13" s="59"/>
      <c r="O13" s="59"/>
    </row>
    <row r="14" spans="1:15" ht="24.75" customHeight="1">
      <c r="M14" s="224"/>
      <c r="N14" s="224"/>
      <c r="O14" s="224"/>
    </row>
    <row r="15" spans="1:15">
      <c r="B15" s="343" t="s">
        <v>4</v>
      </c>
      <c r="C15" s="253" t="s">
        <v>1222</v>
      </c>
      <c r="D15" s="59"/>
      <c r="E15" s="430"/>
      <c r="I15" s="431" t="s">
        <v>161</v>
      </c>
      <c r="J15" s="431"/>
      <c r="K15" s="431"/>
      <c r="L15" s="431"/>
      <c r="M15" s="224"/>
      <c r="N15" s="224"/>
      <c r="O15" s="224"/>
    </row>
    <row r="16" spans="1:15">
      <c r="B16" s="428"/>
      <c r="C16" s="253" t="s">
        <v>1223</v>
      </c>
      <c r="D16" s="59"/>
      <c r="E16" s="59"/>
      <c r="I16" s="431" t="s">
        <v>1048</v>
      </c>
      <c r="J16" s="431"/>
      <c r="K16" s="431"/>
      <c r="L16" s="431"/>
      <c r="M16" s="224"/>
      <c r="N16" s="224"/>
      <c r="O16" s="224"/>
    </row>
    <row r="17" spans="9:12">
      <c r="I17" s="431" t="s">
        <v>162</v>
      </c>
      <c r="J17" s="431"/>
      <c r="K17" s="431"/>
      <c r="L17" s="431"/>
    </row>
  </sheetData>
  <mergeCells count="18">
    <mergeCell ref="K5:K6"/>
    <mergeCell ref="L5:L6"/>
    <mergeCell ref="I17:L17"/>
    <mergeCell ref="I16:L16"/>
    <mergeCell ref="I15:L15"/>
    <mergeCell ref="A12:E1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36"/>
  <sheetViews>
    <sheetView topLeftCell="A19" workbookViewId="0">
      <selection activeCell="K24" sqref="K24"/>
    </sheetView>
  </sheetViews>
  <sheetFormatPr defaultColWidth="9" defaultRowHeight="24"/>
  <cols>
    <col min="1" max="1" width="5.5703125" style="14" customWidth="1"/>
    <col min="2" max="2" width="15.42578125" style="14" customWidth="1"/>
    <col min="3" max="3" width="29" style="14" customWidth="1"/>
    <col min="4" max="4" width="35.85546875" style="14" customWidth="1"/>
    <col min="5" max="5" width="6.85546875" style="14" customWidth="1"/>
    <col min="6" max="6" width="6.7109375" style="14" customWidth="1"/>
    <col min="7" max="7" width="13.140625" style="14" customWidth="1"/>
    <col min="8" max="8" width="13.5703125" style="14" customWidth="1"/>
    <col min="9" max="9" width="10" style="228" customWidth="1"/>
    <col min="10" max="12" width="21" style="14" customWidth="1"/>
    <col min="13" max="16384" width="9" style="14"/>
  </cols>
  <sheetData>
    <row r="1" spans="1:12" ht="24" customHeight="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2" ht="24" customHeight="1">
      <c r="A2" s="439" t="s">
        <v>289</v>
      </c>
      <c r="B2" s="439"/>
      <c r="C2" s="439"/>
      <c r="D2" s="439"/>
      <c r="E2" s="439"/>
      <c r="F2" s="439"/>
      <c r="G2" s="439"/>
      <c r="H2" s="439"/>
      <c r="I2" s="439"/>
    </row>
    <row r="3" spans="1:12" ht="24" customHeight="1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2" ht="42.7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  <c r="K4" s="58"/>
      <c r="L4" s="58"/>
    </row>
    <row r="5" spans="1:12">
      <c r="A5" s="229">
        <v>1</v>
      </c>
      <c r="B5" s="33"/>
      <c r="C5" s="34" t="s">
        <v>241</v>
      </c>
      <c r="D5" s="12" t="s">
        <v>266</v>
      </c>
      <c r="E5" s="35" t="s">
        <v>56</v>
      </c>
      <c r="F5" s="36">
        <v>1</v>
      </c>
      <c r="G5" s="42">
        <v>4200</v>
      </c>
      <c r="H5" s="42">
        <f>SUM(F5*G5)</f>
        <v>4200</v>
      </c>
      <c r="I5" s="229" t="s">
        <v>69</v>
      </c>
      <c r="J5" s="59"/>
      <c r="K5" s="59"/>
      <c r="L5" s="59"/>
    </row>
    <row r="6" spans="1:12">
      <c r="A6" s="229">
        <v>2</v>
      </c>
      <c r="B6" s="33"/>
      <c r="C6" s="34" t="s">
        <v>242</v>
      </c>
      <c r="D6" s="12" t="s">
        <v>267</v>
      </c>
      <c r="E6" s="35" t="s">
        <v>56</v>
      </c>
      <c r="F6" s="36">
        <v>1</v>
      </c>
      <c r="G6" s="42">
        <v>1650</v>
      </c>
      <c r="H6" s="42">
        <f t="shared" ref="H6:H30" si="0">SUM(F6*G6)</f>
        <v>1650</v>
      </c>
      <c r="I6" s="229" t="s">
        <v>69</v>
      </c>
      <c r="J6" s="59"/>
      <c r="K6" s="59"/>
      <c r="L6" s="59"/>
    </row>
    <row r="7" spans="1:12">
      <c r="A7" s="229">
        <v>3</v>
      </c>
      <c r="B7" s="33"/>
      <c r="C7" s="34" t="s">
        <v>243</v>
      </c>
      <c r="D7" s="12" t="s">
        <v>268</v>
      </c>
      <c r="E7" s="35" t="s">
        <v>1100</v>
      </c>
      <c r="F7" s="36">
        <v>1</v>
      </c>
      <c r="G7" s="42">
        <v>12500</v>
      </c>
      <c r="H7" s="42">
        <f t="shared" si="0"/>
        <v>12500</v>
      </c>
      <c r="I7" s="229" t="s">
        <v>70</v>
      </c>
      <c r="J7" s="59"/>
      <c r="K7" s="59"/>
      <c r="L7" s="59"/>
    </row>
    <row r="8" spans="1:12">
      <c r="A8" s="229">
        <v>4</v>
      </c>
      <c r="B8" s="33"/>
      <c r="C8" s="34" t="s">
        <v>244</v>
      </c>
      <c r="D8" s="12" t="s">
        <v>269</v>
      </c>
      <c r="E8" s="35" t="s">
        <v>56</v>
      </c>
      <c r="F8" s="36">
        <v>7</v>
      </c>
      <c r="G8" s="41">
        <v>1600</v>
      </c>
      <c r="H8" s="42">
        <f t="shared" si="0"/>
        <v>11200</v>
      </c>
      <c r="I8" s="229" t="s">
        <v>69</v>
      </c>
      <c r="J8" s="59"/>
      <c r="K8" s="59"/>
      <c r="L8" s="59"/>
    </row>
    <row r="9" spans="1:12">
      <c r="A9" s="229">
        <v>5</v>
      </c>
      <c r="B9" s="33"/>
      <c r="C9" s="34" t="s">
        <v>245</v>
      </c>
      <c r="D9" s="12" t="s">
        <v>270</v>
      </c>
      <c r="E9" s="35" t="s">
        <v>56</v>
      </c>
      <c r="F9" s="36">
        <v>1</v>
      </c>
      <c r="G9" s="41">
        <v>2500</v>
      </c>
      <c r="H9" s="42">
        <f t="shared" si="0"/>
        <v>2500</v>
      </c>
      <c r="I9" s="229" t="s">
        <v>70</v>
      </c>
      <c r="J9" s="59"/>
      <c r="K9" s="59"/>
      <c r="L9" s="59"/>
    </row>
    <row r="10" spans="1:12">
      <c r="A10" s="229">
        <v>6</v>
      </c>
      <c r="B10" s="33"/>
      <c r="C10" s="34" t="s">
        <v>246</v>
      </c>
      <c r="D10" s="119" t="s">
        <v>271</v>
      </c>
      <c r="E10" s="35" t="s">
        <v>56</v>
      </c>
      <c r="F10" s="36">
        <v>1</v>
      </c>
      <c r="G10" s="41">
        <v>2000</v>
      </c>
      <c r="H10" s="42">
        <f t="shared" si="0"/>
        <v>2000</v>
      </c>
      <c r="I10" s="229" t="s">
        <v>70</v>
      </c>
      <c r="J10" s="59"/>
      <c r="K10" s="59"/>
      <c r="L10" s="59"/>
    </row>
    <row r="11" spans="1:12">
      <c r="A11" s="229">
        <v>7</v>
      </c>
      <c r="B11" s="44"/>
      <c r="C11" s="34" t="s">
        <v>247</v>
      </c>
      <c r="D11" s="12" t="s">
        <v>272</v>
      </c>
      <c r="E11" s="35" t="s">
        <v>1100</v>
      </c>
      <c r="F11" s="36">
        <v>1</v>
      </c>
      <c r="G11" s="42">
        <v>1370</v>
      </c>
      <c r="H11" s="42">
        <f t="shared" si="0"/>
        <v>1370</v>
      </c>
      <c r="I11" s="229" t="s">
        <v>69</v>
      </c>
      <c r="J11" s="59"/>
      <c r="K11" s="59"/>
      <c r="L11" s="59"/>
    </row>
    <row r="12" spans="1:12">
      <c r="A12" s="229">
        <v>8</v>
      </c>
      <c r="B12" s="33"/>
      <c r="C12" s="34" t="s">
        <v>248</v>
      </c>
      <c r="D12" s="12" t="s">
        <v>270</v>
      </c>
      <c r="E12" s="35" t="s">
        <v>56</v>
      </c>
      <c r="F12" s="36">
        <v>4</v>
      </c>
      <c r="G12" s="41">
        <v>2800</v>
      </c>
      <c r="H12" s="42">
        <f t="shared" si="0"/>
        <v>11200</v>
      </c>
      <c r="I12" s="229" t="s">
        <v>70</v>
      </c>
      <c r="J12" s="59"/>
      <c r="K12" s="59"/>
      <c r="L12" s="59"/>
    </row>
    <row r="13" spans="1:12">
      <c r="A13" s="229">
        <v>9</v>
      </c>
      <c r="B13" s="33"/>
      <c r="C13" s="34" t="s">
        <v>249</v>
      </c>
      <c r="D13" s="12" t="s">
        <v>273</v>
      </c>
      <c r="E13" s="35" t="s">
        <v>56</v>
      </c>
      <c r="F13" s="36">
        <v>3</v>
      </c>
      <c r="G13" s="42">
        <v>2650</v>
      </c>
      <c r="H13" s="42">
        <f t="shared" si="0"/>
        <v>7950</v>
      </c>
      <c r="I13" s="229" t="s">
        <v>70</v>
      </c>
      <c r="J13" s="59"/>
      <c r="K13" s="59"/>
      <c r="L13" s="59"/>
    </row>
    <row r="14" spans="1:12">
      <c r="A14" s="229">
        <v>10</v>
      </c>
      <c r="B14" s="33"/>
      <c r="C14" s="34" t="s">
        <v>250</v>
      </c>
      <c r="D14" s="12" t="s">
        <v>50</v>
      </c>
      <c r="E14" s="35" t="s">
        <v>56</v>
      </c>
      <c r="F14" s="36">
        <v>2</v>
      </c>
      <c r="G14" s="42">
        <v>3000</v>
      </c>
      <c r="H14" s="42">
        <f t="shared" si="0"/>
        <v>6000</v>
      </c>
      <c r="I14" s="229" t="s">
        <v>70</v>
      </c>
      <c r="J14" s="59"/>
      <c r="K14" s="59"/>
      <c r="L14" s="59"/>
    </row>
    <row r="15" spans="1:12">
      <c r="A15" s="229">
        <v>11</v>
      </c>
      <c r="B15" s="33"/>
      <c r="C15" s="34" t="s">
        <v>251</v>
      </c>
      <c r="D15" s="12" t="s">
        <v>274</v>
      </c>
      <c r="E15" s="110" t="s">
        <v>56</v>
      </c>
      <c r="F15" s="36">
        <v>1</v>
      </c>
      <c r="G15" s="42">
        <v>5684.5</v>
      </c>
      <c r="H15" s="42">
        <f t="shared" si="0"/>
        <v>5684.5</v>
      </c>
      <c r="I15" s="229" t="s">
        <v>70</v>
      </c>
      <c r="J15" s="59"/>
      <c r="K15" s="59"/>
      <c r="L15" s="59"/>
    </row>
    <row r="16" spans="1:12">
      <c r="A16" s="229">
        <v>12</v>
      </c>
      <c r="B16" s="33"/>
      <c r="C16" s="34" t="s">
        <v>252</v>
      </c>
      <c r="D16" s="12" t="s">
        <v>275</v>
      </c>
      <c r="E16" s="35" t="s">
        <v>55</v>
      </c>
      <c r="F16" s="36">
        <v>1</v>
      </c>
      <c r="G16" s="42">
        <v>7900</v>
      </c>
      <c r="H16" s="42">
        <f t="shared" si="0"/>
        <v>7900</v>
      </c>
      <c r="I16" s="229" t="s">
        <v>69</v>
      </c>
      <c r="J16" s="59"/>
      <c r="K16" s="59"/>
      <c r="L16" s="59"/>
    </row>
    <row r="17" spans="1:12">
      <c r="A17" s="229">
        <v>13</v>
      </c>
      <c r="B17" s="44"/>
      <c r="C17" s="34" t="s">
        <v>253</v>
      </c>
      <c r="D17" s="12" t="s">
        <v>276</v>
      </c>
      <c r="E17" s="35" t="s">
        <v>55</v>
      </c>
      <c r="F17" s="36">
        <v>1</v>
      </c>
      <c r="G17" s="42">
        <v>32000</v>
      </c>
      <c r="H17" s="42">
        <f t="shared" si="0"/>
        <v>32000</v>
      </c>
      <c r="I17" s="229" t="s">
        <v>69</v>
      </c>
      <c r="J17" s="59"/>
      <c r="K17" s="59"/>
      <c r="L17" s="59"/>
    </row>
    <row r="18" spans="1:12">
      <c r="A18" s="229">
        <v>14</v>
      </c>
      <c r="B18" s="33"/>
      <c r="C18" s="34" t="s">
        <v>254</v>
      </c>
      <c r="D18" s="12" t="s">
        <v>277</v>
      </c>
      <c r="E18" s="35" t="s">
        <v>55</v>
      </c>
      <c r="F18" s="36">
        <v>96</v>
      </c>
      <c r="G18" s="42">
        <v>152</v>
      </c>
      <c r="H18" s="42">
        <f t="shared" si="0"/>
        <v>14592</v>
      </c>
      <c r="I18" s="229" t="s">
        <v>69</v>
      </c>
      <c r="J18" s="59"/>
      <c r="K18" s="59"/>
      <c r="L18" s="59"/>
    </row>
    <row r="19" spans="1:12">
      <c r="A19" s="229">
        <v>15</v>
      </c>
      <c r="B19" s="33"/>
      <c r="C19" s="34" t="s">
        <v>255</v>
      </c>
      <c r="D19" s="12" t="s">
        <v>278</v>
      </c>
      <c r="E19" s="35" t="s">
        <v>55</v>
      </c>
      <c r="F19" s="36">
        <v>2</v>
      </c>
      <c r="G19" s="42">
        <v>4900</v>
      </c>
      <c r="H19" s="42">
        <f t="shared" si="0"/>
        <v>9800</v>
      </c>
      <c r="I19" s="229" t="s">
        <v>70</v>
      </c>
      <c r="J19" s="59"/>
      <c r="K19" s="59"/>
      <c r="L19" s="59"/>
    </row>
    <row r="20" spans="1:12">
      <c r="A20" s="229">
        <v>16</v>
      </c>
      <c r="B20" s="33"/>
      <c r="C20" s="34" t="s">
        <v>256</v>
      </c>
      <c r="D20" s="12" t="s">
        <v>279</v>
      </c>
      <c r="E20" s="35" t="s">
        <v>55</v>
      </c>
      <c r="F20" s="36">
        <v>2</v>
      </c>
      <c r="G20" s="42">
        <v>3500</v>
      </c>
      <c r="H20" s="42">
        <f t="shared" si="0"/>
        <v>7000</v>
      </c>
      <c r="I20" s="229" t="s">
        <v>69</v>
      </c>
      <c r="J20" s="59"/>
      <c r="K20" s="59"/>
      <c r="L20" s="59"/>
    </row>
    <row r="21" spans="1:12">
      <c r="A21" s="229">
        <v>17</v>
      </c>
      <c r="B21" s="33"/>
      <c r="C21" s="34" t="s">
        <v>257</v>
      </c>
      <c r="D21" s="12" t="s">
        <v>280</v>
      </c>
      <c r="E21" s="35" t="s">
        <v>55</v>
      </c>
      <c r="F21" s="36">
        <v>2</v>
      </c>
      <c r="G21" s="42">
        <v>1500</v>
      </c>
      <c r="H21" s="42">
        <f t="shared" si="0"/>
        <v>3000</v>
      </c>
      <c r="I21" s="229" t="s">
        <v>69</v>
      </c>
      <c r="J21" s="59"/>
      <c r="K21" s="59"/>
      <c r="L21" s="59"/>
    </row>
    <row r="22" spans="1:12">
      <c r="A22" s="229">
        <v>18</v>
      </c>
      <c r="B22" s="33"/>
      <c r="C22" s="34" t="s">
        <v>258</v>
      </c>
      <c r="D22" s="12" t="s">
        <v>281</v>
      </c>
      <c r="E22" s="35" t="s">
        <v>55</v>
      </c>
      <c r="F22" s="36">
        <v>2</v>
      </c>
      <c r="G22" s="42">
        <v>450</v>
      </c>
      <c r="H22" s="42">
        <f t="shared" si="0"/>
        <v>900</v>
      </c>
      <c r="I22" s="229" t="s">
        <v>69</v>
      </c>
      <c r="J22" s="59"/>
      <c r="K22" s="59"/>
      <c r="L22" s="59"/>
    </row>
    <row r="23" spans="1:12">
      <c r="A23" s="229">
        <v>19</v>
      </c>
      <c r="B23" s="33"/>
      <c r="C23" s="34" t="s">
        <v>259</v>
      </c>
      <c r="D23" s="12" t="s">
        <v>282</v>
      </c>
      <c r="E23" s="35" t="s">
        <v>55</v>
      </c>
      <c r="F23" s="36">
        <v>2</v>
      </c>
      <c r="G23" s="42">
        <v>680</v>
      </c>
      <c r="H23" s="42">
        <f t="shared" si="0"/>
        <v>1360</v>
      </c>
      <c r="I23" s="229" t="s">
        <v>69</v>
      </c>
      <c r="J23" s="59"/>
      <c r="K23" s="59"/>
      <c r="L23" s="59"/>
    </row>
    <row r="24" spans="1:12">
      <c r="A24" s="229">
        <v>20</v>
      </c>
      <c r="B24" s="33"/>
      <c r="C24" s="34" t="s">
        <v>260</v>
      </c>
      <c r="D24" s="12" t="s">
        <v>283</v>
      </c>
      <c r="E24" s="229" t="s">
        <v>55</v>
      </c>
      <c r="F24" s="36">
        <v>1</v>
      </c>
      <c r="G24" s="42">
        <v>900</v>
      </c>
      <c r="H24" s="42">
        <f t="shared" si="0"/>
        <v>900</v>
      </c>
      <c r="I24" s="229" t="s">
        <v>70</v>
      </c>
      <c r="J24" s="59"/>
      <c r="K24" s="59"/>
      <c r="L24" s="59"/>
    </row>
    <row r="25" spans="1:12">
      <c r="A25" s="229">
        <v>21</v>
      </c>
      <c r="B25" s="33"/>
      <c r="C25" s="34" t="s">
        <v>261</v>
      </c>
      <c r="D25" s="12" t="s">
        <v>284</v>
      </c>
      <c r="E25" s="229" t="s">
        <v>55</v>
      </c>
      <c r="F25" s="36">
        <v>1</v>
      </c>
      <c r="G25" s="42">
        <v>3700</v>
      </c>
      <c r="H25" s="42">
        <f t="shared" si="0"/>
        <v>3700</v>
      </c>
      <c r="I25" s="229" t="s">
        <v>70</v>
      </c>
      <c r="J25" s="59"/>
      <c r="K25" s="59"/>
      <c r="L25" s="59"/>
    </row>
    <row r="26" spans="1:12">
      <c r="A26" s="229">
        <v>22</v>
      </c>
      <c r="B26" s="33"/>
      <c r="C26" s="34" t="s">
        <v>262</v>
      </c>
      <c r="D26" s="12" t="s">
        <v>285</v>
      </c>
      <c r="E26" s="229" t="s">
        <v>55</v>
      </c>
      <c r="F26" s="36">
        <v>1</v>
      </c>
      <c r="G26" s="42">
        <v>2450</v>
      </c>
      <c r="H26" s="42">
        <f t="shared" si="0"/>
        <v>2450</v>
      </c>
      <c r="I26" s="229" t="s">
        <v>70</v>
      </c>
      <c r="J26" s="59"/>
      <c r="K26" s="59"/>
      <c r="L26" s="59"/>
    </row>
    <row r="27" spans="1:12">
      <c r="A27" s="229">
        <v>23</v>
      </c>
      <c r="B27" s="33"/>
      <c r="C27" s="34" t="s">
        <v>263</v>
      </c>
      <c r="D27" s="12" t="s">
        <v>286</v>
      </c>
      <c r="E27" s="229" t="s">
        <v>55</v>
      </c>
      <c r="F27" s="36">
        <v>1</v>
      </c>
      <c r="G27" s="42">
        <v>3500</v>
      </c>
      <c r="H27" s="42">
        <f t="shared" si="0"/>
        <v>3500</v>
      </c>
      <c r="I27" s="229" t="s">
        <v>70</v>
      </c>
      <c r="J27" s="59"/>
      <c r="K27" s="59"/>
      <c r="L27" s="59"/>
    </row>
    <row r="28" spans="1:12">
      <c r="A28" s="229">
        <v>24</v>
      </c>
      <c r="B28" s="33"/>
      <c r="C28" s="34" t="s">
        <v>264</v>
      </c>
      <c r="D28" s="12" t="s">
        <v>287</v>
      </c>
      <c r="E28" s="229" t="s">
        <v>55</v>
      </c>
      <c r="F28" s="36">
        <v>1</v>
      </c>
      <c r="G28" s="42">
        <v>26500</v>
      </c>
      <c r="H28" s="42">
        <f t="shared" si="0"/>
        <v>26500</v>
      </c>
      <c r="I28" s="229" t="s">
        <v>71</v>
      </c>
      <c r="J28" s="59"/>
      <c r="K28" s="59"/>
      <c r="L28" s="59"/>
    </row>
    <row r="29" spans="1:12">
      <c r="A29" s="229">
        <v>25</v>
      </c>
      <c r="B29" s="33"/>
      <c r="C29" s="34" t="s">
        <v>265</v>
      </c>
      <c r="D29" s="12" t="s">
        <v>288</v>
      </c>
      <c r="E29" s="229" t="s">
        <v>55</v>
      </c>
      <c r="F29" s="36">
        <v>1</v>
      </c>
      <c r="G29" s="41">
        <v>28900</v>
      </c>
      <c r="H29" s="42">
        <f t="shared" si="0"/>
        <v>28900</v>
      </c>
      <c r="I29" s="229" t="s">
        <v>69</v>
      </c>
      <c r="J29" s="59"/>
      <c r="K29" s="59"/>
      <c r="L29" s="59"/>
    </row>
    <row r="30" spans="1:12">
      <c r="A30" s="229">
        <v>26</v>
      </c>
      <c r="B30" s="33"/>
      <c r="C30" s="34" t="s">
        <v>1088</v>
      </c>
      <c r="D30" s="12" t="s">
        <v>1089</v>
      </c>
      <c r="E30" s="229" t="s">
        <v>56</v>
      </c>
      <c r="F30" s="36">
        <v>1</v>
      </c>
      <c r="G30" s="41">
        <v>6200</v>
      </c>
      <c r="H30" s="42">
        <f t="shared" si="0"/>
        <v>6200</v>
      </c>
      <c r="I30" s="229" t="s">
        <v>70</v>
      </c>
      <c r="J30" s="59"/>
      <c r="K30" s="59"/>
      <c r="L30" s="59"/>
    </row>
    <row r="31" spans="1:12">
      <c r="A31" s="479" t="s">
        <v>381</v>
      </c>
      <c r="B31" s="480"/>
      <c r="C31" s="480"/>
      <c r="D31" s="480"/>
      <c r="E31" s="481"/>
      <c r="F31" s="54"/>
      <c r="G31" s="263"/>
      <c r="H31" s="264">
        <f>SUM(H5:H30)</f>
        <v>214956.5</v>
      </c>
      <c r="I31" s="229"/>
      <c r="J31" s="59"/>
      <c r="K31" s="59"/>
      <c r="L31" s="59"/>
    </row>
    <row r="32" spans="1:12">
      <c r="A32" s="224"/>
      <c r="B32" s="224"/>
      <c r="C32" s="224"/>
      <c r="D32" s="224"/>
      <c r="E32" s="224"/>
      <c r="F32" s="78"/>
      <c r="G32" s="262"/>
      <c r="H32" s="217"/>
      <c r="I32" s="224"/>
      <c r="J32" s="59"/>
      <c r="K32" s="59"/>
      <c r="L32" s="59"/>
    </row>
    <row r="33" spans="6:12" ht="31.5" customHeight="1">
      <c r="F33" s="431" t="s">
        <v>161</v>
      </c>
      <c r="G33" s="431"/>
      <c r="H33" s="431"/>
      <c r="I33" s="431"/>
      <c r="J33" s="224"/>
      <c r="K33" s="224"/>
      <c r="L33" s="224"/>
    </row>
    <row r="34" spans="6:12">
      <c r="F34" s="431" t="s">
        <v>1046</v>
      </c>
      <c r="G34" s="431"/>
      <c r="H34" s="431"/>
      <c r="I34" s="431"/>
      <c r="J34" s="224"/>
      <c r="K34" s="224"/>
      <c r="L34" s="224"/>
    </row>
    <row r="35" spans="6:12">
      <c r="F35" s="431" t="s">
        <v>162</v>
      </c>
      <c r="G35" s="431"/>
      <c r="H35" s="431"/>
      <c r="I35" s="431"/>
      <c r="J35" s="224"/>
      <c r="K35" s="224"/>
      <c r="L35" s="224"/>
    </row>
    <row r="36" spans="6:12" ht="16.5" customHeight="1"/>
  </sheetData>
  <mergeCells count="7">
    <mergeCell ref="F33:I33"/>
    <mergeCell ref="F34:I34"/>
    <mergeCell ref="F35:I35"/>
    <mergeCell ref="A1:I1"/>
    <mergeCell ref="A2:I2"/>
    <mergeCell ref="A3:I3"/>
    <mergeCell ref="A31:E31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1"/>
  <sheetViews>
    <sheetView topLeftCell="A4" zoomScaleNormal="100" workbookViewId="0">
      <selection activeCell="K4" sqref="K4"/>
    </sheetView>
  </sheetViews>
  <sheetFormatPr defaultColWidth="9" defaultRowHeight="24"/>
  <cols>
    <col min="1" max="1" width="5.85546875" style="14" customWidth="1"/>
    <col min="2" max="2" width="12.85546875" style="14" customWidth="1"/>
    <col min="3" max="3" width="30.5703125" style="14" customWidth="1"/>
    <col min="4" max="4" width="34.5703125" style="14" customWidth="1"/>
    <col min="5" max="5" width="7" style="14" customWidth="1"/>
    <col min="6" max="6" width="7.28515625" style="14" customWidth="1"/>
    <col min="7" max="7" width="12.7109375" style="14" customWidth="1"/>
    <col min="8" max="8" width="14" style="14" customWidth="1"/>
    <col min="9" max="9" width="10.5703125" style="228" customWidth="1"/>
    <col min="10" max="10" width="15.7109375" style="14" customWidth="1"/>
    <col min="11" max="11" width="21.28515625" style="14" customWidth="1"/>
    <col min="12" max="16384" width="9" style="14"/>
  </cols>
  <sheetData>
    <row r="1" spans="1:11" ht="25.5" customHeight="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1">
      <c r="A2" s="439" t="s">
        <v>1022</v>
      </c>
      <c r="B2" s="439"/>
      <c r="C2" s="439"/>
      <c r="D2" s="439"/>
      <c r="E2" s="439"/>
      <c r="F2" s="439"/>
      <c r="G2" s="439"/>
      <c r="H2" s="439"/>
      <c r="I2" s="439"/>
    </row>
    <row r="3" spans="1:11">
      <c r="A3" s="482" t="s">
        <v>1096</v>
      </c>
      <c r="B3" s="482"/>
      <c r="C3" s="482"/>
      <c r="D3" s="482"/>
      <c r="E3" s="482"/>
      <c r="F3" s="482"/>
      <c r="G3" s="482"/>
      <c r="H3" s="482"/>
      <c r="I3" s="482"/>
    </row>
    <row r="4" spans="1:11" s="32" customFormat="1" ht="44.2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  <c r="K4" s="58"/>
    </row>
    <row r="5" spans="1:11" s="40" customFormat="1">
      <c r="A5" s="229">
        <v>1</v>
      </c>
      <c r="B5" s="33"/>
      <c r="C5" s="34" t="s">
        <v>207</v>
      </c>
      <c r="D5" s="12" t="s">
        <v>218</v>
      </c>
      <c r="E5" s="35" t="s">
        <v>55</v>
      </c>
      <c r="F5" s="36">
        <v>1</v>
      </c>
      <c r="G5" s="42">
        <v>2300</v>
      </c>
      <c r="H5" s="42">
        <f>SUM(F5*G5)</f>
        <v>2300</v>
      </c>
      <c r="I5" s="229" t="s">
        <v>70</v>
      </c>
      <c r="J5" s="59"/>
      <c r="K5" s="59"/>
    </row>
    <row r="6" spans="1:11" s="40" customFormat="1">
      <c r="A6" s="229">
        <v>2</v>
      </c>
      <c r="B6" s="33"/>
      <c r="C6" s="34" t="s">
        <v>208</v>
      </c>
      <c r="D6" s="12" t="s">
        <v>200</v>
      </c>
      <c r="E6" s="35" t="s">
        <v>55</v>
      </c>
      <c r="F6" s="36">
        <v>1</v>
      </c>
      <c r="G6" s="42">
        <v>2200</v>
      </c>
      <c r="H6" s="42">
        <f t="shared" ref="H6:H15" si="0">SUM(F6*G6)</f>
        <v>2200</v>
      </c>
      <c r="I6" s="229" t="s">
        <v>70</v>
      </c>
      <c r="J6" s="59"/>
      <c r="K6" s="59"/>
    </row>
    <row r="7" spans="1:11" s="40" customFormat="1">
      <c r="A7" s="229">
        <v>3</v>
      </c>
      <c r="B7" s="33"/>
      <c r="C7" s="34" t="s">
        <v>209</v>
      </c>
      <c r="D7" s="12" t="s">
        <v>219</v>
      </c>
      <c r="E7" s="35" t="s">
        <v>1100</v>
      </c>
      <c r="F7" s="36">
        <v>1</v>
      </c>
      <c r="G7" s="42">
        <v>2300</v>
      </c>
      <c r="H7" s="42">
        <f t="shared" si="0"/>
        <v>2300</v>
      </c>
      <c r="I7" s="229" t="s">
        <v>70</v>
      </c>
      <c r="J7" s="59"/>
      <c r="K7" s="59"/>
    </row>
    <row r="8" spans="1:11" s="40" customFormat="1">
      <c r="A8" s="229">
        <v>4</v>
      </c>
      <c r="B8" s="33"/>
      <c r="C8" s="34" t="s">
        <v>210</v>
      </c>
      <c r="D8" s="12" t="s">
        <v>200</v>
      </c>
      <c r="E8" s="35" t="s">
        <v>56</v>
      </c>
      <c r="F8" s="36">
        <v>1</v>
      </c>
      <c r="G8" s="42">
        <v>2600</v>
      </c>
      <c r="H8" s="42">
        <f t="shared" si="0"/>
        <v>2600</v>
      </c>
      <c r="I8" s="229" t="s">
        <v>70</v>
      </c>
      <c r="J8" s="59"/>
      <c r="K8" s="59"/>
    </row>
    <row r="9" spans="1:11" s="40" customFormat="1">
      <c r="A9" s="229">
        <v>5</v>
      </c>
      <c r="B9" s="33"/>
      <c r="C9" s="34" t="s">
        <v>211</v>
      </c>
      <c r="D9" s="12" t="s">
        <v>219</v>
      </c>
      <c r="E9" s="35" t="s">
        <v>56</v>
      </c>
      <c r="F9" s="36">
        <v>1</v>
      </c>
      <c r="G9" s="42">
        <v>2300</v>
      </c>
      <c r="H9" s="42">
        <f t="shared" si="0"/>
        <v>2300</v>
      </c>
      <c r="I9" s="229" t="s">
        <v>70</v>
      </c>
      <c r="J9" s="59"/>
      <c r="K9" s="59"/>
    </row>
    <row r="10" spans="1:11" s="40" customFormat="1">
      <c r="A10" s="229">
        <v>6</v>
      </c>
      <c r="B10" s="33"/>
      <c r="C10" s="34" t="s">
        <v>212</v>
      </c>
      <c r="D10" s="12" t="s">
        <v>91</v>
      </c>
      <c r="E10" s="35" t="s">
        <v>1100</v>
      </c>
      <c r="F10" s="36">
        <v>1</v>
      </c>
      <c r="G10" s="41">
        <v>29000</v>
      </c>
      <c r="H10" s="42">
        <f t="shared" si="0"/>
        <v>29000</v>
      </c>
      <c r="I10" s="229" t="s">
        <v>69</v>
      </c>
      <c r="J10" s="59"/>
      <c r="K10" s="59"/>
    </row>
    <row r="11" spans="1:11" s="40" customFormat="1">
      <c r="A11" s="229">
        <v>7</v>
      </c>
      <c r="B11" s="33"/>
      <c r="C11" s="34" t="s">
        <v>213</v>
      </c>
      <c r="D11" s="12" t="s">
        <v>220</v>
      </c>
      <c r="E11" s="35" t="s">
        <v>55</v>
      </c>
      <c r="F11" s="36">
        <v>1</v>
      </c>
      <c r="G11" s="41">
        <v>1500</v>
      </c>
      <c r="H11" s="42">
        <f t="shared" si="0"/>
        <v>1500</v>
      </c>
      <c r="I11" s="229" t="s">
        <v>70</v>
      </c>
      <c r="J11" s="59"/>
      <c r="K11" s="59"/>
    </row>
    <row r="12" spans="1:11" s="40" customFormat="1">
      <c r="A12" s="229">
        <v>8</v>
      </c>
      <c r="B12" s="33"/>
      <c r="C12" s="34" t="s">
        <v>214</v>
      </c>
      <c r="D12" s="12" t="s">
        <v>221</v>
      </c>
      <c r="E12" s="35" t="s">
        <v>55</v>
      </c>
      <c r="F12" s="36">
        <v>1</v>
      </c>
      <c r="G12" s="152">
        <v>3000</v>
      </c>
      <c r="H12" s="42">
        <f t="shared" si="0"/>
        <v>3000</v>
      </c>
      <c r="I12" s="229" t="s">
        <v>70</v>
      </c>
      <c r="J12" s="59"/>
      <c r="K12" s="59"/>
    </row>
    <row r="13" spans="1:11" s="40" customFormat="1">
      <c r="A13" s="229">
        <v>9</v>
      </c>
      <c r="B13" s="33"/>
      <c r="C13" s="34" t="s">
        <v>215</v>
      </c>
      <c r="D13" s="12" t="s">
        <v>222</v>
      </c>
      <c r="E13" s="35" t="s">
        <v>1100</v>
      </c>
      <c r="F13" s="36">
        <v>2</v>
      </c>
      <c r="G13" s="152">
        <v>3400</v>
      </c>
      <c r="H13" s="42">
        <f t="shared" si="0"/>
        <v>6800</v>
      </c>
      <c r="I13" s="229" t="s">
        <v>70</v>
      </c>
      <c r="J13" s="59"/>
      <c r="K13" s="59"/>
    </row>
    <row r="14" spans="1:11" s="40" customFormat="1">
      <c r="A14" s="229">
        <v>10</v>
      </c>
      <c r="B14" s="33"/>
      <c r="C14" s="34" t="s">
        <v>216</v>
      </c>
      <c r="D14" s="12" t="s">
        <v>223</v>
      </c>
      <c r="E14" s="35" t="s">
        <v>1100</v>
      </c>
      <c r="F14" s="36">
        <v>2</v>
      </c>
      <c r="G14" s="152">
        <v>2900</v>
      </c>
      <c r="H14" s="42">
        <f t="shared" si="0"/>
        <v>5800</v>
      </c>
      <c r="I14" s="229" t="s">
        <v>70</v>
      </c>
      <c r="J14" s="59"/>
      <c r="K14" s="59"/>
    </row>
    <row r="15" spans="1:11" s="40" customFormat="1">
      <c r="A15" s="229">
        <v>11</v>
      </c>
      <c r="B15" s="33"/>
      <c r="C15" s="34" t="s">
        <v>217</v>
      </c>
      <c r="D15" s="12" t="s">
        <v>224</v>
      </c>
      <c r="E15" s="35" t="s">
        <v>1100</v>
      </c>
      <c r="F15" s="36">
        <v>1</v>
      </c>
      <c r="G15" s="152">
        <v>610</v>
      </c>
      <c r="H15" s="42">
        <f t="shared" si="0"/>
        <v>610</v>
      </c>
      <c r="I15" s="229" t="s">
        <v>70</v>
      </c>
      <c r="J15" s="59"/>
      <c r="K15" s="59"/>
    </row>
    <row r="16" spans="1:11">
      <c r="A16" s="479" t="s">
        <v>1201</v>
      </c>
      <c r="B16" s="480"/>
      <c r="C16" s="480"/>
      <c r="D16" s="480"/>
      <c r="E16" s="481"/>
      <c r="F16" s="54"/>
      <c r="G16" s="263"/>
      <c r="H16" s="261">
        <f>SUM(H5:H15)</f>
        <v>58410</v>
      </c>
      <c r="I16" s="229"/>
      <c r="J16" s="59"/>
      <c r="K16" s="59"/>
    </row>
    <row r="17" spans="1:11">
      <c r="A17" s="224"/>
      <c r="B17" s="224"/>
      <c r="C17" s="224"/>
      <c r="D17" s="224"/>
      <c r="E17" s="224"/>
      <c r="F17" s="217"/>
      <c r="G17" s="77"/>
      <c r="H17" s="77"/>
      <c r="I17" s="224"/>
      <c r="J17" s="59"/>
      <c r="K17" s="59"/>
    </row>
    <row r="18" spans="1:11" ht="27.75" customHeight="1">
      <c r="F18" s="431" t="s">
        <v>161</v>
      </c>
      <c r="G18" s="431"/>
      <c r="H18" s="431"/>
      <c r="I18" s="431"/>
      <c r="J18" s="224"/>
      <c r="K18" s="224"/>
    </row>
    <row r="19" spans="1:11">
      <c r="F19" s="431" t="s">
        <v>1045</v>
      </c>
      <c r="G19" s="431"/>
      <c r="H19" s="431"/>
      <c r="I19" s="431"/>
      <c r="J19" s="224"/>
      <c r="K19" s="224"/>
    </row>
    <row r="20" spans="1:11">
      <c r="F20" s="431" t="s">
        <v>162</v>
      </c>
      <c r="G20" s="431"/>
      <c r="H20" s="431"/>
      <c r="I20" s="431"/>
      <c r="J20" s="224"/>
      <c r="K20" s="224"/>
    </row>
    <row r="21" spans="1:11">
      <c r="F21" s="224"/>
      <c r="G21" s="224"/>
      <c r="H21" s="224"/>
      <c r="I21" s="224"/>
      <c r="J21" s="224"/>
      <c r="K21" s="224"/>
    </row>
  </sheetData>
  <mergeCells count="7">
    <mergeCell ref="A16:E16"/>
    <mergeCell ref="F18:I18"/>
    <mergeCell ref="F19:I19"/>
    <mergeCell ref="F20:I20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7"/>
  <sheetViews>
    <sheetView zoomScaleNormal="100" workbookViewId="0">
      <selection activeCell="A13" sqref="A13:E13"/>
    </sheetView>
  </sheetViews>
  <sheetFormatPr defaultColWidth="9" defaultRowHeight="24"/>
  <cols>
    <col min="1" max="1" width="5.5703125" style="14" customWidth="1"/>
    <col min="2" max="2" width="12.28515625" style="14" customWidth="1"/>
    <col min="3" max="3" width="31.42578125" style="14" customWidth="1"/>
    <col min="4" max="4" width="34" style="14" customWidth="1"/>
    <col min="5" max="6" width="7" style="14" customWidth="1"/>
    <col min="7" max="7" width="13.42578125" style="14" customWidth="1"/>
    <col min="8" max="8" width="13.85546875" style="14" customWidth="1"/>
    <col min="9" max="9" width="11.5703125" style="14" customWidth="1"/>
    <col min="10" max="10" width="22.140625" style="14" customWidth="1"/>
    <col min="11" max="16384" width="9" style="14"/>
  </cols>
  <sheetData>
    <row r="1" spans="1:10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0">
      <c r="A2" s="439" t="s">
        <v>1023</v>
      </c>
      <c r="B2" s="439"/>
      <c r="C2" s="439"/>
      <c r="D2" s="439"/>
      <c r="E2" s="439"/>
      <c r="F2" s="439"/>
      <c r="G2" s="439"/>
      <c r="H2" s="439"/>
      <c r="I2" s="439"/>
    </row>
    <row r="3" spans="1:10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0" s="32" customFormat="1" ht="41.2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</row>
    <row r="5" spans="1:10" s="40" customFormat="1">
      <c r="A5" s="229">
        <v>1</v>
      </c>
      <c r="B5" s="33"/>
      <c r="C5" s="34" t="s">
        <v>225</v>
      </c>
      <c r="D5" s="12" t="s">
        <v>232</v>
      </c>
      <c r="E5" s="35" t="s">
        <v>56</v>
      </c>
      <c r="F5" s="36">
        <v>2</v>
      </c>
      <c r="G5" s="42">
        <v>1450</v>
      </c>
      <c r="H5" s="42">
        <f>SUM(F5*G5)</f>
        <v>2900</v>
      </c>
      <c r="I5" s="229" t="s">
        <v>70</v>
      </c>
      <c r="J5" s="224"/>
    </row>
    <row r="6" spans="1:10" s="40" customFormat="1">
      <c r="A6" s="229">
        <v>2</v>
      </c>
      <c r="B6" s="33"/>
      <c r="C6" s="34" t="s">
        <v>226</v>
      </c>
      <c r="D6" s="119" t="s">
        <v>233</v>
      </c>
      <c r="E6" s="35" t="s">
        <v>56</v>
      </c>
      <c r="F6" s="36">
        <v>1</v>
      </c>
      <c r="G6" s="97">
        <v>1500</v>
      </c>
      <c r="H6" s="42">
        <f t="shared" ref="H6:H12" si="0">SUM(F6*G6)</f>
        <v>1500</v>
      </c>
      <c r="I6" s="229" t="s">
        <v>70</v>
      </c>
      <c r="J6" s="224"/>
    </row>
    <row r="7" spans="1:10" s="40" customFormat="1">
      <c r="A7" s="229">
        <v>3</v>
      </c>
      <c r="B7" s="33"/>
      <c r="C7" s="34" t="s">
        <v>227</v>
      </c>
      <c r="D7" s="12" t="s">
        <v>168</v>
      </c>
      <c r="E7" s="35" t="s">
        <v>56</v>
      </c>
      <c r="F7" s="36">
        <v>1</v>
      </c>
      <c r="G7" s="42">
        <v>3350</v>
      </c>
      <c r="H7" s="42">
        <f t="shared" si="0"/>
        <v>3350</v>
      </c>
      <c r="I7" s="229" t="s">
        <v>70</v>
      </c>
      <c r="J7" s="224"/>
    </row>
    <row r="8" spans="1:10" s="40" customFormat="1">
      <c r="A8" s="229">
        <v>4</v>
      </c>
      <c r="B8" s="33"/>
      <c r="C8" s="119" t="s">
        <v>228</v>
      </c>
      <c r="D8" s="121" t="s">
        <v>234</v>
      </c>
      <c r="E8" s="35" t="s">
        <v>55</v>
      </c>
      <c r="F8" s="36">
        <v>1</v>
      </c>
      <c r="G8" s="42">
        <v>3700</v>
      </c>
      <c r="H8" s="42">
        <f t="shared" si="0"/>
        <v>3700</v>
      </c>
      <c r="I8" s="229" t="s">
        <v>69</v>
      </c>
      <c r="J8" s="224"/>
    </row>
    <row r="9" spans="1:10" s="40" customFormat="1">
      <c r="A9" s="229">
        <v>5</v>
      </c>
      <c r="B9" s="33"/>
      <c r="C9" s="119" t="s">
        <v>229</v>
      </c>
      <c r="D9" s="121" t="s">
        <v>235</v>
      </c>
      <c r="E9" s="35" t="s">
        <v>55</v>
      </c>
      <c r="F9" s="36">
        <v>15</v>
      </c>
      <c r="G9" s="42">
        <v>4238.5200000000004</v>
      </c>
      <c r="H9" s="42">
        <f t="shared" si="0"/>
        <v>63577.8</v>
      </c>
      <c r="I9" s="229" t="s">
        <v>69</v>
      </c>
      <c r="J9" s="224"/>
    </row>
    <row r="10" spans="1:10" s="40" customFormat="1">
      <c r="A10" s="229">
        <v>6</v>
      </c>
      <c r="B10" s="33"/>
      <c r="C10" s="119" t="s">
        <v>230</v>
      </c>
      <c r="D10" s="121" t="s">
        <v>236</v>
      </c>
      <c r="E10" s="35" t="s">
        <v>55</v>
      </c>
      <c r="F10" s="36">
        <v>1</v>
      </c>
      <c r="G10" s="42">
        <v>10140</v>
      </c>
      <c r="H10" s="42">
        <f t="shared" si="0"/>
        <v>10140</v>
      </c>
      <c r="I10" s="229" t="s">
        <v>69</v>
      </c>
      <c r="J10" s="224"/>
    </row>
    <row r="11" spans="1:10" s="40" customFormat="1">
      <c r="A11" s="229">
        <v>7</v>
      </c>
      <c r="B11" s="33"/>
      <c r="C11" s="119" t="s">
        <v>231</v>
      </c>
      <c r="D11" s="121" t="s">
        <v>237</v>
      </c>
      <c r="E11" s="35" t="s">
        <v>55</v>
      </c>
      <c r="F11" s="36">
        <v>1</v>
      </c>
      <c r="G11" s="42">
        <v>4400</v>
      </c>
      <c r="H11" s="42">
        <f t="shared" si="0"/>
        <v>4400</v>
      </c>
      <c r="I11" s="229" t="s">
        <v>70</v>
      </c>
      <c r="J11" s="224"/>
    </row>
    <row r="12" spans="1:10" s="40" customFormat="1">
      <c r="A12" s="229">
        <v>8</v>
      </c>
      <c r="B12" s="44" t="s">
        <v>239</v>
      </c>
      <c r="C12" s="215" t="s">
        <v>1207</v>
      </c>
      <c r="D12" s="12" t="s">
        <v>238</v>
      </c>
      <c r="E12" s="35" t="s">
        <v>56</v>
      </c>
      <c r="F12" s="36">
        <v>4</v>
      </c>
      <c r="G12" s="152">
        <v>15000</v>
      </c>
      <c r="H12" s="42">
        <f t="shared" si="0"/>
        <v>60000</v>
      </c>
      <c r="I12" s="229" t="s">
        <v>70</v>
      </c>
      <c r="J12" s="224"/>
    </row>
    <row r="13" spans="1:10">
      <c r="A13" s="479" t="s">
        <v>1201</v>
      </c>
      <c r="B13" s="480"/>
      <c r="C13" s="480"/>
      <c r="D13" s="480"/>
      <c r="E13" s="481"/>
      <c r="F13" s="54"/>
      <c r="G13" s="263"/>
      <c r="H13" s="261">
        <f>SUM(H5:H12)</f>
        <v>149567.79999999999</v>
      </c>
      <c r="I13" s="33"/>
      <c r="J13" s="59"/>
    </row>
    <row r="14" spans="1:10" ht="30.75" customHeight="1"/>
    <row r="15" spans="1:10">
      <c r="F15" s="431" t="s">
        <v>161</v>
      </c>
      <c r="G15" s="431"/>
      <c r="H15" s="431"/>
      <c r="I15" s="431"/>
      <c r="J15" s="224"/>
    </row>
    <row r="16" spans="1:10">
      <c r="F16" s="431" t="s">
        <v>240</v>
      </c>
      <c r="G16" s="431"/>
      <c r="H16" s="431"/>
      <c r="I16" s="431"/>
      <c r="J16" s="224"/>
    </row>
    <row r="17" spans="6:10">
      <c r="F17" s="431" t="s">
        <v>162</v>
      </c>
      <c r="G17" s="431"/>
      <c r="H17" s="431"/>
      <c r="I17" s="431"/>
      <c r="J17" s="224"/>
    </row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4"/>
  <sheetViews>
    <sheetView workbookViewId="0">
      <selection activeCell="D12" sqref="D12"/>
    </sheetView>
  </sheetViews>
  <sheetFormatPr defaultColWidth="9" defaultRowHeight="24"/>
  <cols>
    <col min="1" max="1" width="5.28515625" style="14" customWidth="1"/>
    <col min="2" max="2" width="12.5703125" style="14" customWidth="1"/>
    <col min="3" max="3" width="26.7109375" style="14" customWidth="1"/>
    <col min="4" max="4" width="42" style="14" customWidth="1"/>
    <col min="5" max="6" width="6.5703125" style="14" customWidth="1"/>
    <col min="7" max="7" width="13" style="14" customWidth="1"/>
    <col min="8" max="8" width="13.140625" style="14" customWidth="1"/>
    <col min="9" max="9" width="10" style="14" customWidth="1"/>
    <col min="10" max="11" width="11.85546875" style="14" customWidth="1"/>
    <col min="12" max="16384" width="9" style="14"/>
  </cols>
  <sheetData>
    <row r="1" spans="1:11">
      <c r="A1" s="439" t="s">
        <v>550</v>
      </c>
      <c r="B1" s="439"/>
      <c r="C1" s="439"/>
      <c r="D1" s="439"/>
      <c r="E1" s="439"/>
      <c r="F1" s="439"/>
      <c r="G1" s="439"/>
      <c r="H1" s="439"/>
      <c r="I1" s="439"/>
      <c r="J1" s="228"/>
      <c r="K1" s="228"/>
    </row>
    <row r="2" spans="1:11">
      <c r="A2" s="440" t="s">
        <v>1008</v>
      </c>
      <c r="B2" s="440"/>
      <c r="C2" s="440"/>
      <c r="D2" s="440"/>
      <c r="E2" s="440"/>
      <c r="F2" s="440"/>
      <c r="G2" s="440"/>
      <c r="H2" s="440"/>
      <c r="I2" s="440"/>
      <c r="J2" s="231"/>
      <c r="K2" s="231"/>
    </row>
    <row r="3" spans="1:11">
      <c r="A3" s="483" t="s">
        <v>1076</v>
      </c>
      <c r="B3" s="483"/>
      <c r="C3" s="483"/>
      <c r="D3" s="483"/>
      <c r="E3" s="483"/>
      <c r="F3" s="483"/>
      <c r="G3" s="483"/>
      <c r="H3" s="483"/>
      <c r="I3" s="483"/>
      <c r="J3" s="224"/>
      <c r="K3" s="224"/>
    </row>
    <row r="4" spans="1:11" s="228" customFormat="1" ht="4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230"/>
      <c r="K4" s="230"/>
    </row>
    <row r="5" spans="1:11">
      <c r="A5" s="108">
        <v>1</v>
      </c>
      <c r="B5" s="44"/>
      <c r="C5" s="119" t="s">
        <v>686</v>
      </c>
      <c r="D5" s="121" t="s">
        <v>1009</v>
      </c>
      <c r="E5" s="35" t="s">
        <v>55</v>
      </c>
      <c r="F5" s="157">
        <v>1</v>
      </c>
      <c r="G5" s="42">
        <v>3000</v>
      </c>
      <c r="H5" s="42">
        <f>SUM(F5*G5)</f>
        <v>3000</v>
      </c>
      <c r="I5" s="112" t="s">
        <v>70</v>
      </c>
      <c r="J5" s="265"/>
      <c r="K5" s="265"/>
    </row>
    <row r="6" spans="1:11">
      <c r="A6" s="239">
        <v>2</v>
      </c>
      <c r="B6" s="113"/>
      <c r="C6" s="119" t="s">
        <v>1010</v>
      </c>
      <c r="D6" s="121" t="s">
        <v>68</v>
      </c>
      <c r="E6" s="35" t="s">
        <v>55</v>
      </c>
      <c r="F6" s="157">
        <v>1</v>
      </c>
      <c r="G6" s="42">
        <v>17000</v>
      </c>
      <c r="H6" s="42">
        <f t="shared" ref="H6:H9" si="0">SUM(F6*G6)</f>
        <v>17000</v>
      </c>
      <c r="I6" s="112" t="s">
        <v>70</v>
      </c>
      <c r="J6" s="265"/>
      <c r="K6" s="265"/>
    </row>
    <row r="7" spans="1:11">
      <c r="A7" s="108">
        <v>3</v>
      </c>
      <c r="B7" s="44"/>
      <c r="C7" s="119" t="s">
        <v>1033</v>
      </c>
      <c r="D7" s="121" t="s">
        <v>1009</v>
      </c>
      <c r="E7" s="35" t="s">
        <v>56</v>
      </c>
      <c r="F7" s="157">
        <v>1</v>
      </c>
      <c r="G7" s="42">
        <v>4500</v>
      </c>
      <c r="H7" s="42">
        <f t="shared" si="0"/>
        <v>4500</v>
      </c>
      <c r="I7" s="112" t="s">
        <v>70</v>
      </c>
      <c r="J7" s="265"/>
      <c r="K7" s="265"/>
    </row>
    <row r="8" spans="1:11">
      <c r="A8" s="108">
        <v>4</v>
      </c>
      <c r="B8" s="44" t="s">
        <v>1041</v>
      </c>
      <c r="C8" s="119" t="s">
        <v>1037</v>
      </c>
      <c r="D8" s="121" t="s">
        <v>1035</v>
      </c>
      <c r="E8" s="35" t="s">
        <v>56</v>
      </c>
      <c r="F8" s="157">
        <v>1</v>
      </c>
      <c r="G8" s="42">
        <v>4900</v>
      </c>
      <c r="H8" s="42">
        <f t="shared" si="0"/>
        <v>4900</v>
      </c>
      <c r="I8" s="112" t="s">
        <v>70</v>
      </c>
      <c r="J8" s="265"/>
      <c r="K8" s="265"/>
    </row>
    <row r="9" spans="1:11">
      <c r="A9" s="108">
        <v>5</v>
      </c>
      <c r="B9" s="44" t="s">
        <v>1041</v>
      </c>
      <c r="C9" s="119" t="s">
        <v>1253</v>
      </c>
      <c r="D9" s="121" t="s">
        <v>1036</v>
      </c>
      <c r="E9" s="35" t="s">
        <v>56</v>
      </c>
      <c r="F9" s="157">
        <v>1</v>
      </c>
      <c r="G9" s="42">
        <v>17900</v>
      </c>
      <c r="H9" s="42">
        <f t="shared" si="0"/>
        <v>17900</v>
      </c>
      <c r="I9" s="112" t="s">
        <v>70</v>
      </c>
      <c r="J9" s="265"/>
      <c r="K9" s="265"/>
    </row>
    <row r="10" spans="1:11">
      <c r="A10" s="446" t="s">
        <v>381</v>
      </c>
      <c r="B10" s="447"/>
      <c r="C10" s="447"/>
      <c r="D10" s="447"/>
      <c r="E10" s="448"/>
      <c r="F10" s="203"/>
      <c r="G10" s="266"/>
      <c r="H10" s="266">
        <f>SUM(H5:H9)</f>
        <v>47300</v>
      </c>
      <c r="I10" s="267"/>
      <c r="J10" s="224"/>
      <c r="K10" s="224"/>
    </row>
    <row r="11" spans="1:11" ht="30" customHeight="1">
      <c r="A11" s="59"/>
      <c r="B11" s="59"/>
      <c r="C11" s="59"/>
      <c r="D11" s="59"/>
      <c r="E11" s="59"/>
      <c r="F11" s="268"/>
      <c r="G11" s="59"/>
      <c r="H11" s="59"/>
      <c r="I11" s="59"/>
      <c r="J11" s="59"/>
      <c r="K11" s="59"/>
    </row>
    <row r="12" spans="1:11">
      <c r="A12" s="59"/>
      <c r="B12" s="59"/>
      <c r="C12" s="59"/>
      <c r="D12" s="59"/>
      <c r="E12" s="59"/>
      <c r="F12" s="431" t="s">
        <v>161</v>
      </c>
      <c r="G12" s="431"/>
      <c r="H12" s="431"/>
      <c r="I12" s="431"/>
      <c r="J12" s="224"/>
      <c r="K12" s="224"/>
    </row>
    <row r="13" spans="1:11">
      <c r="A13" s="59"/>
      <c r="B13" s="59"/>
      <c r="C13" s="59"/>
      <c r="D13" s="59"/>
      <c r="E13" s="59"/>
      <c r="F13" s="431" t="s">
        <v>1071</v>
      </c>
      <c r="G13" s="431"/>
      <c r="H13" s="431"/>
      <c r="I13" s="431"/>
      <c r="J13" s="224"/>
      <c r="K13" s="224"/>
    </row>
    <row r="14" spans="1:11">
      <c r="A14" s="59"/>
      <c r="B14" s="59"/>
      <c r="C14" s="59"/>
      <c r="D14" s="59"/>
      <c r="E14" s="59"/>
      <c r="F14" s="431" t="s">
        <v>162</v>
      </c>
      <c r="G14" s="431"/>
      <c r="H14" s="431"/>
      <c r="I14" s="431"/>
      <c r="J14" s="224"/>
      <c r="K14" s="224"/>
    </row>
  </sheetData>
  <mergeCells count="7">
    <mergeCell ref="F14:I14"/>
    <mergeCell ref="A10:E10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0"/>
  <sheetViews>
    <sheetView zoomScaleNormal="100" workbookViewId="0">
      <selection activeCell="J7" sqref="J7"/>
    </sheetView>
  </sheetViews>
  <sheetFormatPr defaultColWidth="9" defaultRowHeight="24"/>
  <cols>
    <col min="1" max="1" width="5.5703125" style="14" customWidth="1"/>
    <col min="2" max="2" width="11.28515625" style="14" customWidth="1"/>
    <col min="3" max="3" width="28.85546875" style="14" customWidth="1"/>
    <col min="4" max="4" width="38.5703125" style="14" customWidth="1"/>
    <col min="5" max="5" width="7" style="14" customWidth="1"/>
    <col min="6" max="6" width="7.42578125" style="14" customWidth="1"/>
    <col min="7" max="7" width="13.140625" style="14" customWidth="1"/>
    <col min="8" max="8" width="13.42578125" style="14" customWidth="1"/>
    <col min="9" max="9" width="10.5703125" style="228" customWidth="1"/>
    <col min="10" max="10" width="21.140625" style="14" customWidth="1"/>
    <col min="11" max="11" width="9.7109375" style="14" customWidth="1"/>
    <col min="12" max="16384" width="9" style="14"/>
  </cols>
  <sheetData>
    <row r="1" spans="1:1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1">
      <c r="A2" s="439" t="s">
        <v>170</v>
      </c>
      <c r="B2" s="439"/>
      <c r="C2" s="439"/>
      <c r="D2" s="439"/>
      <c r="E2" s="439"/>
      <c r="F2" s="439"/>
      <c r="G2" s="439"/>
      <c r="H2" s="439"/>
      <c r="I2" s="439"/>
    </row>
    <row r="3" spans="1:11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1" ht="41.2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  <c r="K4" s="58"/>
    </row>
    <row r="5" spans="1:11">
      <c r="A5" s="229">
        <v>1</v>
      </c>
      <c r="B5" s="33"/>
      <c r="C5" s="34" t="s">
        <v>171</v>
      </c>
      <c r="D5" s="12" t="s">
        <v>40</v>
      </c>
      <c r="E5" s="35" t="s">
        <v>56</v>
      </c>
      <c r="F5" s="36">
        <v>1</v>
      </c>
      <c r="G5" s="37">
        <v>2900</v>
      </c>
      <c r="H5" s="37">
        <f>SUM(F5*G5)</f>
        <v>2900</v>
      </c>
      <c r="I5" s="229" t="s">
        <v>70</v>
      </c>
      <c r="J5" s="59"/>
      <c r="K5" s="59"/>
    </row>
    <row r="6" spans="1:11">
      <c r="A6" s="229">
        <v>2</v>
      </c>
      <c r="B6" s="33"/>
      <c r="C6" s="34" t="s">
        <v>172</v>
      </c>
      <c r="D6" s="12" t="s">
        <v>89</v>
      </c>
      <c r="E6" s="35" t="s">
        <v>56</v>
      </c>
      <c r="F6" s="36">
        <v>1</v>
      </c>
      <c r="G6" s="37">
        <v>3100</v>
      </c>
      <c r="H6" s="37">
        <f t="shared" ref="H6:H15" si="0">SUM(F6*G6)</f>
        <v>3100</v>
      </c>
      <c r="I6" s="229" t="s">
        <v>70</v>
      </c>
      <c r="J6" s="59"/>
      <c r="K6" s="59"/>
    </row>
    <row r="7" spans="1:11">
      <c r="A7" s="229">
        <v>3</v>
      </c>
      <c r="B7" s="33"/>
      <c r="C7" s="34" t="s">
        <v>173</v>
      </c>
      <c r="D7" s="119" t="s">
        <v>168</v>
      </c>
      <c r="E7" s="35" t="s">
        <v>56</v>
      </c>
      <c r="F7" s="36">
        <v>1</v>
      </c>
      <c r="G7" s="269">
        <v>2800</v>
      </c>
      <c r="H7" s="37">
        <f t="shared" si="0"/>
        <v>2800</v>
      </c>
      <c r="I7" s="229" t="s">
        <v>70</v>
      </c>
      <c r="J7" s="59"/>
      <c r="K7" s="59"/>
    </row>
    <row r="8" spans="1:11">
      <c r="A8" s="229">
        <v>4</v>
      </c>
      <c r="B8" s="33"/>
      <c r="C8" s="34" t="s">
        <v>174</v>
      </c>
      <c r="D8" s="119" t="s">
        <v>134</v>
      </c>
      <c r="E8" s="35" t="s">
        <v>1100</v>
      </c>
      <c r="F8" s="36">
        <v>1</v>
      </c>
      <c r="G8" s="269">
        <v>5500</v>
      </c>
      <c r="H8" s="37">
        <f t="shared" si="0"/>
        <v>5500</v>
      </c>
      <c r="I8" s="229" t="s">
        <v>69</v>
      </c>
      <c r="J8" s="59"/>
      <c r="K8" s="59"/>
    </row>
    <row r="9" spans="1:11">
      <c r="A9" s="229">
        <v>5</v>
      </c>
      <c r="B9" s="33"/>
      <c r="C9" s="34" t="s">
        <v>175</v>
      </c>
      <c r="D9" s="119" t="s">
        <v>134</v>
      </c>
      <c r="E9" s="35" t="s">
        <v>56</v>
      </c>
      <c r="F9" s="36">
        <v>1</v>
      </c>
      <c r="G9" s="269">
        <v>5296.5</v>
      </c>
      <c r="H9" s="37">
        <f t="shared" si="0"/>
        <v>5296.5</v>
      </c>
      <c r="I9" s="229" t="s">
        <v>69</v>
      </c>
      <c r="J9" s="59"/>
      <c r="K9" s="59"/>
    </row>
    <row r="10" spans="1:11">
      <c r="A10" s="229">
        <v>6</v>
      </c>
      <c r="B10" s="33"/>
      <c r="C10" s="34" t="s">
        <v>176</v>
      </c>
      <c r="D10" s="119" t="s">
        <v>182</v>
      </c>
      <c r="E10" s="35" t="s">
        <v>56</v>
      </c>
      <c r="F10" s="36">
        <v>1</v>
      </c>
      <c r="G10" s="269">
        <v>3500</v>
      </c>
      <c r="H10" s="37">
        <f t="shared" si="0"/>
        <v>3500</v>
      </c>
      <c r="I10" s="229" t="s">
        <v>69</v>
      </c>
      <c r="J10" s="59"/>
      <c r="K10" s="59"/>
    </row>
    <row r="11" spans="1:11">
      <c r="A11" s="229">
        <v>7</v>
      </c>
      <c r="B11" s="33"/>
      <c r="C11" s="34" t="s">
        <v>177</v>
      </c>
      <c r="D11" s="119" t="s">
        <v>183</v>
      </c>
      <c r="E11" s="35" t="s">
        <v>55</v>
      </c>
      <c r="F11" s="36">
        <v>1</v>
      </c>
      <c r="G11" s="97">
        <v>2500</v>
      </c>
      <c r="H11" s="37">
        <f t="shared" si="0"/>
        <v>2500</v>
      </c>
      <c r="I11" s="229" t="s">
        <v>69</v>
      </c>
      <c r="J11" s="59"/>
      <c r="K11" s="59"/>
    </row>
    <row r="12" spans="1:11">
      <c r="A12" s="229">
        <v>8</v>
      </c>
      <c r="B12" s="33"/>
      <c r="C12" s="34" t="s">
        <v>178</v>
      </c>
      <c r="D12" s="119" t="s">
        <v>184</v>
      </c>
      <c r="E12" s="35" t="s">
        <v>55</v>
      </c>
      <c r="F12" s="36">
        <v>2</v>
      </c>
      <c r="G12" s="97">
        <v>3900</v>
      </c>
      <c r="H12" s="37">
        <f t="shared" si="0"/>
        <v>7800</v>
      </c>
      <c r="I12" s="229" t="s">
        <v>69</v>
      </c>
      <c r="J12" s="59"/>
      <c r="K12" s="59"/>
    </row>
    <row r="13" spans="1:11">
      <c r="A13" s="229">
        <v>9</v>
      </c>
      <c r="B13" s="33"/>
      <c r="C13" s="34" t="s">
        <v>179</v>
      </c>
      <c r="D13" s="119" t="s">
        <v>37</v>
      </c>
      <c r="E13" s="35" t="s">
        <v>55</v>
      </c>
      <c r="F13" s="36">
        <v>1</v>
      </c>
      <c r="G13" s="97">
        <v>1850</v>
      </c>
      <c r="H13" s="37">
        <f t="shared" si="0"/>
        <v>1850</v>
      </c>
      <c r="I13" s="229" t="s">
        <v>70</v>
      </c>
      <c r="J13" s="59"/>
      <c r="K13" s="59"/>
    </row>
    <row r="14" spans="1:11">
      <c r="A14" s="229">
        <v>10</v>
      </c>
      <c r="B14" s="33"/>
      <c r="C14" s="34" t="s">
        <v>180</v>
      </c>
      <c r="D14" s="119" t="s">
        <v>185</v>
      </c>
      <c r="E14" s="35" t="s">
        <v>55</v>
      </c>
      <c r="F14" s="36">
        <v>1</v>
      </c>
      <c r="G14" s="97">
        <v>19000</v>
      </c>
      <c r="H14" s="37">
        <f t="shared" si="0"/>
        <v>19000</v>
      </c>
      <c r="I14" s="229" t="s">
        <v>69</v>
      </c>
      <c r="J14" s="59"/>
      <c r="K14" s="59"/>
    </row>
    <row r="15" spans="1:11">
      <c r="A15" s="229">
        <v>11</v>
      </c>
      <c r="B15" s="44"/>
      <c r="C15" s="34" t="s">
        <v>181</v>
      </c>
      <c r="D15" s="119" t="s">
        <v>186</v>
      </c>
      <c r="E15" s="235" t="s">
        <v>55</v>
      </c>
      <c r="F15" s="36">
        <v>1</v>
      </c>
      <c r="G15" s="97">
        <v>22000</v>
      </c>
      <c r="H15" s="37">
        <f t="shared" si="0"/>
        <v>22000</v>
      </c>
      <c r="I15" s="229" t="s">
        <v>69</v>
      </c>
      <c r="J15" s="59"/>
      <c r="K15" s="59"/>
    </row>
    <row r="16" spans="1:11">
      <c r="A16" s="479" t="s">
        <v>1201</v>
      </c>
      <c r="B16" s="480"/>
      <c r="C16" s="480"/>
      <c r="D16" s="480"/>
      <c r="E16" s="481"/>
      <c r="F16" s="54"/>
      <c r="G16" s="263"/>
      <c r="H16" s="261">
        <f>SUM(H5:H15)</f>
        <v>76246.5</v>
      </c>
      <c r="I16" s="229"/>
      <c r="J16" s="59"/>
      <c r="K16" s="59"/>
    </row>
    <row r="18" spans="6:11">
      <c r="F18" s="431" t="s">
        <v>1016</v>
      </c>
      <c r="G18" s="431"/>
      <c r="H18" s="431"/>
      <c r="I18" s="431"/>
      <c r="J18" s="224"/>
      <c r="K18" s="224"/>
    </row>
    <row r="19" spans="6:11">
      <c r="F19" s="431" t="s">
        <v>1017</v>
      </c>
      <c r="G19" s="431"/>
      <c r="H19" s="431"/>
      <c r="I19" s="431"/>
      <c r="J19" s="224"/>
      <c r="K19" s="224"/>
    </row>
    <row r="20" spans="6:11">
      <c r="F20" s="431" t="s">
        <v>162</v>
      </c>
      <c r="G20" s="431"/>
      <c r="H20" s="431"/>
      <c r="I20" s="431"/>
      <c r="J20" s="224"/>
      <c r="K20" s="224"/>
    </row>
  </sheetData>
  <mergeCells count="7">
    <mergeCell ref="F20:I20"/>
    <mergeCell ref="A16:E16"/>
    <mergeCell ref="A1:I1"/>
    <mergeCell ref="A2:I2"/>
    <mergeCell ref="A3:I3"/>
    <mergeCell ref="F18:I18"/>
    <mergeCell ref="F19:I19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30"/>
  <sheetViews>
    <sheetView topLeftCell="A13" zoomScaleNormal="100" workbookViewId="0">
      <selection activeCell="M11" sqref="M11"/>
    </sheetView>
  </sheetViews>
  <sheetFormatPr defaultColWidth="9" defaultRowHeight="24"/>
  <cols>
    <col min="1" max="1" width="5.42578125" style="14" customWidth="1"/>
    <col min="2" max="2" width="12.28515625" style="14" customWidth="1"/>
    <col min="3" max="3" width="28.5703125" style="14" customWidth="1"/>
    <col min="4" max="4" width="40" style="14" customWidth="1"/>
    <col min="5" max="6" width="7" style="14" customWidth="1"/>
    <col min="7" max="7" width="12.140625" style="14" customWidth="1"/>
    <col min="8" max="8" width="13" style="14" customWidth="1"/>
    <col min="9" max="9" width="10.42578125" style="14" customWidth="1"/>
    <col min="10" max="10" width="16.140625" style="14" customWidth="1"/>
    <col min="11" max="16384" width="9" style="14"/>
  </cols>
  <sheetData>
    <row r="1" spans="1:10" ht="26.25" customHeight="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0" ht="26.25" customHeight="1">
      <c r="A2" s="439" t="s">
        <v>1208</v>
      </c>
      <c r="B2" s="439"/>
      <c r="C2" s="439"/>
      <c r="D2" s="439"/>
      <c r="E2" s="439"/>
      <c r="F2" s="439"/>
      <c r="G2" s="439"/>
      <c r="H2" s="439"/>
      <c r="I2" s="439"/>
    </row>
    <row r="3" spans="1:10" ht="26.25" customHeight="1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0" ht="44.2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</row>
    <row r="5" spans="1:10">
      <c r="A5" s="229">
        <v>1</v>
      </c>
      <c r="B5" s="33"/>
      <c r="C5" s="259" t="s">
        <v>351</v>
      </c>
      <c r="D5" s="241" t="s">
        <v>90</v>
      </c>
      <c r="E5" s="35" t="s">
        <v>55</v>
      </c>
      <c r="F5" s="35">
        <v>2</v>
      </c>
      <c r="G5" s="260">
        <v>2250</v>
      </c>
      <c r="H5" s="260">
        <f>SUM(F5*G5)</f>
        <v>4500</v>
      </c>
      <c r="I5" s="229" t="s">
        <v>70</v>
      </c>
      <c r="J5" s="59"/>
    </row>
    <row r="6" spans="1:10">
      <c r="A6" s="229">
        <v>2</v>
      </c>
      <c r="B6" s="33"/>
      <c r="C6" s="236" t="s">
        <v>352</v>
      </c>
      <c r="D6" s="221" t="s">
        <v>370</v>
      </c>
      <c r="E6" s="35" t="s">
        <v>56</v>
      </c>
      <c r="F6" s="35">
        <v>1</v>
      </c>
      <c r="G6" s="270">
        <v>3100</v>
      </c>
      <c r="H6" s="260">
        <f t="shared" ref="H6:H24" si="0">SUM(F6*G6)</f>
        <v>3100</v>
      </c>
      <c r="I6" s="229" t="s">
        <v>69</v>
      </c>
      <c r="J6" s="59"/>
    </row>
    <row r="7" spans="1:10">
      <c r="A7" s="229">
        <v>3</v>
      </c>
      <c r="B7" s="33"/>
      <c r="C7" s="34" t="s">
        <v>353</v>
      </c>
      <c r="D7" s="34" t="s">
        <v>42</v>
      </c>
      <c r="E7" s="35" t="s">
        <v>56</v>
      </c>
      <c r="F7" s="35">
        <v>1</v>
      </c>
      <c r="G7" s="218">
        <v>6900</v>
      </c>
      <c r="H7" s="260">
        <f t="shared" si="0"/>
        <v>6900</v>
      </c>
      <c r="I7" s="229" t="s">
        <v>69</v>
      </c>
      <c r="J7" s="59"/>
    </row>
    <row r="8" spans="1:10">
      <c r="A8" s="229">
        <v>4</v>
      </c>
      <c r="B8" s="33"/>
      <c r="C8" s="34" t="s">
        <v>354</v>
      </c>
      <c r="D8" s="34" t="s">
        <v>154</v>
      </c>
      <c r="E8" s="35" t="s">
        <v>56</v>
      </c>
      <c r="F8" s="35">
        <v>1</v>
      </c>
      <c r="G8" s="218">
        <v>695.5</v>
      </c>
      <c r="H8" s="260">
        <f t="shared" si="0"/>
        <v>695.5</v>
      </c>
      <c r="I8" s="229" t="s">
        <v>69</v>
      </c>
      <c r="J8" s="59"/>
    </row>
    <row r="9" spans="1:10">
      <c r="A9" s="229">
        <v>5</v>
      </c>
      <c r="B9" s="33"/>
      <c r="C9" s="34" t="s">
        <v>355</v>
      </c>
      <c r="D9" s="34" t="s">
        <v>44</v>
      </c>
      <c r="E9" s="35" t="s">
        <v>56</v>
      </c>
      <c r="F9" s="35">
        <v>1</v>
      </c>
      <c r="G9" s="218">
        <v>19088.8</v>
      </c>
      <c r="H9" s="260">
        <f t="shared" si="0"/>
        <v>19088.8</v>
      </c>
      <c r="I9" s="229" t="s">
        <v>69</v>
      </c>
      <c r="J9" s="59"/>
    </row>
    <row r="10" spans="1:10">
      <c r="A10" s="229">
        <v>6</v>
      </c>
      <c r="B10" s="33"/>
      <c r="C10" s="34" t="s">
        <v>356</v>
      </c>
      <c r="D10" s="34" t="s">
        <v>371</v>
      </c>
      <c r="E10" s="35" t="s">
        <v>56</v>
      </c>
      <c r="F10" s="35">
        <v>1</v>
      </c>
      <c r="G10" s="218">
        <v>12000</v>
      </c>
      <c r="H10" s="260">
        <f t="shared" si="0"/>
        <v>12000</v>
      </c>
      <c r="I10" s="229" t="s">
        <v>69</v>
      </c>
      <c r="J10" s="59"/>
    </row>
    <row r="11" spans="1:10">
      <c r="A11" s="229">
        <v>7</v>
      </c>
      <c r="B11" s="44"/>
      <c r="C11" s="236" t="s">
        <v>357</v>
      </c>
      <c r="D11" s="236" t="s">
        <v>135</v>
      </c>
      <c r="E11" s="35" t="s">
        <v>56</v>
      </c>
      <c r="F11" s="35">
        <v>1</v>
      </c>
      <c r="G11" s="271">
        <v>2800</v>
      </c>
      <c r="H11" s="260">
        <f t="shared" si="0"/>
        <v>2800</v>
      </c>
      <c r="I11" s="229" t="s">
        <v>70</v>
      </c>
      <c r="J11" s="59"/>
    </row>
    <row r="12" spans="1:10">
      <c r="A12" s="229">
        <v>8</v>
      </c>
      <c r="B12" s="33"/>
      <c r="C12" s="236" t="s">
        <v>358</v>
      </c>
      <c r="D12" s="236" t="s">
        <v>372</v>
      </c>
      <c r="E12" s="35" t="s">
        <v>56</v>
      </c>
      <c r="F12" s="35">
        <v>1</v>
      </c>
      <c r="G12" s="271">
        <v>3000</v>
      </c>
      <c r="H12" s="260">
        <f t="shared" si="0"/>
        <v>3000</v>
      </c>
      <c r="I12" s="229" t="s">
        <v>70</v>
      </c>
      <c r="J12" s="59"/>
    </row>
    <row r="13" spans="1:10">
      <c r="A13" s="229">
        <v>9</v>
      </c>
      <c r="B13" s="33"/>
      <c r="C13" s="236" t="s">
        <v>359</v>
      </c>
      <c r="D13" s="221" t="s">
        <v>370</v>
      </c>
      <c r="E13" s="35" t="s">
        <v>56</v>
      </c>
      <c r="F13" s="35">
        <v>1</v>
      </c>
      <c r="G13" s="270">
        <v>1700</v>
      </c>
      <c r="H13" s="260">
        <f t="shared" si="0"/>
        <v>1700</v>
      </c>
      <c r="I13" s="229" t="s">
        <v>70</v>
      </c>
      <c r="J13" s="59"/>
    </row>
    <row r="14" spans="1:10">
      <c r="A14" s="229">
        <v>10</v>
      </c>
      <c r="B14" s="33"/>
      <c r="C14" s="34" t="s">
        <v>360</v>
      </c>
      <c r="D14" s="34" t="s">
        <v>373</v>
      </c>
      <c r="E14" s="35" t="s">
        <v>56</v>
      </c>
      <c r="F14" s="35">
        <v>1</v>
      </c>
      <c r="G14" s="218">
        <v>17300</v>
      </c>
      <c r="H14" s="260">
        <f t="shared" si="0"/>
        <v>17300</v>
      </c>
      <c r="I14" s="229" t="s">
        <v>69</v>
      </c>
      <c r="J14" s="59"/>
    </row>
    <row r="15" spans="1:10">
      <c r="A15" s="229">
        <v>11</v>
      </c>
      <c r="B15" s="33"/>
      <c r="C15" s="34" t="s">
        <v>361</v>
      </c>
      <c r="D15" s="34" t="s">
        <v>379</v>
      </c>
      <c r="E15" s="35" t="s">
        <v>1100</v>
      </c>
      <c r="F15" s="35">
        <v>1</v>
      </c>
      <c r="G15" s="218">
        <v>14500</v>
      </c>
      <c r="H15" s="260">
        <f t="shared" si="0"/>
        <v>14500</v>
      </c>
      <c r="I15" s="229" t="s">
        <v>69</v>
      </c>
      <c r="J15" s="59"/>
    </row>
    <row r="16" spans="1:10">
      <c r="A16" s="229">
        <v>12</v>
      </c>
      <c r="B16" s="33"/>
      <c r="C16" s="34" t="s">
        <v>362</v>
      </c>
      <c r="D16" s="12" t="s">
        <v>374</v>
      </c>
      <c r="E16" s="35" t="s">
        <v>56</v>
      </c>
      <c r="F16" s="35">
        <v>1</v>
      </c>
      <c r="G16" s="37">
        <v>1006.25</v>
      </c>
      <c r="H16" s="260">
        <f t="shared" si="0"/>
        <v>1006.25</v>
      </c>
      <c r="I16" s="229" t="s">
        <v>70</v>
      </c>
      <c r="J16" s="59"/>
    </row>
    <row r="17" spans="1:10">
      <c r="A17" s="229">
        <v>13</v>
      </c>
      <c r="B17" s="44"/>
      <c r="C17" s="34" t="s">
        <v>363</v>
      </c>
      <c r="D17" s="12" t="s">
        <v>375</v>
      </c>
      <c r="E17" s="35" t="s">
        <v>56</v>
      </c>
      <c r="F17" s="35">
        <v>1</v>
      </c>
      <c r="G17" s="37">
        <v>5684.5</v>
      </c>
      <c r="H17" s="260">
        <f t="shared" si="0"/>
        <v>5684.5</v>
      </c>
      <c r="I17" s="229" t="s">
        <v>70</v>
      </c>
      <c r="J17" s="59"/>
    </row>
    <row r="18" spans="1:10">
      <c r="A18" s="229">
        <v>14</v>
      </c>
      <c r="B18" s="33"/>
      <c r="C18" s="34" t="s">
        <v>364</v>
      </c>
      <c r="D18" s="12" t="s">
        <v>380</v>
      </c>
      <c r="E18" s="35" t="s">
        <v>55</v>
      </c>
      <c r="F18" s="35">
        <v>1</v>
      </c>
      <c r="G18" s="37">
        <v>22000</v>
      </c>
      <c r="H18" s="260">
        <f t="shared" si="0"/>
        <v>22000</v>
      </c>
      <c r="I18" s="229" t="s">
        <v>69</v>
      </c>
      <c r="J18" s="59"/>
    </row>
    <row r="19" spans="1:10">
      <c r="A19" s="229">
        <v>15</v>
      </c>
      <c r="B19" s="33"/>
      <c r="C19" s="34" t="s">
        <v>365</v>
      </c>
      <c r="D19" s="12" t="s">
        <v>376</v>
      </c>
      <c r="E19" s="35" t="s">
        <v>55</v>
      </c>
      <c r="F19" s="35">
        <v>1</v>
      </c>
      <c r="G19" s="42">
        <v>3450</v>
      </c>
      <c r="H19" s="260">
        <f t="shared" si="0"/>
        <v>3450</v>
      </c>
      <c r="I19" s="229" t="s">
        <v>70</v>
      </c>
      <c r="J19" s="59"/>
    </row>
    <row r="20" spans="1:10">
      <c r="A20" s="229">
        <v>16</v>
      </c>
      <c r="B20" s="33"/>
      <c r="C20" s="51" t="s">
        <v>366</v>
      </c>
      <c r="D20" s="51" t="s">
        <v>67</v>
      </c>
      <c r="E20" s="35" t="s">
        <v>55</v>
      </c>
      <c r="F20" s="35">
        <v>1</v>
      </c>
      <c r="G20" s="41">
        <v>2590</v>
      </c>
      <c r="H20" s="260">
        <f t="shared" si="0"/>
        <v>2590</v>
      </c>
      <c r="I20" s="229" t="s">
        <v>69</v>
      </c>
      <c r="J20" s="59"/>
    </row>
    <row r="21" spans="1:10">
      <c r="A21" s="229">
        <v>17</v>
      </c>
      <c r="B21" s="33"/>
      <c r="C21" s="34" t="s">
        <v>367</v>
      </c>
      <c r="D21" s="12" t="s">
        <v>68</v>
      </c>
      <c r="E21" s="35" t="s">
        <v>55</v>
      </c>
      <c r="F21" s="35">
        <v>1</v>
      </c>
      <c r="G21" s="42">
        <v>17000</v>
      </c>
      <c r="H21" s="260">
        <f t="shared" si="0"/>
        <v>17000</v>
      </c>
      <c r="I21" s="229" t="s">
        <v>69</v>
      </c>
      <c r="J21" s="59"/>
    </row>
    <row r="22" spans="1:10">
      <c r="A22" s="229">
        <v>18</v>
      </c>
      <c r="B22" s="33"/>
      <c r="C22" s="34" t="s">
        <v>368</v>
      </c>
      <c r="D22" s="12" t="s">
        <v>377</v>
      </c>
      <c r="E22" s="35" t="s">
        <v>55</v>
      </c>
      <c r="F22" s="35">
        <v>4</v>
      </c>
      <c r="G22" s="42">
        <v>21000</v>
      </c>
      <c r="H22" s="260">
        <f t="shared" si="0"/>
        <v>84000</v>
      </c>
      <c r="I22" s="229" t="s">
        <v>69</v>
      </c>
      <c r="J22" s="59"/>
    </row>
    <row r="23" spans="1:10">
      <c r="A23" s="229">
        <v>19</v>
      </c>
      <c r="B23" s="33"/>
      <c r="C23" s="34" t="s">
        <v>369</v>
      </c>
      <c r="D23" s="12" t="s">
        <v>378</v>
      </c>
      <c r="E23" s="35" t="s">
        <v>56</v>
      </c>
      <c r="F23" s="35">
        <v>1</v>
      </c>
      <c r="G23" s="42">
        <v>15700</v>
      </c>
      <c r="H23" s="260">
        <f t="shared" si="0"/>
        <v>15700</v>
      </c>
      <c r="I23" s="229" t="s">
        <v>70</v>
      </c>
      <c r="J23" s="59"/>
    </row>
    <row r="24" spans="1:10">
      <c r="A24" s="229">
        <v>20</v>
      </c>
      <c r="B24" s="66">
        <v>23200</v>
      </c>
      <c r="C24" s="34" t="s">
        <v>1090</v>
      </c>
      <c r="D24" s="12" t="s">
        <v>1091</v>
      </c>
      <c r="E24" s="35" t="s">
        <v>56</v>
      </c>
      <c r="F24" s="35">
        <v>1</v>
      </c>
      <c r="G24" s="42">
        <v>4990</v>
      </c>
      <c r="H24" s="260">
        <f t="shared" si="0"/>
        <v>4990</v>
      </c>
      <c r="I24" s="229" t="s">
        <v>70</v>
      </c>
      <c r="J24" s="59"/>
    </row>
    <row r="25" spans="1:10">
      <c r="A25" s="446" t="s">
        <v>381</v>
      </c>
      <c r="B25" s="447"/>
      <c r="C25" s="447"/>
      <c r="D25" s="447"/>
      <c r="E25" s="448"/>
      <c r="F25" s="33"/>
      <c r="G25" s="272"/>
      <c r="H25" s="266">
        <f>SUM(H5:H24)</f>
        <v>242005.05</v>
      </c>
      <c r="I25" s="273"/>
      <c r="J25" s="274"/>
    </row>
    <row r="26" spans="1:10" ht="37.5" customHeight="1"/>
    <row r="27" spans="1:10">
      <c r="F27" s="431" t="s">
        <v>161</v>
      </c>
      <c r="G27" s="431"/>
      <c r="H27" s="431"/>
      <c r="I27" s="431"/>
      <c r="J27" s="224"/>
    </row>
    <row r="28" spans="1:10">
      <c r="F28" s="431" t="s">
        <v>1051</v>
      </c>
      <c r="G28" s="431"/>
      <c r="H28" s="431"/>
      <c r="I28" s="431"/>
      <c r="J28" s="224"/>
    </row>
    <row r="29" spans="1:10">
      <c r="F29" s="431" t="s">
        <v>162</v>
      </c>
      <c r="G29" s="431"/>
      <c r="H29" s="431"/>
      <c r="I29" s="431"/>
      <c r="J29" s="224"/>
    </row>
    <row r="30" spans="1:10">
      <c r="F30" s="224"/>
      <c r="G30" s="224"/>
      <c r="H30" s="224"/>
      <c r="I30" s="224"/>
      <c r="J30" s="224"/>
    </row>
  </sheetData>
  <mergeCells count="7">
    <mergeCell ref="F27:I27"/>
    <mergeCell ref="F28:I28"/>
    <mergeCell ref="F29:I29"/>
    <mergeCell ref="A25:E25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18"/>
  <sheetViews>
    <sheetView zoomScaleNormal="100" workbookViewId="0">
      <selection activeCell="K8" sqref="K8"/>
    </sheetView>
  </sheetViews>
  <sheetFormatPr defaultColWidth="9" defaultRowHeight="24"/>
  <cols>
    <col min="1" max="1" width="5.5703125" style="14" customWidth="1"/>
    <col min="2" max="2" width="14.5703125" style="14" customWidth="1"/>
    <col min="3" max="3" width="27.7109375" style="14" customWidth="1"/>
    <col min="4" max="4" width="31.7109375" style="14" customWidth="1"/>
    <col min="5" max="5" width="7.140625" style="14" customWidth="1"/>
    <col min="6" max="6" width="7.28515625" style="14" customWidth="1"/>
    <col min="7" max="7" width="13.85546875" style="14" customWidth="1"/>
    <col min="8" max="8" width="15.7109375" style="14" customWidth="1"/>
    <col min="9" max="9" width="12.140625" style="228" customWidth="1"/>
    <col min="10" max="10" width="15" style="14" customWidth="1"/>
    <col min="11" max="16384" width="9" style="14"/>
  </cols>
  <sheetData>
    <row r="1" spans="1:10" ht="21" customHeight="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0" ht="21" customHeight="1">
      <c r="A2" s="439" t="s">
        <v>1024</v>
      </c>
      <c r="B2" s="439"/>
      <c r="C2" s="439"/>
      <c r="D2" s="439"/>
      <c r="E2" s="439"/>
      <c r="F2" s="439"/>
      <c r="G2" s="439"/>
      <c r="H2" s="439"/>
      <c r="I2" s="439"/>
    </row>
    <row r="3" spans="1:10" ht="21" customHeight="1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0" ht="42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</row>
    <row r="5" spans="1:10">
      <c r="A5" s="229">
        <v>1</v>
      </c>
      <c r="B5" s="33"/>
      <c r="C5" s="34" t="s">
        <v>290</v>
      </c>
      <c r="D5" s="119" t="s">
        <v>168</v>
      </c>
      <c r="E5" s="35" t="s">
        <v>56</v>
      </c>
      <c r="F5" s="36">
        <v>1</v>
      </c>
      <c r="G5" s="97">
        <v>2490</v>
      </c>
      <c r="H5" s="97">
        <f>SUM(F5*G5)</f>
        <v>2490</v>
      </c>
      <c r="I5" s="229" t="s">
        <v>70</v>
      </c>
      <c r="J5" s="59"/>
    </row>
    <row r="6" spans="1:10">
      <c r="A6" s="229">
        <v>2</v>
      </c>
      <c r="B6" s="33"/>
      <c r="C6" s="34" t="s">
        <v>291</v>
      </c>
      <c r="D6" s="12" t="s">
        <v>299</v>
      </c>
      <c r="E6" s="35" t="s">
        <v>55</v>
      </c>
      <c r="F6" s="36">
        <v>1</v>
      </c>
      <c r="G6" s="42">
        <v>5950</v>
      </c>
      <c r="H6" s="97">
        <f t="shared" ref="H6:H13" si="0">SUM(F6*G6)</f>
        <v>5950</v>
      </c>
      <c r="I6" s="229" t="s">
        <v>69</v>
      </c>
      <c r="J6" s="59"/>
    </row>
    <row r="7" spans="1:10">
      <c r="A7" s="229">
        <v>3</v>
      </c>
      <c r="B7" s="33"/>
      <c r="C7" s="34" t="s">
        <v>292</v>
      </c>
      <c r="D7" s="12" t="s">
        <v>300</v>
      </c>
      <c r="E7" s="35" t="s">
        <v>55</v>
      </c>
      <c r="F7" s="36">
        <v>1</v>
      </c>
      <c r="G7" s="43">
        <v>12000</v>
      </c>
      <c r="H7" s="97">
        <f t="shared" si="0"/>
        <v>12000</v>
      </c>
      <c r="I7" s="229" t="s">
        <v>1190</v>
      </c>
      <c r="J7" s="59"/>
    </row>
    <row r="8" spans="1:10">
      <c r="A8" s="229">
        <v>4</v>
      </c>
      <c r="B8" s="33"/>
      <c r="C8" s="34" t="s">
        <v>293</v>
      </c>
      <c r="D8" s="12" t="s">
        <v>301</v>
      </c>
      <c r="E8" s="35" t="s">
        <v>55</v>
      </c>
      <c r="F8" s="36">
        <v>1</v>
      </c>
      <c r="G8" s="43">
        <v>21000</v>
      </c>
      <c r="H8" s="97">
        <f t="shared" si="0"/>
        <v>21000</v>
      </c>
      <c r="I8" s="229" t="s">
        <v>69</v>
      </c>
      <c r="J8" s="59"/>
    </row>
    <row r="9" spans="1:10">
      <c r="A9" s="229">
        <v>5</v>
      </c>
      <c r="B9" s="33"/>
      <c r="C9" s="34" t="s">
        <v>294</v>
      </c>
      <c r="D9" s="12" t="s">
        <v>302</v>
      </c>
      <c r="E9" s="35" t="s">
        <v>55</v>
      </c>
      <c r="F9" s="36">
        <v>1</v>
      </c>
      <c r="G9" s="43">
        <v>1100</v>
      </c>
      <c r="H9" s="97">
        <f t="shared" si="0"/>
        <v>1100</v>
      </c>
      <c r="I9" s="229" t="s">
        <v>70</v>
      </c>
      <c r="J9" s="59"/>
    </row>
    <row r="10" spans="1:10">
      <c r="A10" s="229">
        <v>6</v>
      </c>
      <c r="B10" s="33"/>
      <c r="C10" s="34" t="s">
        <v>295</v>
      </c>
      <c r="D10" s="12" t="s">
        <v>122</v>
      </c>
      <c r="E10" s="35" t="s">
        <v>55</v>
      </c>
      <c r="F10" s="36">
        <v>1</v>
      </c>
      <c r="G10" s="43">
        <v>3750</v>
      </c>
      <c r="H10" s="97">
        <f t="shared" si="0"/>
        <v>3750</v>
      </c>
      <c r="I10" s="229" t="s">
        <v>70</v>
      </c>
      <c r="J10" s="59"/>
    </row>
    <row r="11" spans="1:10">
      <c r="A11" s="229">
        <v>7</v>
      </c>
      <c r="B11" s="44"/>
      <c r="C11" s="51" t="s">
        <v>296</v>
      </c>
      <c r="D11" s="51" t="s">
        <v>67</v>
      </c>
      <c r="E11" s="35" t="s">
        <v>55</v>
      </c>
      <c r="F11" s="36">
        <v>1</v>
      </c>
      <c r="G11" s="41">
        <v>2590</v>
      </c>
      <c r="H11" s="97">
        <f t="shared" si="0"/>
        <v>2590</v>
      </c>
      <c r="I11" s="229" t="s">
        <v>70</v>
      </c>
      <c r="J11" s="59"/>
    </row>
    <row r="12" spans="1:10">
      <c r="A12" s="229">
        <v>8</v>
      </c>
      <c r="B12" s="33"/>
      <c r="C12" s="34" t="s">
        <v>297</v>
      </c>
      <c r="D12" s="121" t="s">
        <v>303</v>
      </c>
      <c r="E12" s="35" t="s">
        <v>55</v>
      </c>
      <c r="F12" s="36">
        <v>1</v>
      </c>
      <c r="G12" s="42">
        <v>49000</v>
      </c>
      <c r="H12" s="97">
        <f t="shared" si="0"/>
        <v>49000</v>
      </c>
      <c r="I12" s="229" t="s">
        <v>1190</v>
      </c>
      <c r="J12" s="59"/>
    </row>
    <row r="13" spans="1:10">
      <c r="A13" s="229">
        <v>9</v>
      </c>
      <c r="B13" s="33"/>
      <c r="C13" s="34" t="s">
        <v>298</v>
      </c>
      <c r="D13" s="121" t="s">
        <v>304</v>
      </c>
      <c r="E13" s="35" t="s">
        <v>55</v>
      </c>
      <c r="F13" s="36">
        <v>1</v>
      </c>
      <c r="G13" s="42">
        <v>45000</v>
      </c>
      <c r="H13" s="97">
        <f t="shared" si="0"/>
        <v>45000</v>
      </c>
      <c r="I13" s="229" t="s">
        <v>69</v>
      </c>
      <c r="J13" s="59"/>
    </row>
    <row r="14" spans="1:10">
      <c r="A14" s="479" t="s">
        <v>381</v>
      </c>
      <c r="B14" s="480"/>
      <c r="C14" s="480"/>
      <c r="D14" s="480"/>
      <c r="E14" s="481"/>
      <c r="F14" s="216"/>
      <c r="G14" s="263"/>
      <c r="H14" s="261">
        <f>SUM(H5:H13)</f>
        <v>142880</v>
      </c>
      <c r="I14" s="229"/>
      <c r="J14" s="59"/>
    </row>
    <row r="16" spans="1:10" ht="34.5" customHeight="1">
      <c r="F16" s="431" t="s">
        <v>161</v>
      </c>
      <c r="G16" s="431"/>
      <c r="H16" s="431"/>
      <c r="I16" s="431"/>
      <c r="J16" s="224"/>
    </row>
    <row r="17" spans="6:10">
      <c r="F17" s="431" t="s">
        <v>1047</v>
      </c>
      <c r="G17" s="431"/>
      <c r="H17" s="431"/>
      <c r="I17" s="431"/>
      <c r="J17" s="224"/>
    </row>
    <row r="18" spans="6:10">
      <c r="F18" s="431" t="s">
        <v>162</v>
      </c>
      <c r="G18" s="431"/>
      <c r="H18" s="431"/>
      <c r="I18" s="431"/>
      <c r="J18" s="224"/>
    </row>
  </sheetData>
  <mergeCells count="7">
    <mergeCell ref="F16:I16"/>
    <mergeCell ref="F17:I17"/>
    <mergeCell ref="F18:I18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N17"/>
  <sheetViews>
    <sheetView zoomScaleNormal="100" workbookViewId="0">
      <selection activeCell="D15" sqref="D15"/>
    </sheetView>
  </sheetViews>
  <sheetFormatPr defaultColWidth="9" defaultRowHeight="24"/>
  <cols>
    <col min="1" max="1" width="5.28515625" style="14" customWidth="1"/>
    <col min="2" max="2" width="12.7109375" style="14" customWidth="1"/>
    <col min="3" max="3" width="27.140625" style="14" customWidth="1"/>
    <col min="4" max="4" width="37.42578125" style="14" customWidth="1"/>
    <col min="5" max="5" width="7.28515625" style="14" customWidth="1"/>
    <col min="6" max="6" width="6.85546875" style="14" customWidth="1"/>
    <col min="7" max="7" width="13.42578125" style="14" customWidth="1"/>
    <col min="8" max="8" width="14.85546875" style="14" customWidth="1"/>
    <col min="9" max="9" width="10.7109375" style="228" customWidth="1"/>
    <col min="10" max="10" width="9" style="14"/>
    <col min="11" max="11" width="13.42578125" style="14" customWidth="1"/>
    <col min="12" max="12" width="21.5703125" style="14" customWidth="1"/>
    <col min="13" max="13" width="11.85546875" style="14" customWidth="1"/>
    <col min="14" max="16384" width="9" style="14"/>
  </cols>
  <sheetData>
    <row r="1" spans="1:14">
      <c r="A1" s="439" t="s">
        <v>550</v>
      </c>
      <c r="B1" s="439"/>
      <c r="C1" s="439"/>
      <c r="D1" s="439"/>
      <c r="E1" s="439"/>
      <c r="F1" s="439"/>
      <c r="G1" s="439"/>
      <c r="H1" s="439"/>
      <c r="I1" s="439"/>
    </row>
    <row r="2" spans="1:14">
      <c r="A2" s="440" t="s">
        <v>997</v>
      </c>
      <c r="B2" s="440"/>
      <c r="C2" s="440"/>
      <c r="D2" s="440"/>
      <c r="E2" s="440"/>
      <c r="F2" s="440"/>
      <c r="G2" s="440"/>
      <c r="H2" s="440"/>
      <c r="I2" s="440"/>
    </row>
    <row r="3" spans="1:14">
      <c r="A3" s="483" t="s">
        <v>1076</v>
      </c>
      <c r="B3" s="483"/>
      <c r="C3" s="483"/>
      <c r="D3" s="483"/>
      <c r="E3" s="483"/>
      <c r="F3" s="483"/>
      <c r="G3" s="483"/>
      <c r="H3" s="483"/>
      <c r="I3" s="483"/>
    </row>
    <row r="4" spans="1:14" ht="42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</row>
    <row r="5" spans="1:14">
      <c r="A5" s="108">
        <v>1</v>
      </c>
      <c r="B5" s="44"/>
      <c r="C5" s="119" t="s">
        <v>228</v>
      </c>
      <c r="D5" s="121" t="s">
        <v>685</v>
      </c>
      <c r="E5" s="35" t="s">
        <v>55</v>
      </c>
      <c r="F5" s="157">
        <v>1</v>
      </c>
      <c r="G5" s="42">
        <v>3700</v>
      </c>
      <c r="H5" s="42">
        <f>SUM(F5*G5)</f>
        <v>3700</v>
      </c>
      <c r="I5" s="112" t="s">
        <v>70</v>
      </c>
    </row>
    <row r="6" spans="1:14">
      <c r="A6" s="239">
        <v>2</v>
      </c>
      <c r="B6" s="113"/>
      <c r="C6" s="119" t="s">
        <v>998</v>
      </c>
      <c r="D6" s="121" t="s">
        <v>999</v>
      </c>
      <c r="E6" s="35" t="s">
        <v>55</v>
      </c>
      <c r="F6" s="157">
        <v>1</v>
      </c>
      <c r="G6" s="42">
        <v>1100</v>
      </c>
      <c r="H6" s="42">
        <f t="shared" ref="H6:H11" si="0">SUM(F6*G6)</f>
        <v>1100</v>
      </c>
      <c r="I6" s="112" t="s">
        <v>70</v>
      </c>
      <c r="K6" s="14" t="s">
        <v>1123</v>
      </c>
      <c r="L6" s="14" t="s">
        <v>1125</v>
      </c>
      <c r="M6" s="14" t="s">
        <v>1122</v>
      </c>
      <c r="N6" s="59" t="s">
        <v>70</v>
      </c>
    </row>
    <row r="7" spans="1:14">
      <c r="A7" s="108">
        <v>3</v>
      </c>
      <c r="B7" s="44"/>
      <c r="C7" s="119" t="s">
        <v>1000</v>
      </c>
      <c r="D7" s="121" t="s">
        <v>345</v>
      </c>
      <c r="E7" s="35" t="s">
        <v>55</v>
      </c>
      <c r="F7" s="157">
        <v>1</v>
      </c>
      <c r="G7" s="42">
        <v>3750</v>
      </c>
      <c r="H7" s="42">
        <f t="shared" si="0"/>
        <v>3750</v>
      </c>
      <c r="I7" s="112" t="s">
        <v>70</v>
      </c>
      <c r="L7" s="14" t="s">
        <v>1124</v>
      </c>
      <c r="M7" s="14" t="s">
        <v>1126</v>
      </c>
      <c r="N7" s="59" t="s">
        <v>70</v>
      </c>
    </row>
    <row r="8" spans="1:14">
      <c r="A8" s="239">
        <v>4</v>
      </c>
      <c r="B8" s="44"/>
      <c r="C8" s="51" t="s">
        <v>949</v>
      </c>
      <c r="D8" s="51" t="s">
        <v>67</v>
      </c>
      <c r="E8" s="35" t="s">
        <v>55</v>
      </c>
      <c r="F8" s="158">
        <v>1</v>
      </c>
      <c r="G8" s="41">
        <v>2590</v>
      </c>
      <c r="H8" s="42">
        <f t="shared" si="0"/>
        <v>2590</v>
      </c>
      <c r="I8" s="112" t="s">
        <v>69</v>
      </c>
      <c r="K8" s="59"/>
      <c r="L8" s="59"/>
      <c r="M8" s="59"/>
      <c r="N8" s="59"/>
    </row>
    <row r="9" spans="1:14">
      <c r="A9" s="108">
        <v>5</v>
      </c>
      <c r="B9" s="44"/>
      <c r="C9" s="51" t="s">
        <v>1001</v>
      </c>
      <c r="D9" s="51" t="s">
        <v>1002</v>
      </c>
      <c r="E9" s="35" t="s">
        <v>55</v>
      </c>
      <c r="F9" s="158">
        <v>1</v>
      </c>
      <c r="G9" s="41">
        <v>18000</v>
      </c>
      <c r="H9" s="42">
        <f t="shared" si="0"/>
        <v>18000</v>
      </c>
      <c r="I9" s="112" t="s">
        <v>70</v>
      </c>
    </row>
    <row r="10" spans="1:14">
      <c r="A10" s="239">
        <v>6</v>
      </c>
      <c r="B10" s="69"/>
      <c r="C10" s="70" t="s">
        <v>1003</v>
      </c>
      <c r="D10" s="70" t="s">
        <v>1004</v>
      </c>
      <c r="E10" s="72" t="s">
        <v>55</v>
      </c>
      <c r="F10" s="159">
        <v>1</v>
      </c>
      <c r="G10" s="75">
        <v>23590</v>
      </c>
      <c r="H10" s="42">
        <f t="shared" si="0"/>
        <v>23590</v>
      </c>
      <c r="I10" s="147" t="s">
        <v>70</v>
      </c>
    </row>
    <row r="11" spans="1:14">
      <c r="A11" s="108">
        <v>7</v>
      </c>
      <c r="B11" s="123"/>
      <c r="C11" s="70" t="s">
        <v>1005</v>
      </c>
      <c r="D11" s="70" t="s">
        <v>1006</v>
      </c>
      <c r="E11" s="72" t="s">
        <v>56</v>
      </c>
      <c r="F11" s="159">
        <v>1</v>
      </c>
      <c r="G11" s="75">
        <v>10910</v>
      </c>
      <c r="H11" s="42">
        <f t="shared" si="0"/>
        <v>10910</v>
      </c>
      <c r="I11" s="147" t="s">
        <v>70</v>
      </c>
    </row>
    <row r="12" spans="1:14">
      <c r="A12" s="446" t="s">
        <v>381</v>
      </c>
      <c r="B12" s="447"/>
      <c r="C12" s="447"/>
      <c r="D12" s="447"/>
      <c r="E12" s="448"/>
      <c r="F12" s="203"/>
      <c r="G12" s="266"/>
      <c r="H12" s="266">
        <f>SUM(H5:H11)</f>
        <v>63640</v>
      </c>
      <c r="I12" s="229"/>
    </row>
    <row r="13" spans="1:14" ht="31.5" customHeight="1">
      <c r="A13" s="59"/>
      <c r="B13" s="59"/>
      <c r="C13" s="59"/>
      <c r="D13" s="59"/>
      <c r="E13" s="59"/>
      <c r="F13" s="268"/>
      <c r="G13" s="59"/>
      <c r="H13" s="59"/>
      <c r="I13" s="224"/>
    </row>
    <row r="14" spans="1:14">
      <c r="A14" s="59"/>
      <c r="F14" s="431" t="s">
        <v>161</v>
      </c>
      <c r="G14" s="431"/>
      <c r="H14" s="431"/>
      <c r="I14" s="431"/>
    </row>
    <row r="15" spans="1:14">
      <c r="A15" s="59"/>
      <c r="F15" s="431" t="s">
        <v>1007</v>
      </c>
      <c r="G15" s="431"/>
      <c r="H15" s="431"/>
      <c r="I15" s="431"/>
    </row>
    <row r="16" spans="1:14">
      <c r="A16" s="59"/>
      <c r="F16" s="431" t="s">
        <v>162</v>
      </c>
      <c r="G16" s="431"/>
      <c r="H16" s="431"/>
      <c r="I16" s="431"/>
    </row>
    <row r="17" spans="1:9">
      <c r="A17" s="59"/>
      <c r="B17" s="59"/>
      <c r="C17" s="59"/>
      <c r="D17" s="59"/>
      <c r="E17" s="59"/>
      <c r="F17" s="224"/>
      <c r="G17" s="224"/>
      <c r="H17" s="224"/>
      <c r="I17" s="224"/>
    </row>
  </sheetData>
  <mergeCells count="7">
    <mergeCell ref="A1:I1"/>
    <mergeCell ref="A2:I2"/>
    <mergeCell ref="A3:I3"/>
    <mergeCell ref="F16:I16"/>
    <mergeCell ref="F15:I15"/>
    <mergeCell ref="A12:E12"/>
    <mergeCell ref="F14:I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L17"/>
  <sheetViews>
    <sheetView zoomScaleNormal="100" workbookViewId="0">
      <selection activeCell="D14" sqref="D14"/>
    </sheetView>
  </sheetViews>
  <sheetFormatPr defaultColWidth="9" defaultRowHeight="24"/>
  <cols>
    <col min="1" max="1" width="5.5703125" style="14" customWidth="1"/>
    <col min="2" max="2" width="12.7109375" style="14" customWidth="1"/>
    <col min="3" max="3" width="28.140625" style="14" customWidth="1"/>
    <col min="4" max="4" width="37.28515625" style="14" customWidth="1"/>
    <col min="5" max="6" width="7" style="14" customWidth="1"/>
    <col min="7" max="7" width="13.42578125" style="14" customWidth="1"/>
    <col min="8" max="8" width="14.42578125" style="14" customWidth="1"/>
    <col min="9" max="9" width="10.5703125" style="14" customWidth="1"/>
    <col min="10" max="10" width="15" style="14" customWidth="1"/>
    <col min="11" max="11" width="14" style="14" customWidth="1"/>
    <col min="12" max="16384" width="9" style="14"/>
  </cols>
  <sheetData>
    <row r="1" spans="1:12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2">
      <c r="A2" s="439" t="s">
        <v>1026</v>
      </c>
      <c r="B2" s="439"/>
      <c r="C2" s="439"/>
      <c r="D2" s="439"/>
      <c r="E2" s="439"/>
      <c r="F2" s="439"/>
      <c r="G2" s="439"/>
      <c r="H2" s="439"/>
      <c r="I2" s="439"/>
    </row>
    <row r="3" spans="1:12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2" s="32" customFormat="1" ht="48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</row>
    <row r="5" spans="1:12" s="40" customFormat="1">
      <c r="A5" s="229">
        <v>1</v>
      </c>
      <c r="B5" s="33"/>
      <c r="C5" s="63" t="s">
        <v>1106</v>
      </c>
      <c r="D5" s="62" t="s">
        <v>915</v>
      </c>
      <c r="E5" s="139" t="s">
        <v>55</v>
      </c>
      <c r="F5" s="64">
        <v>2</v>
      </c>
      <c r="G5" s="46">
        <v>2900</v>
      </c>
      <c r="H5" s="46">
        <f>SUM(F5*G5)</f>
        <v>5800</v>
      </c>
      <c r="I5" s="229" t="s">
        <v>70</v>
      </c>
      <c r="J5" s="59"/>
      <c r="K5" s="238"/>
      <c r="L5" s="39"/>
    </row>
    <row r="6" spans="1:12" s="40" customFormat="1">
      <c r="A6" s="229">
        <v>2</v>
      </c>
      <c r="B6" s="33"/>
      <c r="C6" s="63" t="s">
        <v>1128</v>
      </c>
      <c r="D6" s="62" t="s">
        <v>1104</v>
      </c>
      <c r="E6" s="139" t="s">
        <v>55</v>
      </c>
      <c r="F6" s="64">
        <v>1</v>
      </c>
      <c r="G6" s="153">
        <v>2900</v>
      </c>
      <c r="H6" s="46">
        <f t="shared" ref="H6:H11" si="0">SUM(F6*G6)</f>
        <v>2900</v>
      </c>
      <c r="I6" s="229" t="s">
        <v>70</v>
      </c>
      <c r="J6" s="59"/>
      <c r="K6" s="238"/>
      <c r="L6" s="39"/>
    </row>
    <row r="7" spans="1:12" s="40" customFormat="1">
      <c r="A7" s="229">
        <v>3</v>
      </c>
      <c r="B7" s="33"/>
      <c r="C7" s="63" t="s">
        <v>1107</v>
      </c>
      <c r="D7" s="62" t="s">
        <v>1105</v>
      </c>
      <c r="E7" s="139" t="s">
        <v>55</v>
      </c>
      <c r="F7" s="64">
        <v>1</v>
      </c>
      <c r="G7" s="153">
        <v>3000</v>
      </c>
      <c r="H7" s="46">
        <f t="shared" si="0"/>
        <v>3000</v>
      </c>
      <c r="I7" s="229" t="s">
        <v>70</v>
      </c>
      <c r="J7" s="59"/>
      <c r="K7" s="238"/>
      <c r="L7" s="39"/>
    </row>
    <row r="8" spans="1:12" s="40" customFormat="1">
      <c r="A8" s="229">
        <v>4</v>
      </c>
      <c r="B8" s="33"/>
      <c r="C8" s="63" t="s">
        <v>1111</v>
      </c>
      <c r="D8" s="62" t="s">
        <v>685</v>
      </c>
      <c r="E8" s="139" t="s">
        <v>55</v>
      </c>
      <c r="F8" s="160">
        <v>1</v>
      </c>
      <c r="G8" s="153">
        <v>3700</v>
      </c>
      <c r="H8" s="46">
        <f t="shared" si="0"/>
        <v>3700</v>
      </c>
      <c r="I8" s="229" t="s">
        <v>69</v>
      </c>
      <c r="J8" s="59"/>
      <c r="K8" s="238"/>
      <c r="L8" s="39"/>
    </row>
    <row r="9" spans="1:12" s="40" customFormat="1">
      <c r="A9" s="229">
        <v>5</v>
      </c>
      <c r="B9" s="33"/>
      <c r="C9" s="63" t="s">
        <v>1108</v>
      </c>
      <c r="D9" s="63" t="s">
        <v>480</v>
      </c>
      <c r="E9" s="139" t="s">
        <v>55</v>
      </c>
      <c r="F9" s="64">
        <v>1</v>
      </c>
      <c r="G9" s="46">
        <v>7900</v>
      </c>
      <c r="H9" s="46">
        <f t="shared" si="0"/>
        <v>7900</v>
      </c>
      <c r="I9" s="229" t="s">
        <v>69</v>
      </c>
      <c r="J9" s="59"/>
      <c r="K9" s="238"/>
      <c r="L9" s="39"/>
    </row>
    <row r="10" spans="1:12" s="40" customFormat="1">
      <c r="A10" s="229">
        <v>6</v>
      </c>
      <c r="B10" s="33"/>
      <c r="C10" s="87" t="s">
        <v>1110</v>
      </c>
      <c r="D10" s="87" t="s">
        <v>67</v>
      </c>
      <c r="E10" s="139" t="s">
        <v>55</v>
      </c>
      <c r="F10" s="64">
        <v>1</v>
      </c>
      <c r="G10" s="154">
        <v>2590</v>
      </c>
      <c r="H10" s="46">
        <f t="shared" si="0"/>
        <v>2590</v>
      </c>
      <c r="I10" s="229" t="s">
        <v>69</v>
      </c>
      <c r="J10" s="59"/>
      <c r="K10" s="238"/>
      <c r="L10" s="39"/>
    </row>
    <row r="11" spans="1:12" s="40" customFormat="1">
      <c r="A11" s="229">
        <v>7</v>
      </c>
      <c r="B11" s="33"/>
      <c r="C11" s="33" t="s">
        <v>1109</v>
      </c>
      <c r="D11" s="33" t="s">
        <v>124</v>
      </c>
      <c r="E11" s="139" t="s">
        <v>56</v>
      </c>
      <c r="F11" s="64">
        <v>1</v>
      </c>
      <c r="G11" s="46">
        <v>22000</v>
      </c>
      <c r="H11" s="46">
        <f t="shared" si="0"/>
        <v>22000</v>
      </c>
      <c r="I11" s="229" t="s">
        <v>70</v>
      </c>
      <c r="J11" s="59"/>
      <c r="K11" s="238"/>
      <c r="L11" s="39"/>
    </row>
    <row r="12" spans="1:12">
      <c r="A12" s="446" t="s">
        <v>381</v>
      </c>
      <c r="B12" s="447"/>
      <c r="C12" s="447"/>
      <c r="D12" s="447"/>
      <c r="E12" s="448"/>
      <c r="F12" s="273"/>
      <c r="G12" s="54" t="s">
        <v>1121</v>
      </c>
      <c r="H12" s="46">
        <f>SUM(H5:H11)</f>
        <v>47890</v>
      </c>
      <c r="I12" s="33"/>
      <c r="J12" s="59"/>
      <c r="K12" s="238"/>
    </row>
    <row r="13" spans="1:12">
      <c r="A13" s="224"/>
      <c r="B13" s="224"/>
      <c r="C13" s="224"/>
      <c r="D13" s="224"/>
      <c r="E13" s="224"/>
      <c r="F13" s="224"/>
      <c r="G13" s="78"/>
      <c r="H13" s="78"/>
      <c r="I13" s="59"/>
      <c r="J13" s="59"/>
      <c r="K13" s="238"/>
    </row>
    <row r="14" spans="1:12" ht="25.5" customHeight="1">
      <c r="A14" s="224"/>
      <c r="B14" s="224"/>
      <c r="C14" s="224"/>
      <c r="D14" s="224"/>
      <c r="E14" s="224"/>
      <c r="F14" s="217"/>
      <c r="G14" s="77"/>
      <c r="H14" s="77"/>
      <c r="I14" s="59"/>
      <c r="J14" s="275"/>
      <c r="K14" s="238"/>
    </row>
    <row r="15" spans="1:12" ht="24" customHeight="1">
      <c r="F15" s="431" t="s">
        <v>1021</v>
      </c>
      <c r="G15" s="431"/>
      <c r="H15" s="431"/>
      <c r="I15" s="431"/>
      <c r="J15" s="224"/>
      <c r="K15" s="238" t="s">
        <v>1121</v>
      </c>
    </row>
    <row r="16" spans="1:12">
      <c r="F16" s="431" t="s">
        <v>1113</v>
      </c>
      <c r="G16" s="431"/>
      <c r="H16" s="431"/>
      <c r="I16" s="431"/>
      <c r="J16" s="224"/>
    </row>
    <row r="17" spans="6:11">
      <c r="F17" s="431" t="s">
        <v>162</v>
      </c>
      <c r="G17" s="431"/>
      <c r="H17" s="431"/>
      <c r="I17" s="431"/>
      <c r="J17" s="224"/>
      <c r="K17" s="238" t="s">
        <v>1121</v>
      </c>
    </row>
  </sheetData>
  <mergeCells count="7">
    <mergeCell ref="F15:I15"/>
    <mergeCell ref="F16:I16"/>
    <mergeCell ref="F17:I17"/>
    <mergeCell ref="A12:E12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19"/>
  <sheetViews>
    <sheetView zoomScaleNormal="100" workbookViewId="0">
      <selection activeCell="N11" sqref="N11"/>
    </sheetView>
  </sheetViews>
  <sheetFormatPr defaultColWidth="9" defaultRowHeight="24"/>
  <cols>
    <col min="1" max="1" width="5.5703125" style="14" customWidth="1"/>
    <col min="2" max="2" width="12.7109375" style="14" customWidth="1"/>
    <col min="3" max="3" width="28.5703125" style="14" customWidth="1"/>
    <col min="4" max="4" width="30.7109375" style="14" customWidth="1"/>
    <col min="5" max="5" width="8.42578125" style="14" customWidth="1"/>
    <col min="6" max="6" width="7.42578125" style="14" customWidth="1"/>
    <col min="7" max="7" width="14.42578125" style="14" customWidth="1"/>
    <col min="8" max="8" width="15.42578125" style="14" customWidth="1"/>
    <col min="9" max="9" width="12.85546875" style="14" customWidth="1"/>
    <col min="10" max="10" width="12.5703125" style="14" customWidth="1"/>
    <col min="11" max="16384" width="9" style="14"/>
  </cols>
  <sheetData>
    <row r="1" spans="1:10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10">
      <c r="A2" s="439" t="s">
        <v>315</v>
      </c>
      <c r="B2" s="439"/>
      <c r="C2" s="439"/>
      <c r="D2" s="439"/>
      <c r="E2" s="439"/>
      <c r="F2" s="439"/>
      <c r="G2" s="439"/>
      <c r="H2" s="439"/>
      <c r="I2" s="439"/>
    </row>
    <row r="3" spans="1:10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10" ht="4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58"/>
    </row>
    <row r="5" spans="1:10">
      <c r="A5" s="229">
        <v>1</v>
      </c>
      <c r="B5" s="33"/>
      <c r="C5" s="259" t="s">
        <v>305</v>
      </c>
      <c r="D5" s="241" t="s">
        <v>90</v>
      </c>
      <c r="E5" s="35" t="s">
        <v>55</v>
      </c>
      <c r="F5" s="36">
        <v>4</v>
      </c>
      <c r="G5" s="260">
        <v>2800</v>
      </c>
      <c r="H5" s="260">
        <f>SUM(F5*G5)</f>
        <v>11200</v>
      </c>
      <c r="I5" s="229" t="s">
        <v>70</v>
      </c>
      <c r="J5" s="59"/>
    </row>
    <row r="6" spans="1:10">
      <c r="A6" s="229">
        <v>2</v>
      </c>
      <c r="B6" s="33"/>
      <c r="C6" s="259" t="s">
        <v>306</v>
      </c>
      <c r="D6" s="106" t="s">
        <v>155</v>
      </c>
      <c r="E6" s="35" t="s">
        <v>56</v>
      </c>
      <c r="F6" s="36">
        <v>1</v>
      </c>
      <c r="G6" s="218">
        <v>17300</v>
      </c>
      <c r="H6" s="260">
        <f>SUM(F6*G6)</f>
        <v>17300</v>
      </c>
      <c r="I6" s="229" t="s">
        <v>69</v>
      </c>
      <c r="J6" s="59"/>
    </row>
    <row r="7" spans="1:10">
      <c r="A7" s="229">
        <v>3</v>
      </c>
      <c r="B7" s="33"/>
      <c r="C7" s="106" t="s">
        <v>58</v>
      </c>
      <c r="D7" s="106" t="s">
        <v>93</v>
      </c>
      <c r="E7" s="35" t="s">
        <v>56</v>
      </c>
      <c r="F7" s="36">
        <v>1</v>
      </c>
      <c r="G7" s="218">
        <v>1700</v>
      </c>
      <c r="H7" s="260">
        <f t="shared" ref="H7:H13" si="0">SUM(F7*G7)</f>
        <v>1700</v>
      </c>
      <c r="I7" s="229" t="s">
        <v>69</v>
      </c>
      <c r="J7" s="59"/>
    </row>
    <row r="8" spans="1:10">
      <c r="A8" s="229">
        <v>4</v>
      </c>
      <c r="B8" s="33"/>
      <c r="C8" s="106" t="s">
        <v>307</v>
      </c>
      <c r="D8" s="106" t="s">
        <v>316</v>
      </c>
      <c r="E8" s="35" t="s">
        <v>55</v>
      </c>
      <c r="F8" s="36">
        <v>2</v>
      </c>
      <c r="G8" s="218">
        <v>1800</v>
      </c>
      <c r="H8" s="260">
        <f t="shared" si="0"/>
        <v>3600</v>
      </c>
      <c r="I8" s="229" t="s">
        <v>69</v>
      </c>
      <c r="J8" s="59"/>
    </row>
    <row r="9" spans="1:10">
      <c r="A9" s="229">
        <v>5</v>
      </c>
      <c r="B9" s="33"/>
      <c r="C9" s="106" t="s">
        <v>308</v>
      </c>
      <c r="D9" s="106" t="s">
        <v>317</v>
      </c>
      <c r="E9" s="35" t="s">
        <v>55</v>
      </c>
      <c r="F9" s="36">
        <v>1</v>
      </c>
      <c r="G9" s="218">
        <v>7000</v>
      </c>
      <c r="H9" s="260">
        <f t="shared" si="0"/>
        <v>7000</v>
      </c>
      <c r="I9" s="229" t="s">
        <v>69</v>
      </c>
      <c r="J9" s="59"/>
    </row>
    <row r="10" spans="1:10">
      <c r="A10" s="229">
        <v>6</v>
      </c>
      <c r="B10" s="33"/>
      <c r="C10" s="106" t="s">
        <v>309</v>
      </c>
      <c r="D10" s="106" t="s">
        <v>318</v>
      </c>
      <c r="E10" s="35" t="s">
        <v>55</v>
      </c>
      <c r="F10" s="36">
        <v>1</v>
      </c>
      <c r="G10" s="41">
        <v>1150</v>
      </c>
      <c r="H10" s="260">
        <f t="shared" si="0"/>
        <v>1150</v>
      </c>
      <c r="I10" s="229" t="s">
        <v>69</v>
      </c>
      <c r="J10" s="59"/>
    </row>
    <row r="11" spans="1:10">
      <c r="A11" s="229">
        <v>7</v>
      </c>
      <c r="B11" s="44"/>
      <c r="C11" s="106" t="s">
        <v>310</v>
      </c>
      <c r="D11" s="106" t="s">
        <v>122</v>
      </c>
      <c r="E11" s="35" t="s">
        <v>55</v>
      </c>
      <c r="F11" s="36">
        <v>1</v>
      </c>
      <c r="G11" s="41">
        <v>3750</v>
      </c>
      <c r="H11" s="260">
        <f t="shared" si="0"/>
        <v>3750</v>
      </c>
      <c r="I11" s="229" t="s">
        <v>69</v>
      </c>
      <c r="J11" s="59"/>
    </row>
    <row r="12" spans="1:10">
      <c r="A12" s="229">
        <v>8</v>
      </c>
      <c r="B12" s="33"/>
      <c r="C12" s="106" t="s">
        <v>311</v>
      </c>
      <c r="D12" s="51" t="s">
        <v>67</v>
      </c>
      <c r="E12" s="35" t="s">
        <v>55</v>
      </c>
      <c r="F12" s="36">
        <v>1</v>
      </c>
      <c r="G12" s="41">
        <v>2590</v>
      </c>
      <c r="H12" s="260">
        <f t="shared" si="0"/>
        <v>2590</v>
      </c>
      <c r="I12" s="229" t="s">
        <v>69</v>
      </c>
      <c r="J12" s="59"/>
    </row>
    <row r="13" spans="1:10">
      <c r="A13" s="229">
        <v>9</v>
      </c>
      <c r="B13" s="33"/>
      <c r="C13" s="34" t="s">
        <v>312</v>
      </c>
      <c r="D13" s="12" t="s">
        <v>68</v>
      </c>
      <c r="E13" s="35" t="s">
        <v>55</v>
      </c>
      <c r="F13" s="36">
        <v>1</v>
      </c>
      <c r="G13" s="42">
        <v>17000</v>
      </c>
      <c r="H13" s="260">
        <f t="shared" si="0"/>
        <v>17000</v>
      </c>
      <c r="I13" s="229" t="s">
        <v>69</v>
      </c>
      <c r="J13" s="59"/>
    </row>
    <row r="14" spans="1:10">
      <c r="A14" s="479" t="s">
        <v>1201</v>
      </c>
      <c r="B14" s="480"/>
      <c r="C14" s="480"/>
      <c r="D14" s="480"/>
      <c r="E14" s="481"/>
      <c r="F14" s="54"/>
      <c r="G14" s="263"/>
      <c r="H14" s="261">
        <f>SUM(H5:H13)</f>
        <v>65290</v>
      </c>
      <c r="I14" s="229" t="s">
        <v>69</v>
      </c>
      <c r="J14" s="59"/>
    </row>
    <row r="15" spans="1:10">
      <c r="A15" s="224"/>
      <c r="B15" s="224"/>
      <c r="C15" s="224"/>
      <c r="D15" s="224"/>
      <c r="E15" s="224"/>
      <c r="F15" s="78"/>
      <c r="G15" s="262"/>
      <c r="H15" s="217"/>
      <c r="I15" s="224"/>
      <c r="J15" s="59"/>
    </row>
    <row r="17" spans="6:10">
      <c r="F17" s="431" t="s">
        <v>1060</v>
      </c>
      <c r="G17" s="431"/>
      <c r="H17" s="431"/>
      <c r="I17" s="431"/>
      <c r="J17" s="224"/>
    </row>
    <row r="18" spans="6:10">
      <c r="F18" s="431" t="s">
        <v>1061</v>
      </c>
      <c r="G18" s="431"/>
      <c r="H18" s="431"/>
      <c r="I18" s="431"/>
      <c r="J18" s="224"/>
    </row>
    <row r="19" spans="6:10">
      <c r="F19" s="431" t="s">
        <v>1049</v>
      </c>
      <c r="G19" s="431"/>
      <c r="H19" s="431"/>
      <c r="I19" s="431"/>
      <c r="J19" s="224"/>
    </row>
  </sheetData>
  <mergeCells count="7">
    <mergeCell ref="F17:I17"/>
    <mergeCell ref="F18:I18"/>
    <mergeCell ref="F19:I19"/>
    <mergeCell ref="A2:I2"/>
    <mergeCell ref="A1:I1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I29"/>
  <sheetViews>
    <sheetView topLeftCell="A7" zoomScaleNormal="100" workbookViewId="0">
      <selection activeCell="O11" sqref="O11"/>
    </sheetView>
  </sheetViews>
  <sheetFormatPr defaultColWidth="9" defaultRowHeight="24"/>
  <cols>
    <col min="1" max="1" width="5.42578125" style="14" customWidth="1"/>
    <col min="2" max="2" width="10.5703125" style="14" customWidth="1"/>
    <col min="3" max="3" width="27.85546875" style="14" customWidth="1"/>
    <col min="4" max="4" width="44.42578125" style="14" customWidth="1"/>
    <col min="5" max="5" width="7.28515625" style="14" customWidth="1"/>
    <col min="6" max="6" width="6.140625" style="14" customWidth="1"/>
    <col min="7" max="7" width="12.42578125" style="14" customWidth="1"/>
    <col min="8" max="8" width="13.140625" style="14" customWidth="1"/>
    <col min="9" max="9" width="8.28515625" style="14" customWidth="1"/>
    <col min="10" max="16384" width="9" style="14"/>
  </cols>
  <sheetData>
    <row r="1" spans="1:9" ht="23.25" customHeight="1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9" ht="23.25" customHeight="1">
      <c r="A2" s="439" t="s">
        <v>1025</v>
      </c>
      <c r="B2" s="439"/>
      <c r="C2" s="439"/>
      <c r="D2" s="439"/>
      <c r="E2" s="439"/>
      <c r="F2" s="439"/>
      <c r="G2" s="439"/>
      <c r="H2" s="439"/>
      <c r="I2" s="439"/>
    </row>
    <row r="3" spans="1:9" ht="23.25" customHeight="1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9" s="32" customFormat="1" ht="43.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</row>
    <row r="5" spans="1:9">
      <c r="A5" s="229">
        <v>1</v>
      </c>
      <c r="B5" s="33"/>
      <c r="C5" s="259" t="s">
        <v>319</v>
      </c>
      <c r="D5" s="241" t="s">
        <v>337</v>
      </c>
      <c r="E5" s="35" t="s">
        <v>1100</v>
      </c>
      <c r="F5" s="36">
        <v>1</v>
      </c>
      <c r="G5" s="260">
        <v>780</v>
      </c>
      <c r="H5" s="260">
        <f>SUM(F5*G5)</f>
        <v>780</v>
      </c>
      <c r="I5" s="148" t="s">
        <v>69</v>
      </c>
    </row>
    <row r="6" spans="1:9">
      <c r="A6" s="229">
        <v>2</v>
      </c>
      <c r="B6" s="33"/>
      <c r="C6" s="106" t="s">
        <v>320</v>
      </c>
      <c r="D6" s="106" t="s">
        <v>338</v>
      </c>
      <c r="E6" s="35" t="s">
        <v>55</v>
      </c>
      <c r="F6" s="36">
        <v>1</v>
      </c>
      <c r="G6" s="41">
        <v>90000</v>
      </c>
      <c r="H6" s="260">
        <f t="shared" ref="H6:H23" si="0">SUM(F6*G6)</f>
        <v>90000</v>
      </c>
      <c r="I6" s="148" t="s">
        <v>70</v>
      </c>
    </row>
    <row r="7" spans="1:9">
      <c r="A7" s="229">
        <v>3</v>
      </c>
      <c r="B7" s="33"/>
      <c r="C7" s="106" t="s">
        <v>321</v>
      </c>
      <c r="D7" s="106" t="s">
        <v>339</v>
      </c>
      <c r="E7" s="35" t="s">
        <v>55</v>
      </c>
      <c r="F7" s="36">
        <v>6</v>
      </c>
      <c r="G7" s="41">
        <v>5250</v>
      </c>
      <c r="H7" s="260">
        <f t="shared" si="0"/>
        <v>31500</v>
      </c>
      <c r="I7" s="148" t="s">
        <v>69</v>
      </c>
    </row>
    <row r="8" spans="1:9">
      <c r="A8" s="229">
        <v>4</v>
      </c>
      <c r="B8" s="33"/>
      <c r="C8" s="106" t="s">
        <v>322</v>
      </c>
      <c r="D8" s="106" t="s">
        <v>340</v>
      </c>
      <c r="E8" s="35" t="s">
        <v>55</v>
      </c>
      <c r="F8" s="36">
        <v>2</v>
      </c>
      <c r="G8" s="41">
        <v>5800</v>
      </c>
      <c r="H8" s="260">
        <f t="shared" si="0"/>
        <v>11600</v>
      </c>
      <c r="I8" s="148" t="s">
        <v>69</v>
      </c>
    </row>
    <row r="9" spans="1:9">
      <c r="A9" s="229">
        <v>5</v>
      </c>
      <c r="B9" s="33"/>
      <c r="C9" s="106" t="s">
        <v>323</v>
      </c>
      <c r="D9" s="106" t="s">
        <v>341</v>
      </c>
      <c r="E9" s="35" t="s">
        <v>55</v>
      </c>
      <c r="F9" s="36">
        <v>1</v>
      </c>
      <c r="G9" s="41">
        <v>75900</v>
      </c>
      <c r="H9" s="260">
        <f t="shared" si="0"/>
        <v>75900</v>
      </c>
      <c r="I9" s="148" t="s">
        <v>70</v>
      </c>
    </row>
    <row r="10" spans="1:9">
      <c r="A10" s="229">
        <v>6</v>
      </c>
      <c r="B10" s="33"/>
      <c r="C10" s="106" t="s">
        <v>324</v>
      </c>
      <c r="D10" s="106" t="s">
        <v>342</v>
      </c>
      <c r="E10" s="35" t="s">
        <v>55</v>
      </c>
      <c r="F10" s="36">
        <v>1</v>
      </c>
      <c r="G10" s="41">
        <v>122600</v>
      </c>
      <c r="H10" s="260">
        <f t="shared" si="0"/>
        <v>122600</v>
      </c>
      <c r="I10" s="148" t="s">
        <v>70</v>
      </c>
    </row>
    <row r="11" spans="1:9">
      <c r="A11" s="229">
        <v>7</v>
      </c>
      <c r="B11" s="33"/>
      <c r="C11" s="106" t="s">
        <v>325</v>
      </c>
      <c r="D11" s="106" t="s">
        <v>343</v>
      </c>
      <c r="E11" s="35" t="s">
        <v>55</v>
      </c>
      <c r="F11" s="36">
        <v>1</v>
      </c>
      <c r="G11" s="41">
        <v>1100</v>
      </c>
      <c r="H11" s="260">
        <f t="shared" si="0"/>
        <v>1100</v>
      </c>
      <c r="I11" s="148" t="s">
        <v>69</v>
      </c>
    </row>
    <row r="12" spans="1:9">
      <c r="A12" s="229">
        <v>8</v>
      </c>
      <c r="B12" s="33"/>
      <c r="C12" s="106" t="s">
        <v>326</v>
      </c>
      <c r="D12" s="106" t="s">
        <v>344</v>
      </c>
      <c r="E12" s="35" t="s">
        <v>55</v>
      </c>
      <c r="F12" s="36">
        <v>1</v>
      </c>
      <c r="G12" s="41">
        <v>3000</v>
      </c>
      <c r="H12" s="260">
        <f t="shared" si="0"/>
        <v>3000</v>
      </c>
      <c r="I12" s="148" t="s">
        <v>70</v>
      </c>
    </row>
    <row r="13" spans="1:9">
      <c r="A13" s="229">
        <v>9</v>
      </c>
      <c r="B13" s="33"/>
      <c r="C13" s="106" t="s">
        <v>327</v>
      </c>
      <c r="D13" s="106" t="s">
        <v>345</v>
      </c>
      <c r="E13" s="35" t="s">
        <v>55</v>
      </c>
      <c r="F13" s="36">
        <v>1</v>
      </c>
      <c r="G13" s="41">
        <v>3750</v>
      </c>
      <c r="H13" s="260">
        <f t="shared" si="0"/>
        <v>3750</v>
      </c>
      <c r="I13" s="148" t="s">
        <v>70</v>
      </c>
    </row>
    <row r="14" spans="1:9">
      <c r="A14" s="229">
        <v>10</v>
      </c>
      <c r="B14" s="33"/>
      <c r="C14" s="131" t="s">
        <v>328</v>
      </c>
      <c r="D14" s="131" t="s">
        <v>67</v>
      </c>
      <c r="E14" s="35" t="s">
        <v>55</v>
      </c>
      <c r="F14" s="36">
        <v>1</v>
      </c>
      <c r="G14" s="41">
        <v>2590</v>
      </c>
      <c r="H14" s="260">
        <f t="shared" si="0"/>
        <v>2590</v>
      </c>
      <c r="I14" s="148" t="s">
        <v>69</v>
      </c>
    </row>
    <row r="15" spans="1:9">
      <c r="A15" s="229">
        <v>11</v>
      </c>
      <c r="B15" s="33"/>
      <c r="C15" s="131" t="s">
        <v>329</v>
      </c>
      <c r="D15" s="131" t="s">
        <v>346</v>
      </c>
      <c r="E15" s="235" t="s">
        <v>55</v>
      </c>
      <c r="F15" s="36">
        <v>5</v>
      </c>
      <c r="G15" s="41">
        <v>1000</v>
      </c>
      <c r="H15" s="260">
        <f t="shared" si="0"/>
        <v>5000</v>
      </c>
      <c r="I15" s="148" t="s">
        <v>69</v>
      </c>
    </row>
    <row r="16" spans="1:9">
      <c r="A16" s="229">
        <v>12</v>
      </c>
      <c r="B16" s="33"/>
      <c r="C16" s="131" t="s">
        <v>330</v>
      </c>
      <c r="D16" s="131" t="s">
        <v>347</v>
      </c>
      <c r="E16" s="35" t="s">
        <v>55</v>
      </c>
      <c r="F16" s="36">
        <v>5</v>
      </c>
      <c r="G16" s="41">
        <v>2500</v>
      </c>
      <c r="H16" s="260">
        <f t="shared" si="0"/>
        <v>12500</v>
      </c>
      <c r="I16" s="148" t="s">
        <v>69</v>
      </c>
    </row>
    <row r="17" spans="1:9">
      <c r="A17" s="229">
        <v>13</v>
      </c>
      <c r="B17" s="33"/>
      <c r="C17" s="131" t="s">
        <v>331</v>
      </c>
      <c r="D17" s="131" t="s">
        <v>348</v>
      </c>
      <c r="E17" s="35" t="s">
        <v>143</v>
      </c>
      <c r="F17" s="36">
        <v>1</v>
      </c>
      <c r="G17" s="41">
        <v>28250</v>
      </c>
      <c r="H17" s="260">
        <f t="shared" si="0"/>
        <v>28250</v>
      </c>
      <c r="I17" s="148" t="s">
        <v>70</v>
      </c>
    </row>
    <row r="18" spans="1:9">
      <c r="A18" s="229">
        <v>14</v>
      </c>
      <c r="B18" s="33"/>
      <c r="C18" s="131" t="s">
        <v>332</v>
      </c>
      <c r="D18" s="131" t="s">
        <v>350</v>
      </c>
      <c r="E18" s="35" t="s">
        <v>143</v>
      </c>
      <c r="F18" s="36">
        <v>4</v>
      </c>
      <c r="G18" s="41">
        <v>13807.5</v>
      </c>
      <c r="H18" s="260">
        <f t="shared" si="0"/>
        <v>55230</v>
      </c>
      <c r="I18" s="148" t="s">
        <v>69</v>
      </c>
    </row>
    <row r="19" spans="1:9">
      <c r="A19" s="229">
        <v>15</v>
      </c>
      <c r="B19" s="33"/>
      <c r="C19" s="131" t="s">
        <v>333</v>
      </c>
      <c r="D19" s="131" t="s">
        <v>349</v>
      </c>
      <c r="E19" s="35" t="s">
        <v>143</v>
      </c>
      <c r="F19" s="36">
        <v>3</v>
      </c>
      <c r="G19" s="41">
        <v>3590</v>
      </c>
      <c r="H19" s="260">
        <f t="shared" si="0"/>
        <v>10770</v>
      </c>
      <c r="I19" s="148" t="s">
        <v>69</v>
      </c>
    </row>
    <row r="20" spans="1:9">
      <c r="A20" s="229">
        <v>16</v>
      </c>
      <c r="B20" s="107" t="s">
        <v>1210</v>
      </c>
      <c r="C20" s="106" t="s">
        <v>334</v>
      </c>
      <c r="D20" s="106" t="s">
        <v>142</v>
      </c>
      <c r="E20" s="35" t="s">
        <v>143</v>
      </c>
      <c r="F20" s="36">
        <v>3</v>
      </c>
      <c r="G20" s="41">
        <v>25000</v>
      </c>
      <c r="H20" s="260">
        <f t="shared" si="0"/>
        <v>75000</v>
      </c>
      <c r="I20" s="148" t="s">
        <v>69</v>
      </c>
    </row>
    <row r="21" spans="1:9">
      <c r="A21" s="229">
        <v>17</v>
      </c>
      <c r="B21" s="107" t="s">
        <v>1211</v>
      </c>
      <c r="C21" s="51" t="s">
        <v>335</v>
      </c>
      <c r="D21" s="131" t="s">
        <v>350</v>
      </c>
      <c r="E21" s="35" t="s">
        <v>143</v>
      </c>
      <c r="F21" s="36">
        <v>2</v>
      </c>
      <c r="G21" s="41">
        <v>14000</v>
      </c>
      <c r="H21" s="260">
        <f t="shared" si="0"/>
        <v>28000</v>
      </c>
      <c r="I21" s="148" t="s">
        <v>69</v>
      </c>
    </row>
    <row r="22" spans="1:9">
      <c r="A22" s="229">
        <v>18</v>
      </c>
      <c r="B22" s="107" t="s">
        <v>336</v>
      </c>
      <c r="C22" s="51"/>
      <c r="D22" s="19" t="s">
        <v>1209</v>
      </c>
      <c r="E22" s="35" t="s">
        <v>143</v>
      </c>
      <c r="F22" s="36">
        <v>1</v>
      </c>
      <c r="G22" s="42">
        <v>10000</v>
      </c>
      <c r="H22" s="260">
        <f t="shared" si="0"/>
        <v>10000</v>
      </c>
      <c r="I22" s="148" t="s">
        <v>70</v>
      </c>
    </row>
    <row r="23" spans="1:9">
      <c r="A23" s="225">
        <v>19</v>
      </c>
      <c r="B23" s="107" t="s">
        <v>1077</v>
      </c>
      <c r="C23" s="51" t="s">
        <v>1074</v>
      </c>
      <c r="D23" s="131" t="s">
        <v>1075</v>
      </c>
      <c r="E23" s="35" t="s">
        <v>56</v>
      </c>
      <c r="F23" s="36">
        <v>1</v>
      </c>
      <c r="G23" s="42">
        <v>15000</v>
      </c>
      <c r="H23" s="260">
        <f t="shared" si="0"/>
        <v>15000</v>
      </c>
      <c r="I23" s="148" t="s">
        <v>70</v>
      </c>
    </row>
    <row r="24" spans="1:9" ht="22.5" customHeight="1">
      <c r="A24" s="479" t="s">
        <v>381</v>
      </c>
      <c r="B24" s="480"/>
      <c r="C24" s="480"/>
      <c r="D24" s="480"/>
      <c r="E24" s="481"/>
      <c r="F24" s="54"/>
      <c r="G24" s="155"/>
      <c r="H24" s="155">
        <f>SUM(H5:H23)</f>
        <v>582570</v>
      </c>
      <c r="I24" s="229"/>
    </row>
    <row r="25" spans="1:9" ht="18" customHeight="1">
      <c r="A25" s="224"/>
      <c r="B25" s="224"/>
      <c r="C25" s="224"/>
      <c r="D25" s="224"/>
      <c r="E25" s="224"/>
      <c r="F25" s="78"/>
      <c r="G25" s="258"/>
      <c r="H25" s="258"/>
      <c r="I25" s="258"/>
    </row>
    <row r="26" spans="1:9" ht="18" customHeight="1">
      <c r="A26" s="224"/>
      <c r="B26" s="224"/>
      <c r="C26" s="224"/>
      <c r="D26" s="224"/>
      <c r="E26" s="224"/>
      <c r="F26" s="78"/>
      <c r="G26" s="258"/>
      <c r="H26" s="258"/>
      <c r="I26" s="258"/>
    </row>
    <row r="27" spans="1:9">
      <c r="G27" s="431" t="s">
        <v>161</v>
      </c>
      <c r="H27" s="431"/>
      <c r="I27" s="431"/>
    </row>
    <row r="28" spans="1:9" ht="20.25" customHeight="1">
      <c r="G28" s="431" t="s">
        <v>1050</v>
      </c>
      <c r="H28" s="431"/>
      <c r="I28" s="431"/>
    </row>
    <row r="29" spans="1:9" ht="20.25" customHeight="1">
      <c r="G29" s="431" t="s">
        <v>162</v>
      </c>
      <c r="H29" s="431"/>
      <c r="I29" s="431"/>
    </row>
  </sheetData>
  <mergeCells count="7">
    <mergeCell ref="G27:I27"/>
    <mergeCell ref="G28:I28"/>
    <mergeCell ref="G29:I29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M14"/>
  <sheetViews>
    <sheetView workbookViewId="0">
      <selection activeCell="L12" sqref="L12"/>
    </sheetView>
  </sheetViews>
  <sheetFormatPr defaultColWidth="9" defaultRowHeight="24"/>
  <cols>
    <col min="1" max="1" width="5.42578125" style="14" customWidth="1"/>
    <col min="2" max="2" width="10.7109375" style="14" customWidth="1"/>
    <col min="3" max="3" width="24.7109375" style="14" customWidth="1"/>
    <col min="4" max="4" width="35.42578125" style="14" customWidth="1"/>
    <col min="5" max="5" width="7.85546875" style="14" customWidth="1"/>
    <col min="6" max="6" width="6.7109375" style="14" customWidth="1"/>
    <col min="7" max="7" width="13.5703125" style="14" customWidth="1"/>
    <col min="8" max="8" width="16.140625" style="14" customWidth="1"/>
    <col min="9" max="9" width="12.7109375" style="228" customWidth="1"/>
    <col min="10" max="13" width="14.140625" style="14" customWidth="1"/>
    <col min="14" max="16384" width="9" style="14"/>
  </cols>
  <sheetData>
    <row r="1" spans="1:13">
      <c r="A1" s="439" t="s">
        <v>550</v>
      </c>
      <c r="B1" s="439"/>
      <c r="C1" s="439"/>
      <c r="D1" s="439"/>
      <c r="E1" s="439"/>
      <c r="F1" s="439"/>
      <c r="G1" s="439"/>
      <c r="H1" s="439"/>
      <c r="I1" s="439"/>
      <c r="J1" s="228"/>
      <c r="K1" s="228"/>
      <c r="L1" s="228"/>
      <c r="M1" s="228"/>
    </row>
    <row r="2" spans="1:13">
      <c r="A2" s="440" t="s">
        <v>1212</v>
      </c>
      <c r="B2" s="440"/>
      <c r="C2" s="440"/>
      <c r="D2" s="440"/>
      <c r="E2" s="440"/>
      <c r="F2" s="440"/>
      <c r="G2" s="440"/>
      <c r="H2" s="440"/>
      <c r="I2" s="440"/>
      <c r="J2" s="231"/>
      <c r="K2" s="231"/>
      <c r="L2" s="231"/>
      <c r="M2" s="231"/>
    </row>
    <row r="3" spans="1:13">
      <c r="A3" s="483" t="s">
        <v>1042</v>
      </c>
      <c r="B3" s="483"/>
      <c r="C3" s="483"/>
      <c r="D3" s="483"/>
      <c r="E3" s="483"/>
      <c r="F3" s="483"/>
      <c r="G3" s="483"/>
      <c r="H3" s="483"/>
      <c r="I3" s="483"/>
      <c r="J3" s="224"/>
      <c r="K3" s="224"/>
      <c r="L3" s="224"/>
      <c r="M3" s="224"/>
    </row>
    <row r="4" spans="1:13" ht="42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230"/>
      <c r="K4" s="230"/>
      <c r="L4" s="230"/>
      <c r="M4" s="230"/>
    </row>
    <row r="5" spans="1:13">
      <c r="A5" s="108">
        <v>1</v>
      </c>
      <c r="B5" s="44"/>
      <c r="C5" s="34" t="s">
        <v>570</v>
      </c>
      <c r="D5" s="119" t="s">
        <v>91</v>
      </c>
      <c r="E5" s="35" t="s">
        <v>56</v>
      </c>
      <c r="F5" s="35">
        <v>1</v>
      </c>
      <c r="G5" s="97">
        <v>33000</v>
      </c>
      <c r="H5" s="97">
        <f>SUM(F5*G5)</f>
        <v>33000</v>
      </c>
      <c r="I5" s="112" t="s">
        <v>69</v>
      </c>
      <c r="J5" s="265"/>
      <c r="K5" s="265"/>
      <c r="L5" s="265"/>
      <c r="M5" s="265"/>
    </row>
    <row r="6" spans="1:13">
      <c r="A6" s="239">
        <v>2</v>
      </c>
      <c r="B6" s="113"/>
      <c r="C6" s="34" t="s">
        <v>571</v>
      </c>
      <c r="D6" s="119" t="s">
        <v>480</v>
      </c>
      <c r="E6" s="35" t="s">
        <v>55</v>
      </c>
      <c r="F6" s="35">
        <v>1</v>
      </c>
      <c r="G6" s="97">
        <v>7900</v>
      </c>
      <c r="H6" s="97">
        <f t="shared" ref="H6:H8" si="0">SUM(F6*G6)</f>
        <v>7900</v>
      </c>
      <c r="I6" s="112" t="s">
        <v>69</v>
      </c>
      <c r="J6" s="265"/>
      <c r="K6" s="265"/>
      <c r="L6" s="265"/>
      <c r="M6" s="265"/>
    </row>
    <row r="7" spans="1:13">
      <c r="A7" s="108">
        <v>3</v>
      </c>
      <c r="B7" s="44"/>
      <c r="C7" s="34" t="s">
        <v>572</v>
      </c>
      <c r="D7" s="119" t="s">
        <v>573</v>
      </c>
      <c r="E7" s="35" t="s">
        <v>55</v>
      </c>
      <c r="F7" s="35">
        <v>1</v>
      </c>
      <c r="G7" s="97">
        <v>39500</v>
      </c>
      <c r="H7" s="97">
        <f t="shared" si="0"/>
        <v>39500</v>
      </c>
      <c r="I7" s="112" t="s">
        <v>69</v>
      </c>
      <c r="J7" s="265"/>
      <c r="K7" s="265"/>
      <c r="L7" s="265"/>
      <c r="M7" s="265"/>
    </row>
    <row r="8" spans="1:13">
      <c r="A8" s="239">
        <v>4</v>
      </c>
      <c r="B8" s="44"/>
      <c r="C8" s="34" t="s">
        <v>574</v>
      </c>
      <c r="D8" s="12" t="s">
        <v>68</v>
      </c>
      <c r="E8" s="35" t="s">
        <v>55</v>
      </c>
      <c r="F8" s="35">
        <v>1</v>
      </c>
      <c r="G8" s="42">
        <v>17000</v>
      </c>
      <c r="H8" s="97">
        <f t="shared" si="0"/>
        <v>17000</v>
      </c>
      <c r="I8" s="112" t="s">
        <v>70</v>
      </c>
      <c r="J8" s="265"/>
      <c r="K8" s="265"/>
      <c r="L8" s="265"/>
      <c r="M8" s="265"/>
    </row>
    <row r="9" spans="1:13">
      <c r="A9" s="446" t="s">
        <v>381</v>
      </c>
      <c r="B9" s="447"/>
      <c r="C9" s="447"/>
      <c r="D9" s="447"/>
      <c r="E9" s="448"/>
      <c r="F9" s="33"/>
      <c r="G9" s="266"/>
      <c r="H9" s="266">
        <f>SUM(H5:H8)</f>
        <v>97400</v>
      </c>
      <c r="I9" s="229"/>
      <c r="J9" s="274"/>
      <c r="K9" s="274"/>
      <c r="L9" s="274"/>
      <c r="M9" s="274"/>
    </row>
    <row r="10" spans="1:13">
      <c r="A10" s="227"/>
      <c r="B10" s="227"/>
      <c r="C10" s="227"/>
      <c r="D10" s="227"/>
      <c r="E10" s="227"/>
      <c r="F10" s="59"/>
      <c r="G10" s="276"/>
      <c r="H10" s="276"/>
      <c r="I10" s="224"/>
      <c r="J10" s="274"/>
      <c r="K10" s="274"/>
      <c r="L10" s="274"/>
      <c r="M10" s="274"/>
    </row>
    <row r="11" spans="1:13">
      <c r="A11" s="59"/>
      <c r="B11" s="59"/>
      <c r="C11" s="59"/>
      <c r="D11" s="59"/>
      <c r="E11" s="59"/>
      <c r="F11" s="59"/>
      <c r="G11" s="59"/>
      <c r="H11" s="59"/>
      <c r="I11" s="224"/>
      <c r="J11" s="59"/>
      <c r="K11" s="59"/>
      <c r="L11" s="59"/>
      <c r="M11" s="59"/>
    </row>
    <row r="12" spans="1:13">
      <c r="A12" s="59"/>
      <c r="B12" s="59"/>
      <c r="C12" s="59"/>
      <c r="D12" s="59"/>
      <c r="E12" s="59"/>
      <c r="F12" s="431" t="s">
        <v>1054</v>
      </c>
      <c r="G12" s="431"/>
      <c r="H12" s="431"/>
      <c r="I12" s="431"/>
      <c r="J12" s="224"/>
      <c r="K12" s="224"/>
      <c r="L12" s="224"/>
      <c r="M12" s="224"/>
    </row>
    <row r="13" spans="1:13">
      <c r="A13" s="59"/>
      <c r="B13" s="59"/>
      <c r="C13" s="59"/>
      <c r="D13" s="59"/>
      <c r="E13" s="59"/>
      <c r="F13" s="431" t="s">
        <v>1055</v>
      </c>
      <c r="G13" s="431"/>
      <c r="H13" s="431"/>
      <c r="I13" s="431"/>
      <c r="J13" s="224"/>
      <c r="K13" s="224"/>
      <c r="L13" s="224"/>
      <c r="M13" s="224"/>
    </row>
    <row r="14" spans="1:13">
      <c r="A14" s="59"/>
      <c r="B14" s="59"/>
      <c r="C14" s="59"/>
      <c r="D14" s="59"/>
      <c r="E14" s="59"/>
      <c r="F14" s="431" t="s">
        <v>162</v>
      </c>
      <c r="G14" s="431"/>
      <c r="H14" s="431"/>
      <c r="I14" s="431"/>
      <c r="J14" s="224"/>
      <c r="K14" s="224"/>
      <c r="L14" s="224"/>
      <c r="M14" s="224"/>
    </row>
  </sheetData>
  <mergeCells count="7">
    <mergeCell ref="A9:E9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J28"/>
  <sheetViews>
    <sheetView workbookViewId="0">
      <selection activeCell="L20" sqref="L20"/>
    </sheetView>
  </sheetViews>
  <sheetFormatPr defaultColWidth="9" defaultRowHeight="24" customHeight="1"/>
  <cols>
    <col min="1" max="1" width="5.42578125" style="14" customWidth="1"/>
    <col min="2" max="2" width="13.5703125" style="14" customWidth="1"/>
    <col min="3" max="3" width="29.7109375" style="14" customWidth="1"/>
    <col min="4" max="4" width="34.28515625" style="14" customWidth="1"/>
    <col min="5" max="5" width="6.5703125" style="14" customWidth="1"/>
    <col min="6" max="6" width="6.85546875" style="14" customWidth="1"/>
    <col min="7" max="7" width="13.140625" style="14" customWidth="1"/>
    <col min="8" max="8" width="14.5703125" style="14" customWidth="1"/>
    <col min="9" max="9" width="9.5703125" style="228" customWidth="1"/>
    <col min="10" max="10" width="17.140625" style="14" customWidth="1"/>
    <col min="11" max="16384" width="9" style="14"/>
  </cols>
  <sheetData>
    <row r="1" spans="1:10" ht="24" customHeight="1">
      <c r="A1" s="439" t="s">
        <v>550</v>
      </c>
      <c r="B1" s="439"/>
      <c r="C1" s="439"/>
      <c r="D1" s="439"/>
      <c r="E1" s="439"/>
      <c r="F1" s="439"/>
      <c r="G1" s="439"/>
      <c r="H1" s="439"/>
      <c r="I1" s="439"/>
      <c r="J1" s="228"/>
    </row>
    <row r="2" spans="1:10" ht="24" customHeight="1">
      <c r="A2" s="440" t="s">
        <v>575</v>
      </c>
      <c r="B2" s="440"/>
      <c r="C2" s="440"/>
      <c r="D2" s="440"/>
      <c r="E2" s="440"/>
      <c r="F2" s="440"/>
      <c r="G2" s="440"/>
      <c r="H2" s="440"/>
      <c r="I2" s="440"/>
      <c r="J2" s="231"/>
    </row>
    <row r="3" spans="1:10" ht="24" customHeight="1">
      <c r="A3" s="483" t="s">
        <v>1076</v>
      </c>
      <c r="B3" s="483"/>
      <c r="C3" s="483"/>
      <c r="D3" s="483"/>
      <c r="E3" s="483"/>
      <c r="F3" s="483"/>
      <c r="G3" s="483"/>
      <c r="H3" s="483"/>
      <c r="I3" s="483"/>
      <c r="J3" s="224"/>
    </row>
    <row r="4" spans="1:10" ht="42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230"/>
    </row>
    <row r="5" spans="1:10" ht="24" customHeight="1">
      <c r="A5" s="108">
        <v>1</v>
      </c>
      <c r="B5" s="44"/>
      <c r="C5" s="34" t="s">
        <v>576</v>
      </c>
      <c r="D5" s="12" t="s">
        <v>198</v>
      </c>
      <c r="E5" s="35" t="s">
        <v>55</v>
      </c>
      <c r="F5" s="35">
        <v>1</v>
      </c>
      <c r="G5" s="269">
        <v>900</v>
      </c>
      <c r="H5" s="269">
        <f>SUM(F5*G5)</f>
        <v>900</v>
      </c>
      <c r="I5" s="112" t="s">
        <v>69</v>
      </c>
      <c r="J5" s="265"/>
    </row>
    <row r="6" spans="1:10" ht="24" customHeight="1">
      <c r="A6" s="239">
        <v>2</v>
      </c>
      <c r="B6" s="113"/>
      <c r="C6" s="34" t="s">
        <v>577</v>
      </c>
      <c r="D6" s="12" t="s">
        <v>578</v>
      </c>
      <c r="E6" s="35" t="s">
        <v>55</v>
      </c>
      <c r="F6" s="35">
        <v>2</v>
      </c>
      <c r="G6" s="37">
        <v>2250</v>
      </c>
      <c r="H6" s="269">
        <f t="shared" ref="H6:H22" si="0">SUM(F6*G6)</f>
        <v>4500</v>
      </c>
      <c r="I6" s="112" t="s">
        <v>70</v>
      </c>
      <c r="J6" s="265"/>
    </row>
    <row r="7" spans="1:10" ht="24" customHeight="1">
      <c r="A7" s="108">
        <v>3</v>
      </c>
      <c r="B7" s="44"/>
      <c r="C7" s="34" t="s">
        <v>579</v>
      </c>
      <c r="D7" s="12" t="s">
        <v>580</v>
      </c>
      <c r="E7" s="35" t="s">
        <v>56</v>
      </c>
      <c r="F7" s="35">
        <v>2</v>
      </c>
      <c r="G7" s="269">
        <v>1650</v>
      </c>
      <c r="H7" s="269">
        <f t="shared" si="0"/>
        <v>3300</v>
      </c>
      <c r="I7" s="112" t="s">
        <v>69</v>
      </c>
      <c r="J7" s="265"/>
    </row>
    <row r="8" spans="1:10" ht="24" customHeight="1">
      <c r="A8" s="239">
        <v>4</v>
      </c>
      <c r="B8" s="44"/>
      <c r="C8" s="34" t="s">
        <v>581</v>
      </c>
      <c r="D8" s="12" t="s">
        <v>582</v>
      </c>
      <c r="E8" s="35" t="s">
        <v>56</v>
      </c>
      <c r="F8" s="35">
        <v>1</v>
      </c>
      <c r="G8" s="37">
        <v>2490</v>
      </c>
      <c r="H8" s="269">
        <f t="shared" si="0"/>
        <v>2490</v>
      </c>
      <c r="I8" s="112" t="s">
        <v>70</v>
      </c>
      <c r="J8" s="265"/>
    </row>
    <row r="9" spans="1:10" ht="24" customHeight="1">
      <c r="A9" s="108">
        <v>5</v>
      </c>
      <c r="B9" s="44"/>
      <c r="C9" s="34" t="s">
        <v>583</v>
      </c>
      <c r="D9" s="12" t="s">
        <v>391</v>
      </c>
      <c r="E9" s="35" t="s">
        <v>56</v>
      </c>
      <c r="F9" s="35">
        <v>1</v>
      </c>
      <c r="G9" s="269">
        <v>33000</v>
      </c>
      <c r="H9" s="269">
        <f t="shared" si="0"/>
        <v>33000</v>
      </c>
      <c r="I9" s="112" t="s">
        <v>69</v>
      </c>
      <c r="J9" s="265"/>
    </row>
    <row r="10" spans="1:10" ht="24" customHeight="1">
      <c r="A10" s="239">
        <v>6</v>
      </c>
      <c r="B10" s="44"/>
      <c r="C10" s="34" t="s">
        <v>584</v>
      </c>
      <c r="D10" s="12" t="s">
        <v>582</v>
      </c>
      <c r="E10" s="35" t="s">
        <v>56</v>
      </c>
      <c r="F10" s="35">
        <v>1</v>
      </c>
      <c r="G10" s="37">
        <v>2900</v>
      </c>
      <c r="H10" s="269">
        <f t="shared" si="0"/>
        <v>2900</v>
      </c>
      <c r="I10" s="112" t="s">
        <v>70</v>
      </c>
      <c r="J10" s="265"/>
    </row>
    <row r="11" spans="1:10" ht="24" customHeight="1">
      <c r="A11" s="108">
        <v>7</v>
      </c>
      <c r="B11" s="108"/>
      <c r="C11" s="34" t="s">
        <v>585</v>
      </c>
      <c r="D11" s="12" t="s">
        <v>42</v>
      </c>
      <c r="E11" s="35" t="s">
        <v>56</v>
      </c>
      <c r="F11" s="35">
        <v>1</v>
      </c>
      <c r="G11" s="37">
        <v>6900</v>
      </c>
      <c r="H11" s="269">
        <f t="shared" si="0"/>
        <v>6900</v>
      </c>
      <c r="I11" s="112" t="s">
        <v>69</v>
      </c>
      <c r="J11" s="265"/>
    </row>
    <row r="12" spans="1:10" ht="24" customHeight="1">
      <c r="A12" s="108">
        <v>8</v>
      </c>
      <c r="B12" s="44"/>
      <c r="C12" s="34" t="s">
        <v>586</v>
      </c>
      <c r="D12" s="12" t="s">
        <v>587</v>
      </c>
      <c r="E12" s="35" t="s">
        <v>56</v>
      </c>
      <c r="F12" s="35">
        <v>1</v>
      </c>
      <c r="G12" s="37">
        <v>2800</v>
      </c>
      <c r="H12" s="269">
        <f t="shared" si="0"/>
        <v>2800</v>
      </c>
      <c r="I12" s="112" t="s">
        <v>70</v>
      </c>
      <c r="J12" s="265"/>
    </row>
    <row r="13" spans="1:10" ht="24" customHeight="1">
      <c r="A13" s="108">
        <v>9</v>
      </c>
      <c r="B13" s="44"/>
      <c r="C13" s="34" t="s">
        <v>588</v>
      </c>
      <c r="D13" s="12" t="s">
        <v>273</v>
      </c>
      <c r="E13" s="35" t="s">
        <v>56</v>
      </c>
      <c r="F13" s="35">
        <v>1</v>
      </c>
      <c r="G13" s="37">
        <v>2650</v>
      </c>
      <c r="H13" s="269">
        <f t="shared" si="0"/>
        <v>2650</v>
      </c>
      <c r="I13" s="112" t="s">
        <v>70</v>
      </c>
      <c r="J13" s="265"/>
    </row>
    <row r="14" spans="1:10" ht="24" customHeight="1">
      <c r="A14" s="108">
        <v>10</v>
      </c>
      <c r="B14" s="44"/>
      <c r="C14" s="34" t="s">
        <v>589</v>
      </c>
      <c r="D14" s="12" t="s">
        <v>50</v>
      </c>
      <c r="E14" s="35" t="s">
        <v>56</v>
      </c>
      <c r="F14" s="35">
        <v>1</v>
      </c>
      <c r="G14" s="42">
        <v>3000</v>
      </c>
      <c r="H14" s="269">
        <f t="shared" si="0"/>
        <v>3000</v>
      </c>
      <c r="I14" s="120" t="s">
        <v>70</v>
      </c>
      <c r="J14" s="277"/>
    </row>
    <row r="15" spans="1:10" ht="24" customHeight="1">
      <c r="A15" s="278">
        <v>11</v>
      </c>
      <c r="B15" s="115"/>
      <c r="C15" s="34" t="s">
        <v>590</v>
      </c>
      <c r="D15" s="12" t="s">
        <v>374</v>
      </c>
      <c r="E15" s="35" t="s">
        <v>56</v>
      </c>
      <c r="F15" s="35">
        <v>1</v>
      </c>
      <c r="G15" s="42">
        <v>1006.25</v>
      </c>
      <c r="H15" s="269">
        <f t="shared" si="0"/>
        <v>1006.25</v>
      </c>
      <c r="I15" s="120" t="s">
        <v>69</v>
      </c>
      <c r="J15" s="277"/>
    </row>
    <row r="16" spans="1:10" ht="24" customHeight="1">
      <c r="A16" s="278">
        <v>12</v>
      </c>
      <c r="B16" s="115"/>
      <c r="C16" s="34" t="s">
        <v>591</v>
      </c>
      <c r="D16" s="12" t="s">
        <v>375</v>
      </c>
      <c r="E16" s="35" t="s">
        <v>56</v>
      </c>
      <c r="F16" s="35">
        <v>1</v>
      </c>
      <c r="G16" s="42">
        <v>5684.5</v>
      </c>
      <c r="H16" s="269">
        <f t="shared" si="0"/>
        <v>5684.5</v>
      </c>
      <c r="I16" s="109" t="s">
        <v>70</v>
      </c>
      <c r="J16" s="275"/>
    </row>
    <row r="17" spans="1:10" ht="24" customHeight="1">
      <c r="A17" s="278">
        <v>13</v>
      </c>
      <c r="B17" s="115"/>
      <c r="C17" s="34" t="s">
        <v>592</v>
      </c>
      <c r="D17" s="12" t="s">
        <v>50</v>
      </c>
      <c r="E17" s="35" t="s">
        <v>55</v>
      </c>
      <c r="F17" s="35">
        <v>2</v>
      </c>
      <c r="G17" s="42">
        <v>3200</v>
      </c>
      <c r="H17" s="269">
        <f t="shared" si="0"/>
        <v>6400</v>
      </c>
      <c r="I17" s="109" t="s">
        <v>70</v>
      </c>
      <c r="J17" s="275"/>
    </row>
    <row r="18" spans="1:10" ht="24" customHeight="1">
      <c r="A18" s="278">
        <v>14</v>
      </c>
      <c r="B18" s="115"/>
      <c r="C18" s="34" t="s">
        <v>593</v>
      </c>
      <c r="D18" s="12" t="s">
        <v>594</v>
      </c>
      <c r="E18" s="35" t="s">
        <v>55</v>
      </c>
      <c r="F18" s="35">
        <v>2</v>
      </c>
      <c r="G18" s="42">
        <v>3000</v>
      </c>
      <c r="H18" s="269">
        <f t="shared" si="0"/>
        <v>6000</v>
      </c>
      <c r="I18" s="109" t="s">
        <v>70</v>
      </c>
      <c r="J18" s="275"/>
    </row>
    <row r="19" spans="1:10" ht="24" customHeight="1">
      <c r="A19" s="278">
        <v>15</v>
      </c>
      <c r="B19" s="107"/>
      <c r="C19" s="34" t="s">
        <v>595</v>
      </c>
      <c r="D19" s="12" t="s">
        <v>345</v>
      </c>
      <c r="E19" s="35" t="s">
        <v>55</v>
      </c>
      <c r="F19" s="35">
        <v>1</v>
      </c>
      <c r="G19" s="42">
        <v>3750</v>
      </c>
      <c r="H19" s="269">
        <f t="shared" si="0"/>
        <v>3750</v>
      </c>
      <c r="I19" s="109" t="s">
        <v>70</v>
      </c>
      <c r="J19" s="275"/>
    </row>
    <row r="20" spans="1:10" ht="24" customHeight="1">
      <c r="A20" s="278">
        <v>16</v>
      </c>
      <c r="B20" s="107"/>
      <c r="C20" s="34" t="s">
        <v>596</v>
      </c>
      <c r="D20" s="12" t="s">
        <v>139</v>
      </c>
      <c r="E20" s="35" t="s">
        <v>55</v>
      </c>
      <c r="F20" s="35">
        <v>1</v>
      </c>
      <c r="G20" s="42">
        <v>1150</v>
      </c>
      <c r="H20" s="269">
        <f t="shared" si="0"/>
        <v>1150</v>
      </c>
      <c r="I20" s="109" t="s">
        <v>69</v>
      </c>
      <c r="J20" s="275"/>
    </row>
    <row r="21" spans="1:10" ht="24" customHeight="1">
      <c r="A21" s="278">
        <v>17</v>
      </c>
      <c r="B21" s="107"/>
      <c r="C21" s="34" t="s">
        <v>597</v>
      </c>
      <c r="D21" s="12" t="s">
        <v>68</v>
      </c>
      <c r="E21" s="35" t="s">
        <v>55</v>
      </c>
      <c r="F21" s="35">
        <v>1</v>
      </c>
      <c r="G21" s="42">
        <v>17000</v>
      </c>
      <c r="H21" s="269">
        <f t="shared" si="0"/>
        <v>17000</v>
      </c>
      <c r="I21" s="109" t="s">
        <v>69</v>
      </c>
      <c r="J21" s="275"/>
    </row>
    <row r="22" spans="1:10" ht="24" customHeight="1">
      <c r="A22" s="278">
        <v>18</v>
      </c>
      <c r="B22" s="107" t="s">
        <v>1059</v>
      </c>
      <c r="C22" s="34" t="s">
        <v>1037</v>
      </c>
      <c r="D22" s="12" t="s">
        <v>1035</v>
      </c>
      <c r="E22" s="35" t="s">
        <v>56</v>
      </c>
      <c r="F22" s="35">
        <v>1</v>
      </c>
      <c r="G22" s="42">
        <v>4700</v>
      </c>
      <c r="H22" s="269">
        <f t="shared" si="0"/>
        <v>4700</v>
      </c>
      <c r="I22" s="109" t="s">
        <v>70</v>
      </c>
      <c r="J22" s="275"/>
    </row>
    <row r="23" spans="1:10" ht="24" customHeight="1">
      <c r="A23" s="446" t="s">
        <v>381</v>
      </c>
      <c r="B23" s="447"/>
      <c r="C23" s="447"/>
      <c r="D23" s="447"/>
      <c r="E23" s="448"/>
      <c r="F23" s="33"/>
      <c r="G23" s="266"/>
      <c r="H23" s="266">
        <f>SUM(H5:H22)</f>
        <v>108130.75</v>
      </c>
      <c r="I23" s="229"/>
      <c r="J23" s="274"/>
    </row>
    <row r="24" spans="1:10" ht="24" customHeight="1">
      <c r="A24" s="227"/>
      <c r="B24" s="227"/>
      <c r="C24" s="227"/>
      <c r="D24" s="227"/>
      <c r="E24" s="227"/>
      <c r="F24" s="59"/>
      <c r="G24" s="276"/>
      <c r="H24" s="276"/>
      <c r="I24" s="224"/>
      <c r="J24" s="274"/>
    </row>
    <row r="25" spans="1:10" ht="24" customHeight="1">
      <c r="A25" s="227"/>
      <c r="B25" s="227"/>
      <c r="C25" s="227"/>
      <c r="D25" s="227"/>
      <c r="E25" s="227"/>
      <c r="F25" s="59"/>
      <c r="G25" s="276"/>
      <c r="H25" s="276"/>
      <c r="I25" s="224"/>
      <c r="J25" s="274"/>
    </row>
    <row r="26" spans="1:10" ht="24" customHeight="1">
      <c r="A26" s="59"/>
      <c r="B26" s="59"/>
      <c r="C26" s="59"/>
      <c r="D26" s="59"/>
      <c r="E26" s="59"/>
      <c r="F26" s="431" t="s">
        <v>161</v>
      </c>
      <c r="G26" s="431"/>
      <c r="H26" s="431"/>
      <c r="I26" s="431"/>
      <c r="J26" s="224"/>
    </row>
    <row r="27" spans="1:10" ht="24" customHeight="1">
      <c r="A27" s="59"/>
      <c r="B27" s="59"/>
      <c r="C27" s="59"/>
      <c r="D27" s="59"/>
      <c r="E27" s="59"/>
      <c r="F27" s="431" t="s">
        <v>1056</v>
      </c>
      <c r="G27" s="431"/>
      <c r="H27" s="431"/>
      <c r="I27" s="431"/>
      <c r="J27" s="224"/>
    </row>
    <row r="28" spans="1:10" ht="24" customHeight="1">
      <c r="A28" s="59"/>
      <c r="B28" s="59"/>
      <c r="C28" s="59"/>
      <c r="D28" s="59"/>
      <c r="E28" s="59"/>
      <c r="F28" s="431" t="s">
        <v>162</v>
      </c>
      <c r="G28" s="431"/>
      <c r="H28" s="431"/>
      <c r="I28" s="431"/>
      <c r="J28" s="224"/>
    </row>
  </sheetData>
  <mergeCells count="7">
    <mergeCell ref="F27:I27"/>
    <mergeCell ref="F28:I28"/>
    <mergeCell ref="A1:I1"/>
    <mergeCell ref="A2:I2"/>
    <mergeCell ref="A3:I3"/>
    <mergeCell ref="A23:E23"/>
    <mergeCell ref="F26:I26"/>
  </mergeCells>
  <printOptions horizontalCentered="1"/>
  <pageMargins left="0.19685039370078741" right="0" top="0.59055118110236227" bottom="0.19685039370078741" header="0" footer="0"/>
  <pageSetup paperSize="9" scale="7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K21"/>
  <sheetViews>
    <sheetView zoomScaleNormal="100" workbookViewId="0">
      <selection activeCell="J14" sqref="J14"/>
    </sheetView>
  </sheetViews>
  <sheetFormatPr defaultColWidth="9" defaultRowHeight="24"/>
  <cols>
    <col min="1" max="1" width="5.7109375" style="14" customWidth="1"/>
    <col min="2" max="2" width="14" style="14" customWidth="1"/>
    <col min="3" max="3" width="24.5703125" style="14" customWidth="1"/>
    <col min="4" max="4" width="33.85546875" style="14" customWidth="1"/>
    <col min="5" max="5" width="7.85546875" style="14" customWidth="1"/>
    <col min="6" max="6" width="7.7109375" style="14" customWidth="1"/>
    <col min="7" max="7" width="14" style="14" customWidth="1"/>
    <col min="8" max="8" width="15.85546875" style="14" customWidth="1"/>
    <col min="9" max="9" width="11.5703125" style="228" customWidth="1"/>
    <col min="10" max="11" width="16.140625" style="14" customWidth="1"/>
    <col min="12" max="16384" width="9" style="14"/>
  </cols>
  <sheetData>
    <row r="1" spans="1:11">
      <c r="A1" s="439" t="s">
        <v>550</v>
      </c>
      <c r="B1" s="439"/>
      <c r="C1" s="439"/>
      <c r="D1" s="439"/>
      <c r="E1" s="439"/>
      <c r="F1" s="439"/>
      <c r="G1" s="439"/>
      <c r="H1" s="439"/>
      <c r="I1" s="439"/>
      <c r="J1" s="228"/>
      <c r="K1" s="228"/>
    </row>
    <row r="2" spans="1:11">
      <c r="A2" s="440" t="s">
        <v>551</v>
      </c>
      <c r="B2" s="440"/>
      <c r="C2" s="440"/>
      <c r="D2" s="440"/>
      <c r="E2" s="440"/>
      <c r="F2" s="440"/>
      <c r="G2" s="440"/>
      <c r="H2" s="440"/>
      <c r="I2" s="440"/>
      <c r="J2" s="231"/>
      <c r="K2" s="231"/>
    </row>
    <row r="3" spans="1:11">
      <c r="A3" s="483" t="s">
        <v>1076</v>
      </c>
      <c r="B3" s="483"/>
      <c r="C3" s="483"/>
      <c r="D3" s="483"/>
      <c r="E3" s="483"/>
      <c r="F3" s="483"/>
      <c r="G3" s="483"/>
      <c r="H3" s="483"/>
      <c r="I3" s="483"/>
      <c r="J3" s="224"/>
      <c r="K3" s="224"/>
    </row>
    <row r="4" spans="1:11" ht="48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94" t="s">
        <v>4</v>
      </c>
      <c r="J4" s="230"/>
      <c r="K4" s="230"/>
    </row>
    <row r="5" spans="1:11">
      <c r="A5" s="108">
        <v>1</v>
      </c>
      <c r="B5" s="44"/>
      <c r="C5" s="34" t="s">
        <v>553</v>
      </c>
      <c r="D5" s="12" t="s">
        <v>554</v>
      </c>
      <c r="E5" s="35" t="s">
        <v>56</v>
      </c>
      <c r="F5" s="35">
        <v>1</v>
      </c>
      <c r="G5" s="37">
        <v>2490</v>
      </c>
      <c r="H5" s="37">
        <f>SUM(F5*G5)</f>
        <v>2490</v>
      </c>
      <c r="I5" s="112" t="s">
        <v>70</v>
      </c>
      <c r="J5" s="265"/>
      <c r="K5" s="265"/>
    </row>
    <row r="6" spans="1:11">
      <c r="A6" s="239">
        <v>2</v>
      </c>
      <c r="B6" s="113"/>
      <c r="C6" s="34" t="s">
        <v>555</v>
      </c>
      <c r="D6" s="12" t="s">
        <v>556</v>
      </c>
      <c r="E6" s="35" t="s">
        <v>56</v>
      </c>
      <c r="F6" s="35">
        <v>1</v>
      </c>
      <c r="G6" s="37">
        <v>2600</v>
      </c>
      <c r="H6" s="37">
        <f t="shared" ref="H6:H15" si="0">SUM(F6*G6)</f>
        <v>2600</v>
      </c>
      <c r="I6" s="112" t="s">
        <v>70</v>
      </c>
      <c r="J6" s="265"/>
      <c r="K6" s="265"/>
    </row>
    <row r="7" spans="1:11">
      <c r="A7" s="108">
        <v>3</v>
      </c>
      <c r="B7" s="44"/>
      <c r="C7" s="34" t="s">
        <v>557</v>
      </c>
      <c r="D7" s="12" t="s">
        <v>558</v>
      </c>
      <c r="E7" s="35" t="s">
        <v>56</v>
      </c>
      <c r="F7" s="35">
        <v>1</v>
      </c>
      <c r="G7" s="42">
        <v>3100</v>
      </c>
      <c r="H7" s="37">
        <f t="shared" si="0"/>
        <v>3100</v>
      </c>
      <c r="I7" s="112" t="s">
        <v>70</v>
      </c>
      <c r="J7" s="265"/>
      <c r="K7" s="265"/>
    </row>
    <row r="8" spans="1:11">
      <c r="A8" s="239">
        <v>4</v>
      </c>
      <c r="B8" s="44"/>
      <c r="C8" s="106" t="s">
        <v>559</v>
      </c>
      <c r="D8" s="106" t="s">
        <v>560</v>
      </c>
      <c r="E8" s="35" t="s">
        <v>56</v>
      </c>
      <c r="F8" s="35">
        <v>1</v>
      </c>
      <c r="G8" s="42">
        <v>17300</v>
      </c>
      <c r="H8" s="37">
        <f t="shared" si="0"/>
        <v>17300</v>
      </c>
      <c r="I8" s="112" t="s">
        <v>69</v>
      </c>
      <c r="J8" s="265"/>
      <c r="K8" s="265"/>
    </row>
    <row r="9" spans="1:11">
      <c r="A9" s="108">
        <v>5</v>
      </c>
      <c r="B9" s="44"/>
      <c r="C9" s="34" t="s">
        <v>561</v>
      </c>
      <c r="D9" s="12" t="s">
        <v>562</v>
      </c>
      <c r="E9" s="35" t="s">
        <v>56</v>
      </c>
      <c r="F9" s="35">
        <v>1</v>
      </c>
      <c r="G9" s="42">
        <v>1700</v>
      </c>
      <c r="H9" s="37">
        <f t="shared" si="0"/>
        <v>1700</v>
      </c>
      <c r="I9" s="112" t="s">
        <v>71</v>
      </c>
      <c r="J9" s="265"/>
      <c r="K9" s="265"/>
    </row>
    <row r="10" spans="1:11">
      <c r="A10" s="239">
        <v>6</v>
      </c>
      <c r="B10" s="44"/>
      <c r="C10" s="34" t="s">
        <v>563</v>
      </c>
      <c r="D10" s="12" t="s">
        <v>564</v>
      </c>
      <c r="E10" s="35" t="s">
        <v>55</v>
      </c>
      <c r="F10" s="35">
        <v>1</v>
      </c>
      <c r="G10" s="42">
        <v>2900</v>
      </c>
      <c r="H10" s="37">
        <f t="shared" si="0"/>
        <v>2900</v>
      </c>
      <c r="I10" s="112" t="s">
        <v>70</v>
      </c>
      <c r="J10" s="265"/>
      <c r="K10" s="265"/>
    </row>
    <row r="11" spans="1:11">
      <c r="A11" s="108">
        <v>7</v>
      </c>
      <c r="B11" s="108"/>
      <c r="C11" s="34" t="s">
        <v>565</v>
      </c>
      <c r="D11" s="12" t="s">
        <v>302</v>
      </c>
      <c r="E11" s="35" t="s">
        <v>55</v>
      </c>
      <c r="F11" s="35">
        <v>1</v>
      </c>
      <c r="G11" s="42">
        <v>1100</v>
      </c>
      <c r="H11" s="37">
        <f t="shared" si="0"/>
        <v>1100</v>
      </c>
      <c r="I11" s="112" t="s">
        <v>69</v>
      </c>
      <c r="J11" s="265"/>
      <c r="K11" s="265"/>
    </row>
    <row r="12" spans="1:11">
      <c r="A12" s="239">
        <v>8</v>
      </c>
      <c r="B12" s="44"/>
      <c r="C12" s="34" t="s">
        <v>566</v>
      </c>
      <c r="D12" s="12" t="s">
        <v>167</v>
      </c>
      <c r="E12" s="35" t="s">
        <v>55</v>
      </c>
      <c r="F12" s="35">
        <v>1</v>
      </c>
      <c r="G12" s="42">
        <v>3500</v>
      </c>
      <c r="H12" s="37">
        <f t="shared" si="0"/>
        <v>3500</v>
      </c>
      <c r="I12" s="112" t="s">
        <v>70</v>
      </c>
      <c r="J12" s="265"/>
      <c r="K12" s="265"/>
    </row>
    <row r="13" spans="1:11">
      <c r="A13" s="108">
        <v>9</v>
      </c>
      <c r="B13" s="44"/>
      <c r="C13" s="34" t="s">
        <v>567</v>
      </c>
      <c r="D13" s="12" t="s">
        <v>345</v>
      </c>
      <c r="E13" s="35" t="s">
        <v>55</v>
      </c>
      <c r="F13" s="35">
        <v>1</v>
      </c>
      <c r="G13" s="42">
        <v>3750</v>
      </c>
      <c r="H13" s="37">
        <f t="shared" si="0"/>
        <v>3750</v>
      </c>
      <c r="I13" s="112" t="s">
        <v>70</v>
      </c>
      <c r="J13" s="265"/>
      <c r="K13" s="265"/>
    </row>
    <row r="14" spans="1:11">
      <c r="A14" s="239">
        <v>10</v>
      </c>
      <c r="B14" s="44"/>
      <c r="C14" s="34" t="s">
        <v>568</v>
      </c>
      <c r="D14" s="12" t="s">
        <v>236</v>
      </c>
      <c r="E14" s="35" t="s">
        <v>55</v>
      </c>
      <c r="F14" s="35">
        <v>1</v>
      </c>
      <c r="G14" s="42">
        <v>10140</v>
      </c>
      <c r="H14" s="37">
        <f t="shared" si="0"/>
        <v>10140</v>
      </c>
      <c r="I14" s="120" t="s">
        <v>69</v>
      </c>
      <c r="J14" s="277"/>
      <c r="K14" s="277"/>
    </row>
    <row r="15" spans="1:11">
      <c r="A15" s="108">
        <v>11</v>
      </c>
      <c r="B15" s="115"/>
      <c r="C15" s="34" t="s">
        <v>569</v>
      </c>
      <c r="D15" s="12" t="s">
        <v>68</v>
      </c>
      <c r="E15" s="35" t="s">
        <v>55</v>
      </c>
      <c r="F15" s="35">
        <v>1</v>
      </c>
      <c r="G15" s="42">
        <v>17000</v>
      </c>
      <c r="H15" s="37">
        <f t="shared" si="0"/>
        <v>17000</v>
      </c>
      <c r="I15" s="120" t="s">
        <v>69</v>
      </c>
      <c r="J15" s="277"/>
      <c r="K15" s="277"/>
    </row>
    <row r="16" spans="1:11">
      <c r="A16" s="446" t="s">
        <v>381</v>
      </c>
      <c r="B16" s="447"/>
      <c r="C16" s="447"/>
      <c r="D16" s="447"/>
      <c r="E16" s="448"/>
      <c r="F16" s="33"/>
      <c r="G16" s="266"/>
      <c r="H16" s="267">
        <f>SUM(H5:H15)</f>
        <v>65580</v>
      </c>
      <c r="I16" s="226"/>
      <c r="J16" s="274"/>
      <c r="K16" s="274"/>
    </row>
    <row r="17" spans="1:11">
      <c r="A17" s="227"/>
      <c r="B17" s="227"/>
      <c r="C17" s="227"/>
      <c r="D17" s="227"/>
      <c r="E17" s="227"/>
      <c r="F17" s="59"/>
      <c r="G17" s="276"/>
      <c r="H17" s="276"/>
      <c r="I17" s="224"/>
      <c r="J17" s="274"/>
      <c r="K17" s="274"/>
    </row>
    <row r="18" spans="1:11">
      <c r="A18" s="59"/>
      <c r="B18" s="59"/>
      <c r="C18" s="59"/>
      <c r="D18" s="59"/>
      <c r="E18" s="59"/>
      <c r="F18" s="59"/>
      <c r="G18" s="59"/>
      <c r="H18" s="59"/>
      <c r="I18" s="224"/>
      <c r="J18" s="59"/>
      <c r="K18" s="59"/>
    </row>
    <row r="19" spans="1:11">
      <c r="A19" s="59"/>
      <c r="B19" s="59"/>
      <c r="C19" s="59"/>
      <c r="D19" s="59"/>
      <c r="E19" s="59"/>
      <c r="F19" s="431" t="s">
        <v>161</v>
      </c>
      <c r="G19" s="431"/>
      <c r="H19" s="431"/>
      <c r="I19" s="431"/>
      <c r="J19" s="224"/>
      <c r="K19" s="224"/>
    </row>
    <row r="20" spans="1:11">
      <c r="A20" s="59"/>
      <c r="B20" s="59"/>
      <c r="C20" s="59"/>
      <c r="D20" s="59"/>
      <c r="E20" s="59"/>
      <c r="F20" s="431" t="s">
        <v>397</v>
      </c>
      <c r="G20" s="431"/>
      <c r="H20" s="431"/>
      <c r="I20" s="431"/>
      <c r="J20" s="224"/>
      <c r="K20" s="224"/>
    </row>
    <row r="21" spans="1:11">
      <c r="A21" s="59"/>
      <c r="B21" s="59"/>
      <c r="C21" s="59"/>
      <c r="D21" s="59"/>
      <c r="E21" s="59"/>
      <c r="F21" s="431" t="s">
        <v>162</v>
      </c>
      <c r="G21" s="431"/>
      <c r="H21" s="431"/>
      <c r="I21" s="431"/>
      <c r="J21" s="224"/>
      <c r="K21" s="224"/>
    </row>
  </sheetData>
  <mergeCells count="7">
    <mergeCell ref="F21:I21"/>
    <mergeCell ref="A16:E16"/>
    <mergeCell ref="F19:I19"/>
    <mergeCell ref="F20:I20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I44"/>
  <sheetViews>
    <sheetView topLeftCell="A31" zoomScaleNormal="100" workbookViewId="0">
      <selection activeCell="M5" sqref="M5"/>
    </sheetView>
  </sheetViews>
  <sheetFormatPr defaultColWidth="9" defaultRowHeight="24"/>
  <cols>
    <col min="1" max="1" width="5.28515625" style="14" customWidth="1"/>
    <col min="2" max="2" width="13" style="14" customWidth="1"/>
    <col min="3" max="3" width="32.5703125" style="14" customWidth="1"/>
    <col min="4" max="4" width="35.140625" style="14" customWidth="1"/>
    <col min="5" max="5" width="6.5703125" style="14" customWidth="1"/>
    <col min="6" max="6" width="6.7109375" style="14" customWidth="1"/>
    <col min="7" max="7" width="11.7109375" style="14" customWidth="1"/>
    <col min="8" max="8" width="13.42578125" style="14" customWidth="1"/>
    <col min="9" max="9" width="10.28515625" style="14" customWidth="1"/>
    <col min="10" max="16384" width="9" style="14"/>
  </cols>
  <sheetData>
    <row r="1" spans="1:9">
      <c r="A1" s="439" t="s">
        <v>5</v>
      </c>
      <c r="B1" s="439"/>
      <c r="C1" s="439"/>
      <c r="D1" s="439"/>
      <c r="E1" s="439"/>
      <c r="F1" s="439"/>
      <c r="G1" s="439"/>
      <c r="H1" s="439"/>
      <c r="I1" s="439"/>
    </row>
    <row r="2" spans="1:9">
      <c r="A2" s="439" t="s">
        <v>485</v>
      </c>
      <c r="B2" s="439"/>
      <c r="C2" s="439"/>
      <c r="D2" s="439"/>
      <c r="E2" s="439"/>
      <c r="F2" s="439"/>
      <c r="G2" s="439"/>
      <c r="H2" s="439"/>
      <c r="I2" s="439"/>
    </row>
    <row r="3" spans="1:9">
      <c r="A3" s="482" t="s">
        <v>1076</v>
      </c>
      <c r="B3" s="482"/>
      <c r="C3" s="482"/>
      <c r="D3" s="482"/>
      <c r="E3" s="482"/>
      <c r="F3" s="482"/>
      <c r="G3" s="482"/>
      <c r="H3" s="482"/>
      <c r="I3" s="482"/>
    </row>
    <row r="4" spans="1:9" ht="44.2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175" t="s">
        <v>4</v>
      </c>
    </row>
    <row r="5" spans="1:9">
      <c r="A5" s="229">
        <v>1</v>
      </c>
      <c r="B5" s="33"/>
      <c r="C5" s="34" t="s">
        <v>493</v>
      </c>
      <c r="D5" s="12" t="s">
        <v>522</v>
      </c>
      <c r="E5" s="35" t="s">
        <v>55</v>
      </c>
      <c r="F5" s="35">
        <v>8</v>
      </c>
      <c r="G5" s="37">
        <v>6500</v>
      </c>
      <c r="H5" s="37">
        <f>SUM(F5*G5)</f>
        <v>52000</v>
      </c>
      <c r="I5" s="229" t="s">
        <v>1117</v>
      </c>
    </row>
    <row r="6" spans="1:9">
      <c r="A6" s="229">
        <v>2</v>
      </c>
      <c r="B6" s="33"/>
      <c r="C6" s="34" t="s">
        <v>494</v>
      </c>
      <c r="D6" s="12" t="s">
        <v>523</v>
      </c>
      <c r="E6" s="35" t="s">
        <v>55</v>
      </c>
      <c r="F6" s="35">
        <v>4</v>
      </c>
      <c r="G6" s="37">
        <v>8000</v>
      </c>
      <c r="H6" s="37">
        <f t="shared" ref="H6:H38" si="0">SUM(F6*G6)</f>
        <v>32000</v>
      </c>
      <c r="I6" s="229" t="s">
        <v>70</v>
      </c>
    </row>
    <row r="7" spans="1:9">
      <c r="A7" s="229">
        <v>3</v>
      </c>
      <c r="B7" s="33"/>
      <c r="C7" s="34" t="s">
        <v>495</v>
      </c>
      <c r="D7" s="12" t="s">
        <v>524</v>
      </c>
      <c r="E7" s="35" t="s">
        <v>55</v>
      </c>
      <c r="F7" s="35">
        <v>4</v>
      </c>
      <c r="G7" s="37">
        <v>14800</v>
      </c>
      <c r="H7" s="37">
        <f t="shared" si="0"/>
        <v>59200</v>
      </c>
      <c r="I7" s="229" t="s">
        <v>70</v>
      </c>
    </row>
    <row r="8" spans="1:9">
      <c r="A8" s="229">
        <v>4</v>
      </c>
      <c r="B8" s="33"/>
      <c r="C8" s="34" t="s">
        <v>496</v>
      </c>
      <c r="D8" s="12" t="s">
        <v>525</v>
      </c>
      <c r="E8" s="35" t="s">
        <v>55</v>
      </c>
      <c r="F8" s="35">
        <v>1</v>
      </c>
      <c r="G8" s="37">
        <v>5300</v>
      </c>
      <c r="H8" s="37">
        <f t="shared" si="0"/>
        <v>5300</v>
      </c>
      <c r="I8" s="229" t="s">
        <v>69</v>
      </c>
    </row>
    <row r="9" spans="1:9">
      <c r="A9" s="229">
        <v>5</v>
      </c>
      <c r="B9" s="33"/>
      <c r="C9" s="34" t="s">
        <v>497</v>
      </c>
      <c r="D9" s="12" t="s">
        <v>526</v>
      </c>
      <c r="E9" s="35" t="s">
        <v>55</v>
      </c>
      <c r="F9" s="35">
        <v>2</v>
      </c>
      <c r="G9" s="37">
        <v>2300</v>
      </c>
      <c r="H9" s="37">
        <f t="shared" si="0"/>
        <v>4600</v>
      </c>
      <c r="I9" s="229" t="s">
        <v>70</v>
      </c>
    </row>
    <row r="10" spans="1:9">
      <c r="A10" s="229">
        <v>6</v>
      </c>
      <c r="B10" s="44"/>
      <c r="C10" s="34" t="s">
        <v>498</v>
      </c>
      <c r="D10" s="12" t="s">
        <v>527</v>
      </c>
      <c r="E10" s="35" t="s">
        <v>55</v>
      </c>
      <c r="F10" s="35">
        <v>2</v>
      </c>
      <c r="G10" s="37">
        <v>15000</v>
      </c>
      <c r="H10" s="37">
        <f t="shared" si="0"/>
        <v>30000</v>
      </c>
      <c r="I10" s="229" t="s">
        <v>70</v>
      </c>
    </row>
    <row r="11" spans="1:9">
      <c r="A11" s="229">
        <v>7</v>
      </c>
      <c r="B11" s="33"/>
      <c r="C11" s="34" t="s">
        <v>499</v>
      </c>
      <c r="D11" s="12" t="s">
        <v>528</v>
      </c>
      <c r="E11" s="35" t="s">
        <v>55</v>
      </c>
      <c r="F11" s="35">
        <v>2</v>
      </c>
      <c r="G11" s="37">
        <v>3000</v>
      </c>
      <c r="H11" s="37">
        <f t="shared" si="0"/>
        <v>6000</v>
      </c>
      <c r="I11" s="229" t="s">
        <v>69</v>
      </c>
    </row>
    <row r="12" spans="1:9">
      <c r="A12" s="229">
        <v>8</v>
      </c>
      <c r="B12" s="33"/>
      <c r="C12" s="34" t="s">
        <v>144</v>
      </c>
      <c r="D12" s="12" t="s">
        <v>529</v>
      </c>
      <c r="E12" s="35" t="s">
        <v>56</v>
      </c>
      <c r="F12" s="35">
        <v>1</v>
      </c>
      <c r="G12" s="37">
        <v>7500</v>
      </c>
      <c r="H12" s="37">
        <f t="shared" si="0"/>
        <v>7500</v>
      </c>
      <c r="I12" s="229" t="s">
        <v>69</v>
      </c>
    </row>
    <row r="13" spans="1:9">
      <c r="A13" s="229">
        <v>9</v>
      </c>
      <c r="B13" s="33"/>
      <c r="C13" s="34" t="s">
        <v>500</v>
      </c>
      <c r="D13" s="12" t="s">
        <v>530</v>
      </c>
      <c r="E13" s="35" t="s">
        <v>55</v>
      </c>
      <c r="F13" s="35">
        <v>1</v>
      </c>
      <c r="G13" s="37">
        <v>50000</v>
      </c>
      <c r="H13" s="37">
        <f t="shared" si="0"/>
        <v>50000</v>
      </c>
      <c r="I13" s="229" t="s">
        <v>70</v>
      </c>
    </row>
    <row r="14" spans="1:9">
      <c r="A14" s="229">
        <v>10</v>
      </c>
      <c r="B14" s="33"/>
      <c r="C14" s="34" t="s">
        <v>501</v>
      </c>
      <c r="D14" s="12" t="s">
        <v>531</v>
      </c>
      <c r="E14" s="35" t="s">
        <v>55</v>
      </c>
      <c r="F14" s="35">
        <v>1</v>
      </c>
      <c r="G14" s="37">
        <v>5000</v>
      </c>
      <c r="H14" s="37">
        <f t="shared" si="0"/>
        <v>5000</v>
      </c>
      <c r="I14" s="229" t="s">
        <v>69</v>
      </c>
    </row>
    <row r="15" spans="1:9">
      <c r="A15" s="229">
        <v>11</v>
      </c>
      <c r="B15" s="33"/>
      <c r="C15" s="34" t="s">
        <v>502</v>
      </c>
      <c r="D15" s="12" t="s">
        <v>532</v>
      </c>
      <c r="E15" s="35" t="s">
        <v>55</v>
      </c>
      <c r="F15" s="35">
        <v>1</v>
      </c>
      <c r="G15" s="37">
        <v>35000</v>
      </c>
      <c r="H15" s="37">
        <f t="shared" si="0"/>
        <v>35000</v>
      </c>
      <c r="I15" s="229" t="s">
        <v>69</v>
      </c>
    </row>
    <row r="16" spans="1:9">
      <c r="A16" s="229">
        <v>12</v>
      </c>
      <c r="B16" s="44"/>
      <c r="C16" s="34" t="s">
        <v>503</v>
      </c>
      <c r="D16" s="34" t="s">
        <v>533</v>
      </c>
      <c r="E16" s="35" t="s">
        <v>55</v>
      </c>
      <c r="F16" s="35">
        <v>4</v>
      </c>
      <c r="G16" s="37">
        <v>8000</v>
      </c>
      <c r="H16" s="37">
        <f t="shared" si="0"/>
        <v>32000</v>
      </c>
      <c r="I16" s="229" t="s">
        <v>70</v>
      </c>
    </row>
    <row r="17" spans="1:9">
      <c r="A17" s="229">
        <v>13</v>
      </c>
      <c r="B17" s="33"/>
      <c r="C17" s="34" t="s">
        <v>504</v>
      </c>
      <c r="D17" s="34" t="s">
        <v>534</v>
      </c>
      <c r="E17" s="35" t="s">
        <v>55</v>
      </c>
      <c r="F17" s="35">
        <v>3</v>
      </c>
      <c r="G17" s="37">
        <v>5000</v>
      </c>
      <c r="H17" s="37">
        <f t="shared" si="0"/>
        <v>15000</v>
      </c>
      <c r="I17" s="229" t="s">
        <v>70</v>
      </c>
    </row>
    <row r="18" spans="1:9">
      <c r="A18" s="229">
        <v>14</v>
      </c>
      <c r="B18" s="33"/>
      <c r="C18" s="34" t="s">
        <v>505</v>
      </c>
      <c r="D18" s="34" t="s">
        <v>535</v>
      </c>
      <c r="E18" s="35" t="s">
        <v>55</v>
      </c>
      <c r="F18" s="35">
        <v>5</v>
      </c>
      <c r="G18" s="37">
        <v>9581.85</v>
      </c>
      <c r="H18" s="37">
        <f t="shared" si="0"/>
        <v>47909.25</v>
      </c>
      <c r="I18" s="229" t="s">
        <v>70</v>
      </c>
    </row>
    <row r="19" spans="1:9">
      <c r="A19" s="229">
        <v>15</v>
      </c>
      <c r="B19" s="33"/>
      <c r="C19" s="34" t="s">
        <v>506</v>
      </c>
      <c r="D19" s="12" t="s">
        <v>536</v>
      </c>
      <c r="E19" s="35" t="s">
        <v>56</v>
      </c>
      <c r="F19" s="35">
        <v>1</v>
      </c>
      <c r="G19" s="42">
        <v>2410.1799999999998</v>
      </c>
      <c r="H19" s="37">
        <f t="shared" si="0"/>
        <v>2410.1799999999998</v>
      </c>
      <c r="I19" s="229" t="s">
        <v>70</v>
      </c>
    </row>
    <row r="20" spans="1:9">
      <c r="A20" s="229">
        <v>16</v>
      </c>
      <c r="B20" s="33"/>
      <c r="C20" s="34" t="s">
        <v>507</v>
      </c>
      <c r="D20" s="119" t="s">
        <v>537</v>
      </c>
      <c r="E20" s="35" t="s">
        <v>55</v>
      </c>
      <c r="F20" s="35">
        <v>1</v>
      </c>
      <c r="G20" s="218">
        <v>7886.97</v>
      </c>
      <c r="H20" s="37">
        <f t="shared" si="0"/>
        <v>7886.97</v>
      </c>
      <c r="I20" s="229" t="s">
        <v>69</v>
      </c>
    </row>
    <row r="21" spans="1:9">
      <c r="A21" s="229">
        <v>17</v>
      </c>
      <c r="B21" s="33"/>
      <c r="C21" s="34" t="s">
        <v>508</v>
      </c>
      <c r="D21" s="12" t="s">
        <v>538</v>
      </c>
      <c r="E21" s="35" t="s">
        <v>56</v>
      </c>
      <c r="F21" s="35">
        <v>1</v>
      </c>
      <c r="G21" s="37">
        <v>31559.65</v>
      </c>
      <c r="H21" s="37">
        <f t="shared" si="0"/>
        <v>31559.65</v>
      </c>
      <c r="I21" s="229" t="s">
        <v>69</v>
      </c>
    </row>
    <row r="22" spans="1:9">
      <c r="A22" s="229">
        <v>18</v>
      </c>
      <c r="B22" s="100"/>
      <c r="C22" s="34" t="s">
        <v>509</v>
      </c>
      <c r="D22" s="34" t="s">
        <v>539</v>
      </c>
      <c r="E22" s="35" t="s">
        <v>56</v>
      </c>
      <c r="F22" s="35">
        <v>1</v>
      </c>
      <c r="G22" s="37">
        <v>33000</v>
      </c>
      <c r="H22" s="37">
        <f t="shared" si="0"/>
        <v>33000</v>
      </c>
      <c r="I22" s="229" t="s">
        <v>69</v>
      </c>
    </row>
    <row r="23" spans="1:9">
      <c r="A23" s="229">
        <v>19</v>
      </c>
      <c r="B23" s="33"/>
      <c r="C23" s="34" t="s">
        <v>510</v>
      </c>
      <c r="D23" s="34" t="s">
        <v>540</v>
      </c>
      <c r="E23" s="35" t="s">
        <v>56</v>
      </c>
      <c r="F23" s="35">
        <v>1</v>
      </c>
      <c r="G23" s="37">
        <v>8290</v>
      </c>
      <c r="H23" s="37">
        <f t="shared" si="0"/>
        <v>8290</v>
      </c>
      <c r="I23" s="229" t="s">
        <v>69</v>
      </c>
    </row>
    <row r="24" spans="1:9">
      <c r="A24" s="229">
        <v>20</v>
      </c>
      <c r="B24" s="33"/>
      <c r="C24" s="34" t="s">
        <v>511</v>
      </c>
      <c r="D24" s="34" t="s">
        <v>541</v>
      </c>
      <c r="E24" s="229" t="s">
        <v>56</v>
      </c>
      <c r="F24" s="36">
        <v>3</v>
      </c>
      <c r="G24" s="37">
        <v>2700</v>
      </c>
      <c r="H24" s="37">
        <f t="shared" si="0"/>
        <v>8100</v>
      </c>
      <c r="I24" s="229" t="s">
        <v>70</v>
      </c>
    </row>
    <row r="25" spans="1:9">
      <c r="A25" s="229">
        <v>21</v>
      </c>
      <c r="B25" s="33"/>
      <c r="C25" s="34" t="s">
        <v>512</v>
      </c>
      <c r="D25" s="34" t="s">
        <v>542</v>
      </c>
      <c r="E25" s="229" t="s">
        <v>56</v>
      </c>
      <c r="F25" s="36">
        <v>1</v>
      </c>
      <c r="G25" s="37">
        <v>1450</v>
      </c>
      <c r="H25" s="37">
        <f t="shared" si="0"/>
        <v>1450</v>
      </c>
      <c r="I25" s="229" t="s">
        <v>69</v>
      </c>
    </row>
    <row r="26" spans="1:9">
      <c r="A26" s="229">
        <v>22</v>
      </c>
      <c r="B26" s="33"/>
      <c r="C26" s="34" t="s">
        <v>513</v>
      </c>
      <c r="D26" s="34" t="s">
        <v>543</v>
      </c>
      <c r="E26" s="229" t="s">
        <v>56</v>
      </c>
      <c r="F26" s="36">
        <v>4</v>
      </c>
      <c r="G26" s="37">
        <v>650</v>
      </c>
      <c r="H26" s="37">
        <f t="shared" si="0"/>
        <v>2600</v>
      </c>
      <c r="I26" s="229" t="s">
        <v>69</v>
      </c>
    </row>
    <row r="27" spans="1:9">
      <c r="A27" s="229">
        <v>23</v>
      </c>
      <c r="B27" s="33"/>
      <c r="C27" s="34" t="s">
        <v>514</v>
      </c>
      <c r="D27" s="34" t="s">
        <v>544</v>
      </c>
      <c r="E27" s="229" t="s">
        <v>56</v>
      </c>
      <c r="F27" s="36">
        <v>3</v>
      </c>
      <c r="G27" s="37">
        <v>300</v>
      </c>
      <c r="H27" s="37">
        <f t="shared" si="0"/>
        <v>900</v>
      </c>
      <c r="I27" s="229" t="s">
        <v>69</v>
      </c>
    </row>
    <row r="28" spans="1:9">
      <c r="A28" s="229">
        <v>24</v>
      </c>
      <c r="B28" s="33"/>
      <c r="C28" s="34" t="s">
        <v>515</v>
      </c>
      <c r="D28" s="34" t="s">
        <v>544</v>
      </c>
      <c r="E28" s="229" t="s">
        <v>56</v>
      </c>
      <c r="F28" s="36">
        <v>1</v>
      </c>
      <c r="G28" s="37">
        <v>300</v>
      </c>
      <c r="H28" s="37">
        <f t="shared" si="0"/>
        <v>300</v>
      </c>
      <c r="I28" s="229" t="s">
        <v>69</v>
      </c>
    </row>
    <row r="29" spans="1:9">
      <c r="A29" s="229">
        <v>25</v>
      </c>
      <c r="B29" s="33"/>
      <c r="C29" s="236" t="s">
        <v>516</v>
      </c>
      <c r="D29" s="34" t="s">
        <v>545</v>
      </c>
      <c r="E29" s="229" t="s">
        <v>56</v>
      </c>
      <c r="F29" s="36">
        <v>3</v>
      </c>
      <c r="G29" s="270">
        <v>1800</v>
      </c>
      <c r="H29" s="37">
        <f t="shared" si="0"/>
        <v>5400</v>
      </c>
      <c r="I29" s="229" t="s">
        <v>70</v>
      </c>
    </row>
    <row r="30" spans="1:9">
      <c r="A30" s="229">
        <v>26</v>
      </c>
      <c r="B30" s="33"/>
      <c r="C30" s="34" t="s">
        <v>517</v>
      </c>
      <c r="D30" s="34" t="s">
        <v>546</v>
      </c>
      <c r="E30" s="229" t="s">
        <v>56</v>
      </c>
      <c r="F30" s="36">
        <v>1</v>
      </c>
      <c r="G30" s="37">
        <v>340</v>
      </c>
      <c r="H30" s="37">
        <f t="shared" si="0"/>
        <v>340</v>
      </c>
      <c r="I30" s="229" t="s">
        <v>69</v>
      </c>
    </row>
    <row r="31" spans="1:9">
      <c r="A31" s="229">
        <v>27</v>
      </c>
      <c r="B31" s="33"/>
      <c r="C31" s="34" t="s">
        <v>518</v>
      </c>
      <c r="D31" s="34" t="s">
        <v>544</v>
      </c>
      <c r="E31" s="229" t="s">
        <v>56</v>
      </c>
      <c r="F31" s="36">
        <v>4</v>
      </c>
      <c r="G31" s="285">
        <v>750</v>
      </c>
      <c r="H31" s="37">
        <f t="shared" si="0"/>
        <v>3000</v>
      </c>
      <c r="I31" s="229" t="s">
        <v>69</v>
      </c>
    </row>
    <row r="32" spans="1:9">
      <c r="A32" s="229">
        <v>28</v>
      </c>
      <c r="B32" s="33"/>
      <c r="C32" s="34" t="s">
        <v>519</v>
      </c>
      <c r="D32" s="34" t="s">
        <v>547</v>
      </c>
      <c r="E32" s="229" t="s">
        <v>56</v>
      </c>
      <c r="F32" s="36">
        <v>2</v>
      </c>
      <c r="G32" s="37">
        <v>1900</v>
      </c>
      <c r="H32" s="37">
        <f t="shared" si="0"/>
        <v>3800</v>
      </c>
      <c r="I32" s="229" t="s">
        <v>69</v>
      </c>
    </row>
    <row r="33" spans="1:9">
      <c r="A33" s="229">
        <v>29</v>
      </c>
      <c r="B33" s="33"/>
      <c r="C33" s="34" t="s">
        <v>520</v>
      </c>
      <c r="D33" s="34" t="s">
        <v>548</v>
      </c>
      <c r="E33" s="229" t="s">
        <v>56</v>
      </c>
      <c r="F33" s="36">
        <v>1</v>
      </c>
      <c r="G33" s="270">
        <v>1190</v>
      </c>
      <c r="H33" s="37">
        <f t="shared" si="0"/>
        <v>1190</v>
      </c>
      <c r="I33" s="229" t="s">
        <v>69</v>
      </c>
    </row>
    <row r="34" spans="1:9">
      <c r="A34" s="229">
        <v>30</v>
      </c>
      <c r="B34" s="33"/>
      <c r="C34" s="34" t="s">
        <v>521</v>
      </c>
      <c r="D34" s="34" t="s">
        <v>549</v>
      </c>
      <c r="E34" s="229" t="s">
        <v>56</v>
      </c>
      <c r="F34" s="36">
        <v>5</v>
      </c>
      <c r="G34" s="37">
        <v>350</v>
      </c>
      <c r="H34" s="37">
        <f t="shared" si="0"/>
        <v>1750</v>
      </c>
      <c r="I34" s="229" t="s">
        <v>69</v>
      </c>
    </row>
    <row r="35" spans="1:9">
      <c r="A35" s="229">
        <v>31</v>
      </c>
      <c r="B35" s="100"/>
      <c r="C35" s="34" t="s">
        <v>486</v>
      </c>
      <c r="D35" s="34" t="s">
        <v>490</v>
      </c>
      <c r="E35" s="286" t="s">
        <v>55</v>
      </c>
      <c r="F35" s="35">
        <v>1</v>
      </c>
      <c r="G35" s="285">
        <v>3200</v>
      </c>
      <c r="H35" s="37">
        <f t="shared" si="0"/>
        <v>3200</v>
      </c>
      <c r="I35" s="229" t="s">
        <v>70</v>
      </c>
    </row>
    <row r="36" spans="1:9">
      <c r="A36" s="229">
        <v>32</v>
      </c>
      <c r="B36" s="33"/>
      <c r="C36" s="34" t="s">
        <v>487</v>
      </c>
      <c r="D36" s="34" t="s">
        <v>491</v>
      </c>
      <c r="E36" s="286" t="s">
        <v>55</v>
      </c>
      <c r="F36" s="35">
        <v>12</v>
      </c>
      <c r="G36" s="42">
        <v>15750</v>
      </c>
      <c r="H36" s="37">
        <f t="shared" si="0"/>
        <v>189000</v>
      </c>
      <c r="I36" s="229" t="s">
        <v>69</v>
      </c>
    </row>
    <row r="37" spans="1:9">
      <c r="A37" s="229">
        <v>33</v>
      </c>
      <c r="B37" s="33"/>
      <c r="C37" s="34" t="s">
        <v>488</v>
      </c>
      <c r="D37" s="34" t="s">
        <v>492</v>
      </c>
      <c r="E37" s="286" t="s">
        <v>55</v>
      </c>
      <c r="F37" s="35">
        <v>1</v>
      </c>
      <c r="G37" s="42">
        <v>5350</v>
      </c>
      <c r="H37" s="37">
        <f t="shared" si="0"/>
        <v>5350</v>
      </c>
      <c r="I37" s="229" t="s">
        <v>69</v>
      </c>
    </row>
    <row r="38" spans="1:9">
      <c r="A38" s="229">
        <v>34</v>
      </c>
      <c r="B38" s="33"/>
      <c r="C38" s="34" t="s">
        <v>489</v>
      </c>
      <c r="D38" s="12" t="s">
        <v>68</v>
      </c>
      <c r="E38" s="286" t="s">
        <v>55</v>
      </c>
      <c r="F38" s="35">
        <v>1</v>
      </c>
      <c r="G38" s="42">
        <v>17000</v>
      </c>
      <c r="H38" s="37">
        <f t="shared" si="0"/>
        <v>17000</v>
      </c>
      <c r="I38" s="229" t="s">
        <v>69</v>
      </c>
    </row>
    <row r="39" spans="1:9">
      <c r="A39" s="446" t="s">
        <v>381</v>
      </c>
      <c r="B39" s="447"/>
      <c r="C39" s="447"/>
      <c r="D39" s="447"/>
      <c r="E39" s="448"/>
      <c r="F39" s="33"/>
      <c r="G39" s="266"/>
      <c r="H39" s="267">
        <f>SUM(H5:H38)</f>
        <v>708036.05</v>
      </c>
      <c r="I39" s="267"/>
    </row>
    <row r="40" spans="1:9">
      <c r="A40" s="233"/>
      <c r="B40" s="233"/>
      <c r="C40" s="233"/>
      <c r="D40" s="233"/>
      <c r="E40" s="233"/>
      <c r="F40" s="59"/>
      <c r="G40" s="276"/>
      <c r="H40" s="276"/>
      <c r="I40" s="276"/>
    </row>
    <row r="41" spans="1:9" ht="21.75" customHeight="1"/>
    <row r="42" spans="1:9">
      <c r="F42" s="467" t="s">
        <v>161</v>
      </c>
      <c r="G42" s="467"/>
      <c r="H42" s="467"/>
      <c r="I42" s="467"/>
    </row>
    <row r="43" spans="1:9">
      <c r="F43" s="431" t="s">
        <v>1053</v>
      </c>
      <c r="G43" s="431"/>
      <c r="H43" s="431"/>
      <c r="I43" s="431"/>
    </row>
    <row r="44" spans="1:9">
      <c r="F44" s="431" t="s">
        <v>162</v>
      </c>
      <c r="G44" s="431"/>
      <c r="H44" s="431"/>
      <c r="I44" s="431"/>
    </row>
  </sheetData>
  <mergeCells count="7">
    <mergeCell ref="F43:I43"/>
    <mergeCell ref="F44:I44"/>
    <mergeCell ref="A1:I1"/>
    <mergeCell ref="A2:I2"/>
    <mergeCell ref="A3:I3"/>
    <mergeCell ref="A39:E39"/>
    <mergeCell ref="F42:I42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J60"/>
  <sheetViews>
    <sheetView topLeftCell="A43" zoomScaleNormal="100" workbookViewId="0">
      <selection activeCell="M11" sqref="M11"/>
    </sheetView>
  </sheetViews>
  <sheetFormatPr defaultColWidth="9" defaultRowHeight="23.25"/>
  <cols>
    <col min="1" max="1" width="5.42578125" style="1" customWidth="1"/>
    <col min="2" max="2" width="12.5703125" style="1" customWidth="1"/>
    <col min="3" max="3" width="25" style="1" customWidth="1"/>
    <col min="4" max="4" width="44.28515625" style="1" customWidth="1"/>
    <col min="5" max="5" width="7" style="1" customWidth="1"/>
    <col min="6" max="6" width="6.7109375" style="1" customWidth="1"/>
    <col min="7" max="7" width="12.28515625" style="1" customWidth="1"/>
    <col min="8" max="8" width="13.140625" style="1" customWidth="1"/>
    <col min="9" max="9" width="9.5703125" style="1" customWidth="1"/>
    <col min="10" max="10" width="14.28515625" style="1" customWidth="1"/>
    <col min="11" max="16384" width="9" style="1"/>
  </cols>
  <sheetData>
    <row r="1" spans="1:10">
      <c r="A1" s="488" t="s">
        <v>5</v>
      </c>
      <c r="B1" s="488"/>
      <c r="C1" s="488"/>
      <c r="D1" s="488"/>
      <c r="E1" s="488"/>
      <c r="F1" s="488"/>
      <c r="G1" s="488"/>
      <c r="H1" s="488"/>
      <c r="I1" s="488"/>
    </row>
    <row r="2" spans="1:10">
      <c r="A2" s="488" t="s">
        <v>484</v>
      </c>
      <c r="B2" s="488"/>
      <c r="C2" s="488"/>
      <c r="D2" s="488"/>
      <c r="E2" s="488"/>
      <c r="F2" s="488"/>
      <c r="G2" s="488"/>
      <c r="H2" s="488"/>
      <c r="I2" s="488"/>
    </row>
    <row r="3" spans="1:10">
      <c r="A3" s="489" t="s">
        <v>1076</v>
      </c>
      <c r="B3" s="489"/>
      <c r="C3" s="489"/>
      <c r="D3" s="489"/>
      <c r="E3" s="489"/>
      <c r="F3" s="489"/>
      <c r="G3" s="489"/>
      <c r="H3" s="489"/>
      <c r="I3" s="489"/>
    </row>
    <row r="4" spans="1:10" ht="45" customHeight="1">
      <c r="A4" s="175" t="s">
        <v>1196</v>
      </c>
      <c r="B4" s="175" t="s">
        <v>1199</v>
      </c>
      <c r="C4" s="175" t="s">
        <v>1200</v>
      </c>
      <c r="D4" s="94" t="s">
        <v>0</v>
      </c>
      <c r="E4" s="175" t="s">
        <v>1197</v>
      </c>
      <c r="F4" s="94" t="s">
        <v>2</v>
      </c>
      <c r="G4" s="175" t="s">
        <v>1198</v>
      </c>
      <c r="H4" s="175" t="s">
        <v>1202</v>
      </c>
      <c r="I4" s="175" t="s">
        <v>4</v>
      </c>
      <c r="J4" s="55"/>
    </row>
    <row r="5" spans="1:10">
      <c r="A5" s="2">
        <v>1</v>
      </c>
      <c r="B5" s="3"/>
      <c r="C5" s="18" t="s">
        <v>398</v>
      </c>
      <c r="D5" s="18" t="s">
        <v>428</v>
      </c>
      <c r="E5" s="15" t="s">
        <v>55</v>
      </c>
      <c r="F5" s="15">
        <v>1</v>
      </c>
      <c r="G5" s="8">
        <v>3600</v>
      </c>
      <c r="H5" s="8">
        <f>SUM(F5*G5)</f>
        <v>3600</v>
      </c>
      <c r="I5" s="60" t="s">
        <v>69</v>
      </c>
      <c r="J5" s="21"/>
    </row>
    <row r="6" spans="1:10">
      <c r="A6" s="2">
        <v>2</v>
      </c>
      <c r="B6" s="3"/>
      <c r="C6" s="18" t="s">
        <v>399</v>
      </c>
      <c r="D6" s="18" t="s">
        <v>429</v>
      </c>
      <c r="E6" s="15" t="s">
        <v>55</v>
      </c>
      <c r="F6" s="15">
        <v>1</v>
      </c>
      <c r="G6" s="8">
        <v>45000</v>
      </c>
      <c r="H6" s="8">
        <f t="shared" ref="H6:H45" si="0">SUM(F6*G6)</f>
        <v>45000</v>
      </c>
      <c r="I6" s="60" t="s">
        <v>69</v>
      </c>
      <c r="J6" s="21"/>
    </row>
    <row r="7" spans="1:10">
      <c r="A7" s="2">
        <v>3</v>
      </c>
      <c r="B7" s="3"/>
      <c r="C7" s="18" t="s">
        <v>400</v>
      </c>
      <c r="D7" s="11" t="s">
        <v>430</v>
      </c>
      <c r="E7" s="15" t="s">
        <v>55</v>
      </c>
      <c r="F7" s="15">
        <v>1</v>
      </c>
      <c r="G7" s="8">
        <v>8500</v>
      </c>
      <c r="H7" s="8">
        <f t="shared" si="0"/>
        <v>8500</v>
      </c>
      <c r="I7" s="60" t="s">
        <v>69</v>
      </c>
      <c r="J7" s="21"/>
    </row>
    <row r="8" spans="1:10">
      <c r="A8" s="2">
        <v>4</v>
      </c>
      <c r="B8" s="3"/>
      <c r="C8" s="18" t="s">
        <v>401</v>
      </c>
      <c r="D8" s="11" t="s">
        <v>431</v>
      </c>
      <c r="E8" s="15" t="s">
        <v>55</v>
      </c>
      <c r="F8" s="15">
        <v>1</v>
      </c>
      <c r="G8" s="8">
        <v>9000</v>
      </c>
      <c r="H8" s="8">
        <f t="shared" si="0"/>
        <v>9000</v>
      </c>
      <c r="I8" s="60" t="s">
        <v>69</v>
      </c>
      <c r="J8" s="21"/>
    </row>
    <row r="9" spans="1:10">
      <c r="A9" s="2">
        <v>5</v>
      </c>
      <c r="B9" s="3"/>
      <c r="C9" s="18" t="s">
        <v>402</v>
      </c>
      <c r="D9" s="11" t="s">
        <v>432</v>
      </c>
      <c r="E9" s="15" t="s">
        <v>56</v>
      </c>
      <c r="F9" s="15">
        <v>1</v>
      </c>
      <c r="G9" s="8">
        <v>53900</v>
      </c>
      <c r="H9" s="8">
        <f t="shared" si="0"/>
        <v>53900</v>
      </c>
      <c r="I9" s="60" t="s">
        <v>69</v>
      </c>
      <c r="J9" s="21"/>
    </row>
    <row r="10" spans="1:10">
      <c r="A10" s="2">
        <v>6</v>
      </c>
      <c r="B10" s="3"/>
      <c r="C10" s="18" t="s">
        <v>403</v>
      </c>
      <c r="D10" s="18" t="s">
        <v>433</v>
      </c>
      <c r="E10" s="15" t="s">
        <v>56</v>
      </c>
      <c r="F10" s="15">
        <v>3</v>
      </c>
      <c r="G10" s="8">
        <v>9400</v>
      </c>
      <c r="H10" s="8">
        <f t="shared" si="0"/>
        <v>28200</v>
      </c>
      <c r="I10" s="60" t="s">
        <v>69</v>
      </c>
      <c r="J10" s="21"/>
    </row>
    <row r="11" spans="1:10">
      <c r="A11" s="2">
        <v>8</v>
      </c>
      <c r="B11" s="17"/>
      <c r="C11" s="18" t="s">
        <v>404</v>
      </c>
      <c r="D11" s="18" t="s">
        <v>433</v>
      </c>
      <c r="E11" s="15" t="s">
        <v>56</v>
      </c>
      <c r="F11" s="15">
        <v>4</v>
      </c>
      <c r="G11" s="8">
        <v>7650</v>
      </c>
      <c r="H11" s="8">
        <f t="shared" si="0"/>
        <v>30600</v>
      </c>
      <c r="I11" s="60" t="s">
        <v>69</v>
      </c>
      <c r="J11" s="21"/>
    </row>
    <row r="12" spans="1:10">
      <c r="A12" s="2">
        <v>9</v>
      </c>
      <c r="B12" s="3"/>
      <c r="C12" s="18" t="s">
        <v>405</v>
      </c>
      <c r="D12" s="18" t="s">
        <v>428</v>
      </c>
      <c r="E12" s="15" t="s">
        <v>56</v>
      </c>
      <c r="F12" s="15">
        <v>4</v>
      </c>
      <c r="G12" s="8">
        <v>3600</v>
      </c>
      <c r="H12" s="8">
        <f t="shared" si="0"/>
        <v>14400</v>
      </c>
      <c r="I12" s="60" t="s">
        <v>69</v>
      </c>
      <c r="J12" s="21"/>
    </row>
    <row r="13" spans="1:10">
      <c r="A13" s="2">
        <v>10</v>
      </c>
      <c r="B13" s="3"/>
      <c r="C13" s="18" t="s">
        <v>406</v>
      </c>
      <c r="D13" s="11" t="s">
        <v>434</v>
      </c>
      <c r="E13" s="15" t="s">
        <v>449</v>
      </c>
      <c r="F13" s="15">
        <v>1</v>
      </c>
      <c r="G13" s="8">
        <v>15500</v>
      </c>
      <c r="H13" s="8">
        <f t="shared" si="0"/>
        <v>15500</v>
      </c>
      <c r="I13" s="60" t="s">
        <v>69</v>
      </c>
      <c r="J13" s="21"/>
    </row>
    <row r="14" spans="1:10">
      <c r="A14" s="2">
        <v>11</v>
      </c>
      <c r="B14" s="3"/>
      <c r="C14" s="18" t="s">
        <v>407</v>
      </c>
      <c r="D14" s="11" t="s">
        <v>435</v>
      </c>
      <c r="E14" s="15" t="s">
        <v>56</v>
      </c>
      <c r="F14" s="15">
        <v>1</v>
      </c>
      <c r="G14" s="8">
        <v>8700</v>
      </c>
      <c r="H14" s="8">
        <f t="shared" si="0"/>
        <v>8700</v>
      </c>
      <c r="I14" s="60" t="s">
        <v>69</v>
      </c>
      <c r="J14" s="21"/>
    </row>
    <row r="15" spans="1:10">
      <c r="A15" s="2">
        <v>12</v>
      </c>
      <c r="B15" s="3"/>
      <c r="C15" s="18" t="s">
        <v>408</v>
      </c>
      <c r="D15" s="11" t="s">
        <v>436</v>
      </c>
      <c r="E15" s="15" t="s">
        <v>56</v>
      </c>
      <c r="F15" s="15">
        <v>1</v>
      </c>
      <c r="G15" s="8">
        <v>3000</v>
      </c>
      <c r="H15" s="8">
        <f t="shared" si="0"/>
        <v>3000</v>
      </c>
      <c r="I15" s="60" t="s">
        <v>69</v>
      </c>
      <c r="J15" s="21"/>
    </row>
    <row r="16" spans="1:10">
      <c r="A16" s="2">
        <v>13</v>
      </c>
      <c r="B16" s="3"/>
      <c r="C16" s="18" t="s">
        <v>409</v>
      </c>
      <c r="D16" s="11" t="s">
        <v>437</v>
      </c>
      <c r="E16" s="15" t="s">
        <v>56</v>
      </c>
      <c r="F16" s="15">
        <v>1</v>
      </c>
      <c r="G16" s="8">
        <v>5990</v>
      </c>
      <c r="H16" s="8">
        <f t="shared" si="0"/>
        <v>5990</v>
      </c>
      <c r="I16" s="60" t="s">
        <v>69</v>
      </c>
      <c r="J16" s="21"/>
    </row>
    <row r="17" spans="1:10">
      <c r="A17" s="2">
        <v>14</v>
      </c>
      <c r="B17" s="17"/>
      <c r="C17" s="18" t="s">
        <v>410</v>
      </c>
      <c r="D17" s="11" t="s">
        <v>438</v>
      </c>
      <c r="E17" s="15" t="s">
        <v>56</v>
      </c>
      <c r="F17" s="15">
        <v>1</v>
      </c>
      <c r="G17" s="8">
        <v>2650</v>
      </c>
      <c r="H17" s="8">
        <f t="shared" si="0"/>
        <v>2650</v>
      </c>
      <c r="I17" s="60" t="s">
        <v>69</v>
      </c>
      <c r="J17" s="21"/>
    </row>
    <row r="18" spans="1:10">
      <c r="A18" s="2">
        <v>15</v>
      </c>
      <c r="B18" s="3"/>
      <c r="C18" s="18" t="s">
        <v>411</v>
      </c>
      <c r="D18" s="26" t="s">
        <v>439</v>
      </c>
      <c r="E18" s="15" t="s">
        <v>56</v>
      </c>
      <c r="F18" s="15">
        <v>2</v>
      </c>
      <c r="G18" s="7">
        <v>4050</v>
      </c>
      <c r="H18" s="8">
        <f t="shared" si="0"/>
        <v>8100</v>
      </c>
      <c r="I18" s="60" t="s">
        <v>69</v>
      </c>
      <c r="J18" s="21"/>
    </row>
    <row r="19" spans="1:10">
      <c r="A19" s="2">
        <v>16</v>
      </c>
      <c r="B19" s="3"/>
      <c r="C19" s="18" t="s">
        <v>412</v>
      </c>
      <c r="D19" s="11" t="s">
        <v>440</v>
      </c>
      <c r="E19" s="15" t="s">
        <v>55</v>
      </c>
      <c r="F19" s="15">
        <v>1</v>
      </c>
      <c r="G19" s="8">
        <v>130000</v>
      </c>
      <c r="H19" s="8">
        <f t="shared" si="0"/>
        <v>130000</v>
      </c>
      <c r="I19" s="60" t="s">
        <v>69</v>
      </c>
      <c r="J19" s="21"/>
    </row>
    <row r="20" spans="1:10">
      <c r="A20" s="2">
        <v>17</v>
      </c>
      <c r="B20" s="3"/>
      <c r="C20" s="18" t="s">
        <v>413</v>
      </c>
      <c r="D20" s="11" t="s">
        <v>441</v>
      </c>
      <c r="E20" s="15" t="s">
        <v>55</v>
      </c>
      <c r="F20" s="15">
        <v>1</v>
      </c>
      <c r="G20" s="8">
        <v>35000</v>
      </c>
      <c r="H20" s="8">
        <f t="shared" si="0"/>
        <v>35000</v>
      </c>
      <c r="I20" s="60" t="s">
        <v>69</v>
      </c>
      <c r="J20" s="21"/>
    </row>
    <row r="21" spans="1:10">
      <c r="A21" s="2">
        <v>18</v>
      </c>
      <c r="B21" s="3"/>
      <c r="C21" s="18" t="s">
        <v>414</v>
      </c>
      <c r="D21" s="11" t="s">
        <v>442</v>
      </c>
      <c r="E21" s="15" t="s">
        <v>55</v>
      </c>
      <c r="F21" s="15">
        <v>1</v>
      </c>
      <c r="G21" s="8">
        <v>462312</v>
      </c>
      <c r="H21" s="8">
        <f t="shared" si="0"/>
        <v>462312</v>
      </c>
      <c r="I21" s="60" t="s">
        <v>69</v>
      </c>
      <c r="J21" s="21"/>
    </row>
    <row r="22" spans="1:10">
      <c r="A22" s="2">
        <v>19</v>
      </c>
      <c r="B22" s="3"/>
      <c r="C22" s="18" t="s">
        <v>415</v>
      </c>
      <c r="D22" s="11" t="s">
        <v>443</v>
      </c>
      <c r="E22" s="15" t="s">
        <v>449</v>
      </c>
      <c r="F22" s="15">
        <v>1</v>
      </c>
      <c r="G22" s="8">
        <v>42000</v>
      </c>
      <c r="H22" s="8">
        <f t="shared" si="0"/>
        <v>42000</v>
      </c>
      <c r="I22" s="60" t="s">
        <v>69</v>
      </c>
      <c r="J22" s="21"/>
    </row>
    <row r="23" spans="1:10">
      <c r="A23" s="48">
        <v>20</v>
      </c>
      <c r="B23" s="25"/>
      <c r="C23" s="18" t="s">
        <v>416</v>
      </c>
      <c r="D23" s="11" t="s">
        <v>91</v>
      </c>
      <c r="E23" s="15" t="s">
        <v>449</v>
      </c>
      <c r="F23" s="15">
        <v>6</v>
      </c>
      <c r="G23" s="8">
        <v>20000</v>
      </c>
      <c r="H23" s="8">
        <f t="shared" si="0"/>
        <v>120000</v>
      </c>
      <c r="I23" s="60" t="s">
        <v>69</v>
      </c>
      <c r="J23" s="21"/>
    </row>
    <row r="24" spans="1:10">
      <c r="A24" s="48">
        <v>21</v>
      </c>
      <c r="B24" s="3"/>
      <c r="C24" s="30" t="s">
        <v>417</v>
      </c>
      <c r="D24" s="49" t="s">
        <v>444</v>
      </c>
      <c r="E24" s="2" t="s">
        <v>56</v>
      </c>
      <c r="F24" s="47">
        <v>1</v>
      </c>
      <c r="G24" s="8">
        <v>12990</v>
      </c>
      <c r="H24" s="8">
        <f t="shared" si="0"/>
        <v>12990</v>
      </c>
      <c r="I24" s="60" t="s">
        <v>70</v>
      </c>
      <c r="J24" s="21"/>
    </row>
    <row r="25" spans="1:10">
      <c r="A25" s="48">
        <v>22</v>
      </c>
      <c r="B25" s="3"/>
      <c r="C25" s="18" t="s">
        <v>418</v>
      </c>
      <c r="D25" s="11" t="s">
        <v>445</v>
      </c>
      <c r="E25" s="2" t="s">
        <v>55</v>
      </c>
      <c r="F25" s="47">
        <v>1</v>
      </c>
      <c r="G25" s="8">
        <v>1694000</v>
      </c>
      <c r="H25" s="8">
        <f t="shared" si="0"/>
        <v>1694000</v>
      </c>
      <c r="I25" s="60" t="s">
        <v>69</v>
      </c>
      <c r="J25" s="21"/>
    </row>
    <row r="26" spans="1:10">
      <c r="A26" s="48">
        <v>23</v>
      </c>
      <c r="B26" s="3"/>
      <c r="C26" s="18" t="s">
        <v>419</v>
      </c>
      <c r="D26" s="11" t="s">
        <v>121</v>
      </c>
      <c r="E26" s="2" t="s">
        <v>55</v>
      </c>
      <c r="F26" s="47">
        <v>1</v>
      </c>
      <c r="G26" s="8">
        <v>1100</v>
      </c>
      <c r="H26" s="8">
        <f t="shared" si="0"/>
        <v>1100</v>
      </c>
      <c r="I26" s="60" t="s">
        <v>69</v>
      </c>
      <c r="J26" s="21"/>
    </row>
    <row r="27" spans="1:10">
      <c r="A27" s="48">
        <v>24</v>
      </c>
      <c r="B27" s="3"/>
      <c r="C27" s="18" t="s">
        <v>420</v>
      </c>
      <c r="D27" s="11" t="s">
        <v>167</v>
      </c>
      <c r="E27" s="2" t="s">
        <v>55</v>
      </c>
      <c r="F27" s="47">
        <v>1</v>
      </c>
      <c r="G27" s="8">
        <v>3500</v>
      </c>
      <c r="H27" s="8">
        <f t="shared" si="0"/>
        <v>3500</v>
      </c>
      <c r="I27" s="60" t="s">
        <v>69</v>
      </c>
      <c r="J27" s="21"/>
    </row>
    <row r="28" spans="1:10">
      <c r="A28" s="48">
        <v>25</v>
      </c>
      <c r="B28" s="3"/>
      <c r="C28" s="18" t="s">
        <v>421</v>
      </c>
      <c r="D28" s="11" t="s">
        <v>345</v>
      </c>
      <c r="E28" s="2" t="s">
        <v>55</v>
      </c>
      <c r="F28" s="47">
        <v>1</v>
      </c>
      <c r="G28" s="8">
        <v>3750</v>
      </c>
      <c r="H28" s="8">
        <f t="shared" si="0"/>
        <v>3750</v>
      </c>
      <c r="I28" s="60" t="s">
        <v>69</v>
      </c>
      <c r="J28" s="21"/>
    </row>
    <row r="29" spans="1:10">
      <c r="A29" s="48">
        <v>26</v>
      </c>
      <c r="B29" s="3"/>
      <c r="C29" s="18" t="s">
        <v>422</v>
      </c>
      <c r="D29" s="11" t="s">
        <v>446</v>
      </c>
      <c r="E29" s="2" t="s">
        <v>55</v>
      </c>
      <c r="F29" s="47">
        <v>28</v>
      </c>
      <c r="G29" s="8">
        <v>16700</v>
      </c>
      <c r="H29" s="8">
        <f t="shared" si="0"/>
        <v>467600</v>
      </c>
      <c r="I29" s="60" t="s">
        <v>69</v>
      </c>
      <c r="J29" s="21"/>
    </row>
    <row r="30" spans="1:10">
      <c r="A30" s="48">
        <v>27</v>
      </c>
      <c r="B30" s="3"/>
      <c r="C30" s="30" t="s">
        <v>423</v>
      </c>
      <c r="D30" s="29" t="s">
        <v>68</v>
      </c>
      <c r="E30" s="2" t="s">
        <v>55</v>
      </c>
      <c r="F30" s="47">
        <v>20</v>
      </c>
      <c r="G30" s="28">
        <v>18495</v>
      </c>
      <c r="H30" s="8">
        <f t="shared" si="0"/>
        <v>369900</v>
      </c>
      <c r="I30" s="60" t="s">
        <v>69</v>
      </c>
      <c r="J30" s="21"/>
    </row>
    <row r="31" spans="1:10">
      <c r="A31" s="48">
        <v>28</v>
      </c>
      <c r="B31" s="3"/>
      <c r="C31" s="18" t="s">
        <v>424</v>
      </c>
      <c r="D31" s="11" t="s">
        <v>447</v>
      </c>
      <c r="E31" s="2" t="s">
        <v>55</v>
      </c>
      <c r="F31" s="47">
        <v>1</v>
      </c>
      <c r="G31" s="8">
        <v>30000</v>
      </c>
      <c r="H31" s="8">
        <f t="shared" si="0"/>
        <v>30000</v>
      </c>
      <c r="I31" s="60" t="s">
        <v>69</v>
      </c>
      <c r="J31" s="21"/>
    </row>
    <row r="32" spans="1:10">
      <c r="A32" s="48">
        <v>29</v>
      </c>
      <c r="B32" s="3"/>
      <c r="C32" s="18" t="s">
        <v>425</v>
      </c>
      <c r="D32" s="11" t="s">
        <v>68</v>
      </c>
      <c r="E32" s="2" t="s">
        <v>55</v>
      </c>
      <c r="F32" s="47">
        <v>1</v>
      </c>
      <c r="G32" s="8">
        <v>17000</v>
      </c>
      <c r="H32" s="8">
        <f t="shared" si="0"/>
        <v>17000</v>
      </c>
      <c r="I32" s="60" t="s">
        <v>69</v>
      </c>
      <c r="J32" s="21"/>
    </row>
    <row r="33" spans="1:10">
      <c r="A33" s="48">
        <v>30</v>
      </c>
      <c r="B33" s="3"/>
      <c r="C33" s="18" t="s">
        <v>426</v>
      </c>
      <c r="D33" s="11" t="s">
        <v>68</v>
      </c>
      <c r="E33" s="2" t="s">
        <v>55</v>
      </c>
      <c r="F33" s="47">
        <v>10</v>
      </c>
      <c r="G33" s="8">
        <v>19400</v>
      </c>
      <c r="H33" s="8">
        <f t="shared" si="0"/>
        <v>194000</v>
      </c>
      <c r="I33" s="60" t="s">
        <v>69</v>
      </c>
      <c r="J33" s="21"/>
    </row>
    <row r="34" spans="1:10">
      <c r="A34" s="48">
        <v>31</v>
      </c>
      <c r="B34" s="3"/>
      <c r="C34" s="18" t="s">
        <v>427</v>
      </c>
      <c r="D34" s="11" t="s">
        <v>448</v>
      </c>
      <c r="E34" s="2" t="s">
        <v>55</v>
      </c>
      <c r="F34" s="47">
        <v>1</v>
      </c>
      <c r="G34" s="8">
        <v>70000</v>
      </c>
      <c r="H34" s="8">
        <f t="shared" si="0"/>
        <v>70000</v>
      </c>
      <c r="I34" s="60" t="s">
        <v>69</v>
      </c>
      <c r="J34" s="21"/>
    </row>
    <row r="35" spans="1:10">
      <c r="A35" s="48">
        <v>32</v>
      </c>
      <c r="B35" s="3"/>
      <c r="C35" s="18" t="s">
        <v>450</v>
      </c>
      <c r="D35" s="11" t="s">
        <v>469</v>
      </c>
      <c r="E35" s="50" t="s">
        <v>55</v>
      </c>
      <c r="F35" s="15">
        <v>34</v>
      </c>
      <c r="G35" s="8">
        <v>2535</v>
      </c>
      <c r="H35" s="8">
        <f t="shared" si="0"/>
        <v>86190</v>
      </c>
      <c r="I35" s="60" t="s">
        <v>70</v>
      </c>
      <c r="J35" s="21"/>
    </row>
    <row r="36" spans="1:10">
      <c r="A36" s="48">
        <v>33</v>
      </c>
      <c r="B36" s="25"/>
      <c r="C36" s="18" t="s">
        <v>451</v>
      </c>
      <c r="D36" s="11" t="s">
        <v>1101</v>
      </c>
      <c r="E36" s="50" t="s">
        <v>55</v>
      </c>
      <c r="F36" s="15">
        <v>2</v>
      </c>
      <c r="G36" s="8">
        <v>858</v>
      </c>
      <c r="H36" s="8">
        <f t="shared" si="0"/>
        <v>1716</v>
      </c>
      <c r="I36" s="60" t="s">
        <v>69</v>
      </c>
      <c r="J36" s="21"/>
    </row>
    <row r="37" spans="1:10">
      <c r="A37" s="48">
        <v>34</v>
      </c>
      <c r="B37" s="3"/>
      <c r="C37" s="18" t="s">
        <v>452</v>
      </c>
      <c r="D37" s="11" t="s">
        <v>470</v>
      </c>
      <c r="E37" s="50" t="s">
        <v>55</v>
      </c>
      <c r="F37" s="15">
        <v>2</v>
      </c>
      <c r="G37" s="8">
        <v>4550</v>
      </c>
      <c r="H37" s="8">
        <f t="shared" si="0"/>
        <v>9100</v>
      </c>
      <c r="I37" s="60" t="s">
        <v>69</v>
      </c>
      <c r="J37" s="21"/>
    </row>
    <row r="38" spans="1:10">
      <c r="A38" s="48">
        <v>35</v>
      </c>
      <c r="B38" s="3"/>
      <c r="C38" s="18" t="s">
        <v>453</v>
      </c>
      <c r="D38" s="11" t="s">
        <v>471</v>
      </c>
      <c r="E38" s="50" t="s">
        <v>55</v>
      </c>
      <c r="F38" s="15">
        <v>5</v>
      </c>
      <c r="G38" s="8">
        <v>3250</v>
      </c>
      <c r="H38" s="8">
        <f t="shared" si="0"/>
        <v>16250</v>
      </c>
      <c r="I38" s="60" t="s">
        <v>70</v>
      </c>
      <c r="J38" s="21"/>
    </row>
    <row r="39" spans="1:10">
      <c r="A39" s="48">
        <v>36</v>
      </c>
      <c r="B39" s="3"/>
      <c r="C39" s="18" t="s">
        <v>454</v>
      </c>
      <c r="D39" s="11" t="s">
        <v>472</v>
      </c>
      <c r="E39" s="50" t="s">
        <v>55</v>
      </c>
      <c r="F39" s="15">
        <v>27</v>
      </c>
      <c r="G39" s="8">
        <v>858</v>
      </c>
      <c r="H39" s="8">
        <f t="shared" si="0"/>
        <v>23166</v>
      </c>
      <c r="I39" s="60" t="s">
        <v>69</v>
      </c>
      <c r="J39" s="21"/>
    </row>
    <row r="40" spans="1:10">
      <c r="A40" s="48">
        <v>37</v>
      </c>
      <c r="B40" s="3"/>
      <c r="C40" s="18" t="s">
        <v>455</v>
      </c>
      <c r="D40" s="11" t="s">
        <v>473</v>
      </c>
      <c r="E40" s="50" t="s">
        <v>55</v>
      </c>
      <c r="F40" s="15">
        <v>1</v>
      </c>
      <c r="G40" s="8">
        <v>71050</v>
      </c>
      <c r="H40" s="8">
        <f t="shared" si="0"/>
        <v>71050</v>
      </c>
      <c r="I40" s="60" t="s">
        <v>70</v>
      </c>
      <c r="J40" s="21"/>
    </row>
    <row r="41" spans="1:10">
      <c r="A41" s="48">
        <v>38</v>
      </c>
      <c r="B41" s="3"/>
      <c r="C41" s="18" t="s">
        <v>456</v>
      </c>
      <c r="D41" s="11" t="s">
        <v>474</v>
      </c>
      <c r="E41" s="50" t="s">
        <v>55</v>
      </c>
      <c r="F41" s="15">
        <v>1</v>
      </c>
      <c r="G41" s="8">
        <v>52000</v>
      </c>
      <c r="H41" s="8">
        <f t="shared" si="0"/>
        <v>52000</v>
      </c>
      <c r="I41" s="60" t="s">
        <v>70</v>
      </c>
      <c r="J41" s="21"/>
    </row>
    <row r="42" spans="1:10">
      <c r="A42" s="48">
        <v>39</v>
      </c>
      <c r="B42" s="3"/>
      <c r="C42" s="18" t="s">
        <v>457</v>
      </c>
      <c r="D42" s="11" t="s">
        <v>475</v>
      </c>
      <c r="E42" s="50" t="s">
        <v>55</v>
      </c>
      <c r="F42" s="15">
        <v>1</v>
      </c>
      <c r="G42" s="8">
        <v>45500</v>
      </c>
      <c r="H42" s="8">
        <f t="shared" si="0"/>
        <v>45500</v>
      </c>
      <c r="I42" s="60" t="s">
        <v>70</v>
      </c>
      <c r="J42" s="21"/>
    </row>
    <row r="43" spans="1:10">
      <c r="A43" s="48">
        <v>40</v>
      </c>
      <c r="B43" s="3"/>
      <c r="C43" s="18" t="s">
        <v>458</v>
      </c>
      <c r="D43" s="11" t="s">
        <v>476</v>
      </c>
      <c r="E43" s="50" t="s">
        <v>55</v>
      </c>
      <c r="F43" s="15">
        <v>7</v>
      </c>
      <c r="G43" s="8">
        <v>28500</v>
      </c>
      <c r="H43" s="8">
        <f t="shared" si="0"/>
        <v>199500</v>
      </c>
      <c r="I43" s="60" t="s">
        <v>70</v>
      </c>
      <c r="J43" s="21"/>
    </row>
    <row r="44" spans="1:10">
      <c r="A44" s="48">
        <v>41</v>
      </c>
      <c r="B44" s="3"/>
      <c r="C44" s="18" t="s">
        <v>459</v>
      </c>
      <c r="D44" s="11" t="s">
        <v>472</v>
      </c>
      <c r="E44" s="50" t="s">
        <v>55</v>
      </c>
      <c r="F44" s="15">
        <v>7</v>
      </c>
      <c r="G44" s="8">
        <v>850</v>
      </c>
      <c r="H44" s="8">
        <f t="shared" si="0"/>
        <v>5950</v>
      </c>
      <c r="I44" s="60" t="s">
        <v>69</v>
      </c>
      <c r="J44" s="21"/>
    </row>
    <row r="45" spans="1:10">
      <c r="A45" s="48">
        <v>42</v>
      </c>
      <c r="B45" s="3"/>
      <c r="C45" s="18" t="s">
        <v>460</v>
      </c>
      <c r="D45" s="11" t="s">
        <v>204</v>
      </c>
      <c r="E45" s="50" t="s">
        <v>55</v>
      </c>
      <c r="F45" s="15">
        <v>7</v>
      </c>
      <c r="G45" s="8">
        <v>18150</v>
      </c>
      <c r="H45" s="8">
        <f t="shared" si="0"/>
        <v>127050</v>
      </c>
      <c r="I45" s="60" t="s">
        <v>70</v>
      </c>
      <c r="J45" s="21"/>
    </row>
    <row r="46" spans="1:10">
      <c r="A46" s="490" t="s">
        <v>1203</v>
      </c>
      <c r="B46" s="491"/>
      <c r="C46" s="491"/>
      <c r="D46" s="492"/>
      <c r="E46" s="50"/>
      <c r="F46" s="15"/>
      <c r="G46" s="8"/>
      <c r="H46" s="8">
        <f>SUM(H5:H45)</f>
        <v>4527764</v>
      </c>
      <c r="I46" s="83"/>
      <c r="J46" s="21"/>
    </row>
    <row r="47" spans="1:10">
      <c r="A47" s="490" t="s">
        <v>1204</v>
      </c>
      <c r="B47" s="491"/>
      <c r="C47" s="491"/>
      <c r="D47" s="492"/>
      <c r="E47" s="50"/>
      <c r="F47" s="15"/>
      <c r="G47" s="8"/>
      <c r="H47" s="8">
        <f>SUM(H46)</f>
        <v>4527764</v>
      </c>
      <c r="I47" s="83"/>
      <c r="J47" s="21"/>
    </row>
    <row r="48" spans="1:10">
      <c r="A48" s="48">
        <v>43</v>
      </c>
      <c r="B48" s="3"/>
      <c r="C48" s="30" t="s">
        <v>461</v>
      </c>
      <c r="D48" s="49" t="s">
        <v>477</v>
      </c>
      <c r="E48" s="15" t="s">
        <v>143</v>
      </c>
      <c r="F48" s="15">
        <v>4</v>
      </c>
      <c r="G48" s="8">
        <v>24880</v>
      </c>
      <c r="H48" s="8">
        <f t="shared" ref="H48:H55" si="1">SUM(F48*G48)</f>
        <v>99520</v>
      </c>
      <c r="I48" s="60" t="s">
        <v>70</v>
      </c>
      <c r="J48" s="21"/>
    </row>
    <row r="49" spans="1:10">
      <c r="A49" s="48">
        <v>44</v>
      </c>
      <c r="B49" s="3"/>
      <c r="C49" s="30" t="s">
        <v>462</v>
      </c>
      <c r="D49" s="49" t="s">
        <v>477</v>
      </c>
      <c r="E49" s="15" t="s">
        <v>143</v>
      </c>
      <c r="F49" s="15">
        <v>1</v>
      </c>
      <c r="G49" s="8">
        <v>24800</v>
      </c>
      <c r="H49" s="8">
        <f t="shared" si="1"/>
        <v>24800</v>
      </c>
      <c r="I49" s="60" t="s">
        <v>70</v>
      </c>
      <c r="J49" s="21"/>
    </row>
    <row r="50" spans="1:10">
      <c r="A50" s="48">
        <v>45</v>
      </c>
      <c r="B50" s="3"/>
      <c r="C50" s="30" t="s">
        <v>463</v>
      </c>
      <c r="D50" s="49" t="s">
        <v>478</v>
      </c>
      <c r="E50" s="15" t="s">
        <v>143</v>
      </c>
      <c r="F50" s="15">
        <v>4</v>
      </c>
      <c r="G50" s="8">
        <v>18650</v>
      </c>
      <c r="H50" s="8">
        <f t="shared" si="1"/>
        <v>74600</v>
      </c>
      <c r="I50" s="60" t="s">
        <v>70</v>
      </c>
      <c r="J50" s="21"/>
    </row>
    <row r="51" spans="1:10">
      <c r="A51" s="48">
        <v>46</v>
      </c>
      <c r="B51" s="3"/>
      <c r="C51" s="30" t="s">
        <v>464</v>
      </c>
      <c r="D51" s="49" t="s">
        <v>479</v>
      </c>
      <c r="E51" s="15" t="s">
        <v>143</v>
      </c>
      <c r="F51" s="15">
        <v>2</v>
      </c>
      <c r="G51" s="8">
        <v>40000</v>
      </c>
      <c r="H51" s="8">
        <f t="shared" si="1"/>
        <v>80000</v>
      </c>
      <c r="I51" s="60" t="s">
        <v>70</v>
      </c>
      <c r="J51" s="21"/>
    </row>
    <row r="52" spans="1:10">
      <c r="A52" s="48">
        <v>47</v>
      </c>
      <c r="B52" s="3"/>
      <c r="C52" s="18" t="s">
        <v>465</v>
      </c>
      <c r="D52" s="11" t="s">
        <v>480</v>
      </c>
      <c r="E52" s="15" t="s">
        <v>143</v>
      </c>
      <c r="F52" s="47">
        <v>1</v>
      </c>
      <c r="G52" s="8">
        <v>12600</v>
      </c>
      <c r="H52" s="8">
        <f t="shared" si="1"/>
        <v>12600</v>
      </c>
      <c r="I52" s="60" t="s">
        <v>70</v>
      </c>
      <c r="J52" s="21"/>
    </row>
    <row r="53" spans="1:10">
      <c r="A53" s="48">
        <v>48</v>
      </c>
      <c r="B53" s="3"/>
      <c r="C53" s="18" t="s">
        <v>466</v>
      </c>
      <c r="D53" s="11" t="s">
        <v>481</v>
      </c>
      <c r="E53" s="15" t="s">
        <v>143</v>
      </c>
      <c r="F53" s="47">
        <v>1</v>
      </c>
      <c r="G53" s="8">
        <v>11900</v>
      </c>
      <c r="H53" s="8">
        <f t="shared" si="1"/>
        <v>11900</v>
      </c>
      <c r="I53" s="60" t="s">
        <v>70</v>
      </c>
      <c r="J53" s="21"/>
    </row>
    <row r="54" spans="1:10">
      <c r="A54" s="48">
        <v>49</v>
      </c>
      <c r="B54" s="3"/>
      <c r="C54" s="18" t="s">
        <v>467</v>
      </c>
      <c r="D54" s="11" t="s">
        <v>482</v>
      </c>
      <c r="E54" s="15" t="s">
        <v>143</v>
      </c>
      <c r="F54" s="47">
        <v>1</v>
      </c>
      <c r="G54" s="8">
        <v>3500</v>
      </c>
      <c r="H54" s="8">
        <f t="shared" si="1"/>
        <v>3500</v>
      </c>
      <c r="I54" s="60" t="s">
        <v>70</v>
      </c>
      <c r="J54" s="21"/>
    </row>
    <row r="55" spans="1:10">
      <c r="A55" s="48">
        <v>50</v>
      </c>
      <c r="B55" s="3"/>
      <c r="C55" s="18" t="s">
        <v>468</v>
      </c>
      <c r="D55" s="11" t="s">
        <v>483</v>
      </c>
      <c r="E55" s="15" t="s">
        <v>143</v>
      </c>
      <c r="F55" s="47">
        <v>1</v>
      </c>
      <c r="G55" s="8">
        <v>6000</v>
      </c>
      <c r="H55" s="8">
        <f t="shared" si="1"/>
        <v>6000</v>
      </c>
      <c r="I55" s="60" t="s">
        <v>70</v>
      </c>
      <c r="J55" s="21"/>
    </row>
    <row r="56" spans="1:10">
      <c r="A56" s="485" t="s">
        <v>381</v>
      </c>
      <c r="B56" s="486"/>
      <c r="C56" s="486"/>
      <c r="D56" s="486"/>
      <c r="E56" s="487"/>
      <c r="F56" s="3"/>
      <c r="G56" s="56"/>
      <c r="H56" s="56">
        <f>SUM(H47:H55)</f>
        <v>4840684</v>
      </c>
      <c r="I56" s="4"/>
      <c r="J56" s="57"/>
    </row>
    <row r="57" spans="1:10" ht="42.75" customHeight="1"/>
    <row r="58" spans="1:10">
      <c r="F58" s="484" t="s">
        <v>161</v>
      </c>
      <c r="G58" s="484"/>
      <c r="H58" s="484"/>
      <c r="I58" s="484"/>
      <c r="J58" s="57"/>
    </row>
    <row r="59" spans="1:10">
      <c r="F59" s="484" t="s">
        <v>1052</v>
      </c>
      <c r="G59" s="484"/>
      <c r="H59" s="484"/>
      <c r="I59" s="484"/>
      <c r="J59" s="57"/>
    </row>
    <row r="60" spans="1:10">
      <c r="F60" s="484" t="s">
        <v>162</v>
      </c>
      <c r="G60" s="484"/>
      <c r="H60" s="484"/>
      <c r="I60" s="484"/>
      <c r="J60" s="57"/>
    </row>
  </sheetData>
  <mergeCells count="9">
    <mergeCell ref="F58:I58"/>
    <mergeCell ref="F59:I59"/>
    <mergeCell ref="F60:I60"/>
    <mergeCell ref="A56:E56"/>
    <mergeCell ref="A1:I1"/>
    <mergeCell ref="A2:I2"/>
    <mergeCell ref="A3:I3"/>
    <mergeCell ref="A46:D46"/>
    <mergeCell ref="A47:D4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77"/>
  <sheetViews>
    <sheetView zoomScale="90" zoomScaleNormal="90" workbookViewId="0">
      <pane xSplit="1" ySplit="3" topLeftCell="B220" activePane="bottomRight" state="frozen"/>
      <selection pane="topRight" activeCell="B1" sqref="B1"/>
      <selection pane="bottomLeft" activeCell="A4" sqref="A4"/>
      <selection pane="bottomRight" activeCell="M11" sqref="M11"/>
    </sheetView>
  </sheetViews>
  <sheetFormatPr defaultColWidth="9" defaultRowHeight="24"/>
  <cols>
    <col min="1" max="1" width="5.5703125" style="14" customWidth="1"/>
    <col min="2" max="2" width="16.42578125" style="183" customWidth="1"/>
    <col min="3" max="3" width="32.140625" style="76" customWidth="1"/>
    <col min="4" max="4" width="52.140625" style="14" customWidth="1"/>
    <col min="5" max="5" width="14" style="14" customWidth="1"/>
    <col min="6" max="6" width="7.28515625" style="14" customWidth="1"/>
    <col min="7" max="7" width="14.85546875" style="59" customWidth="1"/>
    <col min="8" max="8" width="15.42578125" style="59" customWidth="1"/>
    <col min="9" max="9" width="15.7109375" style="186" customWidth="1"/>
    <col min="10" max="10" width="17" style="185" customWidth="1"/>
    <col min="11" max="11" width="17.85546875" style="79" customWidth="1"/>
    <col min="12" max="16384" width="9" style="14"/>
  </cols>
  <sheetData>
    <row r="1" spans="1:11">
      <c r="A1" s="468" t="s">
        <v>550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</row>
    <row r="2" spans="1:11">
      <c r="A2" s="493" t="s">
        <v>1195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</row>
    <row r="3" spans="1:11">
      <c r="A3" s="431" t="s">
        <v>1283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</row>
    <row r="4" spans="1:11" ht="12.75" customHeight="1">
      <c r="A4" s="186"/>
      <c r="B4" s="186"/>
      <c r="C4" s="186"/>
      <c r="D4" s="186"/>
      <c r="E4" s="186"/>
      <c r="F4" s="186"/>
      <c r="G4" s="186"/>
      <c r="H4" s="186"/>
      <c r="K4" s="178"/>
    </row>
    <row r="5" spans="1:11" s="183" customFormat="1">
      <c r="A5" s="184" t="s">
        <v>552</v>
      </c>
      <c r="B5" s="184" t="s">
        <v>1129</v>
      </c>
      <c r="C5" s="92" t="s">
        <v>1120</v>
      </c>
      <c r="D5" s="93" t="s">
        <v>0</v>
      </c>
      <c r="E5" s="184" t="s">
        <v>1</v>
      </c>
      <c r="F5" s="94" t="s">
        <v>2</v>
      </c>
      <c r="G5" s="184" t="s">
        <v>3</v>
      </c>
      <c r="H5" s="184" t="s">
        <v>381</v>
      </c>
      <c r="I5" s="94" t="s">
        <v>1030</v>
      </c>
      <c r="J5" s="94" t="s">
        <v>1029</v>
      </c>
      <c r="K5" s="179" t="s">
        <v>4</v>
      </c>
    </row>
    <row r="6" spans="1:11">
      <c r="A6" s="184">
        <v>1</v>
      </c>
      <c r="B6" s="184"/>
      <c r="C6" s="95" t="s">
        <v>188</v>
      </c>
      <c r="D6" s="96" t="s">
        <v>89</v>
      </c>
      <c r="E6" s="35" t="s">
        <v>55</v>
      </c>
      <c r="F6" s="36">
        <v>1</v>
      </c>
      <c r="G6" s="97">
        <v>2200</v>
      </c>
      <c r="H6" s="97">
        <f>SUM(F6*G6)</f>
        <v>2200</v>
      </c>
      <c r="I6" s="184" t="s">
        <v>69</v>
      </c>
      <c r="J6" s="94" t="s">
        <v>1130</v>
      </c>
      <c r="K6" s="46"/>
    </row>
    <row r="7" spans="1:11">
      <c r="A7" s="184">
        <v>2</v>
      </c>
      <c r="B7" s="184"/>
      <c r="C7" s="95" t="s">
        <v>73</v>
      </c>
      <c r="D7" s="96" t="s">
        <v>90</v>
      </c>
      <c r="E7" s="35" t="s">
        <v>55</v>
      </c>
      <c r="F7" s="36">
        <v>1</v>
      </c>
      <c r="G7" s="97">
        <v>2250</v>
      </c>
      <c r="H7" s="97">
        <f t="shared" ref="H7:H38" si="0">SUM(F7*G7)</f>
        <v>2250</v>
      </c>
      <c r="I7" s="184" t="s">
        <v>69</v>
      </c>
      <c r="J7" s="94" t="s">
        <v>1130</v>
      </c>
      <c r="K7" s="46"/>
    </row>
    <row r="8" spans="1:11">
      <c r="A8" s="184">
        <v>3</v>
      </c>
      <c r="B8" s="184"/>
      <c r="C8" s="95" t="s">
        <v>74</v>
      </c>
      <c r="D8" s="96" t="s">
        <v>89</v>
      </c>
      <c r="E8" s="35" t="s">
        <v>56</v>
      </c>
      <c r="F8" s="36">
        <v>1</v>
      </c>
      <c r="G8" s="97">
        <v>2600</v>
      </c>
      <c r="H8" s="97">
        <f t="shared" si="0"/>
        <v>2600</v>
      </c>
      <c r="I8" s="184" t="s">
        <v>69</v>
      </c>
      <c r="J8" s="94" t="s">
        <v>1130</v>
      </c>
      <c r="K8" s="46"/>
    </row>
    <row r="9" spans="1:11">
      <c r="A9" s="184">
        <v>4</v>
      </c>
      <c r="B9" s="184"/>
      <c r="C9" s="88" t="s">
        <v>75</v>
      </c>
      <c r="D9" s="52" t="s">
        <v>91</v>
      </c>
      <c r="E9" s="35" t="s">
        <v>56</v>
      </c>
      <c r="F9" s="36">
        <v>1</v>
      </c>
      <c r="G9" s="97">
        <v>24000</v>
      </c>
      <c r="H9" s="97">
        <f t="shared" si="0"/>
        <v>24000</v>
      </c>
      <c r="I9" s="184" t="s">
        <v>69</v>
      </c>
      <c r="J9" s="94" t="s">
        <v>1130</v>
      </c>
      <c r="K9" s="46"/>
    </row>
    <row r="10" spans="1:11">
      <c r="A10" s="184">
        <v>5</v>
      </c>
      <c r="B10" s="184"/>
      <c r="C10" s="88" t="s">
        <v>76</v>
      </c>
      <c r="D10" s="51" t="s">
        <v>92</v>
      </c>
      <c r="E10" s="35" t="s">
        <v>56</v>
      </c>
      <c r="F10" s="36">
        <v>1</v>
      </c>
      <c r="G10" s="97">
        <v>7000</v>
      </c>
      <c r="H10" s="97">
        <f t="shared" si="0"/>
        <v>7000</v>
      </c>
      <c r="I10" s="184" t="s">
        <v>69</v>
      </c>
      <c r="J10" s="94" t="s">
        <v>1130</v>
      </c>
      <c r="K10" s="42"/>
    </row>
    <row r="11" spans="1:11">
      <c r="A11" s="184">
        <v>6</v>
      </c>
      <c r="B11" s="184"/>
      <c r="C11" s="88" t="s">
        <v>77</v>
      </c>
      <c r="D11" s="52" t="s">
        <v>91</v>
      </c>
      <c r="E11" s="35" t="s">
        <v>56</v>
      </c>
      <c r="F11" s="36">
        <v>1</v>
      </c>
      <c r="G11" s="97">
        <v>17300</v>
      </c>
      <c r="H11" s="97">
        <f t="shared" si="0"/>
        <v>17300</v>
      </c>
      <c r="I11" s="184" t="s">
        <v>69</v>
      </c>
      <c r="J11" s="94" t="s">
        <v>1130</v>
      </c>
      <c r="K11" s="42"/>
    </row>
    <row r="12" spans="1:11">
      <c r="A12" s="184">
        <v>7</v>
      </c>
      <c r="B12" s="184"/>
      <c r="C12" s="88" t="s">
        <v>78</v>
      </c>
      <c r="D12" s="52" t="s">
        <v>93</v>
      </c>
      <c r="E12" s="35" t="s">
        <v>56</v>
      </c>
      <c r="F12" s="36">
        <v>1</v>
      </c>
      <c r="G12" s="97">
        <v>1700</v>
      </c>
      <c r="H12" s="97">
        <f t="shared" si="0"/>
        <v>1700</v>
      </c>
      <c r="I12" s="184" t="s">
        <v>69</v>
      </c>
      <c r="J12" s="94" t="s">
        <v>1130</v>
      </c>
      <c r="K12" s="42"/>
    </row>
    <row r="13" spans="1:11">
      <c r="A13" s="184">
        <v>8</v>
      </c>
      <c r="B13" s="184"/>
      <c r="C13" s="88" t="s">
        <v>79</v>
      </c>
      <c r="D13" s="52" t="s">
        <v>1139</v>
      </c>
      <c r="E13" s="68" t="s">
        <v>56</v>
      </c>
      <c r="F13" s="36">
        <v>1</v>
      </c>
      <c r="G13" s="97">
        <v>9800</v>
      </c>
      <c r="H13" s="97">
        <f t="shared" si="0"/>
        <v>9800</v>
      </c>
      <c r="I13" s="184" t="s">
        <v>69</v>
      </c>
      <c r="J13" s="94" t="s">
        <v>1130</v>
      </c>
      <c r="K13" s="42"/>
    </row>
    <row r="14" spans="1:11">
      <c r="A14" s="184">
        <v>9</v>
      </c>
      <c r="B14" s="184"/>
      <c r="C14" s="88" t="s">
        <v>80</v>
      </c>
      <c r="D14" s="52" t="s">
        <v>94</v>
      </c>
      <c r="E14" s="184" t="s">
        <v>56</v>
      </c>
      <c r="F14" s="36">
        <v>1</v>
      </c>
      <c r="G14" s="97">
        <v>22000</v>
      </c>
      <c r="H14" s="97">
        <f t="shared" si="0"/>
        <v>22000</v>
      </c>
      <c r="I14" s="184" t="s">
        <v>69</v>
      </c>
      <c r="J14" s="94" t="s">
        <v>1130</v>
      </c>
      <c r="K14" s="42"/>
    </row>
    <row r="15" spans="1:11">
      <c r="A15" s="184">
        <v>10</v>
      </c>
      <c r="B15" s="184"/>
      <c r="C15" s="98" t="s">
        <v>1192</v>
      </c>
      <c r="D15" s="52" t="s">
        <v>1140</v>
      </c>
      <c r="E15" s="184" t="s">
        <v>56</v>
      </c>
      <c r="F15" s="36">
        <v>1</v>
      </c>
      <c r="G15" s="99">
        <v>7000</v>
      </c>
      <c r="H15" s="97">
        <f t="shared" si="0"/>
        <v>7000</v>
      </c>
      <c r="I15" s="184" t="s">
        <v>69</v>
      </c>
      <c r="J15" s="94" t="s">
        <v>1130</v>
      </c>
      <c r="K15" s="42"/>
    </row>
    <row r="16" spans="1:11">
      <c r="A16" s="184">
        <v>11</v>
      </c>
      <c r="B16" s="184"/>
      <c r="C16" s="88" t="s">
        <v>82</v>
      </c>
      <c r="D16" s="52" t="s">
        <v>1031</v>
      </c>
      <c r="E16" s="184" t="s">
        <v>56</v>
      </c>
      <c r="F16" s="36">
        <v>1</v>
      </c>
      <c r="G16" s="97">
        <v>93400</v>
      </c>
      <c r="H16" s="97">
        <f t="shared" si="0"/>
        <v>93400</v>
      </c>
      <c r="I16" s="184" t="s">
        <v>69</v>
      </c>
      <c r="J16" s="94" t="s">
        <v>1130</v>
      </c>
      <c r="K16" s="42"/>
    </row>
    <row r="17" spans="1:11">
      <c r="A17" s="184">
        <v>12</v>
      </c>
      <c r="B17" s="184"/>
      <c r="C17" s="88" t="s">
        <v>1193</v>
      </c>
      <c r="D17" s="52" t="s">
        <v>95</v>
      </c>
      <c r="E17" s="184" t="s">
        <v>55</v>
      </c>
      <c r="F17" s="36">
        <v>1</v>
      </c>
      <c r="G17" s="97">
        <v>3200</v>
      </c>
      <c r="H17" s="97">
        <f t="shared" si="0"/>
        <v>3200</v>
      </c>
      <c r="I17" s="184" t="s">
        <v>69</v>
      </c>
      <c r="J17" s="94" t="s">
        <v>1130</v>
      </c>
      <c r="K17" s="42"/>
    </row>
    <row r="18" spans="1:11">
      <c r="A18" s="184">
        <v>13</v>
      </c>
      <c r="B18" s="184"/>
      <c r="C18" s="88" t="s">
        <v>84</v>
      </c>
      <c r="D18" s="52" t="s">
        <v>96</v>
      </c>
      <c r="E18" s="184" t="s">
        <v>55</v>
      </c>
      <c r="F18" s="36">
        <v>1</v>
      </c>
      <c r="G18" s="97">
        <v>900</v>
      </c>
      <c r="H18" s="97">
        <f t="shared" si="0"/>
        <v>900</v>
      </c>
      <c r="I18" s="184" t="s">
        <v>69</v>
      </c>
      <c r="J18" s="94" t="s">
        <v>1130</v>
      </c>
      <c r="K18" s="42"/>
    </row>
    <row r="19" spans="1:11">
      <c r="A19" s="184">
        <v>14</v>
      </c>
      <c r="B19" s="184"/>
      <c r="C19" s="88" t="s">
        <v>85</v>
      </c>
      <c r="D19" s="52" t="s">
        <v>97</v>
      </c>
      <c r="E19" s="184" t="s">
        <v>55</v>
      </c>
      <c r="F19" s="36">
        <v>1</v>
      </c>
      <c r="G19" s="97">
        <v>1100</v>
      </c>
      <c r="H19" s="97">
        <f t="shared" si="0"/>
        <v>1100</v>
      </c>
      <c r="I19" s="184" t="s">
        <v>69</v>
      </c>
      <c r="J19" s="94" t="s">
        <v>1130</v>
      </c>
      <c r="K19" s="42"/>
    </row>
    <row r="20" spans="1:11">
      <c r="A20" s="184">
        <v>15</v>
      </c>
      <c r="B20" s="184"/>
      <c r="C20" s="89" t="s">
        <v>86</v>
      </c>
      <c r="D20" s="12" t="s">
        <v>66</v>
      </c>
      <c r="E20" s="184" t="s">
        <v>55</v>
      </c>
      <c r="F20" s="36">
        <v>1</v>
      </c>
      <c r="G20" s="42">
        <v>5350</v>
      </c>
      <c r="H20" s="97">
        <f t="shared" si="0"/>
        <v>5350</v>
      </c>
      <c r="I20" s="184" t="s">
        <v>69</v>
      </c>
      <c r="J20" s="94" t="s">
        <v>1130</v>
      </c>
      <c r="K20" s="42"/>
    </row>
    <row r="21" spans="1:11">
      <c r="A21" s="184">
        <v>16</v>
      </c>
      <c r="B21" s="184"/>
      <c r="C21" s="88" t="s">
        <v>87</v>
      </c>
      <c r="D21" s="51" t="s">
        <v>67</v>
      </c>
      <c r="E21" s="184" t="s">
        <v>55</v>
      </c>
      <c r="F21" s="36">
        <v>1</v>
      </c>
      <c r="G21" s="41">
        <v>2590</v>
      </c>
      <c r="H21" s="97">
        <f t="shared" si="0"/>
        <v>2590</v>
      </c>
      <c r="I21" s="184" t="s">
        <v>69</v>
      </c>
      <c r="J21" s="94" t="s">
        <v>1130</v>
      </c>
      <c r="K21" s="42"/>
    </row>
    <row r="22" spans="1:11">
      <c r="A22" s="184">
        <v>17</v>
      </c>
      <c r="B22" s="101" t="s">
        <v>1162</v>
      </c>
      <c r="C22" s="102" t="s">
        <v>88</v>
      </c>
      <c r="D22" s="103" t="s">
        <v>98</v>
      </c>
      <c r="E22" s="104" t="s">
        <v>56</v>
      </c>
      <c r="F22" s="73">
        <v>1</v>
      </c>
      <c r="G22" s="74"/>
      <c r="H22" s="97">
        <f t="shared" si="0"/>
        <v>0</v>
      </c>
      <c r="I22" s="184" t="s">
        <v>69</v>
      </c>
      <c r="J22" s="94" t="s">
        <v>1130</v>
      </c>
      <c r="K22" s="46"/>
    </row>
    <row r="23" spans="1:11">
      <c r="A23" s="184">
        <v>18</v>
      </c>
      <c r="B23" s="184"/>
      <c r="C23" s="105" t="s">
        <v>145</v>
      </c>
      <c r="D23" s="106" t="s">
        <v>152</v>
      </c>
      <c r="E23" s="35" t="s">
        <v>1100</v>
      </c>
      <c r="F23" s="36">
        <v>1</v>
      </c>
      <c r="G23" s="41">
        <v>29000</v>
      </c>
      <c r="H23" s="97">
        <f t="shared" si="0"/>
        <v>29000</v>
      </c>
      <c r="I23" s="184" t="s">
        <v>69</v>
      </c>
      <c r="J23" s="141" t="s">
        <v>1131</v>
      </c>
      <c r="K23" s="46"/>
    </row>
    <row r="24" spans="1:11">
      <c r="A24" s="184">
        <v>19</v>
      </c>
      <c r="B24" s="184"/>
      <c r="C24" s="89" t="s">
        <v>146</v>
      </c>
      <c r="D24" s="12" t="s">
        <v>153</v>
      </c>
      <c r="E24" s="35" t="s">
        <v>56</v>
      </c>
      <c r="F24" s="36">
        <v>1</v>
      </c>
      <c r="G24" s="43">
        <v>26000</v>
      </c>
      <c r="H24" s="97">
        <f t="shared" si="0"/>
        <v>26000</v>
      </c>
      <c r="I24" s="184" t="s">
        <v>69</v>
      </c>
      <c r="J24" s="141" t="s">
        <v>1131</v>
      </c>
      <c r="K24" s="46"/>
    </row>
    <row r="25" spans="1:11">
      <c r="A25" s="184">
        <v>20</v>
      </c>
      <c r="B25" s="184"/>
      <c r="C25" s="89" t="s">
        <v>147</v>
      </c>
      <c r="D25" s="12" t="s">
        <v>154</v>
      </c>
      <c r="E25" s="35" t="s">
        <v>55</v>
      </c>
      <c r="F25" s="36">
        <v>1</v>
      </c>
      <c r="G25" s="43">
        <v>800</v>
      </c>
      <c r="H25" s="97">
        <f t="shared" si="0"/>
        <v>800</v>
      </c>
      <c r="I25" s="184" t="s">
        <v>69</v>
      </c>
      <c r="J25" s="141" t="s">
        <v>1131</v>
      </c>
      <c r="K25" s="46"/>
    </row>
    <row r="26" spans="1:11">
      <c r="A26" s="184">
        <v>21</v>
      </c>
      <c r="B26" s="184"/>
      <c r="C26" s="89" t="s">
        <v>148</v>
      </c>
      <c r="D26" s="12" t="s">
        <v>1141</v>
      </c>
      <c r="E26" s="35" t="s">
        <v>1100</v>
      </c>
      <c r="F26" s="36">
        <v>1</v>
      </c>
      <c r="G26" s="43">
        <v>11000</v>
      </c>
      <c r="H26" s="97">
        <f t="shared" si="0"/>
        <v>11000</v>
      </c>
      <c r="I26" s="184" t="s">
        <v>69</v>
      </c>
      <c r="J26" s="141" t="s">
        <v>1131</v>
      </c>
      <c r="K26" s="46"/>
    </row>
    <row r="27" spans="1:11">
      <c r="A27" s="184">
        <v>22</v>
      </c>
      <c r="B27" s="184"/>
      <c r="C27" s="88" t="s">
        <v>149</v>
      </c>
      <c r="D27" s="51" t="s">
        <v>67</v>
      </c>
      <c r="E27" s="35" t="s">
        <v>55</v>
      </c>
      <c r="F27" s="36">
        <v>1</v>
      </c>
      <c r="G27" s="41">
        <v>2590</v>
      </c>
      <c r="H27" s="97">
        <f t="shared" si="0"/>
        <v>2590</v>
      </c>
      <c r="I27" s="184" t="s">
        <v>69</v>
      </c>
      <c r="J27" s="141" t="s">
        <v>1131</v>
      </c>
      <c r="K27" s="46"/>
    </row>
    <row r="28" spans="1:11">
      <c r="A28" s="184">
        <v>23</v>
      </c>
      <c r="B28" s="184"/>
      <c r="C28" s="89" t="s">
        <v>150</v>
      </c>
      <c r="D28" s="12" t="s">
        <v>157</v>
      </c>
      <c r="E28" s="35" t="s">
        <v>55</v>
      </c>
      <c r="F28" s="36">
        <v>1</v>
      </c>
      <c r="G28" s="42">
        <v>4750</v>
      </c>
      <c r="H28" s="97">
        <f t="shared" si="0"/>
        <v>4750</v>
      </c>
      <c r="I28" s="184" t="s">
        <v>69</v>
      </c>
      <c r="J28" s="141" t="s">
        <v>1131</v>
      </c>
      <c r="K28" s="46"/>
    </row>
    <row r="29" spans="1:11">
      <c r="A29" s="184">
        <v>24</v>
      </c>
      <c r="B29" s="107" t="s">
        <v>1163</v>
      </c>
      <c r="C29" s="88" t="s">
        <v>151</v>
      </c>
      <c r="D29" s="51" t="s">
        <v>158</v>
      </c>
      <c r="E29" s="35" t="s">
        <v>56</v>
      </c>
      <c r="F29" s="36">
        <v>1</v>
      </c>
      <c r="G29" s="41">
        <v>6420</v>
      </c>
      <c r="H29" s="97">
        <f t="shared" si="0"/>
        <v>6420</v>
      </c>
      <c r="I29" s="184" t="s">
        <v>69</v>
      </c>
      <c r="J29" s="141" t="s">
        <v>1131</v>
      </c>
      <c r="K29" s="46"/>
    </row>
    <row r="30" spans="1:11">
      <c r="A30" s="184">
        <v>25</v>
      </c>
      <c r="B30" s="107" t="s">
        <v>1164</v>
      </c>
      <c r="C30" s="105" t="s">
        <v>1038</v>
      </c>
      <c r="D30" s="106" t="s">
        <v>159</v>
      </c>
      <c r="E30" s="35" t="s">
        <v>1184</v>
      </c>
      <c r="F30" s="36">
        <v>4</v>
      </c>
      <c r="G30" s="41">
        <v>2568</v>
      </c>
      <c r="H30" s="97">
        <f t="shared" si="0"/>
        <v>10272</v>
      </c>
      <c r="I30" s="184" t="s">
        <v>69</v>
      </c>
      <c r="J30" s="141" t="s">
        <v>1131</v>
      </c>
      <c r="K30" s="46"/>
    </row>
    <row r="31" spans="1:11">
      <c r="A31" s="184">
        <v>26</v>
      </c>
      <c r="B31" s="184"/>
      <c r="C31" s="88" t="s">
        <v>6</v>
      </c>
      <c r="D31" s="52" t="s">
        <v>31</v>
      </c>
      <c r="E31" s="35" t="s">
        <v>55</v>
      </c>
      <c r="F31" s="36">
        <v>2</v>
      </c>
      <c r="G31" s="42">
        <v>1495.33</v>
      </c>
      <c r="H31" s="97">
        <f t="shared" si="0"/>
        <v>2990.66</v>
      </c>
      <c r="I31" s="41" t="s">
        <v>69</v>
      </c>
      <c r="J31" s="166" t="s">
        <v>1132</v>
      </c>
      <c r="K31" s="46"/>
    </row>
    <row r="32" spans="1:11">
      <c r="A32" s="184">
        <v>27</v>
      </c>
      <c r="B32" s="184"/>
      <c r="C32" s="88" t="s">
        <v>7</v>
      </c>
      <c r="D32" s="52" t="s">
        <v>32</v>
      </c>
      <c r="E32" s="35" t="s">
        <v>55</v>
      </c>
      <c r="F32" s="36">
        <v>1</v>
      </c>
      <c r="G32" s="42">
        <v>8600</v>
      </c>
      <c r="H32" s="97">
        <f t="shared" si="0"/>
        <v>8600</v>
      </c>
      <c r="I32" s="41" t="s">
        <v>69</v>
      </c>
      <c r="J32" s="166" t="s">
        <v>1132</v>
      </c>
      <c r="K32" s="46"/>
    </row>
    <row r="33" spans="1:11">
      <c r="A33" s="184">
        <v>28</v>
      </c>
      <c r="B33" s="184"/>
      <c r="C33" s="88" t="s">
        <v>8</v>
      </c>
      <c r="D33" s="52" t="s">
        <v>33</v>
      </c>
      <c r="E33" s="35" t="s">
        <v>55</v>
      </c>
      <c r="F33" s="36">
        <v>1</v>
      </c>
      <c r="G33" s="42">
        <v>8600</v>
      </c>
      <c r="H33" s="97">
        <f t="shared" si="0"/>
        <v>8600</v>
      </c>
      <c r="I33" s="41" t="s">
        <v>69</v>
      </c>
      <c r="J33" s="166" t="s">
        <v>1132</v>
      </c>
      <c r="K33" s="46"/>
    </row>
    <row r="34" spans="1:11">
      <c r="A34" s="184">
        <v>29</v>
      </c>
      <c r="B34" s="184"/>
      <c r="C34" s="88" t="s">
        <v>9</v>
      </c>
      <c r="D34" s="52" t="s">
        <v>34</v>
      </c>
      <c r="E34" s="35" t="s">
        <v>55</v>
      </c>
      <c r="F34" s="36">
        <v>1</v>
      </c>
      <c r="G34" s="42">
        <v>8000</v>
      </c>
      <c r="H34" s="97">
        <f t="shared" si="0"/>
        <v>8000</v>
      </c>
      <c r="I34" s="41" t="s">
        <v>69</v>
      </c>
      <c r="J34" s="166" t="s">
        <v>1132</v>
      </c>
      <c r="K34" s="46"/>
    </row>
    <row r="35" spans="1:11">
      <c r="A35" s="184">
        <v>30</v>
      </c>
      <c r="B35" s="184"/>
      <c r="C35" s="88" t="s">
        <v>10</v>
      </c>
      <c r="D35" s="52" t="s">
        <v>35</v>
      </c>
      <c r="E35" s="35" t="s">
        <v>55</v>
      </c>
      <c r="F35" s="36">
        <v>1</v>
      </c>
      <c r="G35" s="42">
        <v>2300</v>
      </c>
      <c r="H35" s="97">
        <f t="shared" si="0"/>
        <v>2300</v>
      </c>
      <c r="I35" s="41" t="s">
        <v>69</v>
      </c>
      <c r="J35" s="166" t="s">
        <v>1132</v>
      </c>
      <c r="K35" s="46"/>
    </row>
    <row r="36" spans="1:11">
      <c r="A36" s="184">
        <v>31</v>
      </c>
      <c r="B36" s="184"/>
      <c r="C36" s="88" t="s">
        <v>12</v>
      </c>
      <c r="D36" s="52" t="s">
        <v>37</v>
      </c>
      <c r="E36" s="35" t="s">
        <v>55</v>
      </c>
      <c r="F36" s="36">
        <v>1</v>
      </c>
      <c r="G36" s="42">
        <v>3800</v>
      </c>
      <c r="H36" s="97">
        <f t="shared" si="0"/>
        <v>3800</v>
      </c>
      <c r="I36" s="41" t="s">
        <v>69</v>
      </c>
      <c r="J36" s="166" t="s">
        <v>1132</v>
      </c>
      <c r="K36" s="46"/>
    </row>
    <row r="37" spans="1:11">
      <c r="A37" s="184">
        <v>32</v>
      </c>
      <c r="B37" s="184"/>
      <c r="C37" s="88" t="s">
        <v>13</v>
      </c>
      <c r="D37" s="52" t="s">
        <v>38</v>
      </c>
      <c r="E37" s="35" t="s">
        <v>55</v>
      </c>
      <c r="F37" s="36">
        <v>1</v>
      </c>
      <c r="G37" s="42">
        <v>2600</v>
      </c>
      <c r="H37" s="97">
        <f t="shared" si="0"/>
        <v>2600</v>
      </c>
      <c r="I37" s="41" t="s">
        <v>69</v>
      </c>
      <c r="J37" s="166" t="s">
        <v>1132</v>
      </c>
      <c r="K37" s="46"/>
    </row>
    <row r="38" spans="1:11">
      <c r="A38" s="184">
        <v>33</v>
      </c>
      <c r="B38" s="184"/>
      <c r="C38" s="88" t="s">
        <v>14</v>
      </c>
      <c r="D38" s="52" t="s">
        <v>39</v>
      </c>
      <c r="E38" s="35" t="s">
        <v>55</v>
      </c>
      <c r="F38" s="36">
        <v>1</v>
      </c>
      <c r="G38" s="42">
        <v>2300</v>
      </c>
      <c r="H38" s="97">
        <f t="shared" si="0"/>
        <v>2300</v>
      </c>
      <c r="I38" s="41" t="s">
        <v>69</v>
      </c>
      <c r="J38" s="166" t="s">
        <v>1132</v>
      </c>
      <c r="K38" s="46"/>
    </row>
    <row r="39" spans="1:11">
      <c r="A39" s="184">
        <v>34</v>
      </c>
      <c r="B39" s="184"/>
      <c r="C39" s="88" t="s">
        <v>16</v>
      </c>
      <c r="D39" s="51" t="s">
        <v>42</v>
      </c>
      <c r="E39" s="67" t="s">
        <v>56</v>
      </c>
      <c r="F39" s="36">
        <v>1</v>
      </c>
      <c r="G39" s="41">
        <v>6900</v>
      </c>
      <c r="H39" s="97">
        <f t="shared" ref="H39:H70" si="1">SUM(F39*G39)</f>
        <v>6900</v>
      </c>
      <c r="I39" s="41" t="s">
        <v>69</v>
      </c>
      <c r="J39" s="166" t="s">
        <v>1132</v>
      </c>
      <c r="K39" s="46"/>
    </row>
    <row r="40" spans="1:11">
      <c r="A40" s="184">
        <v>35</v>
      </c>
      <c r="B40" s="184"/>
      <c r="C40" s="88" t="s">
        <v>17</v>
      </c>
      <c r="D40" s="51" t="s">
        <v>42</v>
      </c>
      <c r="E40" s="68" t="s">
        <v>56</v>
      </c>
      <c r="F40" s="36">
        <v>1</v>
      </c>
      <c r="G40" s="41">
        <v>11900</v>
      </c>
      <c r="H40" s="97">
        <f t="shared" si="1"/>
        <v>11900</v>
      </c>
      <c r="I40" s="41" t="s">
        <v>69</v>
      </c>
      <c r="J40" s="166" t="s">
        <v>1132</v>
      </c>
      <c r="K40" s="46"/>
    </row>
    <row r="41" spans="1:11">
      <c r="A41" s="184">
        <v>36</v>
      </c>
      <c r="B41" s="184"/>
      <c r="C41" s="88" t="s">
        <v>18</v>
      </c>
      <c r="D41" s="52" t="s">
        <v>43</v>
      </c>
      <c r="E41" s="184" t="s">
        <v>1100</v>
      </c>
      <c r="F41" s="36">
        <v>1</v>
      </c>
      <c r="G41" s="42">
        <v>700</v>
      </c>
      <c r="H41" s="97">
        <f t="shared" si="1"/>
        <v>700</v>
      </c>
      <c r="I41" s="41" t="s">
        <v>69</v>
      </c>
      <c r="J41" s="166" t="s">
        <v>1132</v>
      </c>
      <c r="K41" s="46"/>
    </row>
    <row r="42" spans="1:11">
      <c r="A42" s="184">
        <v>37</v>
      </c>
      <c r="B42" s="184"/>
      <c r="C42" s="88" t="s">
        <v>19</v>
      </c>
      <c r="D42" s="51" t="s">
        <v>44</v>
      </c>
      <c r="E42" s="184" t="s">
        <v>56</v>
      </c>
      <c r="F42" s="36">
        <v>1</v>
      </c>
      <c r="G42" s="41">
        <v>19088.8</v>
      </c>
      <c r="H42" s="97">
        <f t="shared" si="1"/>
        <v>19088.8</v>
      </c>
      <c r="I42" s="41" t="s">
        <v>69</v>
      </c>
      <c r="J42" s="166" t="s">
        <v>1132</v>
      </c>
      <c r="K42" s="46"/>
    </row>
    <row r="43" spans="1:11">
      <c r="A43" s="184">
        <v>38</v>
      </c>
      <c r="B43" s="184"/>
      <c r="C43" s="88" t="s">
        <v>20</v>
      </c>
      <c r="D43" s="52" t="s">
        <v>45</v>
      </c>
      <c r="E43" s="184" t="s">
        <v>1100</v>
      </c>
      <c r="F43" s="36">
        <v>1</v>
      </c>
      <c r="G43" s="42">
        <v>1370</v>
      </c>
      <c r="H43" s="97">
        <f t="shared" si="1"/>
        <v>1370</v>
      </c>
      <c r="I43" s="41" t="s">
        <v>69</v>
      </c>
      <c r="J43" s="166" t="s">
        <v>1132</v>
      </c>
      <c r="K43" s="46"/>
    </row>
    <row r="44" spans="1:11">
      <c r="A44" s="184">
        <v>39</v>
      </c>
      <c r="B44" s="184"/>
      <c r="C44" s="88" t="s">
        <v>21</v>
      </c>
      <c r="D44" s="52" t="s">
        <v>46</v>
      </c>
      <c r="E44" s="184" t="s">
        <v>1100</v>
      </c>
      <c r="F44" s="36">
        <v>1</v>
      </c>
      <c r="G44" s="42">
        <v>600</v>
      </c>
      <c r="H44" s="97">
        <f t="shared" si="1"/>
        <v>600</v>
      </c>
      <c r="I44" s="41" t="s">
        <v>69</v>
      </c>
      <c r="J44" s="166" t="s">
        <v>1132</v>
      </c>
      <c r="K44" s="46"/>
    </row>
    <row r="45" spans="1:11">
      <c r="A45" s="184">
        <v>40</v>
      </c>
      <c r="B45" s="184"/>
      <c r="C45" s="88" t="s">
        <v>22</v>
      </c>
      <c r="D45" s="51" t="s">
        <v>47</v>
      </c>
      <c r="E45" s="184" t="s">
        <v>56</v>
      </c>
      <c r="F45" s="36">
        <v>1</v>
      </c>
      <c r="G45" s="41">
        <v>5296.5</v>
      </c>
      <c r="H45" s="97">
        <f t="shared" si="1"/>
        <v>5296.5</v>
      </c>
      <c r="I45" s="41" t="s">
        <v>69</v>
      </c>
      <c r="J45" s="166" t="s">
        <v>1132</v>
      </c>
      <c r="K45" s="46"/>
    </row>
    <row r="46" spans="1:11">
      <c r="A46" s="184">
        <v>41</v>
      </c>
      <c r="B46" s="66" t="s">
        <v>1165</v>
      </c>
      <c r="C46" s="88" t="s">
        <v>23</v>
      </c>
      <c r="D46" s="51" t="s">
        <v>48</v>
      </c>
      <c r="E46" s="184" t="s">
        <v>1100</v>
      </c>
      <c r="F46" s="36">
        <v>1</v>
      </c>
      <c r="G46" s="41">
        <v>250000</v>
      </c>
      <c r="H46" s="97">
        <f t="shared" si="1"/>
        <v>250000</v>
      </c>
      <c r="I46" s="41" t="s">
        <v>69</v>
      </c>
      <c r="J46" s="166" t="s">
        <v>1132</v>
      </c>
      <c r="K46" s="46"/>
    </row>
    <row r="47" spans="1:11">
      <c r="A47" s="184">
        <v>42</v>
      </c>
      <c r="B47" s="184"/>
      <c r="C47" s="88" t="s">
        <v>25</v>
      </c>
      <c r="D47" s="51" t="s">
        <v>50</v>
      </c>
      <c r="E47" s="184" t="s">
        <v>56</v>
      </c>
      <c r="F47" s="36">
        <v>1</v>
      </c>
      <c r="G47" s="41">
        <v>3000</v>
      </c>
      <c r="H47" s="97">
        <f t="shared" si="1"/>
        <v>3000</v>
      </c>
      <c r="I47" s="41" t="s">
        <v>69</v>
      </c>
      <c r="J47" s="166" t="s">
        <v>1132</v>
      </c>
      <c r="K47" s="42"/>
    </row>
    <row r="48" spans="1:11">
      <c r="A48" s="184">
        <v>43</v>
      </c>
      <c r="B48" s="184"/>
      <c r="C48" s="88" t="s">
        <v>27</v>
      </c>
      <c r="D48" s="51" t="s">
        <v>52</v>
      </c>
      <c r="E48" s="184" t="s">
        <v>56</v>
      </c>
      <c r="F48" s="36">
        <v>2</v>
      </c>
      <c r="G48" s="41">
        <v>17300</v>
      </c>
      <c r="H48" s="97">
        <f t="shared" si="1"/>
        <v>34600</v>
      </c>
      <c r="I48" s="41" t="s">
        <v>69</v>
      </c>
      <c r="J48" s="166" t="s">
        <v>1132</v>
      </c>
      <c r="K48" s="42"/>
    </row>
    <row r="49" spans="1:11">
      <c r="A49" s="184">
        <v>44</v>
      </c>
      <c r="B49" s="184"/>
      <c r="C49" s="88" t="s">
        <v>28</v>
      </c>
      <c r="D49" s="51" t="s">
        <v>53</v>
      </c>
      <c r="E49" s="184" t="s">
        <v>56</v>
      </c>
      <c r="F49" s="36">
        <v>1</v>
      </c>
      <c r="G49" s="41">
        <v>29000</v>
      </c>
      <c r="H49" s="97">
        <f t="shared" si="1"/>
        <v>29000</v>
      </c>
      <c r="I49" s="41" t="s">
        <v>69</v>
      </c>
      <c r="J49" s="166" t="s">
        <v>1132</v>
      </c>
      <c r="K49" s="42"/>
    </row>
    <row r="50" spans="1:11">
      <c r="A50" s="184">
        <v>45</v>
      </c>
      <c r="B50" s="184"/>
      <c r="C50" s="88" t="s">
        <v>29</v>
      </c>
      <c r="D50" s="52" t="s">
        <v>54</v>
      </c>
      <c r="E50" s="184" t="s">
        <v>56</v>
      </c>
      <c r="F50" s="36">
        <v>2</v>
      </c>
      <c r="G50" s="42">
        <v>1700</v>
      </c>
      <c r="H50" s="97">
        <f t="shared" si="1"/>
        <v>3400</v>
      </c>
      <c r="I50" s="41" t="s">
        <v>69</v>
      </c>
      <c r="J50" s="166" t="s">
        <v>1132</v>
      </c>
      <c r="K50" s="42"/>
    </row>
    <row r="51" spans="1:11">
      <c r="A51" s="184">
        <v>46</v>
      </c>
      <c r="B51" s="184"/>
      <c r="C51" s="88" t="s">
        <v>30</v>
      </c>
      <c r="D51" s="52" t="s">
        <v>39</v>
      </c>
      <c r="E51" s="184" t="s">
        <v>56</v>
      </c>
      <c r="F51" s="36">
        <v>2</v>
      </c>
      <c r="G51" s="42">
        <v>3100</v>
      </c>
      <c r="H51" s="97">
        <f t="shared" si="1"/>
        <v>6200</v>
      </c>
      <c r="I51" s="41" t="s">
        <v>69</v>
      </c>
      <c r="J51" s="166" t="s">
        <v>1132</v>
      </c>
      <c r="K51" s="42"/>
    </row>
    <row r="52" spans="1:11">
      <c r="A52" s="184">
        <v>47</v>
      </c>
      <c r="B52" s="184"/>
      <c r="C52" s="88" t="s">
        <v>58</v>
      </c>
      <c r="D52" s="51" t="s">
        <v>64</v>
      </c>
      <c r="E52" s="35" t="s">
        <v>55</v>
      </c>
      <c r="F52" s="36">
        <v>1</v>
      </c>
      <c r="G52" s="41">
        <v>900</v>
      </c>
      <c r="H52" s="97">
        <f t="shared" si="1"/>
        <v>900</v>
      </c>
      <c r="I52" s="41" t="s">
        <v>69</v>
      </c>
      <c r="J52" s="166" t="s">
        <v>1132</v>
      </c>
      <c r="K52" s="42"/>
    </row>
    <row r="53" spans="1:11">
      <c r="A53" s="184">
        <v>48</v>
      </c>
      <c r="B53" s="184"/>
      <c r="C53" s="88" t="s">
        <v>59</v>
      </c>
      <c r="D53" s="51" t="s">
        <v>65</v>
      </c>
      <c r="E53" s="35" t="s">
        <v>55</v>
      </c>
      <c r="F53" s="36">
        <v>1</v>
      </c>
      <c r="G53" s="41">
        <v>1100</v>
      </c>
      <c r="H53" s="97">
        <f t="shared" si="1"/>
        <v>1100</v>
      </c>
      <c r="I53" s="41" t="s">
        <v>69</v>
      </c>
      <c r="J53" s="166" t="s">
        <v>1132</v>
      </c>
      <c r="K53" s="42"/>
    </row>
    <row r="54" spans="1:11">
      <c r="A54" s="184">
        <v>49</v>
      </c>
      <c r="B54" s="184"/>
      <c r="C54" s="89" t="s">
        <v>60</v>
      </c>
      <c r="D54" s="12" t="s">
        <v>66</v>
      </c>
      <c r="E54" s="35" t="s">
        <v>55</v>
      </c>
      <c r="F54" s="36">
        <v>1</v>
      </c>
      <c r="G54" s="42">
        <v>5350</v>
      </c>
      <c r="H54" s="97">
        <f t="shared" si="1"/>
        <v>5350</v>
      </c>
      <c r="I54" s="41" t="s">
        <v>69</v>
      </c>
      <c r="J54" s="166" t="s">
        <v>1132</v>
      </c>
      <c r="K54" s="42"/>
    </row>
    <row r="55" spans="1:11">
      <c r="A55" s="184">
        <v>50</v>
      </c>
      <c r="B55" s="184"/>
      <c r="C55" s="88" t="s">
        <v>61</v>
      </c>
      <c r="D55" s="51" t="s">
        <v>67</v>
      </c>
      <c r="E55" s="35" t="s">
        <v>55</v>
      </c>
      <c r="F55" s="36">
        <v>1</v>
      </c>
      <c r="G55" s="41">
        <v>2590</v>
      </c>
      <c r="H55" s="97">
        <f t="shared" si="1"/>
        <v>2590</v>
      </c>
      <c r="I55" s="41" t="s">
        <v>69</v>
      </c>
      <c r="J55" s="166" t="s">
        <v>1132</v>
      </c>
      <c r="K55" s="42"/>
    </row>
    <row r="56" spans="1:11">
      <c r="A56" s="184">
        <v>51</v>
      </c>
      <c r="B56" s="184"/>
      <c r="C56" s="89" t="s">
        <v>62</v>
      </c>
      <c r="D56" s="12" t="s">
        <v>68</v>
      </c>
      <c r="E56" s="35" t="s">
        <v>55</v>
      </c>
      <c r="F56" s="36">
        <v>1</v>
      </c>
      <c r="G56" s="42">
        <v>17000</v>
      </c>
      <c r="H56" s="97">
        <f t="shared" si="1"/>
        <v>17000</v>
      </c>
      <c r="I56" s="41" t="s">
        <v>69</v>
      </c>
      <c r="J56" s="166" t="s">
        <v>1132</v>
      </c>
      <c r="K56" s="42"/>
    </row>
    <row r="57" spans="1:11">
      <c r="A57" s="184">
        <v>52</v>
      </c>
      <c r="B57" s="69"/>
      <c r="C57" s="90" t="s">
        <v>1099</v>
      </c>
      <c r="D57" s="71" t="s">
        <v>124</v>
      </c>
      <c r="E57" s="72" t="s">
        <v>1183</v>
      </c>
      <c r="F57" s="73">
        <v>2</v>
      </c>
      <c r="G57" s="74">
        <v>17900</v>
      </c>
      <c r="H57" s="97">
        <f t="shared" si="1"/>
        <v>35800</v>
      </c>
      <c r="I57" s="41" t="s">
        <v>69</v>
      </c>
      <c r="J57" s="166" t="s">
        <v>1132</v>
      </c>
      <c r="K57" s="42"/>
    </row>
    <row r="58" spans="1:11">
      <c r="A58" s="184">
        <v>53</v>
      </c>
      <c r="B58" s="184"/>
      <c r="C58" s="89" t="s">
        <v>165</v>
      </c>
      <c r="D58" s="12" t="s">
        <v>169</v>
      </c>
      <c r="E58" s="35" t="s">
        <v>55</v>
      </c>
      <c r="F58" s="36">
        <v>1</v>
      </c>
      <c r="G58" s="43">
        <v>3300</v>
      </c>
      <c r="H58" s="97">
        <f t="shared" si="1"/>
        <v>3300</v>
      </c>
      <c r="I58" s="41" t="s">
        <v>69</v>
      </c>
      <c r="J58" s="166" t="s">
        <v>1133</v>
      </c>
      <c r="K58" s="46"/>
    </row>
    <row r="59" spans="1:11">
      <c r="A59" s="184">
        <v>54</v>
      </c>
      <c r="B59" s="184"/>
      <c r="C59" s="89" t="s">
        <v>166</v>
      </c>
      <c r="D59" s="12" t="s">
        <v>68</v>
      </c>
      <c r="E59" s="35" t="s">
        <v>55</v>
      </c>
      <c r="F59" s="36">
        <v>1</v>
      </c>
      <c r="G59" s="42">
        <v>17000</v>
      </c>
      <c r="H59" s="97">
        <f t="shared" si="1"/>
        <v>17000</v>
      </c>
      <c r="I59" s="184" t="s">
        <v>69</v>
      </c>
      <c r="J59" s="166" t="s">
        <v>1133</v>
      </c>
      <c r="K59" s="46"/>
    </row>
    <row r="60" spans="1:11">
      <c r="A60" s="184">
        <v>55</v>
      </c>
      <c r="B60" s="44" t="s">
        <v>1166</v>
      </c>
      <c r="C60" s="91" t="s">
        <v>1078</v>
      </c>
      <c r="D60" s="33" t="s">
        <v>1079</v>
      </c>
      <c r="E60" s="35" t="s">
        <v>56</v>
      </c>
      <c r="F60" s="36">
        <v>1</v>
      </c>
      <c r="G60" s="46">
        <v>16800</v>
      </c>
      <c r="H60" s="97">
        <f t="shared" si="1"/>
        <v>16800</v>
      </c>
      <c r="I60" s="184" t="s">
        <v>69</v>
      </c>
      <c r="J60" s="166" t="s">
        <v>1133</v>
      </c>
      <c r="K60" s="46"/>
    </row>
    <row r="61" spans="1:11">
      <c r="A61" s="184">
        <v>56</v>
      </c>
      <c r="B61" s="44"/>
      <c r="C61" s="91" t="s">
        <v>164</v>
      </c>
      <c r="D61" s="33" t="s">
        <v>152</v>
      </c>
      <c r="E61" s="35" t="s">
        <v>1100</v>
      </c>
      <c r="F61" s="36">
        <v>1</v>
      </c>
      <c r="G61" s="46">
        <v>29000</v>
      </c>
      <c r="H61" s="97">
        <f t="shared" si="1"/>
        <v>29000</v>
      </c>
      <c r="I61" s="184" t="s">
        <v>69</v>
      </c>
      <c r="J61" s="166" t="s">
        <v>1133</v>
      </c>
      <c r="K61" s="46"/>
    </row>
    <row r="62" spans="1:11">
      <c r="A62" s="184">
        <v>57</v>
      </c>
      <c r="B62" s="184"/>
      <c r="C62" s="105" t="s">
        <v>125</v>
      </c>
      <c r="D62" s="106" t="s">
        <v>134</v>
      </c>
      <c r="E62" s="35" t="s">
        <v>56</v>
      </c>
      <c r="F62" s="36">
        <v>1</v>
      </c>
      <c r="G62" s="41">
        <v>5296.5</v>
      </c>
      <c r="H62" s="97">
        <f t="shared" si="1"/>
        <v>5296.5</v>
      </c>
      <c r="I62" s="184" t="s">
        <v>69</v>
      </c>
      <c r="J62" s="167" t="s">
        <v>1134</v>
      </c>
      <c r="K62" s="46"/>
    </row>
    <row r="63" spans="1:11">
      <c r="A63" s="184">
        <v>58</v>
      </c>
      <c r="B63" s="184"/>
      <c r="C63" s="105" t="s">
        <v>126</v>
      </c>
      <c r="D63" s="106" t="s">
        <v>44</v>
      </c>
      <c r="E63" s="35" t="s">
        <v>56</v>
      </c>
      <c r="F63" s="36">
        <v>1</v>
      </c>
      <c r="G63" s="41">
        <v>19088.8</v>
      </c>
      <c r="H63" s="97">
        <f t="shared" si="1"/>
        <v>19088.8</v>
      </c>
      <c r="I63" s="184" t="s">
        <v>69</v>
      </c>
      <c r="J63" s="167" t="s">
        <v>1134</v>
      </c>
      <c r="K63" s="46"/>
    </row>
    <row r="64" spans="1:11">
      <c r="A64" s="184">
        <v>59</v>
      </c>
      <c r="B64" s="184"/>
      <c r="C64" s="105" t="s">
        <v>127</v>
      </c>
      <c r="D64" s="106" t="s">
        <v>136</v>
      </c>
      <c r="E64" s="35" t="s">
        <v>56</v>
      </c>
      <c r="F64" s="36">
        <v>1</v>
      </c>
      <c r="G64" s="41">
        <v>1800</v>
      </c>
      <c r="H64" s="97">
        <f t="shared" si="1"/>
        <v>1800</v>
      </c>
      <c r="I64" s="184" t="s">
        <v>69</v>
      </c>
      <c r="J64" s="167" t="s">
        <v>1134</v>
      </c>
      <c r="K64" s="46"/>
    </row>
    <row r="65" spans="1:11">
      <c r="A65" s="184">
        <v>60</v>
      </c>
      <c r="B65" s="184"/>
      <c r="C65" s="105" t="s">
        <v>128</v>
      </c>
      <c r="D65" s="106" t="s">
        <v>137</v>
      </c>
      <c r="E65" s="35" t="s">
        <v>56</v>
      </c>
      <c r="F65" s="36">
        <v>1</v>
      </c>
      <c r="G65" s="41">
        <v>600</v>
      </c>
      <c r="H65" s="97">
        <f t="shared" si="1"/>
        <v>600</v>
      </c>
      <c r="I65" s="184" t="s">
        <v>69</v>
      </c>
      <c r="J65" s="167" t="s">
        <v>1134</v>
      </c>
      <c r="K65" s="46"/>
    </row>
    <row r="66" spans="1:11">
      <c r="A66" s="184">
        <v>61</v>
      </c>
      <c r="B66" s="184"/>
      <c r="C66" s="105" t="s">
        <v>129</v>
      </c>
      <c r="D66" s="106" t="s">
        <v>138</v>
      </c>
      <c r="E66" s="35" t="s">
        <v>55</v>
      </c>
      <c r="F66" s="36">
        <v>1</v>
      </c>
      <c r="G66" s="41">
        <v>18000</v>
      </c>
      <c r="H66" s="97">
        <f t="shared" si="1"/>
        <v>18000</v>
      </c>
      <c r="I66" s="184" t="s">
        <v>69</v>
      </c>
      <c r="J66" s="167" t="s">
        <v>1134</v>
      </c>
      <c r="K66" s="46"/>
    </row>
    <row r="67" spans="1:11">
      <c r="A67" s="184">
        <v>62</v>
      </c>
      <c r="B67" s="184"/>
      <c r="C67" s="105" t="s">
        <v>130</v>
      </c>
      <c r="D67" s="106" t="s">
        <v>139</v>
      </c>
      <c r="E67" s="35" t="s">
        <v>55</v>
      </c>
      <c r="F67" s="36">
        <v>1</v>
      </c>
      <c r="G67" s="41">
        <v>1150</v>
      </c>
      <c r="H67" s="97">
        <f t="shared" si="1"/>
        <v>1150</v>
      </c>
      <c r="I67" s="184" t="s">
        <v>69</v>
      </c>
      <c r="J67" s="167" t="s">
        <v>1134</v>
      </c>
      <c r="K67" s="46"/>
    </row>
    <row r="68" spans="1:11">
      <c r="A68" s="184">
        <v>63</v>
      </c>
      <c r="B68" s="184"/>
      <c r="C68" s="88" t="s">
        <v>131</v>
      </c>
      <c r="D68" s="51" t="s">
        <v>67</v>
      </c>
      <c r="E68" s="35" t="s">
        <v>55</v>
      </c>
      <c r="F68" s="36">
        <v>1</v>
      </c>
      <c r="G68" s="41">
        <v>2590</v>
      </c>
      <c r="H68" s="97">
        <f t="shared" si="1"/>
        <v>2590</v>
      </c>
      <c r="I68" s="184" t="s">
        <v>69</v>
      </c>
      <c r="J68" s="167" t="s">
        <v>1134</v>
      </c>
      <c r="K68" s="46"/>
    </row>
    <row r="69" spans="1:11">
      <c r="A69" s="184">
        <v>64</v>
      </c>
      <c r="B69" s="184"/>
      <c r="C69" s="88" t="s">
        <v>132</v>
      </c>
      <c r="D69" s="51" t="s">
        <v>140</v>
      </c>
      <c r="E69" s="35" t="s">
        <v>143</v>
      </c>
      <c r="F69" s="36">
        <v>2</v>
      </c>
      <c r="G69" s="41">
        <v>22649</v>
      </c>
      <c r="H69" s="97">
        <f t="shared" si="1"/>
        <v>45298</v>
      </c>
      <c r="I69" s="184" t="s">
        <v>69</v>
      </c>
      <c r="J69" s="167" t="s">
        <v>1134</v>
      </c>
      <c r="K69" s="46"/>
    </row>
    <row r="70" spans="1:11">
      <c r="A70" s="184">
        <v>65</v>
      </c>
      <c r="B70" s="184"/>
      <c r="C70" s="88" t="s">
        <v>133</v>
      </c>
      <c r="D70" s="51" t="s">
        <v>141</v>
      </c>
      <c r="E70" s="35" t="s">
        <v>143</v>
      </c>
      <c r="F70" s="36">
        <v>2</v>
      </c>
      <c r="G70" s="41">
        <v>7337</v>
      </c>
      <c r="H70" s="97">
        <f t="shared" si="1"/>
        <v>14674</v>
      </c>
      <c r="I70" s="184" t="s">
        <v>69</v>
      </c>
      <c r="J70" s="167" t="s">
        <v>1134</v>
      </c>
      <c r="K70" s="46"/>
    </row>
    <row r="71" spans="1:11">
      <c r="A71" s="184">
        <v>66</v>
      </c>
      <c r="B71" s="184"/>
      <c r="C71" s="105" t="s">
        <v>187</v>
      </c>
      <c r="D71" s="12" t="s">
        <v>199</v>
      </c>
      <c r="E71" s="35" t="s">
        <v>55</v>
      </c>
      <c r="F71" s="36">
        <v>1</v>
      </c>
      <c r="G71" s="41">
        <v>8000</v>
      </c>
      <c r="H71" s="97">
        <f t="shared" ref="H71:H111" si="2">SUM(F71*G71)</f>
        <v>8000</v>
      </c>
      <c r="I71" s="184" t="s">
        <v>69</v>
      </c>
      <c r="J71" s="168" t="s">
        <v>1135</v>
      </c>
      <c r="K71" s="46"/>
    </row>
    <row r="72" spans="1:11">
      <c r="A72" s="184">
        <v>67</v>
      </c>
      <c r="B72" s="184"/>
      <c r="C72" s="89" t="s">
        <v>189</v>
      </c>
      <c r="D72" s="12" t="s">
        <v>201</v>
      </c>
      <c r="E72" s="35" t="s">
        <v>55</v>
      </c>
      <c r="F72" s="36">
        <v>1</v>
      </c>
      <c r="G72" s="42">
        <v>17000</v>
      </c>
      <c r="H72" s="97">
        <f t="shared" si="2"/>
        <v>17000</v>
      </c>
      <c r="I72" s="184" t="s">
        <v>69</v>
      </c>
      <c r="J72" s="168" t="s">
        <v>1135</v>
      </c>
      <c r="K72" s="46"/>
    </row>
    <row r="73" spans="1:11">
      <c r="A73" s="184">
        <v>68</v>
      </c>
      <c r="B73" s="184"/>
      <c r="C73" s="89" t="s">
        <v>190</v>
      </c>
      <c r="D73" s="12" t="s">
        <v>109</v>
      </c>
      <c r="E73" s="35" t="s">
        <v>1100</v>
      </c>
      <c r="F73" s="36">
        <v>1</v>
      </c>
      <c r="G73" s="42">
        <v>29000</v>
      </c>
      <c r="H73" s="97">
        <f t="shared" si="2"/>
        <v>29000</v>
      </c>
      <c r="I73" s="184" t="s">
        <v>69</v>
      </c>
      <c r="J73" s="168" t="s">
        <v>1135</v>
      </c>
      <c r="K73" s="42"/>
    </row>
    <row r="74" spans="1:11">
      <c r="A74" s="184">
        <v>69</v>
      </c>
      <c r="B74" s="184"/>
      <c r="C74" s="89" t="s">
        <v>191</v>
      </c>
      <c r="D74" s="12" t="s">
        <v>202</v>
      </c>
      <c r="E74" s="110" t="s">
        <v>55</v>
      </c>
      <c r="F74" s="36">
        <v>1</v>
      </c>
      <c r="G74" s="42">
        <v>7000</v>
      </c>
      <c r="H74" s="97">
        <f t="shared" si="2"/>
        <v>7000</v>
      </c>
      <c r="I74" s="184" t="s">
        <v>69</v>
      </c>
      <c r="J74" s="168" t="s">
        <v>1135</v>
      </c>
      <c r="K74" s="42"/>
    </row>
    <row r="75" spans="1:11">
      <c r="A75" s="184">
        <v>70</v>
      </c>
      <c r="B75" s="184"/>
      <c r="C75" s="89" t="s">
        <v>192</v>
      </c>
      <c r="D75" s="12" t="s">
        <v>203</v>
      </c>
      <c r="E75" s="35" t="s">
        <v>56</v>
      </c>
      <c r="F75" s="36">
        <v>1</v>
      </c>
      <c r="G75" s="42">
        <v>5500</v>
      </c>
      <c r="H75" s="97">
        <f t="shared" si="2"/>
        <v>5500</v>
      </c>
      <c r="I75" s="184" t="s">
        <v>69</v>
      </c>
      <c r="J75" s="168" t="s">
        <v>1135</v>
      </c>
      <c r="K75" s="42"/>
    </row>
    <row r="76" spans="1:11">
      <c r="A76" s="184">
        <v>71</v>
      </c>
      <c r="B76" s="184"/>
      <c r="C76" s="89" t="s">
        <v>193</v>
      </c>
      <c r="D76" s="12" t="s">
        <v>204</v>
      </c>
      <c r="E76" s="35" t="s">
        <v>56</v>
      </c>
      <c r="F76" s="36">
        <v>1</v>
      </c>
      <c r="G76" s="42">
        <v>17300</v>
      </c>
      <c r="H76" s="97">
        <f t="shared" si="2"/>
        <v>17300</v>
      </c>
      <c r="I76" s="184" t="s">
        <v>69</v>
      </c>
      <c r="J76" s="168" t="s">
        <v>1135</v>
      </c>
      <c r="K76" s="42"/>
    </row>
    <row r="77" spans="1:11">
      <c r="A77" s="184">
        <v>72</v>
      </c>
      <c r="B77" s="107"/>
      <c r="C77" s="89" t="s">
        <v>194</v>
      </c>
      <c r="D77" s="12" t="s">
        <v>1142</v>
      </c>
      <c r="E77" s="35" t="s">
        <v>1100</v>
      </c>
      <c r="F77" s="36">
        <v>1</v>
      </c>
      <c r="G77" s="42">
        <v>4800</v>
      </c>
      <c r="H77" s="97">
        <f t="shared" si="2"/>
        <v>4800</v>
      </c>
      <c r="I77" s="184" t="s">
        <v>69</v>
      </c>
      <c r="J77" s="168" t="s">
        <v>1135</v>
      </c>
      <c r="K77" s="42"/>
    </row>
    <row r="78" spans="1:11">
      <c r="A78" s="184">
        <v>73</v>
      </c>
      <c r="B78" s="107"/>
      <c r="C78" s="89" t="s">
        <v>195</v>
      </c>
      <c r="D78" s="12" t="s">
        <v>156</v>
      </c>
      <c r="E78" s="35" t="s">
        <v>55</v>
      </c>
      <c r="F78" s="36">
        <v>1</v>
      </c>
      <c r="G78" s="42">
        <v>3950</v>
      </c>
      <c r="H78" s="97">
        <f t="shared" si="2"/>
        <v>3950</v>
      </c>
      <c r="I78" s="184" t="s">
        <v>69</v>
      </c>
      <c r="J78" s="168" t="s">
        <v>1135</v>
      </c>
      <c r="K78" s="42"/>
    </row>
    <row r="79" spans="1:11">
      <c r="A79" s="184">
        <v>74</v>
      </c>
      <c r="B79" s="107"/>
      <c r="C79" s="89" t="s">
        <v>196</v>
      </c>
      <c r="D79" s="12" t="s">
        <v>68</v>
      </c>
      <c r="E79" s="35" t="s">
        <v>55</v>
      </c>
      <c r="F79" s="36">
        <v>1</v>
      </c>
      <c r="G79" s="42">
        <v>17000</v>
      </c>
      <c r="H79" s="97">
        <f t="shared" si="2"/>
        <v>17000</v>
      </c>
      <c r="I79" s="184" t="s">
        <v>69</v>
      </c>
      <c r="J79" s="168" t="s">
        <v>1135</v>
      </c>
      <c r="K79" s="42"/>
    </row>
    <row r="80" spans="1:11">
      <c r="A80" s="184">
        <v>75</v>
      </c>
      <c r="B80" s="66" t="s">
        <v>1167</v>
      </c>
      <c r="C80" s="91" t="s">
        <v>197</v>
      </c>
      <c r="D80" s="33" t="s">
        <v>205</v>
      </c>
      <c r="E80" s="35" t="s">
        <v>56</v>
      </c>
      <c r="F80" s="36">
        <v>1</v>
      </c>
      <c r="G80" s="46">
        <v>18900</v>
      </c>
      <c r="H80" s="97">
        <f t="shared" si="2"/>
        <v>18900</v>
      </c>
      <c r="I80" s="184" t="s">
        <v>69</v>
      </c>
      <c r="J80" s="168" t="s">
        <v>1135</v>
      </c>
      <c r="K80" s="46"/>
    </row>
    <row r="81" spans="1:11">
      <c r="A81" s="184">
        <v>76</v>
      </c>
      <c r="B81" s="44"/>
      <c r="C81" s="89" t="s">
        <v>598</v>
      </c>
      <c r="D81" s="106" t="s">
        <v>599</v>
      </c>
      <c r="E81" s="110" t="s">
        <v>55</v>
      </c>
      <c r="F81" s="110">
        <v>331</v>
      </c>
      <c r="G81" s="111">
        <v>500</v>
      </c>
      <c r="H81" s="97">
        <f t="shared" si="2"/>
        <v>165500</v>
      </c>
      <c r="I81" s="112" t="s">
        <v>69</v>
      </c>
      <c r="J81" s="168" t="s">
        <v>1136</v>
      </c>
      <c r="K81" s="46"/>
    </row>
    <row r="82" spans="1:11">
      <c r="A82" s="184">
        <v>77</v>
      </c>
      <c r="B82" s="113"/>
      <c r="C82" s="89" t="s">
        <v>600</v>
      </c>
      <c r="D82" s="106" t="s">
        <v>601</v>
      </c>
      <c r="E82" s="110" t="s">
        <v>55</v>
      </c>
      <c r="F82" s="110">
        <v>83</v>
      </c>
      <c r="G82" s="111">
        <v>600</v>
      </c>
      <c r="H82" s="97">
        <f t="shared" si="2"/>
        <v>49800</v>
      </c>
      <c r="I82" s="112" t="s">
        <v>69</v>
      </c>
      <c r="J82" s="168" t="s">
        <v>1136</v>
      </c>
      <c r="K82" s="46"/>
    </row>
    <row r="83" spans="1:11">
      <c r="A83" s="184">
        <v>78</v>
      </c>
      <c r="B83" s="44"/>
      <c r="C83" s="89" t="s">
        <v>602</v>
      </c>
      <c r="D83" s="12" t="s">
        <v>601</v>
      </c>
      <c r="E83" s="110" t="s">
        <v>56</v>
      </c>
      <c r="F83" s="110">
        <v>27</v>
      </c>
      <c r="G83" s="111">
        <v>600</v>
      </c>
      <c r="H83" s="97">
        <f t="shared" si="2"/>
        <v>16200</v>
      </c>
      <c r="I83" s="112" t="s">
        <v>69</v>
      </c>
      <c r="J83" s="168" t="s">
        <v>1136</v>
      </c>
      <c r="K83" s="46"/>
    </row>
    <row r="84" spans="1:11">
      <c r="A84" s="184">
        <v>79</v>
      </c>
      <c r="B84" s="44"/>
      <c r="C84" s="89" t="s">
        <v>603</v>
      </c>
      <c r="D84" s="12" t="s">
        <v>604</v>
      </c>
      <c r="E84" s="110" t="s">
        <v>55</v>
      </c>
      <c r="F84" s="110">
        <v>1</v>
      </c>
      <c r="G84" s="111">
        <v>15000</v>
      </c>
      <c r="H84" s="97">
        <f t="shared" si="2"/>
        <v>15000</v>
      </c>
      <c r="I84" s="112" t="s">
        <v>69</v>
      </c>
      <c r="J84" s="168" t="s">
        <v>1136</v>
      </c>
      <c r="K84" s="46"/>
    </row>
    <row r="85" spans="1:11">
      <c r="A85" s="184">
        <v>80</v>
      </c>
      <c r="B85" s="44"/>
      <c r="C85" s="89" t="s">
        <v>605</v>
      </c>
      <c r="D85" s="34" t="s">
        <v>606</v>
      </c>
      <c r="E85" s="110" t="s">
        <v>55</v>
      </c>
      <c r="F85" s="110">
        <v>2</v>
      </c>
      <c r="G85" s="111">
        <v>2350</v>
      </c>
      <c r="H85" s="97">
        <f t="shared" si="2"/>
        <v>4700</v>
      </c>
      <c r="I85" s="112" t="s">
        <v>69</v>
      </c>
      <c r="J85" s="168" t="s">
        <v>1136</v>
      </c>
      <c r="K85" s="46"/>
    </row>
    <row r="86" spans="1:11">
      <c r="A86" s="184">
        <v>81</v>
      </c>
      <c r="B86" s="44"/>
      <c r="C86" s="89" t="s">
        <v>607</v>
      </c>
      <c r="D86" s="34" t="s">
        <v>608</v>
      </c>
      <c r="E86" s="110" t="s">
        <v>55</v>
      </c>
      <c r="F86" s="110">
        <v>15</v>
      </c>
      <c r="G86" s="111">
        <v>2250</v>
      </c>
      <c r="H86" s="97">
        <f t="shared" si="2"/>
        <v>33750</v>
      </c>
      <c r="I86" s="112" t="s">
        <v>69</v>
      </c>
      <c r="J86" s="168" t="s">
        <v>1136</v>
      </c>
      <c r="K86" s="46"/>
    </row>
    <row r="87" spans="1:11">
      <c r="A87" s="184">
        <v>82</v>
      </c>
      <c r="B87" s="108"/>
      <c r="C87" s="89" t="s">
        <v>609</v>
      </c>
      <c r="D87" s="34" t="s">
        <v>610</v>
      </c>
      <c r="E87" s="110" t="s">
        <v>55</v>
      </c>
      <c r="F87" s="110">
        <v>1</v>
      </c>
      <c r="G87" s="111">
        <v>3800</v>
      </c>
      <c r="H87" s="97">
        <f t="shared" si="2"/>
        <v>3800</v>
      </c>
      <c r="I87" s="112" t="s">
        <v>69</v>
      </c>
      <c r="J87" s="168" t="s">
        <v>1136</v>
      </c>
      <c r="K87" s="46"/>
    </row>
    <row r="88" spans="1:11">
      <c r="A88" s="184">
        <v>83</v>
      </c>
      <c r="B88" s="44"/>
      <c r="C88" s="89" t="s">
        <v>611</v>
      </c>
      <c r="D88" s="12" t="s">
        <v>601</v>
      </c>
      <c r="E88" s="110" t="s">
        <v>55</v>
      </c>
      <c r="F88" s="110">
        <v>156</v>
      </c>
      <c r="G88" s="111">
        <v>600</v>
      </c>
      <c r="H88" s="97">
        <f t="shared" si="2"/>
        <v>93600</v>
      </c>
      <c r="I88" s="112" t="s">
        <v>69</v>
      </c>
      <c r="J88" s="168" t="s">
        <v>1136</v>
      </c>
      <c r="K88" s="42"/>
    </row>
    <row r="89" spans="1:11">
      <c r="A89" s="184">
        <v>84</v>
      </c>
      <c r="B89" s="44"/>
      <c r="C89" s="89" t="s">
        <v>612</v>
      </c>
      <c r="D89" s="12" t="s">
        <v>604</v>
      </c>
      <c r="E89" s="110" t="s">
        <v>55</v>
      </c>
      <c r="F89" s="114">
        <v>1</v>
      </c>
      <c r="G89" s="111">
        <v>13000</v>
      </c>
      <c r="H89" s="97">
        <f t="shared" si="2"/>
        <v>13000</v>
      </c>
      <c r="I89" s="112" t="s">
        <v>69</v>
      </c>
      <c r="J89" s="168" t="s">
        <v>1136</v>
      </c>
      <c r="K89" s="42"/>
    </row>
    <row r="90" spans="1:11">
      <c r="A90" s="184">
        <v>85</v>
      </c>
      <c r="B90" s="44"/>
      <c r="C90" s="89" t="s">
        <v>613</v>
      </c>
      <c r="D90" s="34" t="s">
        <v>614</v>
      </c>
      <c r="E90" s="110" t="s">
        <v>1100</v>
      </c>
      <c r="F90" s="114">
        <v>1</v>
      </c>
      <c r="G90" s="111">
        <v>3000</v>
      </c>
      <c r="H90" s="97">
        <f t="shared" si="2"/>
        <v>3000</v>
      </c>
      <c r="I90" s="112" t="s">
        <v>69</v>
      </c>
      <c r="J90" s="168" t="s">
        <v>1136</v>
      </c>
      <c r="K90" s="42"/>
    </row>
    <row r="91" spans="1:11">
      <c r="A91" s="184">
        <v>86</v>
      </c>
      <c r="B91" s="115"/>
      <c r="C91" s="89" t="s">
        <v>615</v>
      </c>
      <c r="D91" s="34" t="s">
        <v>614</v>
      </c>
      <c r="E91" s="110" t="s">
        <v>1100</v>
      </c>
      <c r="F91" s="114">
        <v>1</v>
      </c>
      <c r="G91" s="111">
        <v>2500</v>
      </c>
      <c r="H91" s="97">
        <f t="shared" si="2"/>
        <v>2500</v>
      </c>
      <c r="I91" s="112" t="s">
        <v>69</v>
      </c>
      <c r="J91" s="168" t="s">
        <v>1136</v>
      </c>
      <c r="K91" s="42"/>
    </row>
    <row r="92" spans="1:11">
      <c r="A92" s="184">
        <v>87</v>
      </c>
      <c r="B92" s="115"/>
      <c r="C92" s="89" t="s">
        <v>616</v>
      </c>
      <c r="D92" s="34" t="s">
        <v>608</v>
      </c>
      <c r="E92" s="110" t="s">
        <v>1100</v>
      </c>
      <c r="F92" s="114">
        <v>1</v>
      </c>
      <c r="G92" s="111">
        <v>2100</v>
      </c>
      <c r="H92" s="97">
        <f t="shared" si="2"/>
        <v>2100</v>
      </c>
      <c r="I92" s="184" t="s">
        <v>69</v>
      </c>
      <c r="J92" s="168" t="s">
        <v>1136</v>
      </c>
      <c r="K92" s="42"/>
    </row>
    <row r="93" spans="1:11">
      <c r="A93" s="184">
        <v>88</v>
      </c>
      <c r="B93" s="107"/>
      <c r="C93" s="89" t="s">
        <v>617</v>
      </c>
      <c r="D93" s="34" t="s">
        <v>618</v>
      </c>
      <c r="E93" s="110" t="s">
        <v>56</v>
      </c>
      <c r="F93" s="114">
        <v>1</v>
      </c>
      <c r="G93" s="111">
        <v>27500</v>
      </c>
      <c r="H93" s="97">
        <f t="shared" si="2"/>
        <v>27500</v>
      </c>
      <c r="I93" s="184" t="s">
        <v>69</v>
      </c>
      <c r="J93" s="168" t="s">
        <v>1136</v>
      </c>
      <c r="K93" s="42"/>
    </row>
    <row r="94" spans="1:11">
      <c r="A94" s="184">
        <v>89</v>
      </c>
      <c r="B94" s="117"/>
      <c r="C94" s="89" t="s">
        <v>619</v>
      </c>
      <c r="D94" s="34" t="s">
        <v>620</v>
      </c>
      <c r="E94" s="110" t="s">
        <v>1127</v>
      </c>
      <c r="F94" s="114">
        <v>72</v>
      </c>
      <c r="G94" s="111">
        <v>300</v>
      </c>
      <c r="H94" s="97">
        <f t="shared" si="2"/>
        <v>21600</v>
      </c>
      <c r="I94" s="184" t="s">
        <v>69</v>
      </c>
      <c r="J94" s="168" t="s">
        <v>1136</v>
      </c>
      <c r="K94" s="42"/>
    </row>
    <row r="95" spans="1:11">
      <c r="A95" s="184">
        <v>90</v>
      </c>
      <c r="B95" s="184"/>
      <c r="C95" s="89" t="s">
        <v>621</v>
      </c>
      <c r="D95" s="34" t="s">
        <v>622</v>
      </c>
      <c r="E95" s="110" t="s">
        <v>1127</v>
      </c>
      <c r="F95" s="114">
        <v>36</v>
      </c>
      <c r="G95" s="111">
        <v>1100</v>
      </c>
      <c r="H95" s="97">
        <f t="shared" si="2"/>
        <v>39600</v>
      </c>
      <c r="I95" s="184" t="s">
        <v>69</v>
      </c>
      <c r="J95" s="168" t="s">
        <v>1136</v>
      </c>
      <c r="K95" s="42"/>
    </row>
    <row r="96" spans="1:11">
      <c r="A96" s="184">
        <v>91</v>
      </c>
      <c r="B96" s="184"/>
      <c r="C96" s="89" t="s">
        <v>623</v>
      </c>
      <c r="D96" s="34" t="s">
        <v>624</v>
      </c>
      <c r="E96" s="110" t="s">
        <v>1127</v>
      </c>
      <c r="F96" s="114">
        <v>20</v>
      </c>
      <c r="G96" s="111">
        <v>180</v>
      </c>
      <c r="H96" s="97">
        <f t="shared" si="2"/>
        <v>3600</v>
      </c>
      <c r="I96" s="184" t="s">
        <v>69</v>
      </c>
      <c r="J96" s="168" t="s">
        <v>1136</v>
      </c>
      <c r="K96" s="42"/>
    </row>
    <row r="97" spans="1:11">
      <c r="A97" s="184">
        <v>92</v>
      </c>
      <c r="B97" s="184"/>
      <c r="C97" s="89" t="s">
        <v>625</v>
      </c>
      <c r="D97" s="12" t="s">
        <v>601</v>
      </c>
      <c r="E97" s="81" t="s">
        <v>56</v>
      </c>
      <c r="F97" s="110">
        <v>45</v>
      </c>
      <c r="G97" s="111">
        <v>580</v>
      </c>
      <c r="H97" s="97">
        <f t="shared" si="2"/>
        <v>26100</v>
      </c>
      <c r="I97" s="184" t="s">
        <v>69</v>
      </c>
      <c r="J97" s="168" t="s">
        <v>1136</v>
      </c>
      <c r="K97" s="42"/>
    </row>
    <row r="98" spans="1:11">
      <c r="A98" s="184">
        <v>93</v>
      </c>
      <c r="B98" s="184"/>
      <c r="C98" s="89" t="s">
        <v>626</v>
      </c>
      <c r="D98" s="12" t="s">
        <v>601</v>
      </c>
      <c r="E98" s="81" t="s">
        <v>56</v>
      </c>
      <c r="F98" s="110">
        <v>80</v>
      </c>
      <c r="G98" s="111">
        <v>580</v>
      </c>
      <c r="H98" s="97">
        <f t="shared" si="2"/>
        <v>46400</v>
      </c>
      <c r="I98" s="184" t="s">
        <v>69</v>
      </c>
      <c r="J98" s="168" t="s">
        <v>1136</v>
      </c>
      <c r="K98" s="42"/>
    </row>
    <row r="99" spans="1:11">
      <c r="A99" s="184">
        <v>94</v>
      </c>
      <c r="B99" s="184"/>
      <c r="C99" s="89" t="s">
        <v>627</v>
      </c>
      <c r="D99" s="12" t="s">
        <v>628</v>
      </c>
      <c r="E99" s="81" t="s">
        <v>56</v>
      </c>
      <c r="F99" s="110">
        <v>1</v>
      </c>
      <c r="G99" s="111">
        <v>5700</v>
      </c>
      <c r="H99" s="97">
        <f t="shared" si="2"/>
        <v>5700</v>
      </c>
      <c r="I99" s="184" t="s">
        <v>69</v>
      </c>
      <c r="J99" s="168" t="s">
        <v>1136</v>
      </c>
      <c r="K99" s="46"/>
    </row>
    <row r="100" spans="1:11">
      <c r="A100" s="184">
        <v>95</v>
      </c>
      <c r="B100" s="184"/>
      <c r="C100" s="89" t="s">
        <v>629</v>
      </c>
      <c r="D100" s="34" t="s">
        <v>614</v>
      </c>
      <c r="E100" s="81" t="s">
        <v>56</v>
      </c>
      <c r="F100" s="110">
        <v>1</v>
      </c>
      <c r="G100" s="111">
        <v>2500</v>
      </c>
      <c r="H100" s="97">
        <f t="shared" si="2"/>
        <v>2500</v>
      </c>
      <c r="I100" s="184" t="s">
        <v>69</v>
      </c>
      <c r="J100" s="168" t="s">
        <v>1136</v>
      </c>
      <c r="K100" s="46"/>
    </row>
    <row r="101" spans="1:11">
      <c r="A101" s="184">
        <v>96</v>
      </c>
      <c r="B101" s="184"/>
      <c r="C101" s="89" t="s">
        <v>630</v>
      </c>
      <c r="D101" s="34" t="s">
        <v>606</v>
      </c>
      <c r="E101" s="110" t="s">
        <v>1100</v>
      </c>
      <c r="F101" s="110">
        <v>4</v>
      </c>
      <c r="G101" s="111">
        <v>3000</v>
      </c>
      <c r="H101" s="97">
        <f t="shared" si="2"/>
        <v>12000</v>
      </c>
      <c r="I101" s="184" t="s">
        <v>69</v>
      </c>
      <c r="J101" s="168" t="s">
        <v>1136</v>
      </c>
      <c r="K101" s="46"/>
    </row>
    <row r="102" spans="1:11">
      <c r="A102" s="184">
        <v>97</v>
      </c>
      <c r="B102" s="184"/>
      <c r="C102" s="89" t="s">
        <v>631</v>
      </c>
      <c r="D102" s="34" t="s">
        <v>632</v>
      </c>
      <c r="E102" s="116" t="s">
        <v>56</v>
      </c>
      <c r="F102" s="110">
        <v>2</v>
      </c>
      <c r="G102" s="111">
        <v>3424</v>
      </c>
      <c r="H102" s="97">
        <f t="shared" si="2"/>
        <v>6848</v>
      </c>
      <c r="I102" s="184" t="s">
        <v>69</v>
      </c>
      <c r="J102" s="168" t="s">
        <v>1136</v>
      </c>
      <c r="K102" s="46"/>
    </row>
    <row r="103" spans="1:11">
      <c r="A103" s="184">
        <v>98</v>
      </c>
      <c r="B103" s="117"/>
      <c r="C103" s="89" t="s">
        <v>633</v>
      </c>
      <c r="D103" s="12" t="s">
        <v>634</v>
      </c>
      <c r="E103" s="116" t="s">
        <v>56</v>
      </c>
      <c r="F103" s="110">
        <v>1</v>
      </c>
      <c r="G103" s="111">
        <v>10561</v>
      </c>
      <c r="H103" s="97">
        <f t="shared" si="2"/>
        <v>10561</v>
      </c>
      <c r="I103" s="184" t="s">
        <v>69</v>
      </c>
      <c r="J103" s="168" t="s">
        <v>1136</v>
      </c>
      <c r="K103" s="46"/>
    </row>
    <row r="104" spans="1:11">
      <c r="A104" s="184">
        <v>99</v>
      </c>
      <c r="B104" s="113"/>
      <c r="C104" s="89" t="s">
        <v>635</v>
      </c>
      <c r="D104" s="12" t="s">
        <v>636</v>
      </c>
      <c r="E104" s="110" t="s">
        <v>56</v>
      </c>
      <c r="F104" s="114">
        <v>1</v>
      </c>
      <c r="G104" s="111">
        <v>11535.6</v>
      </c>
      <c r="H104" s="97">
        <f t="shared" si="2"/>
        <v>11535.6</v>
      </c>
      <c r="I104" s="112" t="s">
        <v>69</v>
      </c>
      <c r="J104" s="168" t="s">
        <v>1136</v>
      </c>
      <c r="K104" s="46"/>
    </row>
    <row r="105" spans="1:11">
      <c r="A105" s="184">
        <v>100</v>
      </c>
      <c r="B105" s="44"/>
      <c r="C105" s="89" t="s">
        <v>637</v>
      </c>
      <c r="D105" s="12" t="s">
        <v>601</v>
      </c>
      <c r="E105" s="110" t="s">
        <v>55</v>
      </c>
      <c r="F105" s="114">
        <v>80</v>
      </c>
      <c r="G105" s="118">
        <v>580</v>
      </c>
      <c r="H105" s="97">
        <f t="shared" si="2"/>
        <v>46400</v>
      </c>
      <c r="I105" s="112" t="s">
        <v>69</v>
      </c>
      <c r="J105" s="168" t="s">
        <v>1136</v>
      </c>
      <c r="K105" s="46"/>
    </row>
    <row r="106" spans="1:11">
      <c r="A106" s="184">
        <v>101</v>
      </c>
      <c r="B106" s="44"/>
      <c r="C106" s="89" t="s">
        <v>638</v>
      </c>
      <c r="D106" s="34" t="s">
        <v>639</v>
      </c>
      <c r="E106" s="110" t="s">
        <v>56</v>
      </c>
      <c r="F106" s="114">
        <v>1</v>
      </c>
      <c r="G106" s="118">
        <v>1400</v>
      </c>
      <c r="H106" s="97">
        <f t="shared" si="2"/>
        <v>1400</v>
      </c>
      <c r="I106" s="112" t="s">
        <v>69</v>
      </c>
      <c r="J106" s="168" t="s">
        <v>1136</v>
      </c>
      <c r="K106" s="46"/>
    </row>
    <row r="107" spans="1:11">
      <c r="A107" s="184">
        <v>102</v>
      </c>
      <c r="B107" s="44"/>
      <c r="C107" s="89" t="s">
        <v>640</v>
      </c>
      <c r="D107" s="12" t="s">
        <v>641</v>
      </c>
      <c r="E107" s="110" t="s">
        <v>56</v>
      </c>
      <c r="F107" s="114">
        <v>1</v>
      </c>
      <c r="G107" s="118">
        <v>2920</v>
      </c>
      <c r="H107" s="97">
        <f t="shared" si="2"/>
        <v>2920</v>
      </c>
      <c r="I107" s="112" t="s">
        <v>69</v>
      </c>
      <c r="J107" s="168" t="s">
        <v>1136</v>
      </c>
      <c r="K107" s="46"/>
    </row>
    <row r="108" spans="1:11">
      <c r="A108" s="184">
        <v>103</v>
      </c>
      <c r="B108" s="108"/>
      <c r="C108" s="89" t="s">
        <v>642</v>
      </c>
      <c r="D108" s="34" t="s">
        <v>643</v>
      </c>
      <c r="E108" s="110" t="s">
        <v>56</v>
      </c>
      <c r="F108" s="114">
        <v>1</v>
      </c>
      <c r="G108" s="118">
        <v>5880</v>
      </c>
      <c r="H108" s="97">
        <f t="shared" si="2"/>
        <v>5880</v>
      </c>
      <c r="I108" s="112" t="s">
        <v>69</v>
      </c>
      <c r="J108" s="168" t="s">
        <v>1136</v>
      </c>
      <c r="K108" s="46"/>
    </row>
    <row r="109" spans="1:11">
      <c r="A109" s="184">
        <v>104</v>
      </c>
      <c r="B109" s="44"/>
      <c r="C109" s="89" t="s">
        <v>644</v>
      </c>
      <c r="D109" s="34" t="s">
        <v>645</v>
      </c>
      <c r="E109" s="110" t="s">
        <v>56</v>
      </c>
      <c r="F109" s="114">
        <v>2</v>
      </c>
      <c r="G109" s="118">
        <v>960</v>
      </c>
      <c r="H109" s="97">
        <f t="shared" si="2"/>
        <v>1920</v>
      </c>
      <c r="I109" s="112" t="s">
        <v>69</v>
      </c>
      <c r="J109" s="168" t="s">
        <v>1136</v>
      </c>
      <c r="K109" s="46"/>
    </row>
    <row r="110" spans="1:11">
      <c r="A110" s="184">
        <v>105</v>
      </c>
      <c r="B110" s="44"/>
      <c r="C110" s="89" t="s">
        <v>646</v>
      </c>
      <c r="D110" s="12" t="s">
        <v>647</v>
      </c>
      <c r="E110" s="110" t="s">
        <v>56</v>
      </c>
      <c r="F110" s="114">
        <v>1</v>
      </c>
      <c r="G110" s="118">
        <v>5280.45</v>
      </c>
      <c r="H110" s="97">
        <f t="shared" si="2"/>
        <v>5280.45</v>
      </c>
      <c r="I110" s="112" t="s">
        <v>69</v>
      </c>
      <c r="J110" s="168" t="s">
        <v>1136</v>
      </c>
      <c r="K110" s="46"/>
    </row>
    <row r="111" spans="1:11">
      <c r="A111" s="184">
        <v>106</v>
      </c>
      <c r="B111" s="115"/>
      <c r="C111" s="89" t="s">
        <v>648</v>
      </c>
      <c r="D111" s="12" t="s">
        <v>601</v>
      </c>
      <c r="E111" s="110" t="s">
        <v>56</v>
      </c>
      <c r="F111" s="114">
        <v>80</v>
      </c>
      <c r="G111" s="118">
        <v>460</v>
      </c>
      <c r="H111" s="97">
        <f t="shared" si="2"/>
        <v>36800</v>
      </c>
      <c r="I111" s="184" t="s">
        <v>69</v>
      </c>
      <c r="J111" s="168" t="s">
        <v>1136</v>
      </c>
      <c r="K111" s="46"/>
    </row>
    <row r="112" spans="1:11">
      <c r="A112" s="184">
        <v>107</v>
      </c>
      <c r="B112" s="107"/>
      <c r="C112" s="89" t="s">
        <v>649</v>
      </c>
      <c r="D112" s="34" t="s">
        <v>650</v>
      </c>
      <c r="E112" s="110" t="s">
        <v>56</v>
      </c>
      <c r="F112" s="114">
        <v>1</v>
      </c>
      <c r="G112" s="111">
        <v>19620</v>
      </c>
      <c r="H112" s="97">
        <f t="shared" ref="H112:H135" si="3">SUM(F112*G112)</f>
        <v>19620</v>
      </c>
      <c r="I112" s="184" t="s">
        <v>69</v>
      </c>
      <c r="J112" s="168" t="s">
        <v>1136</v>
      </c>
      <c r="K112" s="46"/>
    </row>
    <row r="113" spans="1:11">
      <c r="A113" s="184">
        <v>108</v>
      </c>
      <c r="B113" s="107"/>
      <c r="C113" s="89" t="s">
        <v>651</v>
      </c>
      <c r="D113" s="34" t="s">
        <v>639</v>
      </c>
      <c r="E113" s="110" t="s">
        <v>1100</v>
      </c>
      <c r="F113" s="114">
        <v>2</v>
      </c>
      <c r="G113" s="118">
        <v>1300</v>
      </c>
      <c r="H113" s="97">
        <f t="shared" si="3"/>
        <v>2600</v>
      </c>
      <c r="I113" s="184" t="s">
        <v>69</v>
      </c>
      <c r="J113" s="168" t="s">
        <v>1136</v>
      </c>
      <c r="K113" s="46"/>
    </row>
    <row r="114" spans="1:11">
      <c r="A114" s="184">
        <v>109</v>
      </c>
      <c r="B114" s="117"/>
      <c r="C114" s="89" t="s">
        <v>652</v>
      </c>
      <c r="D114" s="34" t="s">
        <v>639</v>
      </c>
      <c r="E114" s="110" t="s">
        <v>1100</v>
      </c>
      <c r="F114" s="114">
        <v>16</v>
      </c>
      <c r="G114" s="118">
        <v>1000</v>
      </c>
      <c r="H114" s="97">
        <f t="shared" si="3"/>
        <v>16000</v>
      </c>
      <c r="I114" s="184" t="s">
        <v>69</v>
      </c>
      <c r="J114" s="168" t="s">
        <v>1136</v>
      </c>
      <c r="K114" s="46"/>
    </row>
    <row r="115" spans="1:11">
      <c r="A115" s="184">
        <v>110</v>
      </c>
      <c r="B115" s="184"/>
      <c r="C115" s="89" t="s">
        <v>653</v>
      </c>
      <c r="D115" s="34" t="s">
        <v>654</v>
      </c>
      <c r="E115" s="81" t="s">
        <v>56</v>
      </c>
      <c r="F115" s="114">
        <v>1</v>
      </c>
      <c r="G115" s="118">
        <v>7420</v>
      </c>
      <c r="H115" s="97">
        <f t="shared" si="3"/>
        <v>7420</v>
      </c>
      <c r="I115" s="184" t="s">
        <v>69</v>
      </c>
      <c r="J115" s="168" t="s">
        <v>1136</v>
      </c>
      <c r="K115" s="46"/>
    </row>
    <row r="116" spans="1:11">
      <c r="A116" s="184">
        <v>111</v>
      </c>
      <c r="B116" s="184"/>
      <c r="C116" s="89" t="s">
        <v>655</v>
      </c>
      <c r="D116" s="34" t="s">
        <v>656</v>
      </c>
      <c r="E116" s="81" t="s">
        <v>55</v>
      </c>
      <c r="F116" s="114">
        <v>1</v>
      </c>
      <c r="G116" s="111">
        <v>6000</v>
      </c>
      <c r="H116" s="97">
        <f t="shared" si="3"/>
        <v>6000</v>
      </c>
      <c r="I116" s="184" t="s">
        <v>69</v>
      </c>
      <c r="J116" s="168" t="s">
        <v>1136</v>
      </c>
      <c r="K116" s="46"/>
    </row>
    <row r="117" spans="1:11">
      <c r="A117" s="184">
        <v>112</v>
      </c>
      <c r="B117" s="44"/>
      <c r="C117" s="89" t="s">
        <v>657</v>
      </c>
      <c r="D117" s="12" t="s">
        <v>636</v>
      </c>
      <c r="E117" s="110" t="s">
        <v>56</v>
      </c>
      <c r="F117" s="114">
        <v>1</v>
      </c>
      <c r="G117" s="111">
        <v>8165</v>
      </c>
      <c r="H117" s="97">
        <f t="shared" si="3"/>
        <v>8165</v>
      </c>
      <c r="I117" s="112" t="s">
        <v>69</v>
      </c>
      <c r="J117" s="168" t="s">
        <v>1136</v>
      </c>
      <c r="K117" s="46"/>
    </row>
    <row r="118" spans="1:11">
      <c r="A118" s="184">
        <v>113</v>
      </c>
      <c r="B118" s="44"/>
      <c r="C118" s="89" t="s">
        <v>658</v>
      </c>
      <c r="D118" s="34" t="s">
        <v>659</v>
      </c>
      <c r="E118" s="110" t="s">
        <v>55</v>
      </c>
      <c r="F118" s="114">
        <v>280</v>
      </c>
      <c r="G118" s="111">
        <v>200</v>
      </c>
      <c r="H118" s="97">
        <f t="shared" si="3"/>
        <v>56000</v>
      </c>
      <c r="I118" s="112" t="s">
        <v>69</v>
      </c>
      <c r="J118" s="168" t="s">
        <v>1136</v>
      </c>
      <c r="K118" s="46"/>
    </row>
    <row r="119" spans="1:11">
      <c r="A119" s="184">
        <v>114</v>
      </c>
      <c r="B119" s="44"/>
      <c r="C119" s="89" t="s">
        <v>660</v>
      </c>
      <c r="D119" s="34" t="s">
        <v>661</v>
      </c>
      <c r="E119" s="110" t="s">
        <v>55</v>
      </c>
      <c r="F119" s="114">
        <v>1</v>
      </c>
      <c r="G119" s="111">
        <v>4534</v>
      </c>
      <c r="H119" s="97">
        <f t="shared" si="3"/>
        <v>4534</v>
      </c>
      <c r="I119" s="112" t="s">
        <v>69</v>
      </c>
      <c r="J119" s="168" t="s">
        <v>1136</v>
      </c>
      <c r="K119" s="46"/>
    </row>
    <row r="120" spans="1:11">
      <c r="A120" s="184">
        <v>115</v>
      </c>
      <c r="B120" s="44"/>
      <c r="C120" s="89" t="s">
        <v>662</v>
      </c>
      <c r="D120" s="34" t="s">
        <v>663</v>
      </c>
      <c r="E120" s="110" t="s">
        <v>56</v>
      </c>
      <c r="F120" s="114">
        <v>1</v>
      </c>
      <c r="G120" s="111">
        <v>6440</v>
      </c>
      <c r="H120" s="97">
        <f t="shared" si="3"/>
        <v>6440</v>
      </c>
      <c r="I120" s="112" t="s">
        <v>69</v>
      </c>
      <c r="J120" s="168" t="s">
        <v>1136</v>
      </c>
      <c r="K120" s="46"/>
    </row>
    <row r="121" spans="1:11">
      <c r="A121" s="184">
        <v>116</v>
      </c>
      <c r="B121" s="108"/>
      <c r="C121" s="89" t="s">
        <v>664</v>
      </c>
      <c r="D121" s="34" t="s">
        <v>665</v>
      </c>
      <c r="E121" s="81" t="s">
        <v>56</v>
      </c>
      <c r="F121" s="114">
        <v>1</v>
      </c>
      <c r="G121" s="111">
        <v>11490</v>
      </c>
      <c r="H121" s="97">
        <f t="shared" si="3"/>
        <v>11490</v>
      </c>
      <c r="I121" s="112" t="s">
        <v>69</v>
      </c>
      <c r="J121" s="168" t="s">
        <v>1136</v>
      </c>
      <c r="K121" s="46"/>
    </row>
    <row r="122" spans="1:11">
      <c r="A122" s="184">
        <v>117</v>
      </c>
      <c r="B122" s="44"/>
      <c r="C122" s="89" t="s">
        <v>666</v>
      </c>
      <c r="D122" s="12" t="s">
        <v>601</v>
      </c>
      <c r="E122" s="110" t="s">
        <v>56</v>
      </c>
      <c r="F122" s="114">
        <v>420</v>
      </c>
      <c r="G122" s="118">
        <v>750</v>
      </c>
      <c r="H122" s="97">
        <f t="shared" si="3"/>
        <v>315000</v>
      </c>
      <c r="I122" s="112" t="s">
        <v>69</v>
      </c>
      <c r="J122" s="168" t="s">
        <v>1136</v>
      </c>
      <c r="K122" s="46"/>
    </row>
    <row r="123" spans="1:11">
      <c r="A123" s="184">
        <v>118</v>
      </c>
      <c r="B123" s="44"/>
      <c r="C123" s="89" t="s">
        <v>667</v>
      </c>
      <c r="D123" s="34" t="s">
        <v>668</v>
      </c>
      <c r="E123" s="110" t="s">
        <v>56</v>
      </c>
      <c r="F123" s="114">
        <v>2</v>
      </c>
      <c r="G123" s="111">
        <v>19320</v>
      </c>
      <c r="H123" s="97">
        <f t="shared" si="3"/>
        <v>38640</v>
      </c>
      <c r="I123" s="120" t="s">
        <v>69</v>
      </c>
      <c r="J123" s="168" t="s">
        <v>1136</v>
      </c>
      <c r="K123" s="46"/>
    </row>
    <row r="124" spans="1:11">
      <c r="A124" s="184">
        <v>119</v>
      </c>
      <c r="B124" s="115"/>
      <c r="C124" s="89" t="s">
        <v>669</v>
      </c>
      <c r="D124" s="34" t="s">
        <v>670</v>
      </c>
      <c r="E124" s="110" t="s">
        <v>56</v>
      </c>
      <c r="F124" s="114">
        <v>2</v>
      </c>
      <c r="G124" s="111">
        <v>23000</v>
      </c>
      <c r="H124" s="97">
        <f t="shared" si="3"/>
        <v>46000</v>
      </c>
      <c r="I124" s="120" t="s">
        <v>69</v>
      </c>
      <c r="J124" s="168" t="s">
        <v>1136</v>
      </c>
      <c r="K124" s="46"/>
    </row>
    <row r="125" spans="1:11">
      <c r="A125" s="184">
        <v>120</v>
      </c>
      <c r="B125" s="115"/>
      <c r="C125" s="89" t="s">
        <v>671</v>
      </c>
      <c r="D125" s="12" t="s">
        <v>601</v>
      </c>
      <c r="E125" s="110" t="s">
        <v>1127</v>
      </c>
      <c r="F125" s="114">
        <v>120</v>
      </c>
      <c r="G125" s="118">
        <v>750</v>
      </c>
      <c r="H125" s="97">
        <f t="shared" si="3"/>
        <v>90000</v>
      </c>
      <c r="I125" s="184" t="s">
        <v>69</v>
      </c>
      <c r="J125" s="168" t="s">
        <v>1136</v>
      </c>
      <c r="K125" s="46"/>
    </row>
    <row r="126" spans="1:11">
      <c r="A126" s="184">
        <v>121</v>
      </c>
      <c r="B126" s="107"/>
      <c r="C126" s="89" t="s">
        <v>672</v>
      </c>
      <c r="D126" s="34" t="s">
        <v>673</v>
      </c>
      <c r="E126" s="110" t="s">
        <v>56</v>
      </c>
      <c r="F126" s="114">
        <v>1</v>
      </c>
      <c r="G126" s="118">
        <v>1980</v>
      </c>
      <c r="H126" s="97">
        <f t="shared" si="3"/>
        <v>1980</v>
      </c>
      <c r="I126" s="184" t="s">
        <v>69</v>
      </c>
      <c r="J126" s="168" t="s">
        <v>1136</v>
      </c>
      <c r="K126" s="46"/>
    </row>
    <row r="127" spans="1:11">
      <c r="A127" s="184">
        <v>122</v>
      </c>
      <c r="B127" s="107"/>
      <c r="C127" s="89" t="s">
        <v>674</v>
      </c>
      <c r="D127" s="34" t="s">
        <v>675</v>
      </c>
      <c r="E127" s="110" t="s">
        <v>56</v>
      </c>
      <c r="F127" s="114">
        <v>2</v>
      </c>
      <c r="G127" s="111">
        <v>2800</v>
      </c>
      <c r="H127" s="97">
        <f t="shared" si="3"/>
        <v>5600</v>
      </c>
      <c r="I127" s="184" t="s">
        <v>69</v>
      </c>
      <c r="J127" s="168" t="s">
        <v>1136</v>
      </c>
      <c r="K127" s="41"/>
    </row>
    <row r="128" spans="1:11">
      <c r="A128" s="184">
        <v>123</v>
      </c>
      <c r="B128" s="107"/>
      <c r="C128" s="89" t="s">
        <v>676</v>
      </c>
      <c r="D128" s="34" t="s">
        <v>89</v>
      </c>
      <c r="E128" s="110" t="s">
        <v>56</v>
      </c>
      <c r="F128" s="114">
        <v>2</v>
      </c>
      <c r="G128" s="111">
        <v>3100</v>
      </c>
      <c r="H128" s="97">
        <f t="shared" si="3"/>
        <v>6200</v>
      </c>
      <c r="I128" s="184" t="s">
        <v>69</v>
      </c>
      <c r="J128" s="168" t="s">
        <v>1136</v>
      </c>
      <c r="K128" s="46"/>
    </row>
    <row r="129" spans="1:11">
      <c r="A129" s="184">
        <v>124</v>
      </c>
      <c r="B129" s="107"/>
      <c r="C129" s="89" t="s">
        <v>677</v>
      </c>
      <c r="D129" s="34" t="s">
        <v>50</v>
      </c>
      <c r="E129" s="110" t="s">
        <v>56</v>
      </c>
      <c r="F129" s="114">
        <v>1</v>
      </c>
      <c r="G129" s="111">
        <v>3000</v>
      </c>
      <c r="H129" s="97">
        <f t="shared" si="3"/>
        <v>3000</v>
      </c>
      <c r="I129" s="184" t="s">
        <v>69</v>
      </c>
      <c r="J129" s="168" t="s">
        <v>1136</v>
      </c>
      <c r="K129" s="46"/>
    </row>
    <row r="130" spans="1:11">
      <c r="A130" s="184">
        <v>125</v>
      </c>
      <c r="B130" s="117"/>
      <c r="C130" s="89" t="s">
        <v>678</v>
      </c>
      <c r="D130" s="34" t="s">
        <v>91</v>
      </c>
      <c r="E130" s="110" t="s">
        <v>56</v>
      </c>
      <c r="F130" s="114">
        <v>1</v>
      </c>
      <c r="G130" s="111">
        <v>17300</v>
      </c>
      <c r="H130" s="97">
        <f t="shared" si="3"/>
        <v>17300</v>
      </c>
      <c r="I130" s="184" t="s">
        <v>69</v>
      </c>
      <c r="J130" s="168" t="s">
        <v>1136</v>
      </c>
      <c r="K130" s="46"/>
    </row>
    <row r="131" spans="1:11">
      <c r="A131" s="184">
        <v>126</v>
      </c>
      <c r="B131" s="184"/>
      <c r="C131" s="89" t="s">
        <v>679</v>
      </c>
      <c r="D131" s="34" t="s">
        <v>680</v>
      </c>
      <c r="E131" s="81" t="s">
        <v>56</v>
      </c>
      <c r="F131" s="114">
        <v>1</v>
      </c>
      <c r="G131" s="111">
        <v>1700</v>
      </c>
      <c r="H131" s="97">
        <f t="shared" si="3"/>
        <v>1700</v>
      </c>
      <c r="I131" s="184" t="s">
        <v>69</v>
      </c>
      <c r="J131" s="168" t="s">
        <v>1136</v>
      </c>
      <c r="K131" s="46"/>
    </row>
    <row r="132" spans="1:11">
      <c r="A132" s="184">
        <v>127</v>
      </c>
      <c r="B132" s="184"/>
      <c r="C132" s="89" t="s">
        <v>681</v>
      </c>
      <c r="D132" s="34" t="s">
        <v>682</v>
      </c>
      <c r="E132" s="81" t="s">
        <v>1127</v>
      </c>
      <c r="F132" s="114">
        <v>8</v>
      </c>
      <c r="G132" s="118">
        <v>3000</v>
      </c>
      <c r="H132" s="97">
        <f t="shared" si="3"/>
        <v>24000</v>
      </c>
      <c r="I132" s="184" t="s">
        <v>69</v>
      </c>
      <c r="J132" s="168" t="s">
        <v>1136</v>
      </c>
      <c r="K132" s="46"/>
    </row>
    <row r="133" spans="1:11">
      <c r="A133" s="184">
        <v>128</v>
      </c>
      <c r="B133" s="184"/>
      <c r="C133" s="89" t="s">
        <v>683</v>
      </c>
      <c r="D133" s="121" t="s">
        <v>684</v>
      </c>
      <c r="E133" s="81" t="s">
        <v>55</v>
      </c>
      <c r="F133" s="114">
        <v>1</v>
      </c>
      <c r="G133" s="118">
        <v>16800</v>
      </c>
      <c r="H133" s="97">
        <f t="shared" si="3"/>
        <v>16800</v>
      </c>
      <c r="I133" s="184" t="s">
        <v>69</v>
      </c>
      <c r="J133" s="168" t="s">
        <v>1136</v>
      </c>
      <c r="K133" s="46"/>
    </row>
    <row r="134" spans="1:11">
      <c r="A134" s="184">
        <v>129</v>
      </c>
      <c r="B134" s="107"/>
      <c r="C134" s="89" t="s">
        <v>687</v>
      </c>
      <c r="D134" s="121" t="s">
        <v>688</v>
      </c>
      <c r="E134" s="110" t="s">
        <v>55</v>
      </c>
      <c r="F134" s="114">
        <v>2</v>
      </c>
      <c r="G134" s="118">
        <v>2000</v>
      </c>
      <c r="H134" s="97">
        <f t="shared" si="3"/>
        <v>4000</v>
      </c>
      <c r="I134" s="184" t="s">
        <v>69</v>
      </c>
      <c r="J134" s="168" t="s">
        <v>1136</v>
      </c>
      <c r="K134" s="46"/>
    </row>
    <row r="135" spans="1:11">
      <c r="A135" s="184">
        <v>130</v>
      </c>
      <c r="B135" s="107"/>
      <c r="C135" s="89" t="s">
        <v>689</v>
      </c>
      <c r="D135" s="121" t="s">
        <v>690</v>
      </c>
      <c r="E135" s="110" t="s">
        <v>55</v>
      </c>
      <c r="F135" s="114">
        <v>2</v>
      </c>
      <c r="G135" s="118">
        <v>31000</v>
      </c>
      <c r="H135" s="97">
        <f t="shared" si="3"/>
        <v>62000</v>
      </c>
      <c r="I135" s="184" t="s">
        <v>69</v>
      </c>
      <c r="J135" s="168" t="s">
        <v>1136</v>
      </c>
      <c r="K135" s="46"/>
    </row>
    <row r="136" spans="1:11">
      <c r="A136" s="184">
        <v>131</v>
      </c>
      <c r="B136" s="184"/>
      <c r="C136" s="89" t="s">
        <v>99</v>
      </c>
      <c r="D136" s="12" t="s">
        <v>110</v>
      </c>
      <c r="E136" s="35" t="s">
        <v>56</v>
      </c>
      <c r="F136" s="36">
        <v>1</v>
      </c>
      <c r="G136" s="42">
        <v>5900</v>
      </c>
      <c r="H136" s="97">
        <f t="shared" ref="H136:H164" si="4">SUM(F136*G136)</f>
        <v>5900</v>
      </c>
      <c r="I136" s="184" t="s">
        <v>69</v>
      </c>
      <c r="J136" s="94" t="s">
        <v>1137</v>
      </c>
      <c r="K136" s="46"/>
    </row>
    <row r="137" spans="1:11">
      <c r="A137" s="184">
        <v>132</v>
      </c>
      <c r="B137" s="184"/>
      <c r="C137" s="89" t="s">
        <v>100</v>
      </c>
      <c r="D137" s="119" t="s">
        <v>111</v>
      </c>
      <c r="E137" s="35" t="s">
        <v>56</v>
      </c>
      <c r="F137" s="36">
        <v>1</v>
      </c>
      <c r="G137" s="97">
        <v>900</v>
      </c>
      <c r="H137" s="97">
        <f t="shared" si="4"/>
        <v>900</v>
      </c>
      <c r="I137" s="184" t="s">
        <v>69</v>
      </c>
      <c r="J137" s="94" t="s">
        <v>1137</v>
      </c>
      <c r="K137" s="46"/>
    </row>
    <row r="138" spans="1:11">
      <c r="A138" s="184">
        <v>133</v>
      </c>
      <c r="B138" s="184"/>
      <c r="C138" s="89" t="s">
        <v>101</v>
      </c>
      <c r="D138" s="119" t="s">
        <v>112</v>
      </c>
      <c r="E138" s="35" t="s">
        <v>56</v>
      </c>
      <c r="F138" s="36">
        <v>1</v>
      </c>
      <c r="G138" s="97">
        <v>1200</v>
      </c>
      <c r="H138" s="97">
        <f t="shared" si="4"/>
        <v>1200</v>
      </c>
      <c r="I138" s="184" t="s">
        <v>69</v>
      </c>
      <c r="J138" s="94" t="s">
        <v>1137</v>
      </c>
      <c r="K138" s="46"/>
    </row>
    <row r="139" spans="1:11">
      <c r="A139" s="184">
        <v>134</v>
      </c>
      <c r="B139" s="184"/>
      <c r="C139" s="89" t="s">
        <v>102</v>
      </c>
      <c r="D139" s="119" t="s">
        <v>113</v>
      </c>
      <c r="E139" s="35" t="s">
        <v>56</v>
      </c>
      <c r="F139" s="36">
        <v>1</v>
      </c>
      <c r="G139" s="97">
        <v>2900</v>
      </c>
      <c r="H139" s="97">
        <f t="shared" si="4"/>
        <v>2900</v>
      </c>
      <c r="I139" s="184" t="s">
        <v>69</v>
      </c>
      <c r="J139" s="94" t="s">
        <v>1137</v>
      </c>
      <c r="K139" s="42"/>
    </row>
    <row r="140" spans="1:11">
      <c r="A140" s="184">
        <v>135</v>
      </c>
      <c r="B140" s="184"/>
      <c r="C140" s="89" t="s">
        <v>103</v>
      </c>
      <c r="D140" s="119" t="s">
        <v>114</v>
      </c>
      <c r="E140" s="35" t="s">
        <v>56</v>
      </c>
      <c r="F140" s="36">
        <v>1</v>
      </c>
      <c r="G140" s="97">
        <v>1200</v>
      </c>
      <c r="H140" s="97">
        <f t="shared" si="4"/>
        <v>1200</v>
      </c>
      <c r="I140" s="184" t="s">
        <v>69</v>
      </c>
      <c r="J140" s="94" t="s">
        <v>1137</v>
      </c>
      <c r="K140" s="42"/>
    </row>
    <row r="141" spans="1:11">
      <c r="A141" s="184">
        <v>136</v>
      </c>
      <c r="B141" s="184"/>
      <c r="C141" s="89" t="s">
        <v>104</v>
      </c>
      <c r="D141" s="119" t="s">
        <v>115</v>
      </c>
      <c r="E141" s="35" t="s">
        <v>56</v>
      </c>
      <c r="F141" s="36">
        <v>1</v>
      </c>
      <c r="G141" s="97">
        <v>250</v>
      </c>
      <c r="H141" s="97">
        <f t="shared" si="4"/>
        <v>250</v>
      </c>
      <c r="I141" s="184" t="s">
        <v>69</v>
      </c>
      <c r="J141" s="94" t="s">
        <v>1137</v>
      </c>
      <c r="K141" s="42"/>
    </row>
    <row r="142" spans="1:11">
      <c r="A142" s="184">
        <v>137</v>
      </c>
      <c r="B142" s="184"/>
      <c r="C142" s="89" t="s">
        <v>105</v>
      </c>
      <c r="D142" s="12" t="s">
        <v>116</v>
      </c>
      <c r="E142" s="35" t="s">
        <v>55</v>
      </c>
      <c r="F142" s="36">
        <v>6</v>
      </c>
      <c r="G142" s="42">
        <v>500</v>
      </c>
      <c r="H142" s="97">
        <f t="shared" si="4"/>
        <v>3000</v>
      </c>
      <c r="I142" s="184" t="s">
        <v>69</v>
      </c>
      <c r="J142" s="94" t="s">
        <v>1137</v>
      </c>
      <c r="K142" s="42"/>
    </row>
    <row r="143" spans="1:11">
      <c r="A143" s="184">
        <v>138</v>
      </c>
      <c r="B143" s="184"/>
      <c r="C143" s="89" t="s">
        <v>106</v>
      </c>
      <c r="D143" s="12" t="s">
        <v>117</v>
      </c>
      <c r="E143" s="35" t="s">
        <v>55</v>
      </c>
      <c r="F143" s="36">
        <v>1</v>
      </c>
      <c r="G143" s="42">
        <v>600</v>
      </c>
      <c r="H143" s="97">
        <f t="shared" si="4"/>
        <v>600</v>
      </c>
      <c r="I143" s="184" t="s">
        <v>69</v>
      </c>
      <c r="J143" s="94" t="s">
        <v>1137</v>
      </c>
      <c r="K143" s="42"/>
    </row>
    <row r="144" spans="1:11">
      <c r="A144" s="184">
        <v>139</v>
      </c>
      <c r="B144" s="184"/>
      <c r="C144" s="89" t="s">
        <v>106</v>
      </c>
      <c r="D144" s="12" t="s">
        <v>118</v>
      </c>
      <c r="E144" s="35" t="s">
        <v>55</v>
      </c>
      <c r="F144" s="36">
        <v>1</v>
      </c>
      <c r="G144" s="42">
        <v>500</v>
      </c>
      <c r="H144" s="97">
        <f t="shared" si="4"/>
        <v>500</v>
      </c>
      <c r="I144" s="184" t="s">
        <v>69</v>
      </c>
      <c r="J144" s="94" t="s">
        <v>1137</v>
      </c>
      <c r="K144" s="42"/>
    </row>
    <row r="145" spans="1:11">
      <c r="A145" s="184">
        <v>140</v>
      </c>
      <c r="B145" s="184"/>
      <c r="C145" s="89" t="s">
        <v>106</v>
      </c>
      <c r="D145" s="12" t="s">
        <v>119</v>
      </c>
      <c r="E145" s="35" t="s">
        <v>55</v>
      </c>
      <c r="F145" s="36">
        <v>1</v>
      </c>
      <c r="G145" s="41">
        <v>500</v>
      </c>
      <c r="H145" s="97">
        <f t="shared" si="4"/>
        <v>500</v>
      </c>
      <c r="I145" s="184" t="s">
        <v>69</v>
      </c>
      <c r="J145" s="94" t="s">
        <v>1137</v>
      </c>
      <c r="K145" s="42"/>
    </row>
    <row r="146" spans="1:11">
      <c r="A146" s="184">
        <v>141</v>
      </c>
      <c r="B146" s="184"/>
      <c r="C146" s="89" t="s">
        <v>106</v>
      </c>
      <c r="D146" s="12" t="s">
        <v>120</v>
      </c>
      <c r="E146" s="35" t="s">
        <v>55</v>
      </c>
      <c r="F146" s="36">
        <v>1</v>
      </c>
      <c r="G146" s="42">
        <v>400</v>
      </c>
      <c r="H146" s="97">
        <f t="shared" si="4"/>
        <v>400</v>
      </c>
      <c r="I146" s="184" t="s">
        <v>69</v>
      </c>
      <c r="J146" s="94" t="s">
        <v>1137</v>
      </c>
      <c r="K146" s="42"/>
    </row>
    <row r="147" spans="1:11">
      <c r="A147" s="184">
        <v>142</v>
      </c>
      <c r="B147" s="184"/>
      <c r="C147" s="89" t="s">
        <v>107</v>
      </c>
      <c r="D147" s="12" t="s">
        <v>66</v>
      </c>
      <c r="E147" s="35" t="s">
        <v>55</v>
      </c>
      <c r="F147" s="36">
        <v>1</v>
      </c>
      <c r="G147" s="42">
        <v>5350</v>
      </c>
      <c r="H147" s="97">
        <f t="shared" si="4"/>
        <v>5350</v>
      </c>
      <c r="I147" s="184" t="s">
        <v>69</v>
      </c>
      <c r="J147" s="94" t="s">
        <v>1137</v>
      </c>
      <c r="K147" s="42"/>
    </row>
    <row r="148" spans="1:11">
      <c r="A148" s="184">
        <v>143</v>
      </c>
      <c r="B148" s="184"/>
      <c r="C148" s="89" t="s">
        <v>108</v>
      </c>
      <c r="D148" s="12" t="s">
        <v>68</v>
      </c>
      <c r="E148" s="35" t="s">
        <v>55</v>
      </c>
      <c r="F148" s="36">
        <v>1</v>
      </c>
      <c r="G148" s="42">
        <v>17000</v>
      </c>
      <c r="H148" s="97">
        <f t="shared" si="4"/>
        <v>17000</v>
      </c>
      <c r="I148" s="184" t="s">
        <v>69</v>
      </c>
      <c r="J148" s="94" t="s">
        <v>1137</v>
      </c>
      <c r="K148" s="42"/>
    </row>
    <row r="149" spans="1:11">
      <c r="A149" s="184">
        <v>144</v>
      </c>
      <c r="B149" s="66" t="s">
        <v>1168</v>
      </c>
      <c r="C149" s="90" t="s">
        <v>1040</v>
      </c>
      <c r="D149" s="122" t="s">
        <v>123</v>
      </c>
      <c r="E149" s="184" t="s">
        <v>56</v>
      </c>
      <c r="F149" s="36">
        <v>1</v>
      </c>
      <c r="G149" s="41">
        <v>15700</v>
      </c>
      <c r="H149" s="97">
        <f t="shared" si="4"/>
        <v>15700</v>
      </c>
      <c r="I149" s="184" t="s">
        <v>69</v>
      </c>
      <c r="J149" s="94" t="s">
        <v>1137</v>
      </c>
      <c r="K149" s="42"/>
    </row>
    <row r="150" spans="1:11">
      <c r="A150" s="184">
        <v>145</v>
      </c>
      <c r="B150" s="184"/>
      <c r="C150" s="106" t="s">
        <v>58</v>
      </c>
      <c r="D150" s="106" t="s">
        <v>313</v>
      </c>
      <c r="E150" s="35" t="s">
        <v>55</v>
      </c>
      <c r="F150" s="36">
        <v>1</v>
      </c>
      <c r="G150" s="41">
        <v>900</v>
      </c>
      <c r="H150" s="97">
        <f t="shared" si="4"/>
        <v>900</v>
      </c>
      <c r="I150" s="184" t="s">
        <v>69</v>
      </c>
      <c r="J150" s="169" t="s">
        <v>1138</v>
      </c>
      <c r="K150" s="42"/>
    </row>
    <row r="151" spans="1:11">
      <c r="A151" s="184">
        <v>146</v>
      </c>
      <c r="B151" s="184"/>
      <c r="C151" s="106" t="s">
        <v>307</v>
      </c>
      <c r="D151" s="106" t="s">
        <v>314</v>
      </c>
      <c r="E151" s="35" t="s">
        <v>55</v>
      </c>
      <c r="F151" s="36">
        <v>1</v>
      </c>
      <c r="G151" s="41">
        <v>1100</v>
      </c>
      <c r="H151" s="97">
        <f t="shared" si="4"/>
        <v>1100</v>
      </c>
      <c r="I151" s="184" t="s">
        <v>69</v>
      </c>
      <c r="J151" s="169" t="s">
        <v>1138</v>
      </c>
      <c r="K151" s="42"/>
    </row>
    <row r="152" spans="1:11">
      <c r="A152" s="184">
        <v>147</v>
      </c>
      <c r="B152" s="44"/>
      <c r="C152" s="106" t="s">
        <v>310</v>
      </c>
      <c r="D152" s="106" t="s">
        <v>314</v>
      </c>
      <c r="E152" s="35" t="s">
        <v>55</v>
      </c>
      <c r="F152" s="36">
        <v>2</v>
      </c>
      <c r="G152" s="41">
        <v>1150</v>
      </c>
      <c r="H152" s="97">
        <f t="shared" si="4"/>
        <v>2300</v>
      </c>
      <c r="I152" s="184" t="s">
        <v>69</v>
      </c>
      <c r="J152" s="169" t="s">
        <v>1138</v>
      </c>
      <c r="K152" s="42"/>
    </row>
    <row r="153" spans="1:11">
      <c r="A153" s="184">
        <v>148</v>
      </c>
      <c r="B153" s="184"/>
      <c r="C153" s="106" t="s">
        <v>311</v>
      </c>
      <c r="D153" s="106" t="s">
        <v>169</v>
      </c>
      <c r="E153" s="35" t="s">
        <v>55</v>
      </c>
      <c r="F153" s="36">
        <v>1</v>
      </c>
      <c r="G153" s="41">
        <v>3300</v>
      </c>
      <c r="H153" s="97">
        <f t="shared" si="4"/>
        <v>3300</v>
      </c>
      <c r="I153" s="184" t="s">
        <v>69</v>
      </c>
      <c r="J153" s="169" t="s">
        <v>1138</v>
      </c>
      <c r="K153" s="42"/>
    </row>
    <row r="154" spans="1:11">
      <c r="A154" s="184">
        <v>149</v>
      </c>
      <c r="B154" s="184"/>
      <c r="C154" s="34" t="s">
        <v>312</v>
      </c>
      <c r="D154" s="12" t="s">
        <v>68</v>
      </c>
      <c r="E154" s="35" t="s">
        <v>55</v>
      </c>
      <c r="F154" s="36">
        <v>1</v>
      </c>
      <c r="G154" s="42">
        <v>17000</v>
      </c>
      <c r="H154" s="97">
        <f t="shared" si="4"/>
        <v>17000</v>
      </c>
      <c r="I154" s="184" t="s">
        <v>69</v>
      </c>
      <c r="J154" s="169" t="s">
        <v>1138</v>
      </c>
      <c r="K154" s="42"/>
    </row>
    <row r="155" spans="1:11">
      <c r="A155" s="184">
        <v>150</v>
      </c>
      <c r="B155" s="184"/>
      <c r="C155" s="34" t="s">
        <v>241</v>
      </c>
      <c r="D155" s="12" t="s">
        <v>266</v>
      </c>
      <c r="E155" s="35" t="s">
        <v>56</v>
      </c>
      <c r="F155" s="36">
        <v>1</v>
      </c>
      <c r="G155" s="42">
        <v>4200</v>
      </c>
      <c r="H155" s="97">
        <f t="shared" si="4"/>
        <v>4200</v>
      </c>
      <c r="I155" s="184" t="s">
        <v>69</v>
      </c>
      <c r="J155" s="169" t="s">
        <v>1143</v>
      </c>
      <c r="K155" s="42"/>
    </row>
    <row r="156" spans="1:11">
      <c r="A156" s="184">
        <v>151</v>
      </c>
      <c r="B156" s="184"/>
      <c r="C156" s="34" t="s">
        <v>242</v>
      </c>
      <c r="D156" s="12" t="s">
        <v>267</v>
      </c>
      <c r="E156" s="35" t="s">
        <v>56</v>
      </c>
      <c r="F156" s="36">
        <v>1</v>
      </c>
      <c r="G156" s="42">
        <v>1650</v>
      </c>
      <c r="H156" s="97">
        <f t="shared" si="4"/>
        <v>1650</v>
      </c>
      <c r="I156" s="184" t="s">
        <v>69</v>
      </c>
      <c r="J156" s="169" t="s">
        <v>1143</v>
      </c>
      <c r="K156" s="42"/>
    </row>
    <row r="157" spans="1:11">
      <c r="A157" s="184">
        <v>152</v>
      </c>
      <c r="B157" s="184"/>
      <c r="C157" s="34" t="s">
        <v>244</v>
      </c>
      <c r="D157" s="12" t="s">
        <v>269</v>
      </c>
      <c r="E157" s="35" t="s">
        <v>56</v>
      </c>
      <c r="F157" s="36">
        <v>7</v>
      </c>
      <c r="G157" s="41">
        <v>1600</v>
      </c>
      <c r="H157" s="97">
        <f t="shared" si="4"/>
        <v>11200</v>
      </c>
      <c r="I157" s="184" t="s">
        <v>69</v>
      </c>
      <c r="J157" s="169" t="s">
        <v>1143</v>
      </c>
      <c r="K157" s="42"/>
    </row>
    <row r="158" spans="1:11">
      <c r="A158" s="184">
        <v>153</v>
      </c>
      <c r="B158" s="44"/>
      <c r="C158" s="34" t="s">
        <v>247</v>
      </c>
      <c r="D158" s="12" t="s">
        <v>272</v>
      </c>
      <c r="E158" s="35" t="s">
        <v>1100</v>
      </c>
      <c r="F158" s="36">
        <v>1</v>
      </c>
      <c r="G158" s="42">
        <v>1370</v>
      </c>
      <c r="H158" s="97">
        <f t="shared" si="4"/>
        <v>1370</v>
      </c>
      <c r="I158" s="184" t="s">
        <v>69</v>
      </c>
      <c r="J158" s="169" t="s">
        <v>1143</v>
      </c>
      <c r="K158" s="42"/>
    </row>
    <row r="159" spans="1:11">
      <c r="A159" s="184">
        <v>154</v>
      </c>
      <c r="B159" s="184"/>
      <c r="C159" s="34" t="s">
        <v>252</v>
      </c>
      <c r="D159" s="12" t="s">
        <v>275</v>
      </c>
      <c r="E159" s="35" t="s">
        <v>55</v>
      </c>
      <c r="F159" s="36">
        <v>1</v>
      </c>
      <c r="G159" s="42">
        <v>7900</v>
      </c>
      <c r="H159" s="97">
        <f t="shared" si="4"/>
        <v>7900</v>
      </c>
      <c r="I159" s="184" t="s">
        <v>69</v>
      </c>
      <c r="J159" s="169" t="s">
        <v>1143</v>
      </c>
      <c r="K159" s="46"/>
    </row>
    <row r="160" spans="1:11">
      <c r="A160" s="184">
        <v>155</v>
      </c>
      <c r="B160" s="44"/>
      <c r="C160" s="34" t="s">
        <v>253</v>
      </c>
      <c r="D160" s="12" t="s">
        <v>276</v>
      </c>
      <c r="E160" s="35" t="s">
        <v>55</v>
      </c>
      <c r="F160" s="36">
        <v>1</v>
      </c>
      <c r="G160" s="42">
        <v>32000</v>
      </c>
      <c r="H160" s="97">
        <f t="shared" si="4"/>
        <v>32000</v>
      </c>
      <c r="I160" s="184" t="s">
        <v>69</v>
      </c>
      <c r="J160" s="169" t="s">
        <v>1143</v>
      </c>
      <c r="K160" s="46"/>
    </row>
    <row r="161" spans="1:11">
      <c r="A161" s="184">
        <v>156</v>
      </c>
      <c r="B161" s="184"/>
      <c r="C161" s="34" t="s">
        <v>254</v>
      </c>
      <c r="D161" s="12" t="s">
        <v>277</v>
      </c>
      <c r="E161" s="35" t="s">
        <v>55</v>
      </c>
      <c r="F161" s="36">
        <v>96</v>
      </c>
      <c r="G161" s="42">
        <v>152</v>
      </c>
      <c r="H161" s="97">
        <f t="shared" si="4"/>
        <v>14592</v>
      </c>
      <c r="I161" s="184" t="s">
        <v>69</v>
      </c>
      <c r="J161" s="169" t="s">
        <v>1143</v>
      </c>
      <c r="K161" s="46"/>
    </row>
    <row r="162" spans="1:11">
      <c r="A162" s="184">
        <v>157</v>
      </c>
      <c r="B162" s="184"/>
      <c r="C162" s="34" t="s">
        <v>256</v>
      </c>
      <c r="D162" s="12" t="s">
        <v>279</v>
      </c>
      <c r="E162" s="35" t="s">
        <v>55</v>
      </c>
      <c r="F162" s="36">
        <v>2</v>
      </c>
      <c r="G162" s="42">
        <v>3500</v>
      </c>
      <c r="H162" s="97">
        <f t="shared" si="4"/>
        <v>7000</v>
      </c>
      <c r="I162" s="184" t="s">
        <v>69</v>
      </c>
      <c r="J162" s="169" t="s">
        <v>1143</v>
      </c>
      <c r="K162" s="46"/>
    </row>
    <row r="163" spans="1:11">
      <c r="A163" s="184">
        <v>158</v>
      </c>
      <c r="B163" s="184"/>
      <c r="C163" s="34" t="s">
        <v>257</v>
      </c>
      <c r="D163" s="12" t="s">
        <v>280</v>
      </c>
      <c r="E163" s="35" t="s">
        <v>55</v>
      </c>
      <c r="F163" s="36">
        <v>2</v>
      </c>
      <c r="G163" s="42">
        <v>1500</v>
      </c>
      <c r="H163" s="97">
        <f t="shared" si="4"/>
        <v>3000</v>
      </c>
      <c r="I163" s="184" t="s">
        <v>69</v>
      </c>
      <c r="J163" s="169" t="s">
        <v>1143</v>
      </c>
      <c r="K163" s="46"/>
    </row>
    <row r="164" spans="1:11">
      <c r="A164" s="184">
        <v>159</v>
      </c>
      <c r="B164" s="184"/>
      <c r="C164" s="34" t="s">
        <v>258</v>
      </c>
      <c r="D164" s="12" t="s">
        <v>281</v>
      </c>
      <c r="E164" s="35" t="s">
        <v>55</v>
      </c>
      <c r="F164" s="36">
        <v>2</v>
      </c>
      <c r="G164" s="42">
        <v>450</v>
      </c>
      <c r="H164" s="97">
        <f t="shared" si="4"/>
        <v>900</v>
      </c>
      <c r="I164" s="184" t="s">
        <v>69</v>
      </c>
      <c r="J164" s="169" t="s">
        <v>1143</v>
      </c>
      <c r="K164" s="46"/>
    </row>
    <row r="165" spans="1:11">
      <c r="A165" s="184">
        <v>160</v>
      </c>
      <c r="B165" s="184"/>
      <c r="C165" s="34" t="s">
        <v>259</v>
      </c>
      <c r="D165" s="12" t="s">
        <v>282</v>
      </c>
      <c r="E165" s="35" t="s">
        <v>55</v>
      </c>
      <c r="F165" s="36">
        <v>2</v>
      </c>
      <c r="G165" s="42">
        <v>680</v>
      </c>
      <c r="H165" s="97">
        <f t="shared" ref="H165:H189" si="5">SUM(F165*G165)</f>
        <v>1360</v>
      </c>
      <c r="I165" s="184" t="s">
        <v>69</v>
      </c>
      <c r="J165" s="169" t="s">
        <v>1143</v>
      </c>
      <c r="K165" s="46"/>
    </row>
    <row r="166" spans="1:11">
      <c r="A166" s="184">
        <v>161</v>
      </c>
      <c r="B166" s="184"/>
      <c r="C166" s="34" t="s">
        <v>264</v>
      </c>
      <c r="D166" s="12" t="s">
        <v>287</v>
      </c>
      <c r="E166" s="184" t="s">
        <v>55</v>
      </c>
      <c r="F166" s="36">
        <v>1</v>
      </c>
      <c r="G166" s="42">
        <v>26500</v>
      </c>
      <c r="H166" s="97">
        <f t="shared" si="5"/>
        <v>26500</v>
      </c>
      <c r="I166" s="184" t="s">
        <v>71</v>
      </c>
      <c r="J166" s="169" t="s">
        <v>1143</v>
      </c>
      <c r="K166" s="46"/>
    </row>
    <row r="167" spans="1:11">
      <c r="A167" s="184">
        <v>162</v>
      </c>
      <c r="B167" s="184"/>
      <c r="C167" s="34" t="s">
        <v>265</v>
      </c>
      <c r="D167" s="12" t="s">
        <v>288</v>
      </c>
      <c r="E167" s="184" t="s">
        <v>55</v>
      </c>
      <c r="F167" s="36">
        <v>1</v>
      </c>
      <c r="G167" s="41">
        <v>28900</v>
      </c>
      <c r="H167" s="97">
        <f t="shared" si="5"/>
        <v>28900</v>
      </c>
      <c r="I167" s="184" t="s">
        <v>69</v>
      </c>
      <c r="J167" s="169" t="s">
        <v>1143</v>
      </c>
      <c r="K167" s="46"/>
    </row>
    <row r="168" spans="1:11">
      <c r="A168" s="184">
        <v>163</v>
      </c>
      <c r="B168" s="184"/>
      <c r="C168" s="6" t="s">
        <v>212</v>
      </c>
      <c r="D168" s="12" t="s">
        <v>91</v>
      </c>
      <c r="E168" s="35" t="s">
        <v>1100</v>
      </c>
      <c r="F168" s="36">
        <v>1</v>
      </c>
      <c r="G168" s="41">
        <v>29000</v>
      </c>
      <c r="H168" s="97">
        <f t="shared" si="5"/>
        <v>29000</v>
      </c>
      <c r="I168" s="184" t="s">
        <v>69</v>
      </c>
      <c r="J168" s="94" t="s">
        <v>1144</v>
      </c>
      <c r="K168" s="46"/>
    </row>
    <row r="169" spans="1:11">
      <c r="A169" s="184">
        <v>164</v>
      </c>
      <c r="B169" s="184"/>
      <c r="C169" s="10" t="s">
        <v>228</v>
      </c>
      <c r="D169" s="121" t="s">
        <v>234</v>
      </c>
      <c r="E169" s="35" t="s">
        <v>55</v>
      </c>
      <c r="F169" s="36">
        <v>1</v>
      </c>
      <c r="G169" s="42">
        <v>3700</v>
      </c>
      <c r="H169" s="97">
        <f t="shared" si="5"/>
        <v>3700</v>
      </c>
      <c r="I169" s="184" t="s">
        <v>69</v>
      </c>
      <c r="J169" s="94" t="s">
        <v>1145</v>
      </c>
      <c r="K169" s="46"/>
    </row>
    <row r="170" spans="1:11">
      <c r="A170" s="184">
        <v>165</v>
      </c>
      <c r="B170" s="184"/>
      <c r="C170" s="10" t="s">
        <v>229</v>
      </c>
      <c r="D170" s="121" t="s">
        <v>235</v>
      </c>
      <c r="E170" s="35" t="s">
        <v>55</v>
      </c>
      <c r="F170" s="36">
        <v>15</v>
      </c>
      <c r="G170" s="42">
        <v>4238.5200000000004</v>
      </c>
      <c r="H170" s="97">
        <f t="shared" si="5"/>
        <v>63577.8</v>
      </c>
      <c r="I170" s="184" t="s">
        <v>69</v>
      </c>
      <c r="J170" s="94" t="s">
        <v>1145</v>
      </c>
      <c r="K170" s="46"/>
    </row>
    <row r="171" spans="1:11">
      <c r="A171" s="184">
        <v>166</v>
      </c>
      <c r="B171" s="184"/>
      <c r="C171" s="10" t="s">
        <v>230</v>
      </c>
      <c r="D171" s="121" t="s">
        <v>236</v>
      </c>
      <c r="E171" s="35" t="s">
        <v>55</v>
      </c>
      <c r="F171" s="36">
        <v>1</v>
      </c>
      <c r="G171" s="42">
        <v>10140</v>
      </c>
      <c r="H171" s="97">
        <f t="shared" si="5"/>
        <v>10140</v>
      </c>
      <c r="I171" s="184" t="s">
        <v>69</v>
      </c>
      <c r="J171" s="94" t="s">
        <v>1145</v>
      </c>
      <c r="K171" s="46"/>
    </row>
    <row r="172" spans="1:11">
      <c r="A172" s="184">
        <v>167</v>
      </c>
      <c r="B172" s="184"/>
      <c r="C172" s="6" t="s">
        <v>174</v>
      </c>
      <c r="D172" s="119" t="s">
        <v>134</v>
      </c>
      <c r="E172" s="35" t="s">
        <v>1100</v>
      </c>
      <c r="F172" s="36">
        <v>1</v>
      </c>
      <c r="G172" s="97">
        <v>5500</v>
      </c>
      <c r="H172" s="97">
        <f t="shared" si="5"/>
        <v>5500</v>
      </c>
      <c r="I172" s="184" t="s">
        <v>69</v>
      </c>
      <c r="J172" s="94" t="s">
        <v>1146</v>
      </c>
      <c r="K172" s="46"/>
    </row>
    <row r="173" spans="1:11">
      <c r="A173" s="184">
        <v>168</v>
      </c>
      <c r="B173" s="184"/>
      <c r="C173" s="6" t="s">
        <v>175</v>
      </c>
      <c r="D173" s="119" t="s">
        <v>134</v>
      </c>
      <c r="E173" s="35" t="s">
        <v>56</v>
      </c>
      <c r="F173" s="36">
        <v>1</v>
      </c>
      <c r="G173" s="97">
        <v>5296.5</v>
      </c>
      <c r="H173" s="97">
        <f t="shared" si="5"/>
        <v>5296.5</v>
      </c>
      <c r="I173" s="184" t="s">
        <v>69</v>
      </c>
      <c r="J173" s="94" t="s">
        <v>1146</v>
      </c>
      <c r="K173" s="46"/>
    </row>
    <row r="174" spans="1:11">
      <c r="A174" s="184">
        <v>169</v>
      </c>
      <c r="B174" s="184"/>
      <c r="C174" s="6" t="s">
        <v>176</v>
      </c>
      <c r="D174" s="119" t="s">
        <v>182</v>
      </c>
      <c r="E174" s="35" t="s">
        <v>56</v>
      </c>
      <c r="F174" s="36">
        <v>1</v>
      </c>
      <c r="G174" s="97">
        <v>3500</v>
      </c>
      <c r="H174" s="97">
        <f t="shared" si="5"/>
        <v>3500</v>
      </c>
      <c r="I174" s="184" t="s">
        <v>69</v>
      </c>
      <c r="J174" s="94" t="s">
        <v>1146</v>
      </c>
      <c r="K174" s="46"/>
    </row>
    <row r="175" spans="1:11">
      <c r="A175" s="184">
        <v>170</v>
      </c>
      <c r="B175" s="184"/>
      <c r="C175" s="6" t="s">
        <v>177</v>
      </c>
      <c r="D175" s="119" t="s">
        <v>183</v>
      </c>
      <c r="E175" s="35" t="s">
        <v>55</v>
      </c>
      <c r="F175" s="36">
        <v>1</v>
      </c>
      <c r="G175" s="97">
        <v>2500</v>
      </c>
      <c r="H175" s="97">
        <f t="shared" si="5"/>
        <v>2500</v>
      </c>
      <c r="I175" s="184" t="s">
        <v>69</v>
      </c>
      <c r="J175" s="94" t="s">
        <v>1146</v>
      </c>
      <c r="K175" s="46"/>
    </row>
    <row r="176" spans="1:11">
      <c r="A176" s="184">
        <v>171</v>
      </c>
      <c r="B176" s="184"/>
      <c r="C176" s="6" t="s">
        <v>178</v>
      </c>
      <c r="D176" s="119" t="s">
        <v>184</v>
      </c>
      <c r="E176" s="35" t="s">
        <v>55</v>
      </c>
      <c r="F176" s="36">
        <v>2</v>
      </c>
      <c r="G176" s="97">
        <v>3900</v>
      </c>
      <c r="H176" s="97">
        <f t="shared" si="5"/>
        <v>7800</v>
      </c>
      <c r="I176" s="184" t="s">
        <v>69</v>
      </c>
      <c r="J176" s="94" t="s">
        <v>1146</v>
      </c>
      <c r="K176" s="46"/>
    </row>
    <row r="177" spans="1:11">
      <c r="A177" s="184">
        <v>172</v>
      </c>
      <c r="B177" s="184"/>
      <c r="C177" s="6" t="s">
        <v>180</v>
      </c>
      <c r="D177" s="119" t="s">
        <v>185</v>
      </c>
      <c r="E177" s="35" t="s">
        <v>55</v>
      </c>
      <c r="F177" s="36">
        <v>1</v>
      </c>
      <c r="G177" s="97">
        <v>19000</v>
      </c>
      <c r="H177" s="97">
        <f t="shared" si="5"/>
        <v>19000</v>
      </c>
      <c r="I177" s="184" t="s">
        <v>69</v>
      </c>
      <c r="J177" s="94" t="s">
        <v>1146</v>
      </c>
      <c r="K177" s="46"/>
    </row>
    <row r="178" spans="1:11">
      <c r="A178" s="184">
        <v>173</v>
      </c>
      <c r="B178" s="44"/>
      <c r="C178" s="6" t="s">
        <v>181</v>
      </c>
      <c r="D178" s="119" t="s">
        <v>186</v>
      </c>
      <c r="E178" s="110" t="s">
        <v>55</v>
      </c>
      <c r="F178" s="36">
        <v>1</v>
      </c>
      <c r="G178" s="97">
        <v>22000</v>
      </c>
      <c r="H178" s="97">
        <f t="shared" si="5"/>
        <v>22000</v>
      </c>
      <c r="I178" s="184" t="s">
        <v>69</v>
      </c>
      <c r="J178" s="94" t="s">
        <v>1146</v>
      </c>
      <c r="K178" s="46"/>
    </row>
    <row r="179" spans="1:11">
      <c r="A179" s="184">
        <v>174</v>
      </c>
      <c r="B179" s="184"/>
      <c r="C179" s="18" t="s">
        <v>352</v>
      </c>
      <c r="D179" s="12" t="s">
        <v>370</v>
      </c>
      <c r="E179" s="35" t="s">
        <v>56</v>
      </c>
      <c r="F179" s="35">
        <v>1</v>
      </c>
      <c r="G179" s="42">
        <v>3100</v>
      </c>
      <c r="H179" s="97">
        <f t="shared" si="5"/>
        <v>3100</v>
      </c>
      <c r="I179" s="184" t="s">
        <v>69</v>
      </c>
      <c r="J179" s="94" t="s">
        <v>1147</v>
      </c>
      <c r="K179" s="46"/>
    </row>
    <row r="180" spans="1:11">
      <c r="A180" s="184">
        <v>175</v>
      </c>
      <c r="B180" s="184"/>
      <c r="C180" s="18" t="s">
        <v>353</v>
      </c>
      <c r="D180" s="34" t="s">
        <v>42</v>
      </c>
      <c r="E180" s="35" t="s">
        <v>56</v>
      </c>
      <c r="F180" s="35">
        <v>1</v>
      </c>
      <c r="G180" s="41">
        <v>6900</v>
      </c>
      <c r="H180" s="97">
        <f t="shared" si="5"/>
        <v>6900</v>
      </c>
      <c r="I180" s="184" t="s">
        <v>69</v>
      </c>
      <c r="J180" s="94" t="s">
        <v>1147</v>
      </c>
      <c r="K180" s="46"/>
    </row>
    <row r="181" spans="1:11">
      <c r="A181" s="184">
        <v>176</v>
      </c>
      <c r="B181" s="184"/>
      <c r="C181" s="18" t="s">
        <v>354</v>
      </c>
      <c r="D181" s="34" t="s">
        <v>154</v>
      </c>
      <c r="E181" s="35" t="s">
        <v>56</v>
      </c>
      <c r="F181" s="35">
        <v>1</v>
      </c>
      <c r="G181" s="41">
        <v>695.5</v>
      </c>
      <c r="H181" s="97">
        <f t="shared" si="5"/>
        <v>695.5</v>
      </c>
      <c r="I181" s="184" t="s">
        <v>69</v>
      </c>
      <c r="J181" s="94" t="s">
        <v>1147</v>
      </c>
      <c r="K181" s="46"/>
    </row>
    <row r="182" spans="1:11">
      <c r="A182" s="184">
        <v>177</v>
      </c>
      <c r="B182" s="184"/>
      <c r="C182" s="18" t="s">
        <v>355</v>
      </c>
      <c r="D182" s="34" t="s">
        <v>44</v>
      </c>
      <c r="E182" s="35" t="s">
        <v>56</v>
      </c>
      <c r="F182" s="35">
        <v>1</v>
      </c>
      <c r="G182" s="41">
        <v>19088.8</v>
      </c>
      <c r="H182" s="97">
        <f t="shared" si="5"/>
        <v>19088.8</v>
      </c>
      <c r="I182" s="184" t="s">
        <v>69</v>
      </c>
      <c r="J182" s="94" t="s">
        <v>1147</v>
      </c>
      <c r="K182" s="46"/>
    </row>
    <row r="183" spans="1:11">
      <c r="A183" s="184">
        <v>178</v>
      </c>
      <c r="B183" s="184"/>
      <c r="C183" s="18" t="s">
        <v>356</v>
      </c>
      <c r="D183" s="34" t="s">
        <v>371</v>
      </c>
      <c r="E183" s="35" t="s">
        <v>56</v>
      </c>
      <c r="F183" s="35">
        <v>1</v>
      </c>
      <c r="G183" s="41">
        <v>12000</v>
      </c>
      <c r="H183" s="97">
        <f t="shared" si="5"/>
        <v>12000</v>
      </c>
      <c r="I183" s="184" t="s">
        <v>69</v>
      </c>
      <c r="J183" s="94" t="s">
        <v>1147</v>
      </c>
      <c r="K183" s="46"/>
    </row>
    <row r="184" spans="1:11">
      <c r="A184" s="184">
        <v>179</v>
      </c>
      <c r="B184" s="184"/>
      <c r="C184" s="18" t="s">
        <v>360</v>
      </c>
      <c r="D184" s="34" t="s">
        <v>373</v>
      </c>
      <c r="E184" s="35" t="s">
        <v>56</v>
      </c>
      <c r="F184" s="35">
        <v>1</v>
      </c>
      <c r="G184" s="41">
        <v>17300</v>
      </c>
      <c r="H184" s="97">
        <f t="shared" si="5"/>
        <v>17300</v>
      </c>
      <c r="I184" s="184" t="s">
        <v>69</v>
      </c>
      <c r="J184" s="94" t="s">
        <v>1147</v>
      </c>
      <c r="K184" s="46"/>
    </row>
    <row r="185" spans="1:11">
      <c r="A185" s="184">
        <v>180</v>
      </c>
      <c r="B185" s="184"/>
      <c r="C185" s="18" t="s">
        <v>361</v>
      </c>
      <c r="D185" s="34" t="s">
        <v>379</v>
      </c>
      <c r="E185" s="35" t="s">
        <v>1100</v>
      </c>
      <c r="F185" s="35">
        <v>1</v>
      </c>
      <c r="G185" s="41">
        <v>14500</v>
      </c>
      <c r="H185" s="97">
        <f t="shared" si="5"/>
        <v>14500</v>
      </c>
      <c r="I185" s="184" t="s">
        <v>69</v>
      </c>
      <c r="J185" s="94" t="s">
        <v>1147</v>
      </c>
      <c r="K185" s="46"/>
    </row>
    <row r="186" spans="1:11">
      <c r="A186" s="184">
        <v>181</v>
      </c>
      <c r="B186" s="184"/>
      <c r="C186" s="18" t="s">
        <v>364</v>
      </c>
      <c r="D186" s="12" t="s">
        <v>380</v>
      </c>
      <c r="E186" s="35" t="s">
        <v>55</v>
      </c>
      <c r="F186" s="35">
        <v>1</v>
      </c>
      <c r="G186" s="42">
        <v>22000</v>
      </c>
      <c r="H186" s="97">
        <f t="shared" si="5"/>
        <v>22000</v>
      </c>
      <c r="I186" s="184" t="s">
        <v>69</v>
      </c>
      <c r="J186" s="94" t="s">
        <v>1147</v>
      </c>
      <c r="K186" s="46"/>
    </row>
    <row r="187" spans="1:11">
      <c r="A187" s="184">
        <v>182</v>
      </c>
      <c r="B187" s="184"/>
      <c r="C187" s="23" t="s">
        <v>366</v>
      </c>
      <c r="D187" s="51" t="s">
        <v>67</v>
      </c>
      <c r="E187" s="35" t="s">
        <v>55</v>
      </c>
      <c r="F187" s="35">
        <v>1</v>
      </c>
      <c r="G187" s="41">
        <v>2590</v>
      </c>
      <c r="H187" s="97">
        <f t="shared" si="5"/>
        <v>2590</v>
      </c>
      <c r="I187" s="184" t="s">
        <v>69</v>
      </c>
      <c r="J187" s="94" t="s">
        <v>1147</v>
      </c>
      <c r="K187" s="46"/>
    </row>
    <row r="188" spans="1:11">
      <c r="A188" s="184">
        <v>183</v>
      </c>
      <c r="B188" s="184"/>
      <c r="C188" s="18" t="s">
        <v>367</v>
      </c>
      <c r="D188" s="12" t="s">
        <v>68</v>
      </c>
      <c r="E188" s="35" t="s">
        <v>55</v>
      </c>
      <c r="F188" s="35">
        <v>1</v>
      </c>
      <c r="G188" s="42">
        <v>17000</v>
      </c>
      <c r="H188" s="97">
        <f t="shared" si="5"/>
        <v>17000</v>
      </c>
      <c r="I188" s="184" t="s">
        <v>69</v>
      </c>
      <c r="J188" s="94" t="s">
        <v>1147</v>
      </c>
      <c r="K188" s="46"/>
    </row>
    <row r="189" spans="1:11">
      <c r="A189" s="184">
        <v>184</v>
      </c>
      <c r="B189" s="184"/>
      <c r="C189" s="18" t="s">
        <v>368</v>
      </c>
      <c r="D189" s="12" t="s">
        <v>377</v>
      </c>
      <c r="E189" s="35" t="s">
        <v>55</v>
      </c>
      <c r="F189" s="35">
        <v>4</v>
      </c>
      <c r="G189" s="42">
        <v>21000</v>
      </c>
      <c r="H189" s="97">
        <f t="shared" si="5"/>
        <v>84000</v>
      </c>
      <c r="I189" s="184" t="s">
        <v>69</v>
      </c>
      <c r="J189" s="94" t="s">
        <v>1147</v>
      </c>
      <c r="K189" s="46"/>
    </row>
    <row r="190" spans="1:11">
      <c r="A190" s="184">
        <v>185</v>
      </c>
      <c r="B190" s="184"/>
      <c r="C190" s="6" t="s">
        <v>291</v>
      </c>
      <c r="D190" s="12" t="s">
        <v>299</v>
      </c>
      <c r="E190" s="35" t="s">
        <v>55</v>
      </c>
      <c r="F190" s="36">
        <v>1</v>
      </c>
      <c r="G190" s="42">
        <v>5950</v>
      </c>
      <c r="H190" s="97">
        <f t="shared" ref="H190:H224" si="6">SUM(F190*G190)</f>
        <v>5950</v>
      </c>
      <c r="I190" s="184" t="s">
        <v>69</v>
      </c>
      <c r="J190" s="143" t="s">
        <v>1188</v>
      </c>
      <c r="K190" s="42"/>
    </row>
    <row r="191" spans="1:11">
      <c r="A191" s="184">
        <v>186</v>
      </c>
      <c r="B191" s="184"/>
      <c r="C191" s="6" t="s">
        <v>292</v>
      </c>
      <c r="D191" s="12" t="s">
        <v>300</v>
      </c>
      <c r="E191" s="35" t="s">
        <v>55</v>
      </c>
      <c r="F191" s="36">
        <v>1</v>
      </c>
      <c r="G191" s="43">
        <v>12000</v>
      </c>
      <c r="H191" s="97">
        <f t="shared" si="6"/>
        <v>12000</v>
      </c>
      <c r="I191" s="184" t="s">
        <v>69</v>
      </c>
      <c r="J191" s="143" t="s">
        <v>1188</v>
      </c>
      <c r="K191" s="42"/>
    </row>
    <row r="192" spans="1:11">
      <c r="A192" s="184">
        <v>187</v>
      </c>
      <c r="B192" s="184"/>
      <c r="C192" s="6" t="s">
        <v>293</v>
      </c>
      <c r="D192" s="12" t="s">
        <v>301</v>
      </c>
      <c r="E192" s="35" t="s">
        <v>55</v>
      </c>
      <c r="F192" s="36">
        <v>1</v>
      </c>
      <c r="G192" s="43">
        <v>21000</v>
      </c>
      <c r="H192" s="97">
        <f t="shared" si="6"/>
        <v>21000</v>
      </c>
      <c r="I192" s="184" t="s">
        <v>69</v>
      </c>
      <c r="J192" s="143" t="s">
        <v>1188</v>
      </c>
      <c r="K192" s="42"/>
    </row>
    <row r="193" spans="1:11">
      <c r="A193" s="184">
        <v>188</v>
      </c>
      <c r="B193" s="184"/>
      <c r="C193" s="6" t="s">
        <v>297</v>
      </c>
      <c r="D193" s="121" t="s">
        <v>303</v>
      </c>
      <c r="E193" s="35" t="s">
        <v>55</v>
      </c>
      <c r="F193" s="36">
        <v>1</v>
      </c>
      <c r="G193" s="42">
        <v>49000</v>
      </c>
      <c r="H193" s="97">
        <f t="shared" si="6"/>
        <v>49000</v>
      </c>
      <c r="I193" s="184" t="s">
        <v>69</v>
      </c>
      <c r="J193" s="143" t="s">
        <v>1188</v>
      </c>
      <c r="K193" s="42"/>
    </row>
    <row r="194" spans="1:11">
      <c r="A194" s="184">
        <v>189</v>
      </c>
      <c r="B194" s="184"/>
      <c r="C194" s="6" t="s">
        <v>298</v>
      </c>
      <c r="D194" s="121" t="s">
        <v>304</v>
      </c>
      <c r="E194" s="35" t="s">
        <v>55</v>
      </c>
      <c r="F194" s="36">
        <v>1</v>
      </c>
      <c r="G194" s="42">
        <v>45000</v>
      </c>
      <c r="H194" s="97">
        <f t="shared" si="6"/>
        <v>45000</v>
      </c>
      <c r="I194" s="184" t="s">
        <v>69</v>
      </c>
      <c r="J194" s="143" t="s">
        <v>1188</v>
      </c>
      <c r="K194" s="42"/>
    </row>
    <row r="195" spans="1:11">
      <c r="A195" s="184">
        <v>190</v>
      </c>
      <c r="B195" s="44"/>
      <c r="C195" s="23" t="s">
        <v>949</v>
      </c>
      <c r="D195" s="51" t="s">
        <v>67</v>
      </c>
      <c r="E195" s="35" t="s">
        <v>55</v>
      </c>
      <c r="F195" s="158">
        <v>1</v>
      </c>
      <c r="G195" s="41">
        <v>2590</v>
      </c>
      <c r="H195" s="97">
        <f t="shared" si="6"/>
        <v>2590</v>
      </c>
      <c r="I195" s="112" t="s">
        <v>69</v>
      </c>
      <c r="J195" s="142" t="s">
        <v>1148</v>
      </c>
      <c r="K195" s="42"/>
    </row>
    <row r="196" spans="1:11">
      <c r="A196" s="184">
        <v>191</v>
      </c>
      <c r="B196" s="184"/>
      <c r="C196" s="61" t="s">
        <v>1111</v>
      </c>
      <c r="D196" s="62" t="s">
        <v>685</v>
      </c>
      <c r="E196" s="139" t="s">
        <v>55</v>
      </c>
      <c r="F196" s="160">
        <v>1</v>
      </c>
      <c r="G196" s="153">
        <v>3700</v>
      </c>
      <c r="H196" s="97">
        <f t="shared" si="6"/>
        <v>3700</v>
      </c>
      <c r="I196" s="184" t="s">
        <v>69</v>
      </c>
      <c r="J196" s="169" t="s">
        <v>1149</v>
      </c>
      <c r="K196" s="42"/>
    </row>
    <row r="197" spans="1:11">
      <c r="A197" s="184">
        <v>192</v>
      </c>
      <c r="B197" s="184"/>
      <c r="C197" s="63" t="s">
        <v>1108</v>
      </c>
      <c r="D197" s="63" t="s">
        <v>480</v>
      </c>
      <c r="E197" s="139" t="s">
        <v>55</v>
      </c>
      <c r="F197" s="64">
        <v>1</v>
      </c>
      <c r="G197" s="46">
        <v>7900</v>
      </c>
      <c r="H197" s="97">
        <f t="shared" si="6"/>
        <v>7900</v>
      </c>
      <c r="I197" s="184" t="s">
        <v>69</v>
      </c>
      <c r="J197" s="169" t="s">
        <v>1149</v>
      </c>
      <c r="K197" s="42"/>
    </row>
    <row r="198" spans="1:11">
      <c r="A198" s="184">
        <v>193</v>
      </c>
      <c r="B198" s="184"/>
      <c r="C198" s="65" t="s">
        <v>1110</v>
      </c>
      <c r="D198" s="87" t="s">
        <v>67</v>
      </c>
      <c r="E198" s="139" t="s">
        <v>55</v>
      </c>
      <c r="F198" s="64">
        <v>1</v>
      </c>
      <c r="G198" s="154">
        <v>2590</v>
      </c>
      <c r="H198" s="97">
        <f t="shared" si="6"/>
        <v>2590</v>
      </c>
      <c r="I198" s="184" t="s">
        <v>69</v>
      </c>
      <c r="J198" s="169" t="s">
        <v>1149</v>
      </c>
      <c r="K198" s="42"/>
    </row>
    <row r="199" spans="1:11">
      <c r="A199" s="184">
        <v>194</v>
      </c>
      <c r="B199" s="184"/>
      <c r="C199" s="16" t="s">
        <v>306</v>
      </c>
      <c r="D199" s="106" t="s">
        <v>155</v>
      </c>
      <c r="E199" s="35" t="s">
        <v>56</v>
      </c>
      <c r="F199" s="36">
        <v>1</v>
      </c>
      <c r="G199" s="41">
        <v>17300</v>
      </c>
      <c r="H199" s="97">
        <f t="shared" si="6"/>
        <v>17300</v>
      </c>
      <c r="I199" s="184" t="s">
        <v>69</v>
      </c>
      <c r="J199" s="169" t="s">
        <v>1150</v>
      </c>
      <c r="K199" s="42"/>
    </row>
    <row r="200" spans="1:11">
      <c r="A200" s="184">
        <v>195</v>
      </c>
      <c r="B200" s="184"/>
      <c r="C200" s="16" t="s">
        <v>58</v>
      </c>
      <c r="D200" s="106" t="s">
        <v>93</v>
      </c>
      <c r="E200" s="35" t="s">
        <v>56</v>
      </c>
      <c r="F200" s="36">
        <v>1</v>
      </c>
      <c r="G200" s="41">
        <v>1700</v>
      </c>
      <c r="H200" s="97">
        <f t="shared" si="6"/>
        <v>1700</v>
      </c>
      <c r="I200" s="184" t="s">
        <v>69</v>
      </c>
      <c r="J200" s="169" t="s">
        <v>1150</v>
      </c>
      <c r="K200" s="42"/>
    </row>
    <row r="201" spans="1:11">
      <c r="A201" s="184">
        <v>196</v>
      </c>
      <c r="B201" s="184"/>
      <c r="C201" s="16" t="s">
        <v>307</v>
      </c>
      <c r="D201" s="106" t="s">
        <v>316</v>
      </c>
      <c r="E201" s="35" t="s">
        <v>55</v>
      </c>
      <c r="F201" s="36">
        <v>2</v>
      </c>
      <c r="G201" s="41">
        <v>1800</v>
      </c>
      <c r="H201" s="97">
        <f t="shared" si="6"/>
        <v>3600</v>
      </c>
      <c r="I201" s="184" t="s">
        <v>69</v>
      </c>
      <c r="J201" s="169" t="s">
        <v>1150</v>
      </c>
      <c r="K201" s="42"/>
    </row>
    <row r="202" spans="1:11">
      <c r="A202" s="184">
        <v>197</v>
      </c>
      <c r="B202" s="184"/>
      <c r="C202" s="16" t="s">
        <v>308</v>
      </c>
      <c r="D202" s="106" t="s">
        <v>317</v>
      </c>
      <c r="E202" s="35" t="s">
        <v>55</v>
      </c>
      <c r="F202" s="36">
        <v>1</v>
      </c>
      <c r="G202" s="41">
        <v>7000</v>
      </c>
      <c r="H202" s="97">
        <f t="shared" si="6"/>
        <v>7000</v>
      </c>
      <c r="I202" s="184" t="s">
        <v>69</v>
      </c>
      <c r="J202" s="169" t="s">
        <v>1150</v>
      </c>
      <c r="K202" s="42"/>
    </row>
    <row r="203" spans="1:11">
      <c r="A203" s="184">
        <v>198</v>
      </c>
      <c r="B203" s="184"/>
      <c r="C203" s="16" t="s">
        <v>309</v>
      </c>
      <c r="D203" s="106" t="s">
        <v>318</v>
      </c>
      <c r="E203" s="35" t="s">
        <v>55</v>
      </c>
      <c r="F203" s="36">
        <v>1</v>
      </c>
      <c r="G203" s="41">
        <v>1150</v>
      </c>
      <c r="H203" s="97">
        <f t="shared" si="6"/>
        <v>1150</v>
      </c>
      <c r="I203" s="184" t="s">
        <v>69</v>
      </c>
      <c r="J203" s="169" t="s">
        <v>1150</v>
      </c>
      <c r="K203" s="42"/>
    </row>
    <row r="204" spans="1:11">
      <c r="A204" s="184">
        <v>199</v>
      </c>
      <c r="B204" s="44"/>
      <c r="C204" s="16" t="s">
        <v>310</v>
      </c>
      <c r="D204" s="106" t="s">
        <v>122</v>
      </c>
      <c r="E204" s="35" t="s">
        <v>55</v>
      </c>
      <c r="F204" s="36">
        <v>1</v>
      </c>
      <c r="G204" s="41">
        <v>3750</v>
      </c>
      <c r="H204" s="97">
        <f t="shared" si="6"/>
        <v>3750</v>
      </c>
      <c r="I204" s="184" t="s">
        <v>69</v>
      </c>
      <c r="J204" s="169" t="s">
        <v>1150</v>
      </c>
      <c r="K204" s="42"/>
    </row>
    <row r="205" spans="1:11">
      <c r="A205" s="184">
        <v>200</v>
      </c>
      <c r="B205" s="184"/>
      <c r="C205" s="16" t="s">
        <v>311</v>
      </c>
      <c r="D205" s="51" t="s">
        <v>67</v>
      </c>
      <c r="E205" s="35" t="s">
        <v>55</v>
      </c>
      <c r="F205" s="36">
        <v>1</v>
      </c>
      <c r="G205" s="41">
        <v>2590</v>
      </c>
      <c r="H205" s="97">
        <f t="shared" si="6"/>
        <v>2590</v>
      </c>
      <c r="I205" s="184" t="s">
        <v>69</v>
      </c>
      <c r="J205" s="169" t="s">
        <v>1150</v>
      </c>
      <c r="K205" s="42"/>
    </row>
    <row r="206" spans="1:11">
      <c r="A206" s="184">
        <v>201</v>
      </c>
      <c r="B206" s="184"/>
      <c r="C206" s="18" t="s">
        <v>312</v>
      </c>
      <c r="D206" s="12" t="s">
        <v>68</v>
      </c>
      <c r="E206" s="35" t="s">
        <v>55</v>
      </c>
      <c r="F206" s="36">
        <v>1</v>
      </c>
      <c r="G206" s="42">
        <v>17000</v>
      </c>
      <c r="H206" s="97">
        <f t="shared" si="6"/>
        <v>17000</v>
      </c>
      <c r="I206" s="184" t="s">
        <v>69</v>
      </c>
      <c r="J206" s="169" t="s">
        <v>1150</v>
      </c>
      <c r="K206" s="42"/>
    </row>
    <row r="207" spans="1:11">
      <c r="A207" s="184">
        <v>202</v>
      </c>
      <c r="B207" s="184"/>
      <c r="C207" s="16" t="s">
        <v>319</v>
      </c>
      <c r="D207" s="106" t="s">
        <v>337</v>
      </c>
      <c r="E207" s="35" t="s">
        <v>1100</v>
      </c>
      <c r="F207" s="36">
        <v>1</v>
      </c>
      <c r="G207" s="41">
        <v>780</v>
      </c>
      <c r="H207" s="97">
        <f t="shared" si="6"/>
        <v>780</v>
      </c>
      <c r="I207" s="148" t="s">
        <v>69</v>
      </c>
      <c r="J207" s="94" t="s">
        <v>1151</v>
      </c>
      <c r="K207" s="46"/>
    </row>
    <row r="208" spans="1:11">
      <c r="A208" s="184">
        <v>203</v>
      </c>
      <c r="B208" s="184"/>
      <c r="C208" s="16" t="s">
        <v>321</v>
      </c>
      <c r="D208" s="106" t="s">
        <v>339</v>
      </c>
      <c r="E208" s="35" t="s">
        <v>55</v>
      </c>
      <c r="F208" s="36">
        <v>6</v>
      </c>
      <c r="G208" s="41">
        <v>5250</v>
      </c>
      <c r="H208" s="97">
        <f t="shared" si="6"/>
        <v>31500</v>
      </c>
      <c r="I208" s="148" t="s">
        <v>69</v>
      </c>
      <c r="J208" s="94" t="s">
        <v>1151</v>
      </c>
      <c r="K208" s="46"/>
    </row>
    <row r="209" spans="1:11">
      <c r="A209" s="184">
        <v>204</v>
      </c>
      <c r="B209" s="184"/>
      <c r="C209" s="16" t="s">
        <v>322</v>
      </c>
      <c r="D209" s="106" t="s">
        <v>340</v>
      </c>
      <c r="E209" s="35" t="s">
        <v>55</v>
      </c>
      <c r="F209" s="36">
        <v>2</v>
      </c>
      <c r="G209" s="41">
        <v>5800</v>
      </c>
      <c r="H209" s="97">
        <f t="shared" si="6"/>
        <v>11600</v>
      </c>
      <c r="I209" s="148" t="s">
        <v>69</v>
      </c>
      <c r="J209" s="94" t="s">
        <v>1151</v>
      </c>
      <c r="K209" s="46"/>
    </row>
    <row r="210" spans="1:11">
      <c r="A210" s="184">
        <v>205</v>
      </c>
      <c r="B210" s="184"/>
      <c r="C210" s="16" t="s">
        <v>325</v>
      </c>
      <c r="D210" s="106" t="s">
        <v>343</v>
      </c>
      <c r="E210" s="35" t="s">
        <v>55</v>
      </c>
      <c r="F210" s="36">
        <v>1</v>
      </c>
      <c r="G210" s="41">
        <v>1100</v>
      </c>
      <c r="H210" s="97">
        <f t="shared" si="6"/>
        <v>1100</v>
      </c>
      <c r="I210" s="148" t="s">
        <v>69</v>
      </c>
      <c r="J210" s="94" t="s">
        <v>1151</v>
      </c>
      <c r="K210" s="46"/>
    </row>
    <row r="211" spans="1:11">
      <c r="A211" s="184">
        <v>206</v>
      </c>
      <c r="B211" s="184"/>
      <c r="C211" s="20" t="s">
        <v>328</v>
      </c>
      <c r="D211" s="131" t="s">
        <v>67</v>
      </c>
      <c r="E211" s="35" t="s">
        <v>55</v>
      </c>
      <c r="F211" s="36">
        <v>1</v>
      </c>
      <c r="G211" s="41">
        <v>2590</v>
      </c>
      <c r="H211" s="97">
        <f t="shared" si="6"/>
        <v>2590</v>
      </c>
      <c r="I211" s="148" t="s">
        <v>69</v>
      </c>
      <c r="J211" s="94" t="s">
        <v>1151</v>
      </c>
      <c r="K211" s="46"/>
    </row>
    <row r="212" spans="1:11">
      <c r="A212" s="184">
        <v>207</v>
      </c>
      <c r="B212" s="184"/>
      <c r="C212" s="20" t="s">
        <v>329</v>
      </c>
      <c r="D212" s="131" t="s">
        <v>346</v>
      </c>
      <c r="E212" s="110" t="s">
        <v>55</v>
      </c>
      <c r="F212" s="36">
        <v>5</v>
      </c>
      <c r="G212" s="41">
        <v>1000</v>
      </c>
      <c r="H212" s="97">
        <f t="shared" si="6"/>
        <v>5000</v>
      </c>
      <c r="I212" s="148" t="s">
        <v>69</v>
      </c>
      <c r="J212" s="94" t="s">
        <v>1151</v>
      </c>
      <c r="K212" s="46"/>
    </row>
    <row r="213" spans="1:11">
      <c r="A213" s="184">
        <v>208</v>
      </c>
      <c r="B213" s="184"/>
      <c r="C213" s="20" t="s">
        <v>330</v>
      </c>
      <c r="D213" s="131" t="s">
        <v>347</v>
      </c>
      <c r="E213" s="35" t="s">
        <v>55</v>
      </c>
      <c r="F213" s="36">
        <v>5</v>
      </c>
      <c r="G213" s="41">
        <v>2500</v>
      </c>
      <c r="H213" s="97">
        <f t="shared" si="6"/>
        <v>12500</v>
      </c>
      <c r="I213" s="148" t="s">
        <v>69</v>
      </c>
      <c r="J213" s="94" t="s">
        <v>1151</v>
      </c>
      <c r="K213" s="42"/>
    </row>
    <row r="214" spans="1:11">
      <c r="A214" s="184">
        <v>209</v>
      </c>
      <c r="B214" s="184"/>
      <c r="C214" s="20" t="s">
        <v>332</v>
      </c>
      <c r="D214" s="131" t="s">
        <v>350</v>
      </c>
      <c r="E214" s="35" t="s">
        <v>143</v>
      </c>
      <c r="F214" s="36">
        <v>4</v>
      </c>
      <c r="G214" s="41">
        <v>13807.5</v>
      </c>
      <c r="H214" s="97">
        <f t="shared" si="6"/>
        <v>55230</v>
      </c>
      <c r="I214" s="148" t="s">
        <v>69</v>
      </c>
      <c r="J214" s="94" t="s">
        <v>1151</v>
      </c>
      <c r="K214" s="42"/>
    </row>
    <row r="215" spans="1:11">
      <c r="A215" s="184">
        <v>210</v>
      </c>
      <c r="B215" s="184"/>
      <c r="C215" s="20" t="s">
        <v>333</v>
      </c>
      <c r="D215" s="131" t="s">
        <v>349</v>
      </c>
      <c r="E215" s="35" t="s">
        <v>143</v>
      </c>
      <c r="F215" s="36">
        <v>3</v>
      </c>
      <c r="G215" s="41">
        <v>3590</v>
      </c>
      <c r="H215" s="97">
        <f t="shared" si="6"/>
        <v>10770</v>
      </c>
      <c r="I215" s="148" t="s">
        <v>69</v>
      </c>
      <c r="J215" s="94" t="s">
        <v>1151</v>
      </c>
      <c r="K215" s="42"/>
    </row>
    <row r="216" spans="1:11">
      <c r="A216" s="184">
        <v>211</v>
      </c>
      <c r="B216" s="107" t="s">
        <v>1169</v>
      </c>
      <c r="C216" s="16" t="s">
        <v>334</v>
      </c>
      <c r="D216" s="106" t="s">
        <v>142</v>
      </c>
      <c r="E216" s="35" t="s">
        <v>143</v>
      </c>
      <c r="F216" s="36">
        <v>3</v>
      </c>
      <c r="G216" s="41">
        <v>25000</v>
      </c>
      <c r="H216" s="97">
        <f t="shared" si="6"/>
        <v>75000</v>
      </c>
      <c r="I216" s="148" t="s">
        <v>69</v>
      </c>
      <c r="J216" s="94" t="s">
        <v>1151</v>
      </c>
      <c r="K216" s="42"/>
    </row>
    <row r="217" spans="1:11">
      <c r="A217" s="184">
        <v>212</v>
      </c>
      <c r="B217" s="107" t="s">
        <v>1170</v>
      </c>
      <c r="C217" s="23" t="s">
        <v>335</v>
      </c>
      <c r="D217" s="131" t="s">
        <v>350</v>
      </c>
      <c r="E217" s="35" t="s">
        <v>143</v>
      </c>
      <c r="F217" s="36">
        <v>2</v>
      </c>
      <c r="G217" s="41">
        <v>14000</v>
      </c>
      <c r="H217" s="97">
        <f t="shared" si="6"/>
        <v>28000</v>
      </c>
      <c r="I217" s="148" t="s">
        <v>69</v>
      </c>
      <c r="J217" s="94" t="s">
        <v>1151</v>
      </c>
      <c r="K217" s="42"/>
    </row>
    <row r="218" spans="1:11" ht="24" customHeight="1">
      <c r="A218" s="184">
        <v>213</v>
      </c>
      <c r="B218" s="44"/>
      <c r="C218" s="18" t="s">
        <v>570</v>
      </c>
      <c r="D218" s="119" t="s">
        <v>91</v>
      </c>
      <c r="E218" s="35" t="s">
        <v>56</v>
      </c>
      <c r="F218" s="35">
        <v>1</v>
      </c>
      <c r="G218" s="97">
        <v>33000</v>
      </c>
      <c r="H218" s="97">
        <f t="shared" si="6"/>
        <v>33000</v>
      </c>
      <c r="I218" s="112" t="s">
        <v>69</v>
      </c>
      <c r="J218" s="170" t="s">
        <v>1187</v>
      </c>
      <c r="K218" s="42"/>
    </row>
    <row r="219" spans="1:11">
      <c r="A219" s="229">
        <v>214</v>
      </c>
      <c r="B219" s="113"/>
      <c r="C219" s="18" t="s">
        <v>571</v>
      </c>
      <c r="D219" s="119" t="s">
        <v>480</v>
      </c>
      <c r="E219" s="35" t="s">
        <v>55</v>
      </c>
      <c r="F219" s="35">
        <v>1</v>
      </c>
      <c r="G219" s="97">
        <v>7900</v>
      </c>
      <c r="H219" s="97">
        <f t="shared" si="6"/>
        <v>7900</v>
      </c>
      <c r="I219" s="112" t="s">
        <v>69</v>
      </c>
      <c r="J219" s="170" t="s">
        <v>1187</v>
      </c>
      <c r="K219" s="42"/>
    </row>
    <row r="220" spans="1:11">
      <c r="A220" s="229">
        <v>215</v>
      </c>
      <c r="B220" s="44"/>
      <c r="C220" s="18" t="s">
        <v>572</v>
      </c>
      <c r="D220" s="119" t="s">
        <v>573</v>
      </c>
      <c r="E220" s="35" t="s">
        <v>55</v>
      </c>
      <c r="F220" s="35">
        <v>1</v>
      </c>
      <c r="G220" s="97">
        <v>39500</v>
      </c>
      <c r="H220" s="97">
        <f t="shared" si="6"/>
        <v>39500</v>
      </c>
      <c r="I220" s="112" t="s">
        <v>69</v>
      </c>
      <c r="J220" s="170" t="s">
        <v>1187</v>
      </c>
      <c r="K220" s="42"/>
    </row>
    <row r="221" spans="1:11">
      <c r="A221" s="229">
        <v>216</v>
      </c>
      <c r="B221" s="44"/>
      <c r="C221" s="18" t="s">
        <v>576</v>
      </c>
      <c r="D221" s="12" t="s">
        <v>198</v>
      </c>
      <c r="E221" s="35" t="s">
        <v>55</v>
      </c>
      <c r="F221" s="35">
        <v>1</v>
      </c>
      <c r="G221" s="97">
        <v>900</v>
      </c>
      <c r="H221" s="97">
        <f t="shared" si="6"/>
        <v>900</v>
      </c>
      <c r="I221" s="112" t="s">
        <v>69</v>
      </c>
      <c r="J221" s="142" t="s">
        <v>1152</v>
      </c>
      <c r="K221" s="42"/>
    </row>
    <row r="222" spans="1:11">
      <c r="A222" s="229">
        <v>217</v>
      </c>
      <c r="B222" s="44"/>
      <c r="C222" s="18" t="s">
        <v>579</v>
      </c>
      <c r="D222" s="12" t="s">
        <v>580</v>
      </c>
      <c r="E222" s="35" t="s">
        <v>56</v>
      </c>
      <c r="F222" s="35">
        <v>2</v>
      </c>
      <c r="G222" s="97">
        <v>1650</v>
      </c>
      <c r="H222" s="97">
        <f t="shared" si="6"/>
        <v>3300</v>
      </c>
      <c r="I222" s="112" t="s">
        <v>69</v>
      </c>
      <c r="J222" s="142" t="s">
        <v>1152</v>
      </c>
      <c r="K222" s="42"/>
    </row>
    <row r="223" spans="1:11">
      <c r="A223" s="229">
        <v>218</v>
      </c>
      <c r="B223" s="44"/>
      <c r="C223" s="18" t="s">
        <v>583</v>
      </c>
      <c r="D223" s="12" t="s">
        <v>391</v>
      </c>
      <c r="E223" s="35" t="s">
        <v>56</v>
      </c>
      <c r="F223" s="35">
        <v>1</v>
      </c>
      <c r="G223" s="97">
        <v>33000</v>
      </c>
      <c r="H223" s="97">
        <f t="shared" si="6"/>
        <v>33000</v>
      </c>
      <c r="I223" s="112" t="s">
        <v>69</v>
      </c>
      <c r="J223" s="142" t="s">
        <v>1152</v>
      </c>
      <c r="K223" s="42"/>
    </row>
    <row r="224" spans="1:11">
      <c r="A224" s="229">
        <v>219</v>
      </c>
      <c r="B224" s="108"/>
      <c r="C224" s="18" t="s">
        <v>585</v>
      </c>
      <c r="D224" s="12" t="s">
        <v>42</v>
      </c>
      <c r="E224" s="35" t="s">
        <v>56</v>
      </c>
      <c r="F224" s="35">
        <v>1</v>
      </c>
      <c r="G224" s="42">
        <v>6900</v>
      </c>
      <c r="H224" s="97">
        <f t="shared" si="6"/>
        <v>6900</v>
      </c>
      <c r="I224" s="112" t="s">
        <v>69</v>
      </c>
      <c r="J224" s="142" t="s">
        <v>1152</v>
      </c>
      <c r="K224" s="42"/>
    </row>
    <row r="225" spans="1:11">
      <c r="A225" s="229">
        <v>220</v>
      </c>
      <c r="B225" s="115"/>
      <c r="C225" s="18" t="s">
        <v>590</v>
      </c>
      <c r="D225" s="12" t="s">
        <v>374</v>
      </c>
      <c r="E225" s="35" t="s">
        <v>56</v>
      </c>
      <c r="F225" s="35">
        <v>1</v>
      </c>
      <c r="G225" s="42">
        <v>1006.25</v>
      </c>
      <c r="H225" s="97">
        <f t="shared" ref="H225:H265" si="7">SUM(F225*G225)</f>
        <v>1006.25</v>
      </c>
      <c r="I225" s="120" t="s">
        <v>69</v>
      </c>
      <c r="J225" s="142" t="s">
        <v>1152</v>
      </c>
      <c r="K225" s="42"/>
    </row>
    <row r="226" spans="1:11">
      <c r="A226" s="229">
        <v>221</v>
      </c>
      <c r="B226" s="107"/>
      <c r="C226" s="18" t="s">
        <v>596</v>
      </c>
      <c r="D226" s="12" t="s">
        <v>139</v>
      </c>
      <c r="E226" s="35" t="s">
        <v>55</v>
      </c>
      <c r="F226" s="35">
        <v>1</v>
      </c>
      <c r="G226" s="42">
        <v>1150</v>
      </c>
      <c r="H226" s="97">
        <f t="shared" si="7"/>
        <v>1150</v>
      </c>
      <c r="I226" s="109" t="s">
        <v>69</v>
      </c>
      <c r="J226" s="142" t="s">
        <v>1152</v>
      </c>
      <c r="K226" s="42"/>
    </row>
    <row r="227" spans="1:11">
      <c r="A227" s="229">
        <v>222</v>
      </c>
      <c r="B227" s="107"/>
      <c r="C227" s="18" t="s">
        <v>597</v>
      </c>
      <c r="D227" s="12" t="s">
        <v>68</v>
      </c>
      <c r="E227" s="35" t="s">
        <v>55</v>
      </c>
      <c r="F227" s="35">
        <v>1</v>
      </c>
      <c r="G227" s="42">
        <v>17000</v>
      </c>
      <c r="H227" s="97">
        <f t="shared" si="7"/>
        <v>17000</v>
      </c>
      <c r="I227" s="109" t="s">
        <v>69</v>
      </c>
      <c r="J227" s="142" t="s">
        <v>1152</v>
      </c>
      <c r="K227" s="42"/>
    </row>
    <row r="228" spans="1:11">
      <c r="A228" s="229">
        <v>223</v>
      </c>
      <c r="B228" s="44"/>
      <c r="C228" s="16" t="s">
        <v>559</v>
      </c>
      <c r="D228" s="106" t="s">
        <v>560</v>
      </c>
      <c r="E228" s="35" t="s">
        <v>56</v>
      </c>
      <c r="F228" s="35">
        <v>1</v>
      </c>
      <c r="G228" s="42">
        <v>17300</v>
      </c>
      <c r="H228" s="97">
        <f t="shared" si="7"/>
        <v>17300</v>
      </c>
      <c r="I228" s="112" t="s">
        <v>69</v>
      </c>
      <c r="J228" s="171" t="s">
        <v>1186</v>
      </c>
      <c r="K228" s="42"/>
    </row>
    <row r="229" spans="1:11">
      <c r="A229" s="229">
        <v>224</v>
      </c>
      <c r="B229" s="44"/>
      <c r="C229" s="18" t="s">
        <v>561</v>
      </c>
      <c r="D229" s="12" t="s">
        <v>562</v>
      </c>
      <c r="E229" s="35" t="s">
        <v>56</v>
      </c>
      <c r="F229" s="35">
        <v>1</v>
      </c>
      <c r="G229" s="42">
        <v>1700</v>
      </c>
      <c r="H229" s="97">
        <f t="shared" si="7"/>
        <v>1700</v>
      </c>
      <c r="I229" s="112" t="s">
        <v>71</v>
      </c>
      <c r="J229" s="171" t="s">
        <v>1186</v>
      </c>
      <c r="K229" s="42"/>
    </row>
    <row r="230" spans="1:11">
      <c r="A230" s="229">
        <v>225</v>
      </c>
      <c r="B230" s="108"/>
      <c r="C230" s="18" t="s">
        <v>565</v>
      </c>
      <c r="D230" s="12" t="s">
        <v>302</v>
      </c>
      <c r="E230" s="35" t="s">
        <v>55</v>
      </c>
      <c r="F230" s="35">
        <v>1</v>
      </c>
      <c r="G230" s="42">
        <v>1100</v>
      </c>
      <c r="H230" s="97">
        <f t="shared" si="7"/>
        <v>1100</v>
      </c>
      <c r="I230" s="112" t="s">
        <v>69</v>
      </c>
      <c r="J230" s="171" t="s">
        <v>1186</v>
      </c>
      <c r="K230" s="42"/>
    </row>
    <row r="231" spans="1:11">
      <c r="A231" s="229">
        <v>226</v>
      </c>
      <c r="B231" s="44"/>
      <c r="C231" s="18" t="s">
        <v>568</v>
      </c>
      <c r="D231" s="12" t="s">
        <v>236</v>
      </c>
      <c r="E231" s="35" t="s">
        <v>55</v>
      </c>
      <c r="F231" s="35">
        <v>1</v>
      </c>
      <c r="G231" s="42">
        <v>10140</v>
      </c>
      <c r="H231" s="97">
        <f t="shared" si="7"/>
        <v>10140</v>
      </c>
      <c r="I231" s="120" t="s">
        <v>69</v>
      </c>
      <c r="J231" s="171" t="s">
        <v>1186</v>
      </c>
      <c r="K231" s="46"/>
    </row>
    <row r="232" spans="1:11">
      <c r="A232" s="229">
        <v>227</v>
      </c>
      <c r="B232" s="115"/>
      <c r="C232" s="18" t="s">
        <v>569</v>
      </c>
      <c r="D232" s="12" t="s">
        <v>68</v>
      </c>
      <c r="E232" s="35" t="s">
        <v>55</v>
      </c>
      <c r="F232" s="35">
        <v>1</v>
      </c>
      <c r="G232" s="42">
        <v>17000</v>
      </c>
      <c r="H232" s="97">
        <f t="shared" si="7"/>
        <v>17000</v>
      </c>
      <c r="I232" s="120" t="s">
        <v>69</v>
      </c>
      <c r="J232" s="171" t="s">
        <v>1186</v>
      </c>
      <c r="K232" s="46"/>
    </row>
    <row r="233" spans="1:11" ht="24" customHeight="1">
      <c r="A233" s="229">
        <v>228</v>
      </c>
      <c r="B233" s="184"/>
      <c r="C233" s="18" t="s">
        <v>493</v>
      </c>
      <c r="D233" s="12" t="s">
        <v>522</v>
      </c>
      <c r="E233" s="35" t="s">
        <v>55</v>
      </c>
      <c r="F233" s="35">
        <v>2</v>
      </c>
      <c r="G233" s="42">
        <v>6500</v>
      </c>
      <c r="H233" s="97">
        <f t="shared" si="7"/>
        <v>13000</v>
      </c>
      <c r="I233" s="184" t="s">
        <v>1103</v>
      </c>
      <c r="J233" s="171" t="s">
        <v>1175</v>
      </c>
      <c r="K233" s="46"/>
    </row>
    <row r="234" spans="1:11">
      <c r="A234" s="229">
        <v>229</v>
      </c>
      <c r="B234" s="184"/>
      <c r="C234" s="18" t="s">
        <v>496</v>
      </c>
      <c r="D234" s="12" t="s">
        <v>525</v>
      </c>
      <c r="E234" s="35" t="s">
        <v>55</v>
      </c>
      <c r="F234" s="35">
        <v>1</v>
      </c>
      <c r="G234" s="42">
        <v>5300</v>
      </c>
      <c r="H234" s="97">
        <f t="shared" si="7"/>
        <v>5300</v>
      </c>
      <c r="I234" s="184" t="s">
        <v>69</v>
      </c>
      <c r="J234" s="171" t="s">
        <v>1175</v>
      </c>
      <c r="K234" s="46"/>
    </row>
    <row r="235" spans="1:11">
      <c r="A235" s="229">
        <v>230</v>
      </c>
      <c r="B235" s="184"/>
      <c r="C235" s="18" t="s">
        <v>499</v>
      </c>
      <c r="D235" s="12" t="s">
        <v>528</v>
      </c>
      <c r="E235" s="35" t="s">
        <v>55</v>
      </c>
      <c r="F235" s="35">
        <v>2</v>
      </c>
      <c r="G235" s="42">
        <v>3000</v>
      </c>
      <c r="H235" s="97">
        <f t="shared" si="7"/>
        <v>6000</v>
      </c>
      <c r="I235" s="184" t="s">
        <v>69</v>
      </c>
      <c r="J235" s="171" t="s">
        <v>1175</v>
      </c>
      <c r="K235" s="46"/>
    </row>
    <row r="236" spans="1:11">
      <c r="A236" s="229">
        <v>231</v>
      </c>
      <c r="B236" s="184"/>
      <c r="C236" s="18" t="s">
        <v>144</v>
      </c>
      <c r="D236" s="12" t="s">
        <v>529</v>
      </c>
      <c r="E236" s="35" t="s">
        <v>56</v>
      </c>
      <c r="F236" s="35">
        <v>1</v>
      </c>
      <c r="G236" s="42">
        <v>7500</v>
      </c>
      <c r="H236" s="97">
        <f t="shared" si="7"/>
        <v>7500</v>
      </c>
      <c r="I236" s="184" t="s">
        <v>69</v>
      </c>
      <c r="J236" s="171" t="s">
        <v>1175</v>
      </c>
      <c r="K236" s="46"/>
    </row>
    <row r="237" spans="1:11">
      <c r="A237" s="229">
        <v>232</v>
      </c>
      <c r="B237" s="184"/>
      <c r="C237" s="18" t="s">
        <v>501</v>
      </c>
      <c r="D237" s="12" t="s">
        <v>531</v>
      </c>
      <c r="E237" s="35" t="s">
        <v>55</v>
      </c>
      <c r="F237" s="35">
        <v>1</v>
      </c>
      <c r="G237" s="42">
        <v>5000</v>
      </c>
      <c r="H237" s="97">
        <f t="shared" si="7"/>
        <v>5000</v>
      </c>
      <c r="I237" s="184" t="s">
        <v>69</v>
      </c>
      <c r="J237" s="171" t="s">
        <v>1175</v>
      </c>
      <c r="K237" s="46"/>
    </row>
    <row r="238" spans="1:11">
      <c r="A238" s="229">
        <v>233</v>
      </c>
      <c r="B238" s="184"/>
      <c r="C238" s="18" t="s">
        <v>502</v>
      </c>
      <c r="D238" s="12" t="s">
        <v>532</v>
      </c>
      <c r="E238" s="35" t="s">
        <v>55</v>
      </c>
      <c r="F238" s="35">
        <v>1</v>
      </c>
      <c r="G238" s="42">
        <v>35000</v>
      </c>
      <c r="H238" s="97">
        <f t="shared" si="7"/>
        <v>35000</v>
      </c>
      <c r="I238" s="184" t="s">
        <v>69</v>
      </c>
      <c r="J238" s="171" t="s">
        <v>1175</v>
      </c>
      <c r="K238" s="46"/>
    </row>
    <row r="239" spans="1:11">
      <c r="A239" s="229">
        <v>234</v>
      </c>
      <c r="B239" s="184"/>
      <c r="C239" s="18" t="s">
        <v>507</v>
      </c>
      <c r="D239" s="119" t="s">
        <v>537</v>
      </c>
      <c r="E239" s="35" t="s">
        <v>55</v>
      </c>
      <c r="F239" s="35">
        <v>1</v>
      </c>
      <c r="G239" s="41">
        <v>7886.97</v>
      </c>
      <c r="H239" s="97">
        <f t="shared" si="7"/>
        <v>7886.97</v>
      </c>
      <c r="I239" s="184" t="s">
        <v>69</v>
      </c>
      <c r="J239" s="171" t="s">
        <v>1175</v>
      </c>
      <c r="K239" s="46"/>
    </row>
    <row r="240" spans="1:11">
      <c r="A240" s="229">
        <v>235</v>
      </c>
      <c r="B240" s="184"/>
      <c r="C240" s="18" t="s">
        <v>508</v>
      </c>
      <c r="D240" s="12" t="s">
        <v>538</v>
      </c>
      <c r="E240" s="35" t="s">
        <v>56</v>
      </c>
      <c r="F240" s="35">
        <v>1</v>
      </c>
      <c r="G240" s="42">
        <v>31559.65</v>
      </c>
      <c r="H240" s="97">
        <f t="shared" si="7"/>
        <v>31559.65</v>
      </c>
      <c r="I240" s="184" t="s">
        <v>69</v>
      </c>
      <c r="J240" s="171" t="s">
        <v>1175</v>
      </c>
      <c r="K240" s="46"/>
    </row>
    <row r="241" spans="1:11">
      <c r="A241" s="229">
        <v>236</v>
      </c>
      <c r="B241" s="100"/>
      <c r="C241" s="18" t="s">
        <v>509</v>
      </c>
      <c r="D241" s="34" t="s">
        <v>539</v>
      </c>
      <c r="E241" s="35" t="s">
        <v>56</v>
      </c>
      <c r="F241" s="35">
        <v>1</v>
      </c>
      <c r="G241" s="42">
        <v>33000</v>
      </c>
      <c r="H241" s="97">
        <f t="shared" si="7"/>
        <v>33000</v>
      </c>
      <c r="I241" s="184" t="s">
        <v>69</v>
      </c>
      <c r="J241" s="171" t="s">
        <v>1175</v>
      </c>
      <c r="K241" s="46"/>
    </row>
    <row r="242" spans="1:11">
      <c r="A242" s="229">
        <v>237</v>
      </c>
      <c r="B242" s="184"/>
      <c r="C242" s="18" t="s">
        <v>510</v>
      </c>
      <c r="D242" s="34" t="s">
        <v>540</v>
      </c>
      <c r="E242" s="35" t="s">
        <v>56</v>
      </c>
      <c r="F242" s="35">
        <v>1</v>
      </c>
      <c r="G242" s="42">
        <v>8290</v>
      </c>
      <c r="H242" s="97">
        <f t="shared" si="7"/>
        <v>8290</v>
      </c>
      <c r="I242" s="184" t="s">
        <v>69</v>
      </c>
      <c r="J242" s="171" t="s">
        <v>1175</v>
      </c>
      <c r="K242" s="46"/>
    </row>
    <row r="243" spans="1:11">
      <c r="A243" s="229">
        <v>238</v>
      </c>
      <c r="B243" s="184"/>
      <c r="C243" s="18" t="s">
        <v>512</v>
      </c>
      <c r="D243" s="34" t="s">
        <v>542</v>
      </c>
      <c r="E243" s="184" t="s">
        <v>56</v>
      </c>
      <c r="F243" s="36">
        <v>1</v>
      </c>
      <c r="G243" s="42">
        <v>1450</v>
      </c>
      <c r="H243" s="97">
        <f t="shared" si="7"/>
        <v>1450</v>
      </c>
      <c r="I243" s="184" t="s">
        <v>69</v>
      </c>
      <c r="J243" s="171" t="s">
        <v>1175</v>
      </c>
      <c r="K243" s="46"/>
    </row>
    <row r="244" spans="1:11">
      <c r="A244" s="229">
        <v>239</v>
      </c>
      <c r="B244" s="184"/>
      <c r="C244" s="18" t="s">
        <v>513</v>
      </c>
      <c r="D244" s="34" t="s">
        <v>543</v>
      </c>
      <c r="E244" s="184" t="s">
        <v>56</v>
      </c>
      <c r="F244" s="36">
        <v>4</v>
      </c>
      <c r="G244" s="42">
        <v>650</v>
      </c>
      <c r="H244" s="97">
        <f t="shared" si="7"/>
        <v>2600</v>
      </c>
      <c r="I244" s="184" t="s">
        <v>69</v>
      </c>
      <c r="J244" s="171" t="s">
        <v>1175</v>
      </c>
      <c r="K244" s="46"/>
    </row>
    <row r="245" spans="1:11">
      <c r="A245" s="229">
        <v>240</v>
      </c>
      <c r="B245" s="184"/>
      <c r="C245" s="18" t="s">
        <v>514</v>
      </c>
      <c r="D245" s="34" t="s">
        <v>544</v>
      </c>
      <c r="E245" s="184" t="s">
        <v>56</v>
      </c>
      <c r="F245" s="36">
        <v>3</v>
      </c>
      <c r="G245" s="42">
        <v>300</v>
      </c>
      <c r="H245" s="97">
        <f t="shared" si="7"/>
        <v>900</v>
      </c>
      <c r="I245" s="184" t="s">
        <v>69</v>
      </c>
      <c r="J245" s="171" t="s">
        <v>1175</v>
      </c>
      <c r="K245" s="46"/>
    </row>
    <row r="246" spans="1:11">
      <c r="A246" s="229">
        <v>241</v>
      </c>
      <c r="B246" s="184"/>
      <c r="C246" s="18" t="s">
        <v>515</v>
      </c>
      <c r="D246" s="34" t="s">
        <v>544</v>
      </c>
      <c r="E246" s="184" t="s">
        <v>1100</v>
      </c>
      <c r="F246" s="36">
        <v>1</v>
      </c>
      <c r="G246" s="42">
        <v>300</v>
      </c>
      <c r="H246" s="97">
        <f t="shared" si="7"/>
        <v>300</v>
      </c>
      <c r="I246" s="184" t="s">
        <v>69</v>
      </c>
      <c r="J246" s="171" t="s">
        <v>1175</v>
      </c>
      <c r="K246" s="46"/>
    </row>
    <row r="247" spans="1:11">
      <c r="A247" s="229">
        <v>242</v>
      </c>
      <c r="B247" s="184"/>
      <c r="C247" s="18" t="s">
        <v>517</v>
      </c>
      <c r="D247" s="34" t="s">
        <v>546</v>
      </c>
      <c r="E247" s="184" t="s">
        <v>1100</v>
      </c>
      <c r="F247" s="36">
        <v>1</v>
      </c>
      <c r="G247" s="42">
        <v>340</v>
      </c>
      <c r="H247" s="97">
        <f t="shared" si="7"/>
        <v>340</v>
      </c>
      <c r="I247" s="184" t="s">
        <v>69</v>
      </c>
      <c r="J247" s="171" t="s">
        <v>1175</v>
      </c>
      <c r="K247" s="46"/>
    </row>
    <row r="248" spans="1:11">
      <c r="A248" s="229">
        <v>243</v>
      </c>
      <c r="B248" s="184"/>
      <c r="C248" s="18" t="s">
        <v>518</v>
      </c>
      <c r="D248" s="34" t="s">
        <v>544</v>
      </c>
      <c r="E248" s="184" t="s">
        <v>56</v>
      </c>
      <c r="F248" s="36">
        <v>4</v>
      </c>
      <c r="G248" s="42">
        <v>750</v>
      </c>
      <c r="H248" s="97">
        <f t="shared" si="7"/>
        <v>3000</v>
      </c>
      <c r="I248" s="184" t="s">
        <v>69</v>
      </c>
      <c r="J248" s="171" t="s">
        <v>1175</v>
      </c>
      <c r="K248" s="46"/>
    </row>
    <row r="249" spans="1:11">
      <c r="A249" s="229">
        <v>244</v>
      </c>
      <c r="B249" s="184"/>
      <c r="C249" s="18" t="s">
        <v>519</v>
      </c>
      <c r="D249" s="34" t="s">
        <v>547</v>
      </c>
      <c r="E249" s="184" t="s">
        <v>56</v>
      </c>
      <c r="F249" s="36">
        <v>2</v>
      </c>
      <c r="G249" s="42">
        <v>1900</v>
      </c>
      <c r="H249" s="97">
        <f t="shared" si="7"/>
        <v>3800</v>
      </c>
      <c r="I249" s="184" t="s">
        <v>69</v>
      </c>
      <c r="J249" s="171" t="s">
        <v>1175</v>
      </c>
      <c r="K249" s="46"/>
    </row>
    <row r="250" spans="1:11">
      <c r="A250" s="229">
        <v>245</v>
      </c>
      <c r="B250" s="184"/>
      <c r="C250" s="18" t="s">
        <v>520</v>
      </c>
      <c r="D250" s="34" t="s">
        <v>548</v>
      </c>
      <c r="E250" s="184" t="s">
        <v>56</v>
      </c>
      <c r="F250" s="36">
        <v>1</v>
      </c>
      <c r="G250" s="42">
        <v>1190</v>
      </c>
      <c r="H250" s="97">
        <f t="shared" si="7"/>
        <v>1190</v>
      </c>
      <c r="I250" s="184" t="s">
        <v>69</v>
      </c>
      <c r="J250" s="171" t="s">
        <v>1175</v>
      </c>
      <c r="K250" s="46"/>
    </row>
    <row r="251" spans="1:11">
      <c r="A251" s="229">
        <v>246</v>
      </c>
      <c r="B251" s="184"/>
      <c r="C251" s="18" t="s">
        <v>521</v>
      </c>
      <c r="D251" s="34" t="s">
        <v>549</v>
      </c>
      <c r="E251" s="184" t="s">
        <v>56</v>
      </c>
      <c r="F251" s="36">
        <v>5</v>
      </c>
      <c r="G251" s="42">
        <v>350</v>
      </c>
      <c r="H251" s="97">
        <f t="shared" si="7"/>
        <v>1750</v>
      </c>
      <c r="I251" s="184" t="s">
        <v>69</v>
      </c>
      <c r="J251" s="171" t="s">
        <v>1175</v>
      </c>
      <c r="K251" s="46"/>
    </row>
    <row r="252" spans="1:11">
      <c r="A252" s="229">
        <v>247</v>
      </c>
      <c r="B252" s="184"/>
      <c r="C252" s="18" t="s">
        <v>487</v>
      </c>
      <c r="D252" s="34" t="s">
        <v>491</v>
      </c>
      <c r="E252" s="35" t="s">
        <v>55</v>
      </c>
      <c r="F252" s="35">
        <v>12</v>
      </c>
      <c r="G252" s="42">
        <v>15750</v>
      </c>
      <c r="H252" s="97">
        <f t="shared" si="7"/>
        <v>189000</v>
      </c>
      <c r="I252" s="184" t="s">
        <v>69</v>
      </c>
      <c r="J252" s="171" t="s">
        <v>1175</v>
      </c>
      <c r="K252" s="46"/>
    </row>
    <row r="253" spans="1:11">
      <c r="A253" s="229">
        <v>248</v>
      </c>
      <c r="B253" s="184"/>
      <c r="C253" s="18" t="s">
        <v>488</v>
      </c>
      <c r="D253" s="34" t="s">
        <v>492</v>
      </c>
      <c r="E253" s="35" t="s">
        <v>55</v>
      </c>
      <c r="F253" s="35">
        <v>1</v>
      </c>
      <c r="G253" s="42">
        <v>5350</v>
      </c>
      <c r="H253" s="97">
        <f t="shared" si="7"/>
        <v>5350</v>
      </c>
      <c r="I253" s="184" t="s">
        <v>69</v>
      </c>
      <c r="J253" s="171" t="s">
        <v>1175</v>
      </c>
      <c r="K253" s="46"/>
    </row>
    <row r="254" spans="1:11">
      <c r="A254" s="229">
        <v>249</v>
      </c>
      <c r="B254" s="184"/>
      <c r="C254" s="18" t="s">
        <v>489</v>
      </c>
      <c r="D254" s="12" t="s">
        <v>68</v>
      </c>
      <c r="E254" s="35" t="s">
        <v>55</v>
      </c>
      <c r="F254" s="35">
        <v>1</v>
      </c>
      <c r="G254" s="42">
        <v>17000</v>
      </c>
      <c r="H254" s="97">
        <f t="shared" si="7"/>
        <v>17000</v>
      </c>
      <c r="I254" s="184" t="s">
        <v>69</v>
      </c>
      <c r="J254" s="171" t="s">
        <v>1175</v>
      </c>
      <c r="K254" s="46"/>
    </row>
    <row r="255" spans="1:11" ht="24" customHeight="1">
      <c r="A255" s="229">
        <v>250</v>
      </c>
      <c r="B255" s="184"/>
      <c r="C255" s="18" t="s">
        <v>398</v>
      </c>
      <c r="D255" s="34" t="s">
        <v>428</v>
      </c>
      <c r="E255" s="35" t="s">
        <v>55</v>
      </c>
      <c r="F255" s="35">
        <v>1</v>
      </c>
      <c r="G255" s="42">
        <v>3600</v>
      </c>
      <c r="H255" s="97">
        <f t="shared" si="7"/>
        <v>3600</v>
      </c>
      <c r="I255" s="184" t="s">
        <v>69</v>
      </c>
      <c r="J255" s="171" t="s">
        <v>1185</v>
      </c>
      <c r="K255" s="46"/>
    </row>
    <row r="256" spans="1:11">
      <c r="A256" s="229">
        <v>251</v>
      </c>
      <c r="B256" s="184"/>
      <c r="C256" s="18" t="s">
        <v>399</v>
      </c>
      <c r="D256" s="34" t="s">
        <v>429</v>
      </c>
      <c r="E256" s="35" t="s">
        <v>55</v>
      </c>
      <c r="F256" s="35">
        <v>1</v>
      </c>
      <c r="G256" s="42">
        <v>45000</v>
      </c>
      <c r="H256" s="97">
        <f t="shared" si="7"/>
        <v>45000</v>
      </c>
      <c r="I256" s="184" t="s">
        <v>69</v>
      </c>
      <c r="J256" s="171" t="s">
        <v>1185</v>
      </c>
      <c r="K256" s="46"/>
    </row>
    <row r="257" spans="1:11">
      <c r="A257" s="229">
        <v>252</v>
      </c>
      <c r="B257" s="184"/>
      <c r="C257" s="18" t="s">
        <v>400</v>
      </c>
      <c r="D257" s="12" t="s">
        <v>430</v>
      </c>
      <c r="E257" s="35" t="s">
        <v>55</v>
      </c>
      <c r="F257" s="35">
        <v>1</v>
      </c>
      <c r="G257" s="42">
        <v>8500</v>
      </c>
      <c r="H257" s="97">
        <f t="shared" si="7"/>
        <v>8500</v>
      </c>
      <c r="I257" s="184" t="s">
        <v>69</v>
      </c>
      <c r="J257" s="171" t="s">
        <v>1185</v>
      </c>
      <c r="K257" s="46"/>
    </row>
    <row r="258" spans="1:11">
      <c r="A258" s="229">
        <v>253</v>
      </c>
      <c r="B258" s="184"/>
      <c r="C258" s="18" t="s">
        <v>401</v>
      </c>
      <c r="D258" s="12" t="s">
        <v>431</v>
      </c>
      <c r="E258" s="35" t="s">
        <v>55</v>
      </c>
      <c r="F258" s="35">
        <v>1</v>
      </c>
      <c r="G258" s="42">
        <v>9000</v>
      </c>
      <c r="H258" s="97">
        <f t="shared" si="7"/>
        <v>9000</v>
      </c>
      <c r="I258" s="184" t="s">
        <v>69</v>
      </c>
      <c r="J258" s="171" t="s">
        <v>1185</v>
      </c>
      <c r="K258" s="46"/>
    </row>
    <row r="259" spans="1:11">
      <c r="A259" s="229">
        <v>254</v>
      </c>
      <c r="B259" s="184"/>
      <c r="C259" s="18" t="s">
        <v>402</v>
      </c>
      <c r="D259" s="12" t="s">
        <v>432</v>
      </c>
      <c r="E259" s="35" t="s">
        <v>56</v>
      </c>
      <c r="F259" s="35">
        <v>1</v>
      </c>
      <c r="G259" s="42">
        <v>53900</v>
      </c>
      <c r="H259" s="97">
        <f t="shared" si="7"/>
        <v>53900</v>
      </c>
      <c r="I259" s="184" t="s">
        <v>69</v>
      </c>
      <c r="J259" s="171" t="s">
        <v>1185</v>
      </c>
      <c r="K259" s="46"/>
    </row>
    <row r="260" spans="1:11">
      <c r="A260" s="229">
        <v>255</v>
      </c>
      <c r="B260" s="184"/>
      <c r="C260" s="18" t="s">
        <v>403</v>
      </c>
      <c r="D260" s="34" t="s">
        <v>433</v>
      </c>
      <c r="E260" s="35" t="s">
        <v>56</v>
      </c>
      <c r="F260" s="35">
        <v>3</v>
      </c>
      <c r="G260" s="42">
        <v>9400</v>
      </c>
      <c r="H260" s="97">
        <f t="shared" si="7"/>
        <v>28200</v>
      </c>
      <c r="I260" s="184" t="s">
        <v>69</v>
      </c>
      <c r="J260" s="171" t="s">
        <v>1185</v>
      </c>
      <c r="K260" s="46"/>
    </row>
    <row r="261" spans="1:11">
      <c r="A261" s="229">
        <v>256</v>
      </c>
      <c r="B261" s="44"/>
      <c r="C261" s="18" t="s">
        <v>404</v>
      </c>
      <c r="D261" s="34" t="s">
        <v>433</v>
      </c>
      <c r="E261" s="35" t="s">
        <v>56</v>
      </c>
      <c r="F261" s="35">
        <v>4</v>
      </c>
      <c r="G261" s="42">
        <v>7650</v>
      </c>
      <c r="H261" s="97">
        <f t="shared" si="7"/>
        <v>30600</v>
      </c>
      <c r="I261" s="184" t="s">
        <v>69</v>
      </c>
      <c r="J261" s="171" t="s">
        <v>1185</v>
      </c>
      <c r="K261" s="46"/>
    </row>
    <row r="262" spans="1:11">
      <c r="A262" s="229">
        <v>257</v>
      </c>
      <c r="B262" s="184"/>
      <c r="C262" s="18" t="s">
        <v>405</v>
      </c>
      <c r="D262" s="34" t="s">
        <v>428</v>
      </c>
      <c r="E262" s="35" t="s">
        <v>56</v>
      </c>
      <c r="F262" s="35">
        <v>4</v>
      </c>
      <c r="G262" s="42">
        <v>3600</v>
      </c>
      <c r="H262" s="97">
        <f t="shared" si="7"/>
        <v>14400</v>
      </c>
      <c r="I262" s="184" t="s">
        <v>69</v>
      </c>
      <c r="J262" s="171" t="s">
        <v>1185</v>
      </c>
      <c r="K262" s="46"/>
    </row>
    <row r="263" spans="1:11">
      <c r="A263" s="229">
        <v>258</v>
      </c>
      <c r="B263" s="184"/>
      <c r="C263" s="18" t="s">
        <v>406</v>
      </c>
      <c r="D263" s="12" t="s">
        <v>434</v>
      </c>
      <c r="E263" s="35" t="s">
        <v>449</v>
      </c>
      <c r="F263" s="35">
        <v>1</v>
      </c>
      <c r="G263" s="42">
        <v>15500</v>
      </c>
      <c r="H263" s="97">
        <f t="shared" si="7"/>
        <v>15500</v>
      </c>
      <c r="I263" s="184" t="s">
        <v>69</v>
      </c>
      <c r="J263" s="171" t="s">
        <v>1185</v>
      </c>
      <c r="K263" s="46"/>
    </row>
    <row r="264" spans="1:11">
      <c r="A264" s="229">
        <v>259</v>
      </c>
      <c r="B264" s="184"/>
      <c r="C264" s="18" t="s">
        <v>407</v>
      </c>
      <c r="D264" s="12" t="s">
        <v>435</v>
      </c>
      <c r="E264" s="35" t="s">
        <v>56</v>
      </c>
      <c r="F264" s="35">
        <v>1</v>
      </c>
      <c r="G264" s="42">
        <v>8700</v>
      </c>
      <c r="H264" s="97">
        <f t="shared" si="7"/>
        <v>8700</v>
      </c>
      <c r="I264" s="184" t="s">
        <v>69</v>
      </c>
      <c r="J264" s="171" t="s">
        <v>1185</v>
      </c>
      <c r="K264" s="46"/>
    </row>
    <row r="265" spans="1:11">
      <c r="A265" s="229">
        <v>260</v>
      </c>
      <c r="B265" s="184"/>
      <c r="C265" s="18" t="s">
        <v>408</v>
      </c>
      <c r="D265" s="12" t="s">
        <v>436</v>
      </c>
      <c r="E265" s="35" t="s">
        <v>56</v>
      </c>
      <c r="F265" s="35">
        <v>1</v>
      </c>
      <c r="G265" s="42">
        <v>3000</v>
      </c>
      <c r="H265" s="97">
        <f t="shared" si="7"/>
        <v>3000</v>
      </c>
      <c r="I265" s="184" t="s">
        <v>69</v>
      </c>
      <c r="J265" s="171" t="s">
        <v>1185</v>
      </c>
      <c r="K265" s="46"/>
    </row>
    <row r="266" spans="1:11">
      <c r="A266" s="229">
        <v>261</v>
      </c>
      <c r="B266" s="184"/>
      <c r="C266" s="18" t="s">
        <v>409</v>
      </c>
      <c r="D266" s="12" t="s">
        <v>437</v>
      </c>
      <c r="E266" s="35" t="s">
        <v>56</v>
      </c>
      <c r="F266" s="35">
        <v>1</v>
      </c>
      <c r="G266" s="42">
        <v>5990</v>
      </c>
      <c r="H266" s="97">
        <f t="shared" ref="H266:H291" si="8">SUM(F266*G266)</f>
        <v>5990</v>
      </c>
      <c r="I266" s="184" t="s">
        <v>69</v>
      </c>
      <c r="J266" s="171" t="s">
        <v>1185</v>
      </c>
      <c r="K266" s="46"/>
    </row>
    <row r="267" spans="1:11">
      <c r="A267" s="229">
        <v>262</v>
      </c>
      <c r="B267" s="44"/>
      <c r="C267" s="18" t="s">
        <v>410</v>
      </c>
      <c r="D267" s="12" t="s">
        <v>438</v>
      </c>
      <c r="E267" s="35" t="s">
        <v>56</v>
      </c>
      <c r="F267" s="35">
        <v>1</v>
      </c>
      <c r="G267" s="42">
        <v>2650</v>
      </c>
      <c r="H267" s="97">
        <f t="shared" si="8"/>
        <v>2650</v>
      </c>
      <c r="I267" s="184" t="s">
        <v>69</v>
      </c>
      <c r="J267" s="171" t="s">
        <v>1185</v>
      </c>
      <c r="K267" s="46"/>
    </row>
    <row r="268" spans="1:11">
      <c r="A268" s="229">
        <v>263</v>
      </c>
      <c r="B268" s="184"/>
      <c r="C268" s="18" t="s">
        <v>411</v>
      </c>
      <c r="D268" s="119" t="s">
        <v>439</v>
      </c>
      <c r="E268" s="35" t="s">
        <v>56</v>
      </c>
      <c r="F268" s="35">
        <v>2</v>
      </c>
      <c r="G268" s="41">
        <v>4050</v>
      </c>
      <c r="H268" s="97">
        <f t="shared" si="8"/>
        <v>8100</v>
      </c>
      <c r="I268" s="184" t="s">
        <v>69</v>
      </c>
      <c r="J268" s="171" t="s">
        <v>1185</v>
      </c>
      <c r="K268" s="46"/>
    </row>
    <row r="269" spans="1:11">
      <c r="A269" s="229">
        <v>264</v>
      </c>
      <c r="B269" s="184"/>
      <c r="C269" s="18" t="s">
        <v>412</v>
      </c>
      <c r="D269" s="12" t="s">
        <v>440</v>
      </c>
      <c r="E269" s="35" t="s">
        <v>55</v>
      </c>
      <c r="F269" s="35">
        <v>1</v>
      </c>
      <c r="G269" s="42">
        <v>130000</v>
      </c>
      <c r="H269" s="97">
        <f t="shared" si="8"/>
        <v>130000</v>
      </c>
      <c r="I269" s="184" t="s">
        <v>69</v>
      </c>
      <c r="J269" s="171" t="s">
        <v>1185</v>
      </c>
      <c r="K269" s="46"/>
    </row>
    <row r="270" spans="1:11">
      <c r="A270" s="229">
        <v>265</v>
      </c>
      <c r="B270" s="184"/>
      <c r="C270" s="18" t="s">
        <v>413</v>
      </c>
      <c r="D270" s="12" t="s">
        <v>441</v>
      </c>
      <c r="E270" s="35" t="s">
        <v>55</v>
      </c>
      <c r="F270" s="35">
        <v>1</v>
      </c>
      <c r="G270" s="42">
        <v>35000</v>
      </c>
      <c r="H270" s="97">
        <f t="shared" si="8"/>
        <v>35000</v>
      </c>
      <c r="I270" s="184" t="s">
        <v>69</v>
      </c>
      <c r="J270" s="171" t="s">
        <v>1185</v>
      </c>
      <c r="K270" s="46"/>
    </row>
    <row r="271" spans="1:11">
      <c r="A271" s="229">
        <v>266</v>
      </c>
      <c r="B271" s="184"/>
      <c r="C271" s="18" t="s">
        <v>414</v>
      </c>
      <c r="D271" s="12" t="s">
        <v>442</v>
      </c>
      <c r="E271" s="35" t="s">
        <v>55</v>
      </c>
      <c r="F271" s="35">
        <v>1</v>
      </c>
      <c r="G271" s="42">
        <v>462312</v>
      </c>
      <c r="H271" s="97">
        <f t="shared" si="8"/>
        <v>462312</v>
      </c>
      <c r="I271" s="184" t="s">
        <v>69</v>
      </c>
      <c r="J271" s="171" t="s">
        <v>1185</v>
      </c>
      <c r="K271" s="46"/>
    </row>
    <row r="272" spans="1:11">
      <c r="A272" s="229">
        <v>267</v>
      </c>
      <c r="B272" s="184"/>
      <c r="C272" s="18" t="s">
        <v>415</v>
      </c>
      <c r="D272" s="12" t="s">
        <v>443</v>
      </c>
      <c r="E272" s="35" t="s">
        <v>449</v>
      </c>
      <c r="F272" s="35">
        <v>1</v>
      </c>
      <c r="G272" s="42">
        <v>42000</v>
      </c>
      <c r="H272" s="97">
        <f t="shared" si="8"/>
        <v>42000</v>
      </c>
      <c r="I272" s="184" t="s">
        <v>69</v>
      </c>
      <c r="J272" s="171" t="s">
        <v>1185</v>
      </c>
      <c r="K272" s="46"/>
    </row>
    <row r="273" spans="1:11">
      <c r="A273" s="229">
        <v>268</v>
      </c>
      <c r="B273" s="100"/>
      <c r="C273" s="18" t="s">
        <v>416</v>
      </c>
      <c r="D273" s="12" t="s">
        <v>91</v>
      </c>
      <c r="E273" s="35" t="s">
        <v>449</v>
      </c>
      <c r="F273" s="35">
        <v>6</v>
      </c>
      <c r="G273" s="42">
        <v>20000</v>
      </c>
      <c r="H273" s="97">
        <f t="shared" si="8"/>
        <v>120000</v>
      </c>
      <c r="I273" s="184" t="s">
        <v>69</v>
      </c>
      <c r="J273" s="171" t="s">
        <v>1185</v>
      </c>
      <c r="K273" s="46"/>
    </row>
    <row r="274" spans="1:11">
      <c r="A274" s="229">
        <v>269</v>
      </c>
      <c r="B274" s="184"/>
      <c r="C274" s="18" t="s">
        <v>418</v>
      </c>
      <c r="D274" s="12" t="s">
        <v>445</v>
      </c>
      <c r="E274" s="184" t="s">
        <v>55</v>
      </c>
      <c r="F274" s="36">
        <v>1</v>
      </c>
      <c r="G274" s="42">
        <v>1694000</v>
      </c>
      <c r="H274" s="97">
        <f t="shared" si="8"/>
        <v>1694000</v>
      </c>
      <c r="I274" s="184" t="s">
        <v>69</v>
      </c>
      <c r="J274" s="171" t="s">
        <v>1185</v>
      </c>
      <c r="K274" s="46"/>
    </row>
    <row r="275" spans="1:11">
      <c r="A275" s="229">
        <v>270</v>
      </c>
      <c r="B275" s="184"/>
      <c r="C275" s="18" t="s">
        <v>419</v>
      </c>
      <c r="D275" s="12" t="s">
        <v>121</v>
      </c>
      <c r="E275" s="184" t="s">
        <v>55</v>
      </c>
      <c r="F275" s="36">
        <v>1</v>
      </c>
      <c r="G275" s="42">
        <v>1100</v>
      </c>
      <c r="H275" s="97">
        <f t="shared" si="8"/>
        <v>1100</v>
      </c>
      <c r="I275" s="184" t="s">
        <v>69</v>
      </c>
      <c r="J275" s="171" t="s">
        <v>1185</v>
      </c>
      <c r="K275" s="46"/>
    </row>
    <row r="276" spans="1:11">
      <c r="A276" s="229">
        <v>271</v>
      </c>
      <c r="B276" s="184"/>
      <c r="C276" s="18" t="s">
        <v>420</v>
      </c>
      <c r="D276" s="12" t="s">
        <v>167</v>
      </c>
      <c r="E276" s="184" t="s">
        <v>55</v>
      </c>
      <c r="F276" s="36">
        <v>1</v>
      </c>
      <c r="G276" s="42">
        <v>3500</v>
      </c>
      <c r="H276" s="97">
        <f t="shared" si="8"/>
        <v>3500</v>
      </c>
      <c r="I276" s="184" t="s">
        <v>69</v>
      </c>
      <c r="J276" s="171" t="s">
        <v>1185</v>
      </c>
      <c r="K276" s="46"/>
    </row>
    <row r="277" spans="1:11">
      <c r="A277" s="229">
        <v>272</v>
      </c>
      <c r="B277" s="184"/>
      <c r="C277" s="18" t="s">
        <v>421</v>
      </c>
      <c r="D277" s="12" t="s">
        <v>345</v>
      </c>
      <c r="E277" s="184" t="s">
        <v>55</v>
      </c>
      <c r="F277" s="36">
        <v>1</v>
      </c>
      <c r="G277" s="42">
        <v>3750</v>
      </c>
      <c r="H277" s="97">
        <f t="shared" si="8"/>
        <v>3750</v>
      </c>
      <c r="I277" s="184" t="s">
        <v>69</v>
      </c>
      <c r="J277" s="171" t="s">
        <v>1185</v>
      </c>
      <c r="K277" s="46"/>
    </row>
    <row r="278" spans="1:11">
      <c r="A278" s="229">
        <v>273</v>
      </c>
      <c r="B278" s="184"/>
      <c r="C278" s="18" t="s">
        <v>422</v>
      </c>
      <c r="D278" s="12" t="s">
        <v>446</v>
      </c>
      <c r="E278" s="184" t="s">
        <v>55</v>
      </c>
      <c r="F278" s="36">
        <v>28</v>
      </c>
      <c r="G278" s="42">
        <v>16700</v>
      </c>
      <c r="H278" s="97">
        <f t="shared" si="8"/>
        <v>467600</v>
      </c>
      <c r="I278" s="184" t="s">
        <v>69</v>
      </c>
      <c r="J278" s="171" t="s">
        <v>1185</v>
      </c>
      <c r="K278" s="46"/>
    </row>
    <row r="279" spans="1:11">
      <c r="A279" s="229">
        <v>274</v>
      </c>
      <c r="B279" s="184"/>
      <c r="C279" s="30" t="s">
        <v>423</v>
      </c>
      <c r="D279" s="89" t="s">
        <v>68</v>
      </c>
      <c r="E279" s="184" t="s">
        <v>55</v>
      </c>
      <c r="F279" s="36">
        <v>20</v>
      </c>
      <c r="G279" s="155">
        <v>18495</v>
      </c>
      <c r="H279" s="97">
        <f t="shared" si="8"/>
        <v>369900</v>
      </c>
      <c r="I279" s="184" t="s">
        <v>69</v>
      </c>
      <c r="J279" s="171" t="s">
        <v>1185</v>
      </c>
      <c r="K279" s="46"/>
    </row>
    <row r="280" spans="1:11">
      <c r="A280" s="229">
        <v>275</v>
      </c>
      <c r="B280" s="184"/>
      <c r="C280" s="18" t="s">
        <v>424</v>
      </c>
      <c r="D280" s="12" t="s">
        <v>447</v>
      </c>
      <c r="E280" s="184" t="s">
        <v>55</v>
      </c>
      <c r="F280" s="36">
        <v>1</v>
      </c>
      <c r="G280" s="42">
        <v>30000</v>
      </c>
      <c r="H280" s="97">
        <f t="shared" si="8"/>
        <v>30000</v>
      </c>
      <c r="I280" s="184" t="s">
        <v>69</v>
      </c>
      <c r="J280" s="171" t="s">
        <v>1185</v>
      </c>
      <c r="K280" s="46"/>
    </row>
    <row r="281" spans="1:11">
      <c r="A281" s="229">
        <v>276</v>
      </c>
      <c r="B281" s="184"/>
      <c r="C281" s="18" t="s">
        <v>425</v>
      </c>
      <c r="D281" s="12" t="s">
        <v>68</v>
      </c>
      <c r="E281" s="184" t="s">
        <v>55</v>
      </c>
      <c r="F281" s="36">
        <v>1</v>
      </c>
      <c r="G281" s="42">
        <v>17000</v>
      </c>
      <c r="H281" s="97">
        <f t="shared" si="8"/>
        <v>17000</v>
      </c>
      <c r="I281" s="184" t="s">
        <v>69</v>
      </c>
      <c r="J281" s="171" t="s">
        <v>1185</v>
      </c>
      <c r="K281" s="46"/>
    </row>
    <row r="282" spans="1:11">
      <c r="A282" s="229">
        <v>277</v>
      </c>
      <c r="B282" s="184"/>
      <c r="C282" s="18" t="s">
        <v>426</v>
      </c>
      <c r="D282" s="12" t="s">
        <v>68</v>
      </c>
      <c r="E282" s="184" t="s">
        <v>55</v>
      </c>
      <c r="F282" s="36">
        <v>10</v>
      </c>
      <c r="G282" s="42">
        <v>19400</v>
      </c>
      <c r="H282" s="97">
        <f t="shared" si="8"/>
        <v>194000</v>
      </c>
      <c r="I282" s="184" t="s">
        <v>69</v>
      </c>
      <c r="J282" s="171" t="s">
        <v>1185</v>
      </c>
      <c r="K282" s="46"/>
    </row>
    <row r="283" spans="1:11">
      <c r="A283" s="229">
        <v>278</v>
      </c>
      <c r="B283" s="184"/>
      <c r="C283" s="18" t="s">
        <v>427</v>
      </c>
      <c r="D283" s="12" t="s">
        <v>448</v>
      </c>
      <c r="E283" s="184" t="s">
        <v>55</v>
      </c>
      <c r="F283" s="36">
        <v>1</v>
      </c>
      <c r="G283" s="42">
        <v>70000</v>
      </c>
      <c r="H283" s="97">
        <f t="shared" si="8"/>
        <v>70000</v>
      </c>
      <c r="I283" s="184" t="s">
        <v>69</v>
      </c>
      <c r="J283" s="171" t="s">
        <v>1185</v>
      </c>
      <c r="K283" s="46"/>
    </row>
    <row r="284" spans="1:11">
      <c r="A284" s="229">
        <v>279</v>
      </c>
      <c r="B284" s="100"/>
      <c r="C284" s="18" t="s">
        <v>451</v>
      </c>
      <c r="D284" s="12" t="s">
        <v>1101</v>
      </c>
      <c r="E284" s="35" t="s">
        <v>55</v>
      </c>
      <c r="F284" s="35">
        <v>2</v>
      </c>
      <c r="G284" s="42">
        <v>858</v>
      </c>
      <c r="H284" s="97">
        <f t="shared" si="8"/>
        <v>1716</v>
      </c>
      <c r="I284" s="184" t="s">
        <v>69</v>
      </c>
      <c r="J284" s="171" t="s">
        <v>1185</v>
      </c>
      <c r="K284" s="46"/>
    </row>
    <row r="285" spans="1:11">
      <c r="A285" s="229">
        <v>280</v>
      </c>
      <c r="B285" s="184"/>
      <c r="C285" s="18" t="s">
        <v>452</v>
      </c>
      <c r="D285" s="12" t="s">
        <v>470</v>
      </c>
      <c r="E285" s="35" t="s">
        <v>55</v>
      </c>
      <c r="F285" s="35">
        <v>2</v>
      </c>
      <c r="G285" s="42">
        <v>4550</v>
      </c>
      <c r="H285" s="97">
        <f t="shared" si="8"/>
        <v>9100</v>
      </c>
      <c r="I285" s="184" t="s">
        <v>69</v>
      </c>
      <c r="J285" s="171" t="s">
        <v>1185</v>
      </c>
      <c r="K285" s="46"/>
    </row>
    <row r="286" spans="1:11">
      <c r="A286" s="229">
        <v>281</v>
      </c>
      <c r="B286" s="184"/>
      <c r="C286" s="18" t="s">
        <v>454</v>
      </c>
      <c r="D286" s="12" t="s">
        <v>472</v>
      </c>
      <c r="E286" s="35" t="s">
        <v>55</v>
      </c>
      <c r="F286" s="35">
        <v>27</v>
      </c>
      <c r="G286" s="42">
        <v>858</v>
      </c>
      <c r="H286" s="97">
        <f t="shared" si="8"/>
        <v>23166</v>
      </c>
      <c r="I286" s="184" t="s">
        <v>69</v>
      </c>
      <c r="J286" s="171" t="s">
        <v>1185</v>
      </c>
      <c r="K286" s="46"/>
    </row>
    <row r="287" spans="1:11">
      <c r="A287" s="229">
        <v>282</v>
      </c>
      <c r="B287" s="184"/>
      <c r="C287" s="18" t="s">
        <v>459</v>
      </c>
      <c r="D287" s="12" t="s">
        <v>472</v>
      </c>
      <c r="E287" s="35" t="s">
        <v>55</v>
      </c>
      <c r="F287" s="35">
        <v>7</v>
      </c>
      <c r="G287" s="42">
        <v>850</v>
      </c>
      <c r="H287" s="97">
        <f t="shared" si="8"/>
        <v>5950</v>
      </c>
      <c r="I287" s="184" t="s">
        <v>69</v>
      </c>
      <c r="J287" s="171" t="s">
        <v>1185</v>
      </c>
      <c r="K287" s="46"/>
    </row>
    <row r="288" spans="1:11">
      <c r="A288" s="229">
        <v>283</v>
      </c>
      <c r="B288" s="113"/>
      <c r="C288" s="18" t="s">
        <v>691</v>
      </c>
      <c r="D288" s="12" t="s">
        <v>692</v>
      </c>
      <c r="E288" s="35" t="s">
        <v>55</v>
      </c>
      <c r="F288" s="38">
        <v>1</v>
      </c>
      <c r="G288" s="42">
        <v>478800</v>
      </c>
      <c r="H288" s="97">
        <f t="shared" si="8"/>
        <v>478800</v>
      </c>
      <c r="I288" s="112" t="s">
        <v>69</v>
      </c>
      <c r="J288" s="165" t="s">
        <v>1154</v>
      </c>
      <c r="K288" s="42"/>
    </row>
    <row r="289" spans="1:11">
      <c r="A289" s="229">
        <v>284</v>
      </c>
      <c r="B289" s="108"/>
      <c r="C289" s="18" t="s">
        <v>693</v>
      </c>
      <c r="D289" s="12" t="s">
        <v>694</v>
      </c>
      <c r="E289" s="35" t="s">
        <v>55</v>
      </c>
      <c r="F289" s="38">
        <v>1</v>
      </c>
      <c r="G289" s="42">
        <v>158800</v>
      </c>
      <c r="H289" s="97">
        <f t="shared" si="8"/>
        <v>158800</v>
      </c>
      <c r="I289" s="112" t="s">
        <v>69</v>
      </c>
      <c r="J289" s="165" t="s">
        <v>1154</v>
      </c>
      <c r="K289" s="42"/>
    </row>
    <row r="290" spans="1:11">
      <c r="A290" s="229">
        <v>285</v>
      </c>
      <c r="B290" s="44"/>
      <c r="C290" s="18" t="s">
        <v>695</v>
      </c>
      <c r="D290" s="12" t="s">
        <v>696</v>
      </c>
      <c r="E290" s="35" t="s">
        <v>55</v>
      </c>
      <c r="F290" s="38">
        <v>1</v>
      </c>
      <c r="G290" s="42">
        <v>498800</v>
      </c>
      <c r="H290" s="97">
        <f t="shared" si="8"/>
        <v>498800</v>
      </c>
      <c r="I290" s="112" t="s">
        <v>69</v>
      </c>
      <c r="J290" s="165" t="s">
        <v>1154</v>
      </c>
      <c r="K290" s="46"/>
    </row>
    <row r="291" spans="1:11">
      <c r="A291" s="229">
        <v>286</v>
      </c>
      <c r="B291" s="107"/>
      <c r="C291" s="18" t="s">
        <v>698</v>
      </c>
      <c r="D291" s="34" t="s">
        <v>1153</v>
      </c>
      <c r="E291" s="35" t="s">
        <v>55</v>
      </c>
      <c r="F291" s="38">
        <v>1</v>
      </c>
      <c r="G291" s="42">
        <v>178000</v>
      </c>
      <c r="H291" s="97">
        <f t="shared" si="8"/>
        <v>178000</v>
      </c>
      <c r="I291" s="184" t="s">
        <v>69</v>
      </c>
      <c r="J291" s="165" t="s">
        <v>1154</v>
      </c>
      <c r="K291" s="46"/>
    </row>
    <row r="292" spans="1:11">
      <c r="A292" s="229">
        <v>287</v>
      </c>
      <c r="B292" s="44"/>
      <c r="C292" s="18" t="s">
        <v>699</v>
      </c>
      <c r="D292" s="12" t="s">
        <v>700</v>
      </c>
      <c r="E292" s="35" t="s">
        <v>55</v>
      </c>
      <c r="F292" s="38">
        <v>1</v>
      </c>
      <c r="G292" s="42">
        <v>94000</v>
      </c>
      <c r="H292" s="97">
        <f t="shared" ref="H292:H294" si="9">SUM(F292*G292)</f>
        <v>94000</v>
      </c>
      <c r="I292" s="112" t="s">
        <v>69</v>
      </c>
      <c r="J292" s="165" t="s">
        <v>1154</v>
      </c>
      <c r="K292" s="46"/>
    </row>
    <row r="293" spans="1:11">
      <c r="A293" s="229">
        <v>288</v>
      </c>
      <c r="B293" s="115"/>
      <c r="C293" s="18" t="s">
        <v>701</v>
      </c>
      <c r="D293" s="12" t="s">
        <v>702</v>
      </c>
      <c r="E293" s="35" t="s">
        <v>55</v>
      </c>
      <c r="F293" s="38">
        <v>1</v>
      </c>
      <c r="G293" s="42">
        <v>22500</v>
      </c>
      <c r="H293" s="97">
        <f t="shared" si="9"/>
        <v>22500</v>
      </c>
      <c r="I293" s="120" t="s">
        <v>69</v>
      </c>
      <c r="J293" s="165" t="s">
        <v>1154</v>
      </c>
      <c r="K293" s="46"/>
    </row>
    <row r="294" spans="1:11">
      <c r="A294" s="229">
        <v>289</v>
      </c>
      <c r="B294" s="66" t="s">
        <v>1171</v>
      </c>
      <c r="C294" s="9"/>
      <c r="D294" s="12" t="s">
        <v>703</v>
      </c>
      <c r="E294" s="184" t="s">
        <v>449</v>
      </c>
      <c r="F294" s="38">
        <v>2</v>
      </c>
      <c r="G294" s="42">
        <v>16217.5</v>
      </c>
      <c r="H294" s="97">
        <f t="shared" si="9"/>
        <v>32435</v>
      </c>
      <c r="I294" s="104" t="s">
        <v>69</v>
      </c>
      <c r="J294" s="165" t="s">
        <v>1154</v>
      </c>
      <c r="K294" s="46"/>
    </row>
    <row r="295" spans="1:11">
      <c r="A295" s="229">
        <v>290</v>
      </c>
      <c r="B295" s="44"/>
      <c r="C295" s="31" t="s">
        <v>1011</v>
      </c>
      <c r="D295" s="134" t="s">
        <v>697</v>
      </c>
      <c r="E295" s="35" t="s">
        <v>55</v>
      </c>
      <c r="F295" s="162">
        <v>1</v>
      </c>
      <c r="G295" s="41">
        <v>18500</v>
      </c>
      <c r="H295" s="41">
        <f t="shared" ref="H295:H324" si="10">SUM(F295*G295)</f>
        <v>18500</v>
      </c>
      <c r="I295" s="112" t="s">
        <v>69</v>
      </c>
      <c r="J295" s="172" t="s">
        <v>1176</v>
      </c>
      <c r="K295" s="46"/>
    </row>
    <row r="296" spans="1:11">
      <c r="A296" s="229">
        <v>291</v>
      </c>
      <c r="B296" s="44"/>
      <c r="C296" s="31" t="s">
        <v>1012</v>
      </c>
      <c r="D296" s="134" t="s">
        <v>1013</v>
      </c>
      <c r="E296" s="35" t="s">
        <v>55</v>
      </c>
      <c r="F296" s="162">
        <v>1</v>
      </c>
      <c r="G296" s="41">
        <v>19795</v>
      </c>
      <c r="H296" s="41">
        <f t="shared" si="10"/>
        <v>19795</v>
      </c>
      <c r="I296" s="112" t="s">
        <v>69</v>
      </c>
      <c r="J296" s="172" t="s">
        <v>1176</v>
      </c>
      <c r="K296" s="42"/>
    </row>
    <row r="297" spans="1:11">
      <c r="A297" s="229">
        <v>292</v>
      </c>
      <c r="B297" s="115"/>
      <c r="C297" s="27" t="s">
        <v>424</v>
      </c>
      <c r="D297" s="134" t="s">
        <v>1014</v>
      </c>
      <c r="E297" s="35" t="s">
        <v>55</v>
      </c>
      <c r="F297" s="161">
        <v>1</v>
      </c>
      <c r="G297" s="42">
        <v>25000</v>
      </c>
      <c r="H297" s="41">
        <f t="shared" si="10"/>
        <v>25000</v>
      </c>
      <c r="I297" s="184" t="s">
        <v>69</v>
      </c>
      <c r="J297" s="172" t="s">
        <v>1176</v>
      </c>
      <c r="K297" s="46"/>
    </row>
    <row r="298" spans="1:11">
      <c r="A298" s="229">
        <v>293</v>
      </c>
      <c r="B298" s="107"/>
      <c r="C298" s="27" t="s">
        <v>1015</v>
      </c>
      <c r="D298" s="134" t="s">
        <v>98</v>
      </c>
      <c r="E298" s="35" t="s">
        <v>55</v>
      </c>
      <c r="F298" s="161">
        <v>1</v>
      </c>
      <c r="G298" s="42">
        <v>4000</v>
      </c>
      <c r="H298" s="41">
        <f t="shared" si="10"/>
        <v>4000</v>
      </c>
      <c r="I298" s="184" t="s">
        <v>69</v>
      </c>
      <c r="J298" s="172" t="s">
        <v>1176</v>
      </c>
      <c r="K298" s="46"/>
    </row>
    <row r="299" spans="1:11">
      <c r="A299" s="229">
        <v>294</v>
      </c>
      <c r="B299" s="113"/>
      <c r="C299" s="18" t="s">
        <v>769</v>
      </c>
      <c r="D299" s="12" t="s">
        <v>770</v>
      </c>
      <c r="E299" s="35" t="s">
        <v>55</v>
      </c>
      <c r="F299" s="38">
        <v>1</v>
      </c>
      <c r="G299" s="42">
        <v>56074.76</v>
      </c>
      <c r="H299" s="41">
        <f t="shared" si="10"/>
        <v>56074.76</v>
      </c>
      <c r="I299" s="112" t="s">
        <v>69</v>
      </c>
      <c r="J299" s="173" t="s">
        <v>1177</v>
      </c>
      <c r="K299" s="46"/>
    </row>
    <row r="300" spans="1:11">
      <c r="A300" s="229">
        <v>295</v>
      </c>
      <c r="B300" s="44"/>
      <c r="C300" s="18" t="s">
        <v>771</v>
      </c>
      <c r="D300" s="12" t="s">
        <v>772</v>
      </c>
      <c r="E300" s="35" t="s">
        <v>55</v>
      </c>
      <c r="F300" s="38">
        <v>10</v>
      </c>
      <c r="G300" s="42">
        <v>3000</v>
      </c>
      <c r="H300" s="41">
        <f t="shared" si="10"/>
        <v>30000</v>
      </c>
      <c r="I300" s="112" t="s">
        <v>69</v>
      </c>
      <c r="J300" s="173" t="s">
        <v>1177</v>
      </c>
      <c r="K300" s="46"/>
    </row>
    <row r="301" spans="1:11">
      <c r="A301" s="229">
        <v>296</v>
      </c>
      <c r="B301" s="44"/>
      <c r="C301" s="18" t="s">
        <v>773</v>
      </c>
      <c r="D301" s="34" t="s">
        <v>774</v>
      </c>
      <c r="E301" s="35" t="s">
        <v>55</v>
      </c>
      <c r="F301" s="38">
        <v>10</v>
      </c>
      <c r="G301" s="42">
        <v>3000</v>
      </c>
      <c r="H301" s="41">
        <f t="shared" si="10"/>
        <v>30000</v>
      </c>
      <c r="I301" s="112" t="s">
        <v>69</v>
      </c>
      <c r="J301" s="173" t="s">
        <v>1177</v>
      </c>
      <c r="K301" s="46"/>
    </row>
    <row r="302" spans="1:11">
      <c r="A302" s="229">
        <v>297</v>
      </c>
      <c r="B302" s="44"/>
      <c r="C302" s="18" t="s">
        <v>775</v>
      </c>
      <c r="D302" s="12" t="s">
        <v>776</v>
      </c>
      <c r="E302" s="35" t="s">
        <v>55</v>
      </c>
      <c r="F302" s="38">
        <v>1</v>
      </c>
      <c r="G302" s="42">
        <v>40000</v>
      </c>
      <c r="H302" s="41">
        <f t="shared" si="10"/>
        <v>40000</v>
      </c>
      <c r="I302" s="120" t="s">
        <v>69</v>
      </c>
      <c r="J302" s="173" t="s">
        <v>1177</v>
      </c>
      <c r="K302" s="46"/>
    </row>
    <row r="303" spans="1:11">
      <c r="A303" s="229">
        <v>298</v>
      </c>
      <c r="B303" s="115"/>
      <c r="C303" s="18" t="s">
        <v>777</v>
      </c>
      <c r="D303" s="12" t="s">
        <v>778</v>
      </c>
      <c r="E303" s="35" t="s">
        <v>55</v>
      </c>
      <c r="F303" s="38">
        <v>10</v>
      </c>
      <c r="G303" s="42">
        <v>40000</v>
      </c>
      <c r="H303" s="41">
        <f t="shared" si="10"/>
        <v>400000</v>
      </c>
      <c r="I303" s="120" t="s">
        <v>69</v>
      </c>
      <c r="J303" s="173" t="s">
        <v>1177</v>
      </c>
      <c r="K303" s="46"/>
    </row>
    <row r="304" spans="1:11">
      <c r="A304" s="229">
        <v>299</v>
      </c>
      <c r="B304" s="107"/>
      <c r="C304" s="18" t="s">
        <v>779</v>
      </c>
      <c r="D304" s="12" t="s">
        <v>780</v>
      </c>
      <c r="E304" s="35" t="s">
        <v>55</v>
      </c>
      <c r="F304" s="38">
        <v>1</v>
      </c>
      <c r="G304" s="42">
        <v>199700</v>
      </c>
      <c r="H304" s="41">
        <f t="shared" si="10"/>
        <v>199700</v>
      </c>
      <c r="I304" s="184" t="s">
        <v>69</v>
      </c>
      <c r="J304" s="173" t="s">
        <v>1177</v>
      </c>
      <c r="K304" s="46"/>
    </row>
    <row r="305" spans="1:11">
      <c r="A305" s="229">
        <v>300</v>
      </c>
      <c r="B305" s="107"/>
      <c r="C305" s="18" t="s">
        <v>781</v>
      </c>
      <c r="D305" s="12" t="s">
        <v>782</v>
      </c>
      <c r="E305" s="35" t="s">
        <v>55</v>
      </c>
      <c r="F305" s="38">
        <v>1</v>
      </c>
      <c r="G305" s="42">
        <v>9950</v>
      </c>
      <c r="H305" s="41">
        <f t="shared" si="10"/>
        <v>9950</v>
      </c>
      <c r="I305" s="184" t="s">
        <v>69</v>
      </c>
      <c r="J305" s="173" t="s">
        <v>1177</v>
      </c>
      <c r="K305" s="46"/>
    </row>
    <row r="306" spans="1:11">
      <c r="A306" s="229">
        <v>301</v>
      </c>
      <c r="B306" s="117"/>
      <c r="C306" s="18" t="s">
        <v>783</v>
      </c>
      <c r="D306" s="12" t="s">
        <v>539</v>
      </c>
      <c r="E306" s="35" t="s">
        <v>56</v>
      </c>
      <c r="F306" s="38">
        <v>1</v>
      </c>
      <c r="G306" s="42">
        <v>33000</v>
      </c>
      <c r="H306" s="41">
        <f t="shared" si="10"/>
        <v>33000</v>
      </c>
      <c r="I306" s="184" t="s">
        <v>69</v>
      </c>
      <c r="J306" s="173" t="s">
        <v>1177</v>
      </c>
      <c r="K306" s="46"/>
    </row>
    <row r="307" spans="1:11">
      <c r="A307" s="229">
        <v>302</v>
      </c>
      <c r="B307" s="184"/>
      <c r="C307" s="18" t="s">
        <v>784</v>
      </c>
      <c r="D307" s="12" t="s">
        <v>785</v>
      </c>
      <c r="E307" s="184" t="s">
        <v>55</v>
      </c>
      <c r="F307" s="38">
        <v>1</v>
      </c>
      <c r="G307" s="42">
        <v>28000</v>
      </c>
      <c r="H307" s="41">
        <f t="shared" si="10"/>
        <v>28000</v>
      </c>
      <c r="I307" s="184" t="s">
        <v>69</v>
      </c>
      <c r="J307" s="173" t="s">
        <v>1177</v>
      </c>
      <c r="K307" s="46"/>
    </row>
    <row r="308" spans="1:11">
      <c r="A308" s="229">
        <v>303</v>
      </c>
      <c r="B308" s="184"/>
      <c r="C308" s="18" t="s">
        <v>786</v>
      </c>
      <c r="D308" s="12" t="s">
        <v>787</v>
      </c>
      <c r="E308" s="184" t="s">
        <v>55</v>
      </c>
      <c r="F308" s="38">
        <v>1</v>
      </c>
      <c r="G308" s="42">
        <v>12550</v>
      </c>
      <c r="H308" s="41">
        <f t="shared" si="10"/>
        <v>12550</v>
      </c>
      <c r="I308" s="184" t="s">
        <v>69</v>
      </c>
      <c r="J308" s="173" t="s">
        <v>1177</v>
      </c>
      <c r="K308" s="46"/>
    </row>
    <row r="309" spans="1:11">
      <c r="A309" s="229">
        <v>304</v>
      </c>
      <c r="B309" s="184"/>
      <c r="C309" s="18" t="s">
        <v>788</v>
      </c>
      <c r="D309" s="12" t="s">
        <v>1155</v>
      </c>
      <c r="E309" s="184" t="s">
        <v>55</v>
      </c>
      <c r="F309" s="38">
        <v>2</v>
      </c>
      <c r="G309" s="42">
        <v>122836</v>
      </c>
      <c r="H309" s="41">
        <f t="shared" si="10"/>
        <v>245672</v>
      </c>
      <c r="I309" s="184" t="s">
        <v>69</v>
      </c>
      <c r="J309" s="173" t="s">
        <v>1177</v>
      </c>
      <c r="K309" s="46"/>
    </row>
    <row r="310" spans="1:11">
      <c r="A310" s="229">
        <v>305</v>
      </c>
      <c r="B310" s="184"/>
      <c r="C310" s="18" t="s">
        <v>789</v>
      </c>
      <c r="D310" s="12" t="s">
        <v>1156</v>
      </c>
      <c r="E310" s="184" t="s">
        <v>55</v>
      </c>
      <c r="F310" s="38">
        <v>1</v>
      </c>
      <c r="G310" s="42">
        <v>78463</v>
      </c>
      <c r="H310" s="41">
        <f t="shared" si="10"/>
        <v>78463</v>
      </c>
      <c r="I310" s="184" t="s">
        <v>69</v>
      </c>
      <c r="J310" s="173" t="s">
        <v>1177</v>
      </c>
      <c r="K310" s="46"/>
    </row>
    <row r="311" spans="1:11">
      <c r="A311" s="229">
        <v>306</v>
      </c>
      <c r="B311" s="44"/>
      <c r="C311" s="18" t="s">
        <v>790</v>
      </c>
      <c r="D311" s="12" t="s">
        <v>791</v>
      </c>
      <c r="E311" s="35" t="s">
        <v>55</v>
      </c>
      <c r="F311" s="38">
        <v>1</v>
      </c>
      <c r="G311" s="42">
        <v>22900</v>
      </c>
      <c r="H311" s="41">
        <f t="shared" si="10"/>
        <v>22900</v>
      </c>
      <c r="I311" s="112" t="s">
        <v>69</v>
      </c>
      <c r="J311" s="173" t="s">
        <v>1177</v>
      </c>
      <c r="K311" s="46"/>
    </row>
    <row r="312" spans="1:11" s="128" customFormat="1" ht="44.25" customHeight="1">
      <c r="A312" s="126">
        <v>307</v>
      </c>
      <c r="B312" s="129"/>
      <c r="C312" s="82" t="s">
        <v>792</v>
      </c>
      <c r="D312" s="135" t="s">
        <v>1157</v>
      </c>
      <c r="E312" s="140" t="s">
        <v>55</v>
      </c>
      <c r="F312" s="163">
        <v>3</v>
      </c>
      <c r="G312" s="156">
        <v>19880</v>
      </c>
      <c r="H312" s="177">
        <f t="shared" si="10"/>
        <v>59640</v>
      </c>
      <c r="I312" s="149" t="s">
        <v>69</v>
      </c>
      <c r="J312" s="174" t="s">
        <v>1177</v>
      </c>
      <c r="K312" s="180"/>
    </row>
    <row r="313" spans="1:11">
      <c r="A313" s="184">
        <v>308</v>
      </c>
      <c r="B313" s="44"/>
      <c r="C313" s="27" t="s">
        <v>793</v>
      </c>
      <c r="D313" s="133" t="s">
        <v>794</v>
      </c>
      <c r="E313" s="35" t="s">
        <v>55</v>
      </c>
      <c r="F313" s="161">
        <v>1</v>
      </c>
      <c r="G313" s="42">
        <v>40000</v>
      </c>
      <c r="H313" s="41">
        <f t="shared" si="10"/>
        <v>40000</v>
      </c>
      <c r="I313" s="112" t="s">
        <v>69</v>
      </c>
      <c r="J313" s="173" t="s">
        <v>1177</v>
      </c>
      <c r="K313" s="46"/>
    </row>
    <row r="314" spans="1:11">
      <c r="A314" s="184">
        <v>309</v>
      </c>
      <c r="B314" s="44"/>
      <c r="C314" s="27" t="s">
        <v>795</v>
      </c>
      <c r="D314" s="133" t="s">
        <v>796</v>
      </c>
      <c r="E314" s="35" t="s">
        <v>55</v>
      </c>
      <c r="F314" s="161">
        <v>1</v>
      </c>
      <c r="G314" s="42">
        <v>46500</v>
      </c>
      <c r="H314" s="41">
        <f t="shared" si="10"/>
        <v>46500</v>
      </c>
      <c r="I314" s="112" t="s">
        <v>69</v>
      </c>
      <c r="J314" s="173" t="s">
        <v>1177</v>
      </c>
      <c r="K314" s="46"/>
    </row>
    <row r="315" spans="1:11">
      <c r="A315" s="229">
        <v>310</v>
      </c>
      <c r="B315" s="44"/>
      <c r="C315" s="27" t="s">
        <v>797</v>
      </c>
      <c r="D315" s="133" t="s">
        <v>798</v>
      </c>
      <c r="E315" s="35" t="s">
        <v>55</v>
      </c>
      <c r="F315" s="161">
        <v>1</v>
      </c>
      <c r="G315" s="42">
        <v>37500</v>
      </c>
      <c r="H315" s="41">
        <f t="shared" si="10"/>
        <v>37500</v>
      </c>
      <c r="I315" s="112" t="s">
        <v>69</v>
      </c>
      <c r="J315" s="173" t="s">
        <v>1177</v>
      </c>
      <c r="K315" s="46"/>
    </row>
    <row r="316" spans="1:11">
      <c r="A316" s="229">
        <v>311</v>
      </c>
      <c r="B316" s="69"/>
      <c r="C316" s="9" t="s">
        <v>799</v>
      </c>
      <c r="D316" s="103" t="s">
        <v>800</v>
      </c>
      <c r="E316" s="72" t="s">
        <v>55</v>
      </c>
      <c r="F316" s="148">
        <v>1</v>
      </c>
      <c r="G316" s="74">
        <v>80000</v>
      </c>
      <c r="H316" s="41">
        <f t="shared" si="10"/>
        <v>80000</v>
      </c>
      <c r="I316" s="150" t="s">
        <v>69</v>
      </c>
      <c r="J316" s="173" t="s">
        <v>1177</v>
      </c>
      <c r="K316" s="46"/>
    </row>
    <row r="317" spans="1:11">
      <c r="A317" s="229">
        <v>312</v>
      </c>
      <c r="B317" s="113"/>
      <c r="C317" s="18" t="s">
        <v>752</v>
      </c>
      <c r="D317" s="34" t="s">
        <v>753</v>
      </c>
      <c r="E317" s="35" t="s">
        <v>55</v>
      </c>
      <c r="F317" s="38">
        <v>2</v>
      </c>
      <c r="G317" s="42">
        <v>3000</v>
      </c>
      <c r="H317" s="41">
        <f t="shared" si="10"/>
        <v>6000</v>
      </c>
      <c r="I317" s="112" t="s">
        <v>1103</v>
      </c>
      <c r="J317" s="144" t="s">
        <v>1178</v>
      </c>
      <c r="K317" s="46"/>
    </row>
    <row r="318" spans="1:11">
      <c r="A318" s="229">
        <v>313</v>
      </c>
      <c r="B318" s="44"/>
      <c r="C318" s="18" t="s">
        <v>754</v>
      </c>
      <c r="D318" s="12" t="s">
        <v>755</v>
      </c>
      <c r="E318" s="35" t="s">
        <v>55</v>
      </c>
      <c r="F318" s="38">
        <v>1</v>
      </c>
      <c r="G318" s="42">
        <v>99900</v>
      </c>
      <c r="H318" s="41">
        <f t="shared" si="10"/>
        <v>99900</v>
      </c>
      <c r="I318" s="112" t="s">
        <v>1191</v>
      </c>
      <c r="J318" s="144" t="s">
        <v>1178</v>
      </c>
      <c r="K318" s="46"/>
    </row>
    <row r="319" spans="1:11">
      <c r="A319" s="229">
        <v>314</v>
      </c>
      <c r="B319" s="108"/>
      <c r="C319" s="18" t="s">
        <v>756</v>
      </c>
      <c r="D319" s="12" t="s">
        <v>757</v>
      </c>
      <c r="E319" s="35" t="s">
        <v>55</v>
      </c>
      <c r="F319" s="38">
        <v>1</v>
      </c>
      <c r="G319" s="42">
        <v>69800</v>
      </c>
      <c r="H319" s="41">
        <f t="shared" si="10"/>
        <v>69800</v>
      </c>
      <c r="I319" s="112" t="s">
        <v>1102</v>
      </c>
      <c r="J319" s="144" t="s">
        <v>1178</v>
      </c>
      <c r="K319" s="46"/>
    </row>
    <row r="320" spans="1:11">
      <c r="A320" s="229">
        <v>315</v>
      </c>
      <c r="B320" s="44"/>
      <c r="C320" s="18" t="s">
        <v>758</v>
      </c>
      <c r="D320" s="12" t="s">
        <v>759</v>
      </c>
      <c r="E320" s="35" t="s">
        <v>1100</v>
      </c>
      <c r="F320" s="38">
        <v>1</v>
      </c>
      <c r="G320" s="42">
        <v>69950</v>
      </c>
      <c r="H320" s="41">
        <f t="shared" si="10"/>
        <v>69950</v>
      </c>
      <c r="I320" s="120" t="s">
        <v>1102</v>
      </c>
      <c r="J320" s="144" t="s">
        <v>1178</v>
      </c>
      <c r="K320" s="46"/>
    </row>
    <row r="321" spans="1:11">
      <c r="A321" s="229">
        <v>316</v>
      </c>
      <c r="B321" s="44"/>
      <c r="C321" s="18" t="s">
        <v>760</v>
      </c>
      <c r="D321" s="12" t="s">
        <v>759</v>
      </c>
      <c r="E321" s="35" t="s">
        <v>1100</v>
      </c>
      <c r="F321" s="38">
        <v>1</v>
      </c>
      <c r="G321" s="42">
        <v>86000</v>
      </c>
      <c r="H321" s="41">
        <f t="shared" si="10"/>
        <v>86000</v>
      </c>
      <c r="I321" s="184" t="s">
        <v>1102</v>
      </c>
      <c r="J321" s="144" t="s">
        <v>1178</v>
      </c>
      <c r="K321" s="46"/>
    </row>
    <row r="322" spans="1:11">
      <c r="A322" s="229">
        <v>317</v>
      </c>
      <c r="B322" s="107"/>
      <c r="C322" s="18" t="s">
        <v>761</v>
      </c>
      <c r="D322" s="12" t="s">
        <v>762</v>
      </c>
      <c r="E322" s="35" t="s">
        <v>56</v>
      </c>
      <c r="F322" s="38">
        <v>4</v>
      </c>
      <c r="G322" s="42">
        <v>1722</v>
      </c>
      <c r="H322" s="41">
        <f t="shared" si="10"/>
        <v>6888</v>
      </c>
      <c r="I322" s="184" t="s">
        <v>1194</v>
      </c>
      <c r="J322" s="144" t="s">
        <v>1178</v>
      </c>
      <c r="K322" s="46"/>
    </row>
    <row r="323" spans="1:11">
      <c r="A323" s="229">
        <v>318</v>
      </c>
      <c r="B323" s="107"/>
      <c r="C323" s="18" t="s">
        <v>763</v>
      </c>
      <c r="D323" s="12" t="s">
        <v>764</v>
      </c>
      <c r="E323" s="35" t="s">
        <v>56</v>
      </c>
      <c r="F323" s="38">
        <v>1</v>
      </c>
      <c r="G323" s="42">
        <v>6000</v>
      </c>
      <c r="H323" s="41">
        <f t="shared" si="10"/>
        <v>6000</v>
      </c>
      <c r="I323" s="184" t="s">
        <v>69</v>
      </c>
      <c r="J323" s="144" t="s">
        <v>1178</v>
      </c>
      <c r="K323" s="46"/>
    </row>
    <row r="324" spans="1:11">
      <c r="A324" s="229">
        <v>319</v>
      </c>
      <c r="B324" s="107"/>
      <c r="C324" s="18" t="s">
        <v>765</v>
      </c>
      <c r="D324" s="12" t="s">
        <v>766</v>
      </c>
      <c r="E324" s="35" t="s">
        <v>56</v>
      </c>
      <c r="F324" s="38">
        <v>1</v>
      </c>
      <c r="G324" s="42">
        <v>20000</v>
      </c>
      <c r="H324" s="41">
        <f t="shared" si="10"/>
        <v>20000</v>
      </c>
      <c r="I324" s="184" t="s">
        <v>1194</v>
      </c>
      <c r="J324" s="144" t="s">
        <v>1178</v>
      </c>
      <c r="K324" s="46"/>
    </row>
    <row r="325" spans="1:11" ht="24" customHeight="1">
      <c r="A325" s="229">
        <v>320</v>
      </c>
      <c r="B325" s="44"/>
      <c r="C325" s="18" t="s">
        <v>801</v>
      </c>
      <c r="D325" s="12" t="s">
        <v>802</v>
      </c>
      <c r="E325" s="35" t="s">
        <v>55</v>
      </c>
      <c r="F325" s="38">
        <v>10</v>
      </c>
      <c r="G325" s="42">
        <v>3271.03</v>
      </c>
      <c r="H325" s="41">
        <f t="shared" ref="H325:H363" si="11">SUM(F325*G325)</f>
        <v>32710.300000000003</v>
      </c>
      <c r="I325" s="112" t="s">
        <v>69</v>
      </c>
      <c r="J325" s="173" t="s">
        <v>1179</v>
      </c>
      <c r="K325" s="46"/>
    </row>
    <row r="326" spans="1:11">
      <c r="A326" s="229">
        <v>321</v>
      </c>
      <c r="B326" s="44"/>
      <c r="C326" s="18" t="s">
        <v>803</v>
      </c>
      <c r="D326" s="12" t="s">
        <v>804</v>
      </c>
      <c r="E326" s="35" t="s">
        <v>55</v>
      </c>
      <c r="F326" s="38">
        <v>1</v>
      </c>
      <c r="G326" s="42">
        <v>499900</v>
      </c>
      <c r="H326" s="41">
        <f t="shared" si="11"/>
        <v>499900</v>
      </c>
      <c r="I326" s="112" t="s">
        <v>69</v>
      </c>
      <c r="J326" s="173" t="s">
        <v>1179</v>
      </c>
      <c r="K326" s="46"/>
    </row>
    <row r="327" spans="1:11">
      <c r="A327" s="229">
        <v>322</v>
      </c>
      <c r="B327" s="44"/>
      <c r="C327" s="18" t="s">
        <v>805</v>
      </c>
      <c r="D327" s="12" t="s">
        <v>806</v>
      </c>
      <c r="E327" s="35" t="s">
        <v>55</v>
      </c>
      <c r="F327" s="38">
        <v>7</v>
      </c>
      <c r="G327" s="42">
        <v>49972</v>
      </c>
      <c r="H327" s="41">
        <f t="shared" si="11"/>
        <v>349804</v>
      </c>
      <c r="I327" s="112" t="s">
        <v>69</v>
      </c>
      <c r="J327" s="173" t="s">
        <v>1179</v>
      </c>
      <c r="K327" s="46"/>
    </row>
    <row r="328" spans="1:11">
      <c r="A328" s="229">
        <v>323</v>
      </c>
      <c r="B328" s="44"/>
      <c r="C328" s="18" t="s">
        <v>807</v>
      </c>
      <c r="D328" s="12" t="s">
        <v>808</v>
      </c>
      <c r="E328" s="35" t="s">
        <v>55</v>
      </c>
      <c r="F328" s="38">
        <v>20</v>
      </c>
      <c r="G328" s="42">
        <v>1985</v>
      </c>
      <c r="H328" s="41">
        <f t="shared" si="11"/>
        <v>39700</v>
      </c>
      <c r="I328" s="112" t="s">
        <v>69</v>
      </c>
      <c r="J328" s="173" t="s">
        <v>1179</v>
      </c>
      <c r="K328" s="46"/>
    </row>
    <row r="329" spans="1:11">
      <c r="A329" s="229">
        <v>324</v>
      </c>
      <c r="B329" s="44"/>
      <c r="C329" s="18" t="s">
        <v>809</v>
      </c>
      <c r="D329" s="12" t="s">
        <v>810</v>
      </c>
      <c r="E329" s="35" t="s">
        <v>55</v>
      </c>
      <c r="F329" s="38">
        <v>10</v>
      </c>
      <c r="G329" s="42">
        <v>14970</v>
      </c>
      <c r="H329" s="41">
        <f t="shared" si="11"/>
        <v>149700</v>
      </c>
      <c r="I329" s="112" t="s">
        <v>69</v>
      </c>
      <c r="J329" s="173" t="s">
        <v>1179</v>
      </c>
      <c r="K329" s="46"/>
    </row>
    <row r="330" spans="1:11">
      <c r="A330" s="229">
        <v>325</v>
      </c>
      <c r="B330" s="44"/>
      <c r="C330" s="18" t="s">
        <v>811</v>
      </c>
      <c r="D330" s="12" t="s">
        <v>1112</v>
      </c>
      <c r="E330" s="35" t="s">
        <v>55</v>
      </c>
      <c r="F330" s="38">
        <v>10</v>
      </c>
      <c r="G330" s="42">
        <v>4970</v>
      </c>
      <c r="H330" s="41">
        <f t="shared" si="11"/>
        <v>49700</v>
      </c>
      <c r="I330" s="112" t="s">
        <v>69</v>
      </c>
      <c r="J330" s="173" t="s">
        <v>1179</v>
      </c>
      <c r="K330" s="46"/>
    </row>
    <row r="331" spans="1:11">
      <c r="A331" s="229">
        <v>326</v>
      </c>
      <c r="B331" s="115"/>
      <c r="C331" s="18" t="s">
        <v>812</v>
      </c>
      <c r="D331" s="12" t="s">
        <v>813</v>
      </c>
      <c r="E331" s="35" t="s">
        <v>55</v>
      </c>
      <c r="F331" s="38">
        <v>6</v>
      </c>
      <c r="G331" s="42">
        <v>9950</v>
      </c>
      <c r="H331" s="41">
        <f t="shared" si="11"/>
        <v>59700</v>
      </c>
      <c r="I331" s="112" t="s">
        <v>69</v>
      </c>
      <c r="J331" s="173" t="s">
        <v>1179</v>
      </c>
      <c r="K331" s="46"/>
    </row>
    <row r="332" spans="1:11">
      <c r="A332" s="229">
        <v>327</v>
      </c>
      <c r="B332" s="107"/>
      <c r="C332" s="18" t="s">
        <v>814</v>
      </c>
      <c r="D332" s="34" t="s">
        <v>815</v>
      </c>
      <c r="E332" s="35" t="s">
        <v>55</v>
      </c>
      <c r="F332" s="38">
        <v>1</v>
      </c>
      <c r="G332" s="42">
        <v>484700</v>
      </c>
      <c r="H332" s="41">
        <f t="shared" si="11"/>
        <v>484700</v>
      </c>
      <c r="I332" s="112" t="s">
        <v>69</v>
      </c>
      <c r="J332" s="173" t="s">
        <v>1179</v>
      </c>
      <c r="K332" s="46"/>
    </row>
    <row r="333" spans="1:11">
      <c r="A333" s="229">
        <v>328</v>
      </c>
      <c r="B333" s="117"/>
      <c r="C333" s="18" t="s">
        <v>816</v>
      </c>
      <c r="D333" s="34" t="s">
        <v>817</v>
      </c>
      <c r="E333" s="35" t="s">
        <v>55</v>
      </c>
      <c r="F333" s="38">
        <v>5</v>
      </c>
      <c r="G333" s="42">
        <v>6940</v>
      </c>
      <c r="H333" s="41">
        <f t="shared" si="11"/>
        <v>34700</v>
      </c>
      <c r="I333" s="112" t="s">
        <v>69</v>
      </c>
      <c r="J333" s="173" t="s">
        <v>1179</v>
      </c>
      <c r="K333" s="46"/>
    </row>
    <row r="334" spans="1:11">
      <c r="A334" s="229">
        <v>329</v>
      </c>
      <c r="B334" s="184"/>
      <c r="C334" s="18" t="s">
        <v>818</v>
      </c>
      <c r="D334" s="34" t="s">
        <v>819</v>
      </c>
      <c r="E334" s="184" t="s">
        <v>55</v>
      </c>
      <c r="F334" s="38">
        <v>10</v>
      </c>
      <c r="G334" s="42">
        <v>9975</v>
      </c>
      <c r="H334" s="41">
        <f t="shared" si="11"/>
        <v>99750</v>
      </c>
      <c r="I334" s="112" t="s">
        <v>69</v>
      </c>
      <c r="J334" s="173" t="s">
        <v>1179</v>
      </c>
      <c r="K334" s="46"/>
    </row>
    <row r="335" spans="1:11">
      <c r="A335" s="229">
        <v>330</v>
      </c>
      <c r="B335" s="184"/>
      <c r="C335" s="18" t="s">
        <v>820</v>
      </c>
      <c r="D335" s="34" t="s">
        <v>821</v>
      </c>
      <c r="E335" s="184" t="s">
        <v>55</v>
      </c>
      <c r="F335" s="38">
        <v>5</v>
      </c>
      <c r="G335" s="42">
        <v>2985</v>
      </c>
      <c r="H335" s="41">
        <f t="shared" si="11"/>
        <v>14925</v>
      </c>
      <c r="I335" s="112" t="s">
        <v>69</v>
      </c>
      <c r="J335" s="173" t="s">
        <v>1179</v>
      </c>
      <c r="K335" s="46"/>
    </row>
    <row r="336" spans="1:11">
      <c r="A336" s="229">
        <v>331</v>
      </c>
      <c r="B336" s="184"/>
      <c r="C336" s="18" t="s">
        <v>822</v>
      </c>
      <c r="D336" s="34" t="s">
        <v>823</v>
      </c>
      <c r="E336" s="184" t="s">
        <v>55</v>
      </c>
      <c r="F336" s="38">
        <v>2</v>
      </c>
      <c r="G336" s="42">
        <v>17200</v>
      </c>
      <c r="H336" s="41">
        <f t="shared" si="11"/>
        <v>34400</v>
      </c>
      <c r="I336" s="112" t="s">
        <v>69</v>
      </c>
      <c r="J336" s="173" t="s">
        <v>1179</v>
      </c>
      <c r="K336" s="46"/>
    </row>
    <row r="337" spans="1:11">
      <c r="A337" s="229">
        <v>332</v>
      </c>
      <c r="B337" s="184"/>
      <c r="C337" s="18" t="s">
        <v>824</v>
      </c>
      <c r="D337" s="34" t="s">
        <v>825</v>
      </c>
      <c r="E337" s="184" t="s">
        <v>55</v>
      </c>
      <c r="F337" s="38">
        <v>2</v>
      </c>
      <c r="G337" s="42">
        <v>7950</v>
      </c>
      <c r="H337" s="41">
        <f t="shared" si="11"/>
        <v>15900</v>
      </c>
      <c r="I337" s="112" t="s">
        <v>69</v>
      </c>
      <c r="J337" s="173" t="s">
        <v>1179</v>
      </c>
      <c r="K337" s="46"/>
    </row>
    <row r="338" spans="1:11">
      <c r="A338" s="229">
        <v>333</v>
      </c>
      <c r="B338" s="117"/>
      <c r="C338" s="18" t="s">
        <v>826</v>
      </c>
      <c r="D338" s="34" t="s">
        <v>705</v>
      </c>
      <c r="E338" s="184" t="s">
        <v>55</v>
      </c>
      <c r="F338" s="38">
        <v>1</v>
      </c>
      <c r="G338" s="42">
        <v>79500</v>
      </c>
      <c r="H338" s="41">
        <f t="shared" si="11"/>
        <v>79500</v>
      </c>
      <c r="I338" s="112" t="s">
        <v>69</v>
      </c>
      <c r="J338" s="173" t="s">
        <v>1179</v>
      </c>
      <c r="K338" s="46"/>
    </row>
    <row r="339" spans="1:11" s="128" customFormat="1" ht="41.25" customHeight="1">
      <c r="A339" s="126">
        <v>334</v>
      </c>
      <c r="B339" s="130"/>
      <c r="C339" s="127" t="s">
        <v>1174</v>
      </c>
      <c r="D339" s="136" t="s">
        <v>704</v>
      </c>
      <c r="E339" s="140" t="s">
        <v>55</v>
      </c>
      <c r="F339" s="163">
        <v>2</v>
      </c>
      <c r="G339" s="156">
        <v>7925</v>
      </c>
      <c r="H339" s="177">
        <f t="shared" si="11"/>
        <v>15850</v>
      </c>
      <c r="I339" s="149" t="s">
        <v>69</v>
      </c>
      <c r="J339" s="174" t="s">
        <v>1179</v>
      </c>
      <c r="K339" s="180"/>
    </row>
    <row r="340" spans="1:11">
      <c r="A340" s="184">
        <v>335</v>
      </c>
      <c r="B340" s="108"/>
      <c r="C340" s="18" t="s">
        <v>827</v>
      </c>
      <c r="D340" s="12" t="s">
        <v>828</v>
      </c>
      <c r="E340" s="35" t="s">
        <v>55</v>
      </c>
      <c r="F340" s="38">
        <v>25</v>
      </c>
      <c r="G340" s="42">
        <v>2992</v>
      </c>
      <c r="H340" s="41">
        <f t="shared" si="11"/>
        <v>74800</v>
      </c>
      <c r="I340" s="112" t="s">
        <v>69</v>
      </c>
      <c r="J340" s="173" t="s">
        <v>1179</v>
      </c>
      <c r="K340" s="46"/>
    </row>
    <row r="341" spans="1:11">
      <c r="A341" s="184">
        <v>336</v>
      </c>
      <c r="B341" s="44"/>
      <c r="C341" s="18" t="s">
        <v>829</v>
      </c>
      <c r="D341" s="12" t="s">
        <v>830</v>
      </c>
      <c r="E341" s="35" t="s">
        <v>55</v>
      </c>
      <c r="F341" s="38">
        <v>1</v>
      </c>
      <c r="G341" s="42">
        <v>925000</v>
      </c>
      <c r="H341" s="41">
        <f t="shared" si="11"/>
        <v>925000</v>
      </c>
      <c r="I341" s="112" t="s">
        <v>69</v>
      </c>
      <c r="J341" s="173" t="s">
        <v>1179</v>
      </c>
      <c r="K341" s="46"/>
    </row>
    <row r="342" spans="1:11">
      <c r="A342" s="229">
        <v>337</v>
      </c>
      <c r="B342" s="44"/>
      <c r="C342" s="18" t="s">
        <v>831</v>
      </c>
      <c r="D342" s="12" t="s">
        <v>832</v>
      </c>
      <c r="E342" s="35" t="s">
        <v>55</v>
      </c>
      <c r="F342" s="38">
        <v>1</v>
      </c>
      <c r="G342" s="42">
        <v>541900</v>
      </c>
      <c r="H342" s="41">
        <f t="shared" si="11"/>
        <v>541900</v>
      </c>
      <c r="I342" s="112" t="s">
        <v>69</v>
      </c>
      <c r="J342" s="173" t="s">
        <v>1179</v>
      </c>
      <c r="K342" s="46"/>
    </row>
    <row r="343" spans="1:11">
      <c r="A343" s="229">
        <v>338</v>
      </c>
      <c r="B343" s="115"/>
      <c r="C343" s="18" t="s">
        <v>833</v>
      </c>
      <c r="D343" s="12" t="s">
        <v>834</v>
      </c>
      <c r="E343" s="35" t="s">
        <v>55</v>
      </c>
      <c r="F343" s="38">
        <v>1</v>
      </c>
      <c r="G343" s="42">
        <v>121300</v>
      </c>
      <c r="H343" s="41">
        <f t="shared" si="11"/>
        <v>121300</v>
      </c>
      <c r="I343" s="112" t="s">
        <v>69</v>
      </c>
      <c r="J343" s="173" t="s">
        <v>1179</v>
      </c>
      <c r="K343" s="46"/>
    </row>
    <row r="344" spans="1:11">
      <c r="A344" s="229">
        <v>339</v>
      </c>
      <c r="B344" s="115"/>
      <c r="C344" s="18" t="s">
        <v>835</v>
      </c>
      <c r="D344" s="12" t="s">
        <v>836</v>
      </c>
      <c r="E344" s="35" t="s">
        <v>55</v>
      </c>
      <c r="F344" s="38">
        <v>5</v>
      </c>
      <c r="G344" s="42">
        <v>89880</v>
      </c>
      <c r="H344" s="41">
        <f t="shared" si="11"/>
        <v>449400</v>
      </c>
      <c r="I344" s="112" t="s">
        <v>69</v>
      </c>
      <c r="J344" s="173" t="s">
        <v>1179</v>
      </c>
      <c r="K344" s="46"/>
    </row>
    <row r="345" spans="1:11">
      <c r="A345" s="229">
        <v>340</v>
      </c>
      <c r="B345" s="115"/>
      <c r="C345" s="18" t="s">
        <v>837</v>
      </c>
      <c r="D345" s="12" t="s">
        <v>838</v>
      </c>
      <c r="E345" s="35" t="s">
        <v>55</v>
      </c>
      <c r="F345" s="38">
        <v>5</v>
      </c>
      <c r="G345" s="42">
        <v>34882</v>
      </c>
      <c r="H345" s="41">
        <f t="shared" si="11"/>
        <v>174410</v>
      </c>
      <c r="I345" s="112" t="s">
        <v>69</v>
      </c>
      <c r="J345" s="173" t="s">
        <v>1179</v>
      </c>
      <c r="K345" s="46"/>
    </row>
    <row r="346" spans="1:11">
      <c r="A346" s="229">
        <v>341</v>
      </c>
      <c r="B346" s="115"/>
      <c r="C346" s="18" t="s">
        <v>839</v>
      </c>
      <c r="D346" s="12" t="s">
        <v>840</v>
      </c>
      <c r="E346" s="35" t="s">
        <v>55</v>
      </c>
      <c r="F346" s="38">
        <v>5</v>
      </c>
      <c r="G346" s="42">
        <v>34882</v>
      </c>
      <c r="H346" s="41">
        <f t="shared" si="11"/>
        <v>174410</v>
      </c>
      <c r="I346" s="112" t="s">
        <v>69</v>
      </c>
      <c r="J346" s="173" t="s">
        <v>1179</v>
      </c>
      <c r="K346" s="46"/>
    </row>
    <row r="347" spans="1:11">
      <c r="A347" s="229">
        <v>342</v>
      </c>
      <c r="B347" s="107"/>
      <c r="C347" s="18" t="s">
        <v>841</v>
      </c>
      <c r="D347" s="12" t="s">
        <v>842</v>
      </c>
      <c r="E347" s="35" t="s">
        <v>55</v>
      </c>
      <c r="F347" s="38">
        <v>1</v>
      </c>
      <c r="G347" s="42">
        <v>499690</v>
      </c>
      <c r="H347" s="41">
        <f t="shared" si="11"/>
        <v>499690</v>
      </c>
      <c r="I347" s="112" t="s">
        <v>69</v>
      </c>
      <c r="J347" s="173" t="s">
        <v>1179</v>
      </c>
      <c r="K347" s="46"/>
    </row>
    <row r="348" spans="1:11">
      <c r="A348" s="229">
        <v>343</v>
      </c>
      <c r="B348" s="107"/>
      <c r="C348" s="18" t="s">
        <v>843</v>
      </c>
      <c r="D348" s="12" t="s">
        <v>844</v>
      </c>
      <c r="E348" s="35" t="s">
        <v>55</v>
      </c>
      <c r="F348" s="38">
        <v>1</v>
      </c>
      <c r="G348" s="42">
        <v>179760</v>
      </c>
      <c r="H348" s="41">
        <f t="shared" si="11"/>
        <v>179760</v>
      </c>
      <c r="I348" s="184" t="s">
        <v>69</v>
      </c>
      <c r="J348" s="173" t="s">
        <v>1179</v>
      </c>
      <c r="K348" s="46"/>
    </row>
    <row r="349" spans="1:11">
      <c r="A349" s="229">
        <v>344</v>
      </c>
      <c r="B349" s="107"/>
      <c r="C349" s="18" t="s">
        <v>845</v>
      </c>
      <c r="D349" s="12" t="s">
        <v>846</v>
      </c>
      <c r="E349" s="35" t="s">
        <v>55</v>
      </c>
      <c r="F349" s="38">
        <v>5</v>
      </c>
      <c r="G349" s="42">
        <v>92234</v>
      </c>
      <c r="H349" s="41">
        <f t="shared" si="11"/>
        <v>461170</v>
      </c>
      <c r="I349" s="184" t="s">
        <v>69</v>
      </c>
      <c r="J349" s="173" t="s">
        <v>1179</v>
      </c>
      <c r="K349" s="46"/>
    </row>
    <row r="350" spans="1:11">
      <c r="A350" s="229">
        <v>345</v>
      </c>
      <c r="B350" s="117"/>
      <c r="C350" s="18" t="s">
        <v>847</v>
      </c>
      <c r="D350" s="12" t="s">
        <v>848</v>
      </c>
      <c r="E350" s="35" t="s">
        <v>55</v>
      </c>
      <c r="F350" s="38">
        <v>5</v>
      </c>
      <c r="G350" s="42">
        <v>59706</v>
      </c>
      <c r="H350" s="41">
        <f t="shared" si="11"/>
        <v>298530</v>
      </c>
      <c r="I350" s="184" t="s">
        <v>69</v>
      </c>
      <c r="J350" s="173" t="s">
        <v>1179</v>
      </c>
      <c r="K350" s="46"/>
    </row>
    <row r="351" spans="1:11">
      <c r="A351" s="229">
        <v>346</v>
      </c>
      <c r="B351" s="184"/>
      <c r="C351" s="18" t="s">
        <v>849</v>
      </c>
      <c r="D351" s="12" t="s">
        <v>850</v>
      </c>
      <c r="E351" s="184" t="s">
        <v>55</v>
      </c>
      <c r="F351" s="38">
        <v>1</v>
      </c>
      <c r="G351" s="42">
        <v>200000</v>
      </c>
      <c r="H351" s="41">
        <f t="shared" si="11"/>
        <v>200000</v>
      </c>
      <c r="I351" s="184" t="s">
        <v>69</v>
      </c>
      <c r="J351" s="173" t="s">
        <v>1179</v>
      </c>
      <c r="K351" s="46"/>
    </row>
    <row r="352" spans="1:11">
      <c r="A352" s="229">
        <v>347</v>
      </c>
      <c r="B352" s="184"/>
      <c r="C352" s="18" t="s">
        <v>851</v>
      </c>
      <c r="D352" s="12" t="s">
        <v>852</v>
      </c>
      <c r="E352" s="184" t="s">
        <v>55</v>
      </c>
      <c r="F352" s="38">
        <v>1</v>
      </c>
      <c r="G352" s="42">
        <v>48950</v>
      </c>
      <c r="H352" s="41">
        <f t="shared" si="11"/>
        <v>48950</v>
      </c>
      <c r="I352" s="184" t="s">
        <v>69</v>
      </c>
      <c r="J352" s="173" t="s">
        <v>1179</v>
      </c>
      <c r="K352" s="46"/>
    </row>
    <row r="353" spans="1:11">
      <c r="A353" s="229">
        <v>348</v>
      </c>
      <c r="B353" s="184"/>
      <c r="C353" s="18" t="s">
        <v>853</v>
      </c>
      <c r="D353" s="12" t="s">
        <v>854</v>
      </c>
      <c r="E353" s="184" t="s">
        <v>55</v>
      </c>
      <c r="F353" s="38">
        <v>1</v>
      </c>
      <c r="G353" s="42">
        <v>29700</v>
      </c>
      <c r="H353" s="41">
        <f t="shared" si="11"/>
        <v>29700</v>
      </c>
      <c r="I353" s="184" t="s">
        <v>69</v>
      </c>
      <c r="J353" s="173" t="s">
        <v>1179</v>
      </c>
      <c r="K353" s="46"/>
    </row>
    <row r="354" spans="1:11">
      <c r="A354" s="229">
        <v>349</v>
      </c>
      <c r="B354" s="184"/>
      <c r="C354" s="18" t="s">
        <v>855</v>
      </c>
      <c r="D354" s="12" t="s">
        <v>856</v>
      </c>
      <c r="E354" s="184" t="s">
        <v>55</v>
      </c>
      <c r="F354" s="38">
        <v>1</v>
      </c>
      <c r="G354" s="42">
        <v>115060</v>
      </c>
      <c r="H354" s="41">
        <f t="shared" si="11"/>
        <v>115060</v>
      </c>
      <c r="I354" s="184" t="s">
        <v>69</v>
      </c>
      <c r="J354" s="173" t="s">
        <v>1179</v>
      </c>
      <c r="K354" s="181"/>
    </row>
    <row r="355" spans="1:11">
      <c r="A355" s="229">
        <v>350</v>
      </c>
      <c r="B355" s="184"/>
      <c r="C355" s="18" t="s">
        <v>857</v>
      </c>
      <c r="D355" s="12" t="s">
        <v>858</v>
      </c>
      <c r="E355" s="184" t="s">
        <v>55</v>
      </c>
      <c r="F355" s="38">
        <v>1</v>
      </c>
      <c r="G355" s="42">
        <v>99000</v>
      </c>
      <c r="H355" s="41">
        <f t="shared" si="11"/>
        <v>99000</v>
      </c>
      <c r="I355" s="184" t="s">
        <v>69</v>
      </c>
      <c r="J355" s="173" t="s">
        <v>1179</v>
      </c>
      <c r="K355" s="181"/>
    </row>
    <row r="356" spans="1:11">
      <c r="A356" s="229">
        <v>351</v>
      </c>
      <c r="B356" s="44"/>
      <c r="C356" s="18" t="s">
        <v>859</v>
      </c>
      <c r="D356" s="12" t="s">
        <v>860</v>
      </c>
      <c r="E356" s="184" t="s">
        <v>55</v>
      </c>
      <c r="F356" s="38">
        <v>1</v>
      </c>
      <c r="G356" s="42">
        <v>271500</v>
      </c>
      <c r="H356" s="41">
        <f t="shared" si="11"/>
        <v>271500</v>
      </c>
      <c r="I356" s="112" t="s">
        <v>69</v>
      </c>
      <c r="J356" s="173" t="s">
        <v>1179</v>
      </c>
      <c r="K356" s="181"/>
    </row>
    <row r="357" spans="1:11">
      <c r="A357" s="229">
        <v>352</v>
      </c>
      <c r="B357" s="113"/>
      <c r="C357" s="18" t="s">
        <v>861</v>
      </c>
      <c r="D357" s="12" t="s">
        <v>862</v>
      </c>
      <c r="E357" s="184" t="s">
        <v>55</v>
      </c>
      <c r="F357" s="38">
        <v>1</v>
      </c>
      <c r="G357" s="42">
        <v>58300</v>
      </c>
      <c r="H357" s="41">
        <f t="shared" si="11"/>
        <v>58300</v>
      </c>
      <c r="I357" s="112" t="s">
        <v>69</v>
      </c>
      <c r="J357" s="173" t="s">
        <v>1179</v>
      </c>
      <c r="K357" s="181"/>
    </row>
    <row r="358" spans="1:11">
      <c r="A358" s="229">
        <v>353</v>
      </c>
      <c r="B358" s="44"/>
      <c r="C358" s="18" t="s">
        <v>863</v>
      </c>
      <c r="D358" s="12" t="s">
        <v>864</v>
      </c>
      <c r="E358" s="184" t="s">
        <v>55</v>
      </c>
      <c r="F358" s="38">
        <v>1</v>
      </c>
      <c r="G358" s="42">
        <v>46200</v>
      </c>
      <c r="H358" s="41">
        <f t="shared" si="11"/>
        <v>46200</v>
      </c>
      <c r="I358" s="112" t="s">
        <v>69</v>
      </c>
      <c r="J358" s="173" t="s">
        <v>1179</v>
      </c>
      <c r="K358" s="181"/>
    </row>
    <row r="359" spans="1:11">
      <c r="A359" s="229">
        <v>354</v>
      </c>
      <c r="B359" s="44"/>
      <c r="C359" s="18" t="s">
        <v>865</v>
      </c>
      <c r="D359" s="12" t="s">
        <v>866</v>
      </c>
      <c r="E359" s="184" t="s">
        <v>55</v>
      </c>
      <c r="F359" s="38">
        <v>1</v>
      </c>
      <c r="G359" s="42">
        <v>42900</v>
      </c>
      <c r="H359" s="41">
        <f t="shared" si="11"/>
        <v>42900</v>
      </c>
      <c r="I359" s="112" t="s">
        <v>69</v>
      </c>
      <c r="J359" s="173" t="s">
        <v>1179</v>
      </c>
      <c r="K359" s="181"/>
    </row>
    <row r="360" spans="1:11">
      <c r="A360" s="229">
        <v>355</v>
      </c>
      <c r="B360" s="44"/>
      <c r="C360" s="18" t="s">
        <v>867</v>
      </c>
      <c r="D360" s="12" t="s">
        <v>868</v>
      </c>
      <c r="E360" s="184" t="s">
        <v>55</v>
      </c>
      <c r="F360" s="38">
        <v>1</v>
      </c>
      <c r="G360" s="42">
        <v>12100</v>
      </c>
      <c r="H360" s="41">
        <f t="shared" si="11"/>
        <v>12100</v>
      </c>
      <c r="I360" s="112" t="s">
        <v>69</v>
      </c>
      <c r="J360" s="173" t="s">
        <v>1179</v>
      </c>
      <c r="K360" s="181"/>
    </row>
    <row r="361" spans="1:11">
      <c r="A361" s="229">
        <v>356</v>
      </c>
      <c r="B361" s="108"/>
      <c r="C361" s="18" t="s">
        <v>869</v>
      </c>
      <c r="D361" s="12" t="s">
        <v>870</v>
      </c>
      <c r="E361" s="184" t="s">
        <v>55</v>
      </c>
      <c r="F361" s="38">
        <v>1</v>
      </c>
      <c r="G361" s="42">
        <v>176550</v>
      </c>
      <c r="H361" s="41">
        <f t="shared" si="11"/>
        <v>176550</v>
      </c>
      <c r="I361" s="112" t="s">
        <v>69</v>
      </c>
      <c r="J361" s="173" t="s">
        <v>1179</v>
      </c>
      <c r="K361" s="181"/>
    </row>
    <row r="362" spans="1:11">
      <c r="A362" s="229">
        <v>357</v>
      </c>
      <c r="B362" s="44"/>
      <c r="C362" s="18" t="s">
        <v>871</v>
      </c>
      <c r="D362" s="89" t="s">
        <v>872</v>
      </c>
      <c r="E362" s="184" t="s">
        <v>55</v>
      </c>
      <c r="F362" s="38">
        <v>9</v>
      </c>
      <c r="G362" s="155">
        <v>131182</v>
      </c>
      <c r="H362" s="41">
        <f t="shared" si="11"/>
        <v>1180638</v>
      </c>
      <c r="I362" s="112" t="s">
        <v>69</v>
      </c>
      <c r="J362" s="173" t="s">
        <v>1179</v>
      </c>
      <c r="K362" s="181"/>
    </row>
    <row r="363" spans="1:11">
      <c r="A363" s="229">
        <v>358</v>
      </c>
      <c r="B363" s="44"/>
      <c r="C363" s="18" t="s">
        <v>873</v>
      </c>
      <c r="D363" s="89" t="s">
        <v>715</v>
      </c>
      <c r="E363" s="184" t="s">
        <v>55</v>
      </c>
      <c r="F363" s="38">
        <v>10</v>
      </c>
      <c r="G363" s="155">
        <v>1605</v>
      </c>
      <c r="H363" s="41">
        <f t="shared" si="11"/>
        <v>16050</v>
      </c>
      <c r="I363" s="112" t="s">
        <v>69</v>
      </c>
      <c r="J363" s="173" t="s">
        <v>1179</v>
      </c>
      <c r="K363" s="181"/>
    </row>
    <row r="364" spans="1:11">
      <c r="A364" s="229">
        <v>359</v>
      </c>
      <c r="B364" s="184"/>
      <c r="C364" s="18" t="s">
        <v>706</v>
      </c>
      <c r="D364" s="34" t="s">
        <v>707</v>
      </c>
      <c r="E364" s="184" t="s">
        <v>55</v>
      </c>
      <c r="F364" s="38">
        <v>4</v>
      </c>
      <c r="G364" s="42">
        <v>29853</v>
      </c>
      <c r="H364" s="41">
        <f t="shared" ref="H364:H374" si="12">SUM(F364*G364)</f>
        <v>119412</v>
      </c>
      <c r="I364" s="184" t="s">
        <v>69</v>
      </c>
      <c r="J364" s="144" t="s">
        <v>1180</v>
      </c>
      <c r="K364" s="41"/>
    </row>
    <row r="365" spans="1:11">
      <c r="A365" s="229">
        <v>360</v>
      </c>
      <c r="B365" s="184"/>
      <c r="C365" s="18" t="s">
        <v>708</v>
      </c>
      <c r="D365" s="34" t="s">
        <v>709</v>
      </c>
      <c r="E365" s="184" t="s">
        <v>55</v>
      </c>
      <c r="F365" s="38">
        <v>5</v>
      </c>
      <c r="G365" s="42">
        <v>67987.8</v>
      </c>
      <c r="H365" s="41">
        <f t="shared" si="12"/>
        <v>339939</v>
      </c>
      <c r="I365" s="184" t="s">
        <v>69</v>
      </c>
      <c r="J365" s="144" t="s">
        <v>1180</v>
      </c>
      <c r="K365" s="41"/>
    </row>
    <row r="366" spans="1:11">
      <c r="A366" s="229">
        <v>361</v>
      </c>
      <c r="B366" s="44"/>
      <c r="C366" s="18" t="s">
        <v>710</v>
      </c>
      <c r="D366" s="34" t="s">
        <v>711</v>
      </c>
      <c r="E366" s="35" t="s">
        <v>55</v>
      </c>
      <c r="F366" s="38">
        <v>20</v>
      </c>
      <c r="G366" s="42">
        <v>7918</v>
      </c>
      <c r="H366" s="41">
        <f t="shared" si="12"/>
        <v>158360</v>
      </c>
      <c r="I366" s="112" t="s">
        <v>69</v>
      </c>
      <c r="J366" s="144" t="s">
        <v>1180</v>
      </c>
      <c r="K366" s="181"/>
    </row>
    <row r="367" spans="1:11">
      <c r="A367" s="229">
        <v>362</v>
      </c>
      <c r="B367" s="44"/>
      <c r="C367" s="18" t="s">
        <v>712</v>
      </c>
      <c r="D367" s="34" t="s">
        <v>713</v>
      </c>
      <c r="E367" s="35" t="s">
        <v>55</v>
      </c>
      <c r="F367" s="38">
        <v>2</v>
      </c>
      <c r="G367" s="42">
        <v>65000</v>
      </c>
      <c r="H367" s="41">
        <f t="shared" si="12"/>
        <v>130000</v>
      </c>
      <c r="I367" s="112" t="s">
        <v>69</v>
      </c>
      <c r="J367" s="144" t="s">
        <v>1180</v>
      </c>
      <c r="K367" s="42"/>
    </row>
    <row r="368" spans="1:11">
      <c r="A368" s="229">
        <v>363</v>
      </c>
      <c r="B368" s="115"/>
      <c r="C368" s="18" t="s">
        <v>714</v>
      </c>
      <c r="D368" s="12" t="s">
        <v>715</v>
      </c>
      <c r="E368" s="35" t="s">
        <v>55</v>
      </c>
      <c r="F368" s="38">
        <v>10</v>
      </c>
      <c r="G368" s="42">
        <v>1605</v>
      </c>
      <c r="H368" s="41">
        <f t="shared" si="12"/>
        <v>16050</v>
      </c>
      <c r="I368" s="184" t="s">
        <v>69</v>
      </c>
      <c r="J368" s="144" t="s">
        <v>1180</v>
      </c>
      <c r="K368" s="42"/>
    </row>
    <row r="369" spans="1:11">
      <c r="A369" s="229">
        <v>364</v>
      </c>
      <c r="B369" s="184"/>
      <c r="C369" s="18" t="s">
        <v>716</v>
      </c>
      <c r="D369" s="12" t="s">
        <v>717</v>
      </c>
      <c r="E369" s="184" t="s">
        <v>56</v>
      </c>
      <c r="F369" s="38">
        <v>1</v>
      </c>
      <c r="G369" s="42">
        <v>6200</v>
      </c>
      <c r="H369" s="41">
        <f t="shared" si="12"/>
        <v>6200</v>
      </c>
      <c r="I369" s="184" t="s">
        <v>69</v>
      </c>
      <c r="J369" s="144" t="s">
        <v>1180</v>
      </c>
      <c r="K369" s="42"/>
    </row>
    <row r="370" spans="1:11">
      <c r="A370" s="229">
        <v>365</v>
      </c>
      <c r="B370" s="184"/>
      <c r="C370" s="18" t="s">
        <v>718</v>
      </c>
      <c r="D370" s="34" t="s">
        <v>719</v>
      </c>
      <c r="E370" s="184" t="s">
        <v>55</v>
      </c>
      <c r="F370" s="38">
        <v>2</v>
      </c>
      <c r="G370" s="42">
        <v>79850</v>
      </c>
      <c r="H370" s="41">
        <f t="shared" si="12"/>
        <v>159700</v>
      </c>
      <c r="I370" s="184" t="s">
        <v>69</v>
      </c>
      <c r="J370" s="144" t="s">
        <v>1180</v>
      </c>
      <c r="K370" s="42"/>
    </row>
    <row r="371" spans="1:11">
      <c r="A371" s="229">
        <v>366</v>
      </c>
      <c r="B371" s="184"/>
      <c r="C371" s="18" t="s">
        <v>720</v>
      </c>
      <c r="D371" s="12" t="s">
        <v>539</v>
      </c>
      <c r="E371" s="184" t="s">
        <v>56</v>
      </c>
      <c r="F371" s="38">
        <v>1</v>
      </c>
      <c r="G371" s="42">
        <v>33000</v>
      </c>
      <c r="H371" s="41">
        <f t="shared" si="12"/>
        <v>33000</v>
      </c>
      <c r="I371" s="184" t="s">
        <v>69</v>
      </c>
      <c r="J371" s="144" t="s">
        <v>1180</v>
      </c>
      <c r="K371" s="42"/>
    </row>
    <row r="372" spans="1:11">
      <c r="A372" s="229">
        <v>367</v>
      </c>
      <c r="B372" s="44"/>
      <c r="C372" s="18" t="s">
        <v>246</v>
      </c>
      <c r="D372" s="12" t="s">
        <v>721</v>
      </c>
      <c r="E372" s="35" t="s">
        <v>56</v>
      </c>
      <c r="F372" s="38">
        <v>1</v>
      </c>
      <c r="G372" s="42">
        <v>8500</v>
      </c>
      <c r="H372" s="41">
        <f t="shared" si="12"/>
        <v>8500</v>
      </c>
      <c r="I372" s="112" t="s">
        <v>69</v>
      </c>
      <c r="J372" s="144" t="s">
        <v>1180</v>
      </c>
      <c r="K372" s="42"/>
    </row>
    <row r="373" spans="1:11">
      <c r="A373" s="229">
        <v>368</v>
      </c>
      <c r="B373" s="113"/>
      <c r="C373" s="18" t="s">
        <v>722</v>
      </c>
      <c r="D373" s="12" t="s">
        <v>723</v>
      </c>
      <c r="E373" s="35" t="s">
        <v>56</v>
      </c>
      <c r="F373" s="38">
        <v>1</v>
      </c>
      <c r="G373" s="42">
        <v>22000</v>
      </c>
      <c r="H373" s="41">
        <f t="shared" si="12"/>
        <v>22000</v>
      </c>
      <c r="I373" s="112" t="s">
        <v>69</v>
      </c>
      <c r="J373" s="144" t="s">
        <v>1180</v>
      </c>
      <c r="K373" s="42"/>
    </row>
    <row r="374" spans="1:11">
      <c r="A374" s="229">
        <v>369</v>
      </c>
      <c r="B374" s="44"/>
      <c r="C374" s="18" t="s">
        <v>724</v>
      </c>
      <c r="D374" s="12" t="s">
        <v>233</v>
      </c>
      <c r="E374" s="35" t="s">
        <v>56</v>
      </c>
      <c r="F374" s="38">
        <v>1</v>
      </c>
      <c r="G374" s="42">
        <v>1400</v>
      </c>
      <c r="H374" s="41">
        <f t="shared" si="12"/>
        <v>1400</v>
      </c>
      <c r="I374" s="112" t="s">
        <v>69</v>
      </c>
      <c r="J374" s="144" t="s">
        <v>1180</v>
      </c>
      <c r="K374" s="42"/>
    </row>
    <row r="375" spans="1:11">
      <c r="A375" s="229">
        <v>370</v>
      </c>
      <c r="B375" s="44"/>
      <c r="C375" s="18" t="s">
        <v>725</v>
      </c>
      <c r="D375" s="12" t="s">
        <v>726</v>
      </c>
      <c r="E375" s="35" t="s">
        <v>56</v>
      </c>
      <c r="F375" s="38">
        <v>1</v>
      </c>
      <c r="G375" s="42">
        <v>3400</v>
      </c>
      <c r="H375" s="41">
        <f t="shared" ref="H375:H407" si="13">SUM(F375*G375)</f>
        <v>3400</v>
      </c>
      <c r="I375" s="112" t="s">
        <v>69</v>
      </c>
      <c r="J375" s="144" t="s">
        <v>1180</v>
      </c>
      <c r="K375" s="42"/>
    </row>
    <row r="376" spans="1:11">
      <c r="A376" s="229">
        <v>371</v>
      </c>
      <c r="B376" s="44"/>
      <c r="C376" s="18" t="s">
        <v>727</v>
      </c>
      <c r="D376" s="12" t="s">
        <v>728</v>
      </c>
      <c r="E376" s="35" t="s">
        <v>56</v>
      </c>
      <c r="F376" s="38">
        <v>1</v>
      </c>
      <c r="G376" s="42">
        <v>13589</v>
      </c>
      <c r="H376" s="41">
        <f t="shared" si="13"/>
        <v>13589</v>
      </c>
      <c r="I376" s="112" t="s">
        <v>69</v>
      </c>
      <c r="J376" s="144" t="s">
        <v>1180</v>
      </c>
      <c r="K376" s="42"/>
    </row>
    <row r="377" spans="1:11">
      <c r="A377" s="229">
        <v>372</v>
      </c>
      <c r="B377" s="108"/>
      <c r="C377" s="18" t="s">
        <v>729</v>
      </c>
      <c r="D377" s="12" t="s">
        <v>730</v>
      </c>
      <c r="E377" s="35" t="s">
        <v>55</v>
      </c>
      <c r="F377" s="38">
        <v>5</v>
      </c>
      <c r="G377" s="42">
        <v>14970</v>
      </c>
      <c r="H377" s="41">
        <f t="shared" si="13"/>
        <v>74850</v>
      </c>
      <c r="I377" s="112" t="s">
        <v>69</v>
      </c>
      <c r="J377" s="144" t="s">
        <v>1180</v>
      </c>
      <c r="K377" s="42"/>
    </row>
    <row r="378" spans="1:11">
      <c r="A378" s="229">
        <v>373</v>
      </c>
      <c r="B378" s="44"/>
      <c r="C378" s="18" t="s">
        <v>731</v>
      </c>
      <c r="D378" s="12" t="s">
        <v>732</v>
      </c>
      <c r="E378" s="35" t="s">
        <v>55</v>
      </c>
      <c r="F378" s="38">
        <v>2</v>
      </c>
      <c r="G378" s="42">
        <v>44900</v>
      </c>
      <c r="H378" s="41">
        <f t="shared" si="13"/>
        <v>89800</v>
      </c>
      <c r="I378" s="112" t="s">
        <v>69</v>
      </c>
      <c r="J378" s="144" t="s">
        <v>1180</v>
      </c>
      <c r="K378" s="42"/>
    </row>
    <row r="379" spans="1:11">
      <c r="A379" s="229">
        <v>374</v>
      </c>
      <c r="B379" s="44"/>
      <c r="C379" s="18" t="s">
        <v>733</v>
      </c>
      <c r="D379" s="34" t="s">
        <v>734</v>
      </c>
      <c r="E379" s="35" t="s">
        <v>55</v>
      </c>
      <c r="F379" s="38">
        <v>1</v>
      </c>
      <c r="G379" s="42">
        <v>22500</v>
      </c>
      <c r="H379" s="41">
        <f t="shared" si="13"/>
        <v>22500</v>
      </c>
      <c r="I379" s="112" t="s">
        <v>69</v>
      </c>
      <c r="J379" s="144" t="s">
        <v>1180</v>
      </c>
      <c r="K379" s="42"/>
    </row>
    <row r="380" spans="1:11">
      <c r="A380" s="229">
        <v>375</v>
      </c>
      <c r="B380" s="44"/>
      <c r="C380" s="18" t="s">
        <v>735</v>
      </c>
      <c r="D380" s="34" t="s">
        <v>736</v>
      </c>
      <c r="E380" s="35" t="s">
        <v>1100</v>
      </c>
      <c r="F380" s="38">
        <v>1</v>
      </c>
      <c r="G380" s="42">
        <v>3990</v>
      </c>
      <c r="H380" s="41">
        <f t="shared" si="13"/>
        <v>3990</v>
      </c>
      <c r="I380" s="120" t="s">
        <v>69</v>
      </c>
      <c r="J380" s="144" t="s">
        <v>1180</v>
      </c>
      <c r="K380" s="42"/>
    </row>
    <row r="381" spans="1:11">
      <c r="A381" s="229">
        <v>376</v>
      </c>
      <c r="B381" s="115"/>
      <c r="C381" s="18" t="s">
        <v>737</v>
      </c>
      <c r="D381" s="12" t="s">
        <v>738</v>
      </c>
      <c r="E381" s="35" t="s">
        <v>1100</v>
      </c>
      <c r="F381" s="38">
        <v>6</v>
      </c>
      <c r="G381" s="42">
        <v>1333.33</v>
      </c>
      <c r="H381" s="41">
        <f t="shared" si="13"/>
        <v>7999.98</v>
      </c>
      <c r="I381" s="184" t="s">
        <v>69</v>
      </c>
      <c r="J381" s="144" t="s">
        <v>1180</v>
      </c>
      <c r="K381" s="42"/>
    </row>
    <row r="382" spans="1:11">
      <c r="A382" s="229">
        <v>377</v>
      </c>
      <c r="B382" s="107"/>
      <c r="C382" s="18" t="s">
        <v>739</v>
      </c>
      <c r="D382" s="12" t="s">
        <v>740</v>
      </c>
      <c r="E382" s="35" t="s">
        <v>56</v>
      </c>
      <c r="F382" s="38">
        <v>1</v>
      </c>
      <c r="G382" s="42">
        <v>50290</v>
      </c>
      <c r="H382" s="41">
        <f t="shared" si="13"/>
        <v>50290</v>
      </c>
      <c r="I382" s="184" t="s">
        <v>69</v>
      </c>
      <c r="J382" s="144" t="s">
        <v>1180</v>
      </c>
      <c r="K382" s="42"/>
    </row>
    <row r="383" spans="1:11">
      <c r="A383" s="229">
        <v>378</v>
      </c>
      <c r="B383" s="117"/>
      <c r="C383" s="18" t="s">
        <v>741</v>
      </c>
      <c r="D383" s="132" t="s">
        <v>742</v>
      </c>
      <c r="E383" s="184" t="s">
        <v>56</v>
      </c>
      <c r="F383" s="38">
        <v>1</v>
      </c>
      <c r="G383" s="42">
        <v>2990</v>
      </c>
      <c r="H383" s="41">
        <f t="shared" si="13"/>
        <v>2990</v>
      </c>
      <c r="I383" s="184" t="s">
        <v>69</v>
      </c>
      <c r="J383" s="144" t="s">
        <v>1180</v>
      </c>
      <c r="K383" s="46"/>
    </row>
    <row r="384" spans="1:11">
      <c r="A384" s="229">
        <v>379</v>
      </c>
      <c r="B384" s="44"/>
      <c r="C384" s="18" t="s">
        <v>743</v>
      </c>
      <c r="D384" s="132" t="s">
        <v>744</v>
      </c>
      <c r="E384" s="35" t="s">
        <v>56</v>
      </c>
      <c r="F384" s="38">
        <v>1</v>
      </c>
      <c r="G384" s="42">
        <v>1990</v>
      </c>
      <c r="H384" s="41">
        <f t="shared" si="13"/>
        <v>1990</v>
      </c>
      <c r="I384" s="112" t="s">
        <v>69</v>
      </c>
      <c r="J384" s="144" t="s">
        <v>1180</v>
      </c>
      <c r="K384" s="46"/>
    </row>
    <row r="385" spans="1:11">
      <c r="A385" s="229">
        <v>380</v>
      </c>
      <c r="B385" s="113"/>
      <c r="C385" s="18" t="s">
        <v>745</v>
      </c>
      <c r="D385" s="132" t="s">
        <v>746</v>
      </c>
      <c r="E385" s="35" t="s">
        <v>56</v>
      </c>
      <c r="F385" s="38">
        <v>6</v>
      </c>
      <c r="G385" s="42">
        <v>2354</v>
      </c>
      <c r="H385" s="41">
        <f t="shared" si="13"/>
        <v>14124</v>
      </c>
      <c r="I385" s="112" t="s">
        <v>69</v>
      </c>
      <c r="J385" s="144" t="s">
        <v>1180</v>
      </c>
      <c r="K385" s="46"/>
    </row>
    <row r="386" spans="1:11">
      <c r="A386" s="229">
        <v>381</v>
      </c>
      <c r="B386" s="44"/>
      <c r="C386" s="18" t="s">
        <v>747</v>
      </c>
      <c r="D386" s="132" t="s">
        <v>748</v>
      </c>
      <c r="E386" s="35" t="s">
        <v>56</v>
      </c>
      <c r="F386" s="38">
        <v>1</v>
      </c>
      <c r="G386" s="42">
        <v>7383</v>
      </c>
      <c r="H386" s="41">
        <f t="shared" si="13"/>
        <v>7383</v>
      </c>
      <c r="I386" s="112" t="s">
        <v>69</v>
      </c>
      <c r="J386" s="144" t="s">
        <v>1180</v>
      </c>
      <c r="K386" s="46"/>
    </row>
    <row r="387" spans="1:11">
      <c r="A387" s="229">
        <v>382</v>
      </c>
      <c r="B387" s="44"/>
      <c r="C387" s="18" t="s">
        <v>749</v>
      </c>
      <c r="D387" s="132" t="s">
        <v>750</v>
      </c>
      <c r="E387" s="35" t="s">
        <v>55</v>
      </c>
      <c r="F387" s="38">
        <v>1</v>
      </c>
      <c r="G387" s="42">
        <v>44960</v>
      </c>
      <c r="H387" s="41">
        <f t="shared" si="13"/>
        <v>44960</v>
      </c>
      <c r="I387" s="112" t="s">
        <v>69</v>
      </c>
      <c r="J387" s="144" t="s">
        <v>1180</v>
      </c>
      <c r="K387" s="46"/>
    </row>
    <row r="388" spans="1:11">
      <c r="A388" s="229">
        <v>383</v>
      </c>
      <c r="B388" s="44"/>
      <c r="C388" s="30" t="s">
        <v>751</v>
      </c>
      <c r="D388" s="132" t="s">
        <v>473</v>
      </c>
      <c r="E388" s="35" t="s">
        <v>56</v>
      </c>
      <c r="F388" s="114">
        <v>1</v>
      </c>
      <c r="G388" s="42">
        <v>44800</v>
      </c>
      <c r="H388" s="41">
        <f t="shared" si="13"/>
        <v>44800</v>
      </c>
      <c r="I388" s="112" t="s">
        <v>69</v>
      </c>
      <c r="J388" s="144" t="s">
        <v>1180</v>
      </c>
      <c r="K388" s="46"/>
    </row>
    <row r="389" spans="1:11" ht="24" customHeight="1">
      <c r="A389" s="229">
        <v>384</v>
      </c>
      <c r="B389" s="44"/>
      <c r="C389" s="18" t="s">
        <v>874</v>
      </c>
      <c r="D389" s="34" t="s">
        <v>875</v>
      </c>
      <c r="E389" s="110" t="s">
        <v>55</v>
      </c>
      <c r="F389" s="114">
        <v>4</v>
      </c>
      <c r="G389" s="118">
        <v>35000</v>
      </c>
      <c r="H389" s="41">
        <f t="shared" si="13"/>
        <v>140000</v>
      </c>
      <c r="I389" s="84" t="s">
        <v>69</v>
      </c>
      <c r="J389" s="175" t="s">
        <v>1181</v>
      </c>
      <c r="K389" s="46"/>
    </row>
    <row r="390" spans="1:11">
      <c r="A390" s="229">
        <v>385</v>
      </c>
      <c r="B390" s="44"/>
      <c r="C390" s="18" t="s">
        <v>876</v>
      </c>
      <c r="D390" s="34" t="s">
        <v>877</v>
      </c>
      <c r="E390" s="110" t="s">
        <v>55</v>
      </c>
      <c r="F390" s="114">
        <v>2</v>
      </c>
      <c r="G390" s="118">
        <v>17500</v>
      </c>
      <c r="H390" s="41">
        <f t="shared" si="13"/>
        <v>35000</v>
      </c>
      <c r="I390" s="84" t="s">
        <v>69</v>
      </c>
      <c r="J390" s="175" t="s">
        <v>1181</v>
      </c>
      <c r="K390" s="46"/>
    </row>
    <row r="391" spans="1:11">
      <c r="A391" s="229">
        <v>386</v>
      </c>
      <c r="B391" s="44"/>
      <c r="C391" s="18" t="s">
        <v>878</v>
      </c>
      <c r="D391" s="34" t="s">
        <v>879</v>
      </c>
      <c r="E391" s="110" t="s">
        <v>55</v>
      </c>
      <c r="F391" s="114">
        <v>4</v>
      </c>
      <c r="G391" s="118">
        <v>2500</v>
      </c>
      <c r="H391" s="41">
        <f t="shared" si="13"/>
        <v>10000</v>
      </c>
      <c r="I391" s="84" t="s">
        <v>69</v>
      </c>
      <c r="J391" s="175" t="s">
        <v>1181</v>
      </c>
      <c r="K391" s="46"/>
    </row>
    <row r="392" spans="1:11">
      <c r="A392" s="229">
        <v>387</v>
      </c>
      <c r="B392" s="44"/>
      <c r="C392" s="18" t="s">
        <v>880</v>
      </c>
      <c r="D392" s="34" t="s">
        <v>136</v>
      </c>
      <c r="E392" s="110" t="s">
        <v>55</v>
      </c>
      <c r="F392" s="114">
        <v>20</v>
      </c>
      <c r="G392" s="118">
        <v>2600</v>
      </c>
      <c r="H392" s="41">
        <f t="shared" si="13"/>
        <v>52000</v>
      </c>
      <c r="I392" s="84" t="s">
        <v>69</v>
      </c>
      <c r="J392" s="175" t="s">
        <v>1181</v>
      </c>
      <c r="K392" s="46"/>
    </row>
    <row r="393" spans="1:11">
      <c r="A393" s="229">
        <v>388</v>
      </c>
      <c r="B393" s="44"/>
      <c r="C393" s="18" t="s">
        <v>881</v>
      </c>
      <c r="D393" s="34" t="s">
        <v>882</v>
      </c>
      <c r="E393" s="110" t="s">
        <v>55</v>
      </c>
      <c r="F393" s="114">
        <v>20</v>
      </c>
      <c r="G393" s="118">
        <v>1200</v>
      </c>
      <c r="H393" s="41">
        <f t="shared" si="13"/>
        <v>24000</v>
      </c>
      <c r="I393" s="84" t="s">
        <v>69</v>
      </c>
      <c r="J393" s="175" t="s">
        <v>1181</v>
      </c>
      <c r="K393" s="46"/>
    </row>
    <row r="394" spans="1:11">
      <c r="A394" s="229">
        <v>389</v>
      </c>
      <c r="B394" s="108"/>
      <c r="C394" s="18" t="s">
        <v>883</v>
      </c>
      <c r="D394" s="34" t="s">
        <v>884</v>
      </c>
      <c r="E394" s="110" t="s">
        <v>55</v>
      </c>
      <c r="F394" s="114">
        <v>1</v>
      </c>
      <c r="G394" s="118">
        <v>12500</v>
      </c>
      <c r="H394" s="41">
        <f t="shared" si="13"/>
        <v>12500</v>
      </c>
      <c r="I394" s="84" t="s">
        <v>69</v>
      </c>
      <c r="J394" s="175" t="s">
        <v>1181</v>
      </c>
      <c r="K394" s="46"/>
    </row>
    <row r="395" spans="1:11">
      <c r="A395" s="229">
        <v>390</v>
      </c>
      <c r="B395" s="44"/>
      <c r="C395" s="18" t="s">
        <v>885</v>
      </c>
      <c r="D395" s="34" t="s">
        <v>875</v>
      </c>
      <c r="E395" s="110" t="s">
        <v>55</v>
      </c>
      <c r="F395" s="114">
        <v>10</v>
      </c>
      <c r="G395" s="118">
        <v>34500</v>
      </c>
      <c r="H395" s="41">
        <f t="shared" si="13"/>
        <v>345000</v>
      </c>
      <c r="I395" s="84" t="s">
        <v>69</v>
      </c>
      <c r="J395" s="175" t="s">
        <v>1181</v>
      </c>
      <c r="K395" s="46"/>
    </row>
    <row r="396" spans="1:11">
      <c r="A396" s="229">
        <v>391</v>
      </c>
      <c r="B396" s="44"/>
      <c r="C396" s="18" t="s">
        <v>886</v>
      </c>
      <c r="D396" s="34" t="s">
        <v>887</v>
      </c>
      <c r="E396" s="110" t="s">
        <v>55</v>
      </c>
      <c r="F396" s="114">
        <v>2</v>
      </c>
      <c r="G396" s="118">
        <v>9000</v>
      </c>
      <c r="H396" s="41">
        <f t="shared" si="13"/>
        <v>18000</v>
      </c>
      <c r="I396" s="84" t="s">
        <v>69</v>
      </c>
      <c r="J396" s="175" t="s">
        <v>1181</v>
      </c>
      <c r="K396" s="46"/>
    </row>
    <row r="397" spans="1:11">
      <c r="A397" s="229">
        <v>392</v>
      </c>
      <c r="B397" s="44"/>
      <c r="C397" s="18" t="s">
        <v>888</v>
      </c>
      <c r="D397" s="34" t="s">
        <v>879</v>
      </c>
      <c r="E397" s="110" t="s">
        <v>55</v>
      </c>
      <c r="F397" s="114">
        <v>2</v>
      </c>
      <c r="G397" s="118">
        <v>2500</v>
      </c>
      <c r="H397" s="41">
        <f t="shared" si="13"/>
        <v>5000</v>
      </c>
      <c r="I397" s="84" t="s">
        <v>69</v>
      </c>
      <c r="J397" s="175" t="s">
        <v>1181</v>
      </c>
      <c r="K397" s="46"/>
    </row>
    <row r="398" spans="1:11">
      <c r="A398" s="229">
        <v>393</v>
      </c>
      <c r="B398" s="115"/>
      <c r="C398" s="18" t="s">
        <v>889</v>
      </c>
      <c r="D398" s="34" t="s">
        <v>136</v>
      </c>
      <c r="E398" s="110" t="s">
        <v>55</v>
      </c>
      <c r="F398" s="114">
        <v>10</v>
      </c>
      <c r="G398" s="118">
        <v>2500</v>
      </c>
      <c r="H398" s="41">
        <f t="shared" si="13"/>
        <v>25000</v>
      </c>
      <c r="I398" s="84" t="s">
        <v>69</v>
      </c>
      <c r="J398" s="175" t="s">
        <v>1181</v>
      </c>
      <c r="K398" s="46"/>
    </row>
    <row r="399" spans="1:11">
      <c r="A399" s="229">
        <v>394</v>
      </c>
      <c r="B399" s="115"/>
      <c r="C399" s="18" t="s">
        <v>890</v>
      </c>
      <c r="D399" s="34" t="s">
        <v>882</v>
      </c>
      <c r="E399" s="110" t="s">
        <v>55</v>
      </c>
      <c r="F399" s="114">
        <v>20</v>
      </c>
      <c r="G399" s="118">
        <v>1200</v>
      </c>
      <c r="H399" s="41">
        <f t="shared" si="13"/>
        <v>24000</v>
      </c>
      <c r="I399" s="84" t="s">
        <v>69</v>
      </c>
      <c r="J399" s="175" t="s">
        <v>1181</v>
      </c>
      <c r="K399" s="46"/>
    </row>
    <row r="400" spans="1:11">
      <c r="A400" s="229">
        <v>395</v>
      </c>
      <c r="B400" s="115"/>
      <c r="C400" s="18" t="s">
        <v>891</v>
      </c>
      <c r="D400" s="34" t="s">
        <v>875</v>
      </c>
      <c r="E400" s="110" t="s">
        <v>55</v>
      </c>
      <c r="F400" s="114">
        <v>3</v>
      </c>
      <c r="G400" s="118">
        <v>38900</v>
      </c>
      <c r="H400" s="41">
        <f t="shared" si="13"/>
        <v>116700</v>
      </c>
      <c r="I400" s="84" t="s">
        <v>69</v>
      </c>
      <c r="J400" s="175" t="s">
        <v>1181</v>
      </c>
      <c r="K400" s="46"/>
    </row>
    <row r="401" spans="1:11">
      <c r="A401" s="229">
        <v>396</v>
      </c>
      <c r="B401" s="115"/>
      <c r="C401" s="18" t="s">
        <v>892</v>
      </c>
      <c r="D401" s="34" t="s">
        <v>884</v>
      </c>
      <c r="E401" s="110" t="s">
        <v>55</v>
      </c>
      <c r="F401" s="114">
        <v>1</v>
      </c>
      <c r="G401" s="118">
        <v>20000</v>
      </c>
      <c r="H401" s="41">
        <f t="shared" si="13"/>
        <v>20000</v>
      </c>
      <c r="I401" s="84" t="s">
        <v>69</v>
      </c>
      <c r="J401" s="175" t="s">
        <v>1181</v>
      </c>
      <c r="K401" s="46"/>
    </row>
    <row r="402" spans="1:11">
      <c r="A402" s="229">
        <v>397</v>
      </c>
      <c r="B402" s="107"/>
      <c r="C402" s="18" t="s">
        <v>893</v>
      </c>
      <c r="D402" s="34" t="s">
        <v>894</v>
      </c>
      <c r="E402" s="110" t="s">
        <v>55</v>
      </c>
      <c r="F402" s="114">
        <v>1</v>
      </c>
      <c r="G402" s="118">
        <v>20000</v>
      </c>
      <c r="H402" s="41">
        <f t="shared" si="13"/>
        <v>20000</v>
      </c>
      <c r="I402" s="84" t="s">
        <v>69</v>
      </c>
      <c r="J402" s="175" t="s">
        <v>1181</v>
      </c>
      <c r="K402" s="46"/>
    </row>
    <row r="403" spans="1:11">
      <c r="A403" s="229">
        <v>398</v>
      </c>
      <c r="B403" s="107"/>
      <c r="C403" s="18" t="s">
        <v>895</v>
      </c>
      <c r="D403" s="34" t="s">
        <v>896</v>
      </c>
      <c r="E403" s="110" t="s">
        <v>55</v>
      </c>
      <c r="F403" s="114">
        <v>1</v>
      </c>
      <c r="G403" s="118">
        <v>31500</v>
      </c>
      <c r="H403" s="41">
        <f t="shared" si="13"/>
        <v>31500</v>
      </c>
      <c r="I403" s="84" t="s">
        <v>69</v>
      </c>
      <c r="J403" s="175" t="s">
        <v>1181</v>
      </c>
      <c r="K403" s="46"/>
    </row>
    <row r="404" spans="1:11">
      <c r="A404" s="229">
        <v>399</v>
      </c>
      <c r="B404" s="107"/>
      <c r="C404" s="18" t="s">
        <v>897</v>
      </c>
      <c r="D404" s="34" t="s">
        <v>879</v>
      </c>
      <c r="E404" s="110" t="s">
        <v>55</v>
      </c>
      <c r="F404" s="114">
        <v>2</v>
      </c>
      <c r="G404" s="118">
        <v>2500</v>
      </c>
      <c r="H404" s="41">
        <f t="shared" si="13"/>
        <v>5000</v>
      </c>
      <c r="I404" s="84" t="s">
        <v>69</v>
      </c>
      <c r="J404" s="175" t="s">
        <v>1181</v>
      </c>
      <c r="K404" s="46"/>
    </row>
    <row r="405" spans="1:11">
      <c r="A405" s="229">
        <v>400</v>
      </c>
      <c r="B405" s="107"/>
      <c r="C405" s="18" t="s">
        <v>898</v>
      </c>
      <c r="D405" s="34" t="s">
        <v>136</v>
      </c>
      <c r="E405" s="110" t="s">
        <v>55</v>
      </c>
      <c r="F405" s="114">
        <v>5</v>
      </c>
      <c r="G405" s="118">
        <v>2500</v>
      </c>
      <c r="H405" s="41">
        <f t="shared" si="13"/>
        <v>12500</v>
      </c>
      <c r="I405" s="84" t="s">
        <v>69</v>
      </c>
      <c r="J405" s="175" t="s">
        <v>1181</v>
      </c>
      <c r="K405" s="46"/>
    </row>
    <row r="406" spans="1:11">
      <c r="A406" s="229">
        <v>401</v>
      </c>
      <c r="B406" s="117"/>
      <c r="C406" s="18" t="s">
        <v>899</v>
      </c>
      <c r="D406" s="34" t="s">
        <v>882</v>
      </c>
      <c r="E406" s="110" t="s">
        <v>55</v>
      </c>
      <c r="F406" s="114">
        <v>5</v>
      </c>
      <c r="G406" s="118">
        <v>1200</v>
      </c>
      <c r="H406" s="41">
        <f t="shared" si="13"/>
        <v>6000</v>
      </c>
      <c r="I406" s="84" t="s">
        <v>69</v>
      </c>
      <c r="J406" s="175" t="s">
        <v>1181</v>
      </c>
      <c r="K406" s="46"/>
    </row>
    <row r="407" spans="1:11">
      <c r="A407" s="229">
        <v>402</v>
      </c>
      <c r="B407" s="184"/>
      <c r="C407" s="18" t="s">
        <v>900</v>
      </c>
      <c r="D407" s="34" t="s">
        <v>901</v>
      </c>
      <c r="E407" s="81" t="s">
        <v>56</v>
      </c>
      <c r="F407" s="114">
        <v>1</v>
      </c>
      <c r="G407" s="118">
        <v>31850</v>
      </c>
      <c r="H407" s="41">
        <f t="shared" si="13"/>
        <v>31850</v>
      </c>
      <c r="I407" s="84" t="s">
        <v>69</v>
      </c>
      <c r="J407" s="175" t="s">
        <v>1181</v>
      </c>
      <c r="K407" s="46"/>
    </row>
    <row r="408" spans="1:11">
      <c r="A408" s="229">
        <v>403</v>
      </c>
      <c r="B408" s="184"/>
      <c r="C408" s="18" t="s">
        <v>902</v>
      </c>
      <c r="D408" s="34" t="s">
        <v>875</v>
      </c>
      <c r="E408" s="81" t="s">
        <v>56</v>
      </c>
      <c r="F408" s="114">
        <v>21</v>
      </c>
      <c r="G408" s="118">
        <v>24285.71</v>
      </c>
      <c r="H408" s="41">
        <f t="shared" ref="H408:H434" si="14">SUM(F408*G408)</f>
        <v>509999.91</v>
      </c>
      <c r="I408" s="84" t="s">
        <v>69</v>
      </c>
      <c r="J408" s="175" t="s">
        <v>1181</v>
      </c>
      <c r="K408" s="46"/>
    </row>
    <row r="409" spans="1:11">
      <c r="A409" s="229">
        <v>404</v>
      </c>
      <c r="B409" s="184"/>
      <c r="C409" s="18" t="s">
        <v>903</v>
      </c>
      <c r="D409" s="34" t="s">
        <v>875</v>
      </c>
      <c r="E409" s="81" t="s">
        <v>55</v>
      </c>
      <c r="F409" s="114">
        <v>7</v>
      </c>
      <c r="G409" s="118">
        <v>11862.85</v>
      </c>
      <c r="H409" s="41">
        <f t="shared" si="14"/>
        <v>83039.95</v>
      </c>
      <c r="I409" s="84" t="s">
        <v>69</v>
      </c>
      <c r="J409" s="175" t="s">
        <v>1181</v>
      </c>
      <c r="K409" s="46"/>
    </row>
    <row r="410" spans="1:11">
      <c r="A410" s="229">
        <v>405</v>
      </c>
      <c r="B410" s="184"/>
      <c r="C410" s="18" t="s">
        <v>904</v>
      </c>
      <c r="D410" s="34" t="s">
        <v>875</v>
      </c>
      <c r="E410" s="81" t="s">
        <v>55</v>
      </c>
      <c r="F410" s="114">
        <v>7</v>
      </c>
      <c r="G410" s="118">
        <v>15500</v>
      </c>
      <c r="H410" s="41">
        <f t="shared" si="14"/>
        <v>108500</v>
      </c>
      <c r="I410" s="84" t="s">
        <v>69</v>
      </c>
      <c r="J410" s="175" t="s">
        <v>1181</v>
      </c>
      <c r="K410" s="46"/>
    </row>
    <row r="411" spans="1:11">
      <c r="A411" s="229">
        <v>406</v>
      </c>
      <c r="B411" s="184"/>
      <c r="C411" s="18" t="s">
        <v>905</v>
      </c>
      <c r="D411" s="34" t="s">
        <v>906</v>
      </c>
      <c r="E411" s="81" t="s">
        <v>56</v>
      </c>
      <c r="F411" s="114">
        <v>1</v>
      </c>
      <c r="G411" s="118">
        <v>9900</v>
      </c>
      <c r="H411" s="41">
        <f t="shared" si="14"/>
        <v>9900</v>
      </c>
      <c r="I411" s="84" t="s">
        <v>69</v>
      </c>
      <c r="J411" s="175" t="s">
        <v>1181</v>
      </c>
      <c r="K411" s="46"/>
    </row>
    <row r="412" spans="1:11">
      <c r="A412" s="229">
        <v>407</v>
      </c>
      <c r="B412" s="184"/>
      <c r="C412" s="18" t="s">
        <v>907</v>
      </c>
      <c r="D412" s="34" t="s">
        <v>875</v>
      </c>
      <c r="E412" s="81" t="s">
        <v>56</v>
      </c>
      <c r="F412" s="114">
        <v>5</v>
      </c>
      <c r="G412" s="118">
        <v>16000</v>
      </c>
      <c r="H412" s="41">
        <f t="shared" si="14"/>
        <v>80000</v>
      </c>
      <c r="I412" s="84" t="s">
        <v>69</v>
      </c>
      <c r="J412" s="175" t="s">
        <v>1181</v>
      </c>
      <c r="K412" s="46"/>
    </row>
    <row r="413" spans="1:11">
      <c r="A413" s="229">
        <v>408</v>
      </c>
      <c r="B413" s="184"/>
      <c r="C413" s="18" t="s">
        <v>908</v>
      </c>
      <c r="D413" s="34" t="s">
        <v>875</v>
      </c>
      <c r="E413" s="81" t="s">
        <v>56</v>
      </c>
      <c r="F413" s="114">
        <v>4</v>
      </c>
      <c r="G413" s="118">
        <v>16000</v>
      </c>
      <c r="H413" s="41">
        <f t="shared" si="14"/>
        <v>64000</v>
      </c>
      <c r="I413" s="84" t="s">
        <v>69</v>
      </c>
      <c r="J413" s="175" t="s">
        <v>1181</v>
      </c>
      <c r="K413" s="46"/>
    </row>
    <row r="414" spans="1:11">
      <c r="A414" s="229">
        <v>409</v>
      </c>
      <c r="B414" s="184"/>
      <c r="C414" s="18" t="s">
        <v>909</v>
      </c>
      <c r="D414" s="34" t="s">
        <v>875</v>
      </c>
      <c r="E414" s="81" t="s">
        <v>56</v>
      </c>
      <c r="F414" s="114">
        <v>4</v>
      </c>
      <c r="G414" s="118">
        <v>16000</v>
      </c>
      <c r="H414" s="41">
        <f t="shared" si="14"/>
        <v>64000</v>
      </c>
      <c r="I414" s="84" t="s">
        <v>69</v>
      </c>
      <c r="J414" s="175" t="s">
        <v>1181</v>
      </c>
      <c r="K414" s="46"/>
    </row>
    <row r="415" spans="1:11">
      <c r="A415" s="229">
        <v>410</v>
      </c>
      <c r="B415" s="184"/>
      <c r="C415" s="18" t="s">
        <v>910</v>
      </c>
      <c r="D415" s="34" t="s">
        <v>911</v>
      </c>
      <c r="E415" s="81" t="s">
        <v>56</v>
      </c>
      <c r="F415" s="114">
        <v>1</v>
      </c>
      <c r="G415" s="118">
        <v>6600</v>
      </c>
      <c r="H415" s="41">
        <f t="shared" si="14"/>
        <v>6600</v>
      </c>
      <c r="I415" s="84" t="s">
        <v>69</v>
      </c>
      <c r="J415" s="175" t="s">
        <v>1181</v>
      </c>
      <c r="K415" s="46"/>
    </row>
    <row r="416" spans="1:11">
      <c r="A416" s="229">
        <v>411</v>
      </c>
      <c r="B416" s="184"/>
      <c r="C416" s="18" t="s">
        <v>912</v>
      </c>
      <c r="D416" s="34" t="s">
        <v>913</v>
      </c>
      <c r="E416" s="81" t="s">
        <v>56</v>
      </c>
      <c r="F416" s="114">
        <v>3</v>
      </c>
      <c r="G416" s="118">
        <v>1100</v>
      </c>
      <c r="H416" s="41">
        <f t="shared" si="14"/>
        <v>3300</v>
      </c>
      <c r="I416" s="84" t="s">
        <v>69</v>
      </c>
      <c r="J416" s="175" t="s">
        <v>1181</v>
      </c>
      <c r="K416" s="46"/>
    </row>
    <row r="417" spans="1:11">
      <c r="A417" s="229">
        <v>412</v>
      </c>
      <c r="B417" s="117"/>
      <c r="C417" s="18" t="s">
        <v>914</v>
      </c>
      <c r="D417" s="119" t="s">
        <v>639</v>
      </c>
      <c r="E417" s="81" t="s">
        <v>56</v>
      </c>
      <c r="F417" s="114">
        <v>6</v>
      </c>
      <c r="G417" s="111">
        <v>1200</v>
      </c>
      <c r="H417" s="41">
        <f t="shared" si="14"/>
        <v>7200</v>
      </c>
      <c r="I417" s="84" t="s">
        <v>69</v>
      </c>
      <c r="J417" s="175" t="s">
        <v>1181</v>
      </c>
      <c r="K417" s="46"/>
    </row>
    <row r="418" spans="1:11">
      <c r="A418" s="229">
        <v>413</v>
      </c>
      <c r="B418" s="44"/>
      <c r="C418" s="18" t="s">
        <v>916</v>
      </c>
      <c r="D418" s="34" t="s">
        <v>917</v>
      </c>
      <c r="E418" s="81" t="s">
        <v>56</v>
      </c>
      <c r="F418" s="114">
        <v>1</v>
      </c>
      <c r="G418" s="118">
        <v>79000</v>
      </c>
      <c r="H418" s="41">
        <f t="shared" si="14"/>
        <v>79000</v>
      </c>
      <c r="I418" s="84" t="s">
        <v>69</v>
      </c>
      <c r="J418" s="175" t="s">
        <v>1181</v>
      </c>
      <c r="K418" s="46"/>
    </row>
    <row r="419" spans="1:11">
      <c r="A419" s="229">
        <v>414</v>
      </c>
      <c r="B419" s="44"/>
      <c r="C419" s="18" t="s">
        <v>918</v>
      </c>
      <c r="D419" s="34" t="s">
        <v>919</v>
      </c>
      <c r="E419" s="81" t="s">
        <v>56</v>
      </c>
      <c r="F419" s="114">
        <v>1</v>
      </c>
      <c r="G419" s="118">
        <v>9200</v>
      </c>
      <c r="H419" s="41">
        <f t="shared" si="14"/>
        <v>9200</v>
      </c>
      <c r="I419" s="84" t="s">
        <v>69</v>
      </c>
      <c r="J419" s="175" t="s">
        <v>1181</v>
      </c>
      <c r="K419" s="46"/>
    </row>
    <row r="420" spans="1:11">
      <c r="A420" s="229">
        <v>415</v>
      </c>
      <c r="B420" s="44"/>
      <c r="C420" s="18" t="s">
        <v>920</v>
      </c>
      <c r="D420" s="34" t="s">
        <v>1159</v>
      </c>
      <c r="E420" s="81" t="s">
        <v>56</v>
      </c>
      <c r="F420" s="114">
        <v>1</v>
      </c>
      <c r="G420" s="118">
        <v>5900</v>
      </c>
      <c r="H420" s="41">
        <f t="shared" si="14"/>
        <v>5900</v>
      </c>
      <c r="I420" s="84" t="s">
        <v>69</v>
      </c>
      <c r="J420" s="175" t="s">
        <v>1181</v>
      </c>
      <c r="K420" s="46"/>
    </row>
    <row r="421" spans="1:11">
      <c r="A421" s="229">
        <v>416</v>
      </c>
      <c r="B421" s="108"/>
      <c r="C421" s="18" t="s">
        <v>922</v>
      </c>
      <c r="D421" s="34" t="s">
        <v>44</v>
      </c>
      <c r="E421" s="81" t="s">
        <v>56</v>
      </c>
      <c r="F421" s="114">
        <v>1</v>
      </c>
      <c r="G421" s="151">
        <v>40700</v>
      </c>
      <c r="H421" s="41">
        <f t="shared" si="14"/>
        <v>40700</v>
      </c>
      <c r="I421" s="84" t="s">
        <v>69</v>
      </c>
      <c r="J421" s="175" t="s">
        <v>1181</v>
      </c>
      <c r="K421" s="46"/>
    </row>
    <row r="422" spans="1:11">
      <c r="A422" s="229">
        <v>417</v>
      </c>
      <c r="B422" s="44"/>
      <c r="C422" s="18" t="s">
        <v>923</v>
      </c>
      <c r="D422" s="34" t="s">
        <v>875</v>
      </c>
      <c r="E422" s="110" t="s">
        <v>1100</v>
      </c>
      <c r="F422" s="114">
        <v>10</v>
      </c>
      <c r="G422" s="118">
        <v>11730</v>
      </c>
      <c r="H422" s="41">
        <f t="shared" si="14"/>
        <v>117300</v>
      </c>
      <c r="I422" s="84" t="s">
        <v>69</v>
      </c>
      <c r="J422" s="175" t="s">
        <v>1181</v>
      </c>
      <c r="K422" s="46"/>
    </row>
    <row r="423" spans="1:11">
      <c r="A423" s="229">
        <v>418</v>
      </c>
      <c r="B423" s="44"/>
      <c r="C423" s="18" t="s">
        <v>924</v>
      </c>
      <c r="D423" s="34" t="s">
        <v>875</v>
      </c>
      <c r="E423" s="110" t="s">
        <v>1100</v>
      </c>
      <c r="F423" s="114">
        <v>10</v>
      </c>
      <c r="G423" s="118">
        <v>11730</v>
      </c>
      <c r="H423" s="41">
        <f t="shared" si="14"/>
        <v>117300</v>
      </c>
      <c r="I423" s="84" t="s">
        <v>69</v>
      </c>
      <c r="J423" s="175" t="s">
        <v>1181</v>
      </c>
      <c r="K423" s="46"/>
    </row>
    <row r="424" spans="1:11">
      <c r="A424" s="229">
        <v>419</v>
      </c>
      <c r="B424" s="115"/>
      <c r="C424" s="18" t="s">
        <v>925</v>
      </c>
      <c r="D424" s="34" t="s">
        <v>154</v>
      </c>
      <c r="E424" s="110" t="s">
        <v>56</v>
      </c>
      <c r="F424" s="114">
        <v>1</v>
      </c>
      <c r="G424" s="118">
        <v>695.5</v>
      </c>
      <c r="H424" s="41">
        <f t="shared" si="14"/>
        <v>695.5</v>
      </c>
      <c r="I424" s="81" t="s">
        <v>69</v>
      </c>
      <c r="J424" s="175" t="s">
        <v>1181</v>
      </c>
      <c r="K424" s="46"/>
    </row>
    <row r="425" spans="1:11">
      <c r="A425" s="229">
        <v>420</v>
      </c>
      <c r="B425" s="115"/>
      <c r="C425" s="18" t="s">
        <v>926</v>
      </c>
      <c r="D425" s="34" t="s">
        <v>927</v>
      </c>
      <c r="E425" s="110" t="s">
        <v>56</v>
      </c>
      <c r="F425" s="114">
        <v>1</v>
      </c>
      <c r="G425" s="118">
        <v>14800</v>
      </c>
      <c r="H425" s="41">
        <f t="shared" si="14"/>
        <v>14800</v>
      </c>
      <c r="I425" s="81" t="s">
        <v>69</v>
      </c>
      <c r="J425" s="175" t="s">
        <v>1181</v>
      </c>
      <c r="K425" s="46"/>
    </row>
    <row r="426" spans="1:11">
      <c r="A426" s="229">
        <v>421</v>
      </c>
      <c r="B426" s="115"/>
      <c r="C426" s="18" t="s">
        <v>928</v>
      </c>
      <c r="D426" s="34" t="s">
        <v>929</v>
      </c>
      <c r="E426" s="110" t="s">
        <v>56</v>
      </c>
      <c r="F426" s="114">
        <v>1</v>
      </c>
      <c r="G426" s="118">
        <v>3600</v>
      </c>
      <c r="H426" s="41">
        <f t="shared" si="14"/>
        <v>3600</v>
      </c>
      <c r="I426" s="81" t="s">
        <v>69</v>
      </c>
      <c r="J426" s="175" t="s">
        <v>1181</v>
      </c>
      <c r="K426" s="46"/>
    </row>
    <row r="427" spans="1:11">
      <c r="A427" s="229">
        <v>422</v>
      </c>
      <c r="B427" s="107"/>
      <c r="C427" s="18" t="s">
        <v>930</v>
      </c>
      <c r="D427" s="34" t="s">
        <v>931</v>
      </c>
      <c r="E427" s="110" t="s">
        <v>55</v>
      </c>
      <c r="F427" s="114">
        <v>3</v>
      </c>
      <c r="G427" s="118">
        <v>3400</v>
      </c>
      <c r="H427" s="41">
        <f t="shared" si="14"/>
        <v>10200</v>
      </c>
      <c r="I427" s="81" t="s">
        <v>69</v>
      </c>
      <c r="J427" s="175" t="s">
        <v>1181</v>
      </c>
      <c r="K427" s="46"/>
    </row>
    <row r="428" spans="1:11">
      <c r="A428" s="229">
        <v>423</v>
      </c>
      <c r="B428" s="107"/>
      <c r="C428" s="18" t="s">
        <v>932</v>
      </c>
      <c r="D428" s="34" t="s">
        <v>933</v>
      </c>
      <c r="E428" s="110" t="s">
        <v>55</v>
      </c>
      <c r="F428" s="114">
        <v>2</v>
      </c>
      <c r="G428" s="118">
        <v>2200</v>
      </c>
      <c r="H428" s="41">
        <f t="shared" si="14"/>
        <v>4400</v>
      </c>
      <c r="I428" s="81" t="s">
        <v>69</v>
      </c>
      <c r="J428" s="175" t="s">
        <v>1181</v>
      </c>
      <c r="K428" s="46"/>
    </row>
    <row r="429" spans="1:11">
      <c r="A429" s="229">
        <v>424</v>
      </c>
      <c r="B429" s="107"/>
      <c r="C429" s="18" t="s">
        <v>934</v>
      </c>
      <c r="D429" s="34" t="s">
        <v>935</v>
      </c>
      <c r="E429" s="110" t="s">
        <v>56</v>
      </c>
      <c r="F429" s="114">
        <v>49</v>
      </c>
      <c r="G429" s="118">
        <v>14000</v>
      </c>
      <c r="H429" s="41">
        <f t="shared" si="14"/>
        <v>686000</v>
      </c>
      <c r="I429" s="81" t="s">
        <v>69</v>
      </c>
      <c r="J429" s="175" t="s">
        <v>1181</v>
      </c>
      <c r="K429" s="46"/>
    </row>
    <row r="430" spans="1:11">
      <c r="A430" s="229">
        <v>425</v>
      </c>
      <c r="B430" s="107"/>
      <c r="C430" s="18" t="s">
        <v>936</v>
      </c>
      <c r="D430" s="34" t="s">
        <v>875</v>
      </c>
      <c r="E430" s="110" t="s">
        <v>56</v>
      </c>
      <c r="F430" s="114">
        <v>49</v>
      </c>
      <c r="G430" s="118">
        <v>13979.59</v>
      </c>
      <c r="H430" s="41">
        <f t="shared" si="14"/>
        <v>684999.91</v>
      </c>
      <c r="I430" s="81" t="s">
        <v>69</v>
      </c>
      <c r="J430" s="175" t="s">
        <v>1181</v>
      </c>
      <c r="K430" s="46"/>
    </row>
    <row r="431" spans="1:11">
      <c r="A431" s="229">
        <v>426</v>
      </c>
      <c r="B431" s="184"/>
      <c r="C431" s="18" t="s">
        <v>937</v>
      </c>
      <c r="D431" s="34" t="s">
        <v>374</v>
      </c>
      <c r="E431" s="110" t="s">
        <v>56</v>
      </c>
      <c r="F431" s="114">
        <v>1</v>
      </c>
      <c r="G431" s="118">
        <v>1006.25</v>
      </c>
      <c r="H431" s="41">
        <f t="shared" si="14"/>
        <v>1006.25</v>
      </c>
      <c r="I431" s="81" t="s">
        <v>69</v>
      </c>
      <c r="J431" s="175" t="s">
        <v>1181</v>
      </c>
      <c r="K431" s="46"/>
    </row>
    <row r="432" spans="1:11">
      <c r="A432" s="229">
        <v>427</v>
      </c>
      <c r="B432" s="184"/>
      <c r="C432" s="18" t="s">
        <v>938</v>
      </c>
      <c r="D432" s="34" t="s">
        <v>1032</v>
      </c>
      <c r="E432" s="81" t="s">
        <v>55</v>
      </c>
      <c r="F432" s="114">
        <v>4</v>
      </c>
      <c r="G432" s="118">
        <v>3000</v>
      </c>
      <c r="H432" s="41">
        <f t="shared" si="14"/>
        <v>12000</v>
      </c>
      <c r="I432" s="81" t="s">
        <v>69</v>
      </c>
      <c r="J432" s="175" t="s">
        <v>1181</v>
      </c>
      <c r="K432" s="46"/>
    </row>
    <row r="433" spans="1:11">
      <c r="A433" s="229">
        <v>428</v>
      </c>
      <c r="B433" s="33"/>
      <c r="C433" s="34" t="s">
        <v>939</v>
      </c>
      <c r="D433" s="34" t="s">
        <v>276</v>
      </c>
      <c r="E433" s="81" t="s">
        <v>55</v>
      </c>
      <c r="F433" s="114">
        <v>4</v>
      </c>
      <c r="G433" s="118">
        <v>32000</v>
      </c>
      <c r="H433" s="118">
        <f t="shared" ref="H433" si="15">SUM(F433*G433)</f>
        <v>128000</v>
      </c>
      <c r="I433" s="81" t="s">
        <v>70</v>
      </c>
      <c r="J433" s="175" t="s">
        <v>1181</v>
      </c>
      <c r="K433" s="14"/>
    </row>
    <row r="434" spans="1:11">
      <c r="A434" s="229">
        <v>429</v>
      </c>
      <c r="B434" s="184"/>
      <c r="C434" s="187" t="s">
        <v>940</v>
      </c>
      <c r="D434" s="188" t="s">
        <v>941</v>
      </c>
      <c r="E434" s="81" t="s">
        <v>55</v>
      </c>
      <c r="F434" s="164">
        <v>160</v>
      </c>
      <c r="G434" s="118">
        <v>400</v>
      </c>
      <c r="H434" s="41">
        <f t="shared" si="14"/>
        <v>64000</v>
      </c>
      <c r="I434" s="81" t="s">
        <v>69</v>
      </c>
      <c r="J434" s="175" t="s">
        <v>1181</v>
      </c>
      <c r="K434" s="46"/>
    </row>
    <row r="435" spans="1:11">
      <c r="A435" s="229">
        <v>430</v>
      </c>
      <c r="B435" s="44"/>
      <c r="C435" s="30" t="s">
        <v>943</v>
      </c>
      <c r="D435" s="132" t="s">
        <v>944</v>
      </c>
      <c r="E435" s="35" t="s">
        <v>55</v>
      </c>
      <c r="F435" s="114">
        <v>40</v>
      </c>
      <c r="G435" s="111">
        <v>8500</v>
      </c>
      <c r="H435" s="124">
        <f>SUM(F435*G435)</f>
        <v>340000</v>
      </c>
      <c r="I435" s="84" t="s">
        <v>1190</v>
      </c>
      <c r="J435" s="94" t="s">
        <v>1160</v>
      </c>
      <c r="K435" s="46"/>
    </row>
    <row r="436" spans="1:11">
      <c r="A436" s="229">
        <v>431</v>
      </c>
      <c r="B436" s="44"/>
      <c r="C436" s="30" t="s">
        <v>945</v>
      </c>
      <c r="D436" s="132" t="s">
        <v>91</v>
      </c>
      <c r="E436" s="35" t="s">
        <v>55</v>
      </c>
      <c r="F436" s="114">
        <v>1</v>
      </c>
      <c r="G436" s="111">
        <v>24000</v>
      </c>
      <c r="H436" s="124">
        <f t="shared" ref="H436:H467" si="16">SUM(F436*G436)</f>
        <v>24000</v>
      </c>
      <c r="I436" s="84" t="s">
        <v>69</v>
      </c>
      <c r="J436" s="94" t="s">
        <v>1160</v>
      </c>
      <c r="K436" s="46"/>
    </row>
    <row r="437" spans="1:11">
      <c r="A437" s="229">
        <v>432</v>
      </c>
      <c r="B437" s="44"/>
      <c r="C437" s="30" t="s">
        <v>946</v>
      </c>
      <c r="D437" s="132" t="s">
        <v>31</v>
      </c>
      <c r="E437" s="35" t="s">
        <v>56</v>
      </c>
      <c r="F437" s="114">
        <v>60</v>
      </c>
      <c r="G437" s="111">
        <v>800</v>
      </c>
      <c r="H437" s="124">
        <f t="shared" si="16"/>
        <v>48000</v>
      </c>
      <c r="I437" s="84" t="s">
        <v>69</v>
      </c>
      <c r="J437" s="94" t="s">
        <v>1160</v>
      </c>
      <c r="K437" s="46"/>
    </row>
    <row r="438" spans="1:11">
      <c r="A438" s="229">
        <v>433</v>
      </c>
      <c r="B438" s="44"/>
      <c r="C438" s="30" t="s">
        <v>947</v>
      </c>
      <c r="D438" s="132" t="s">
        <v>948</v>
      </c>
      <c r="E438" s="35" t="s">
        <v>56</v>
      </c>
      <c r="F438" s="114">
        <v>70</v>
      </c>
      <c r="G438" s="111">
        <v>536</v>
      </c>
      <c r="H438" s="124">
        <f t="shared" si="16"/>
        <v>37520</v>
      </c>
      <c r="I438" s="84" t="s">
        <v>69</v>
      </c>
      <c r="J438" s="94" t="s">
        <v>1160</v>
      </c>
      <c r="K438" s="46"/>
    </row>
    <row r="439" spans="1:11">
      <c r="A439" s="229">
        <v>434</v>
      </c>
      <c r="B439" s="107"/>
      <c r="C439" s="18" t="s">
        <v>950</v>
      </c>
      <c r="D439" s="12" t="s">
        <v>68</v>
      </c>
      <c r="E439" s="35" t="s">
        <v>55</v>
      </c>
      <c r="F439" s="38">
        <v>1</v>
      </c>
      <c r="G439" s="111">
        <v>17000</v>
      </c>
      <c r="H439" s="124">
        <f t="shared" si="16"/>
        <v>17000</v>
      </c>
      <c r="I439" s="81" t="s">
        <v>69</v>
      </c>
      <c r="J439" s="94" t="s">
        <v>1160</v>
      </c>
      <c r="K439" s="46"/>
    </row>
    <row r="440" spans="1:11">
      <c r="A440" s="229">
        <v>435</v>
      </c>
      <c r="B440" s="107"/>
      <c r="C440" s="30" t="s">
        <v>951</v>
      </c>
      <c r="D440" s="132" t="s">
        <v>944</v>
      </c>
      <c r="E440" s="35" t="s">
        <v>55</v>
      </c>
      <c r="F440" s="114">
        <v>10</v>
      </c>
      <c r="G440" s="111">
        <v>12000</v>
      </c>
      <c r="H440" s="124">
        <f t="shared" si="16"/>
        <v>120000</v>
      </c>
      <c r="I440" s="81" t="s">
        <v>1190</v>
      </c>
      <c r="J440" s="94" t="s">
        <v>1160</v>
      </c>
      <c r="K440" s="46"/>
    </row>
    <row r="441" spans="1:11">
      <c r="A441" s="229">
        <v>436</v>
      </c>
      <c r="B441" s="107"/>
      <c r="C441" s="30" t="s">
        <v>952</v>
      </c>
      <c r="D441" s="132" t="s">
        <v>953</v>
      </c>
      <c r="E441" s="35" t="s">
        <v>55</v>
      </c>
      <c r="F441" s="114">
        <v>2</v>
      </c>
      <c r="G441" s="111">
        <v>2500</v>
      </c>
      <c r="H441" s="124">
        <f t="shared" si="16"/>
        <v>5000</v>
      </c>
      <c r="I441" s="81" t="s">
        <v>69</v>
      </c>
      <c r="J441" s="94" t="s">
        <v>1160</v>
      </c>
      <c r="K441" s="46"/>
    </row>
    <row r="442" spans="1:11">
      <c r="A442" s="229">
        <v>437</v>
      </c>
      <c r="B442" s="107"/>
      <c r="C442" s="30" t="s">
        <v>954</v>
      </c>
      <c r="D442" s="132" t="s">
        <v>955</v>
      </c>
      <c r="E442" s="35" t="s">
        <v>55</v>
      </c>
      <c r="F442" s="114">
        <v>1</v>
      </c>
      <c r="G442" s="111">
        <v>20000</v>
      </c>
      <c r="H442" s="124">
        <f t="shared" si="16"/>
        <v>20000</v>
      </c>
      <c r="I442" s="81" t="s">
        <v>69</v>
      </c>
      <c r="J442" s="94" t="s">
        <v>1160</v>
      </c>
      <c r="K442" s="46"/>
    </row>
    <row r="443" spans="1:11">
      <c r="A443" s="229">
        <v>438</v>
      </c>
      <c r="B443" s="117"/>
      <c r="C443" s="30" t="s">
        <v>956</v>
      </c>
      <c r="D443" s="132" t="s">
        <v>957</v>
      </c>
      <c r="E443" s="35" t="s">
        <v>55</v>
      </c>
      <c r="F443" s="114">
        <v>1</v>
      </c>
      <c r="G443" s="111">
        <v>2000</v>
      </c>
      <c r="H443" s="124">
        <f t="shared" si="16"/>
        <v>2000</v>
      </c>
      <c r="I443" s="81" t="s">
        <v>69</v>
      </c>
      <c r="J443" s="94" t="s">
        <v>1160</v>
      </c>
      <c r="K443" s="46"/>
    </row>
    <row r="444" spans="1:11">
      <c r="A444" s="229">
        <v>439</v>
      </c>
      <c r="B444" s="184"/>
      <c r="C444" s="30" t="s">
        <v>956</v>
      </c>
      <c r="D444" s="132" t="s">
        <v>958</v>
      </c>
      <c r="E444" s="184" t="s">
        <v>55</v>
      </c>
      <c r="F444" s="114">
        <v>1</v>
      </c>
      <c r="G444" s="111">
        <v>500</v>
      </c>
      <c r="H444" s="124">
        <f t="shared" si="16"/>
        <v>500</v>
      </c>
      <c r="I444" s="81" t="s">
        <v>69</v>
      </c>
      <c r="J444" s="94" t="s">
        <v>1160</v>
      </c>
      <c r="K444" s="46"/>
    </row>
    <row r="445" spans="1:11">
      <c r="A445" s="229">
        <v>440</v>
      </c>
      <c r="B445" s="184"/>
      <c r="C445" s="30" t="s">
        <v>959</v>
      </c>
      <c r="D445" s="132" t="s">
        <v>960</v>
      </c>
      <c r="E445" s="184" t="s">
        <v>55</v>
      </c>
      <c r="F445" s="114">
        <v>1</v>
      </c>
      <c r="G445" s="111">
        <v>11214.95</v>
      </c>
      <c r="H445" s="124">
        <f t="shared" si="16"/>
        <v>11214.95</v>
      </c>
      <c r="I445" s="81" t="s">
        <v>69</v>
      </c>
      <c r="J445" s="94" t="s">
        <v>1160</v>
      </c>
      <c r="K445" s="46"/>
    </row>
    <row r="446" spans="1:11">
      <c r="A446" s="229">
        <v>441</v>
      </c>
      <c r="B446" s="184"/>
      <c r="C446" s="30" t="s">
        <v>961</v>
      </c>
      <c r="D446" s="132" t="s">
        <v>962</v>
      </c>
      <c r="E446" s="184" t="s">
        <v>55</v>
      </c>
      <c r="F446" s="114">
        <v>1</v>
      </c>
      <c r="G446" s="111">
        <v>7009.35</v>
      </c>
      <c r="H446" s="124">
        <f t="shared" si="16"/>
        <v>7009.35</v>
      </c>
      <c r="I446" s="81" t="s">
        <v>69</v>
      </c>
      <c r="J446" s="94" t="s">
        <v>1160</v>
      </c>
      <c r="K446" s="46"/>
    </row>
    <row r="447" spans="1:11">
      <c r="A447" s="229">
        <v>442</v>
      </c>
      <c r="B447" s="184"/>
      <c r="C447" s="30" t="s">
        <v>963</v>
      </c>
      <c r="D447" s="132" t="s">
        <v>964</v>
      </c>
      <c r="E447" s="184" t="s">
        <v>55</v>
      </c>
      <c r="F447" s="114">
        <v>1</v>
      </c>
      <c r="G447" s="111">
        <v>34900</v>
      </c>
      <c r="H447" s="124">
        <f t="shared" si="16"/>
        <v>34900</v>
      </c>
      <c r="I447" s="81" t="s">
        <v>69</v>
      </c>
      <c r="J447" s="94" t="s">
        <v>1160</v>
      </c>
      <c r="K447" s="46"/>
    </row>
    <row r="448" spans="1:11" s="128" customFormat="1" ht="45" customHeight="1">
      <c r="A448" s="229">
        <v>443</v>
      </c>
      <c r="B448" s="126"/>
      <c r="C448" s="82" t="s">
        <v>965</v>
      </c>
      <c r="D448" s="135" t="s">
        <v>1119</v>
      </c>
      <c r="E448" s="126" t="s">
        <v>55</v>
      </c>
      <c r="F448" s="163">
        <v>14</v>
      </c>
      <c r="G448" s="156">
        <v>26450</v>
      </c>
      <c r="H448" s="125">
        <f t="shared" si="16"/>
        <v>370300</v>
      </c>
      <c r="I448" s="85" t="s">
        <v>69</v>
      </c>
      <c r="J448" s="126" t="s">
        <v>1160</v>
      </c>
      <c r="K448" s="182"/>
    </row>
    <row r="449" spans="1:11">
      <c r="A449" s="229">
        <v>444</v>
      </c>
      <c r="B449" s="44"/>
      <c r="C449" s="29" t="s">
        <v>967</v>
      </c>
      <c r="D449" s="12" t="s">
        <v>968</v>
      </c>
      <c r="E449" s="35" t="s">
        <v>55</v>
      </c>
      <c r="F449" s="38">
        <v>15</v>
      </c>
      <c r="G449" s="41">
        <v>25000</v>
      </c>
      <c r="H449" s="124">
        <f t="shared" si="16"/>
        <v>375000</v>
      </c>
      <c r="I449" s="112" t="s">
        <v>69</v>
      </c>
      <c r="J449" s="165" t="s">
        <v>1161</v>
      </c>
      <c r="K449" s="181"/>
    </row>
    <row r="450" spans="1:11">
      <c r="A450" s="229">
        <v>445</v>
      </c>
      <c r="B450" s="113"/>
      <c r="C450" s="29" t="s">
        <v>969</v>
      </c>
      <c r="D450" s="12" t="s">
        <v>944</v>
      </c>
      <c r="E450" s="35" t="s">
        <v>55</v>
      </c>
      <c r="F450" s="38">
        <v>25</v>
      </c>
      <c r="G450" s="41">
        <v>8000</v>
      </c>
      <c r="H450" s="124">
        <f t="shared" si="16"/>
        <v>200000</v>
      </c>
      <c r="I450" s="112" t="s">
        <v>69</v>
      </c>
      <c r="J450" s="165" t="s">
        <v>1161</v>
      </c>
      <c r="K450" s="181"/>
    </row>
    <row r="451" spans="1:11">
      <c r="A451" s="229">
        <v>446</v>
      </c>
      <c r="B451" s="44"/>
      <c r="C451" s="29" t="s">
        <v>970</v>
      </c>
      <c r="D451" s="12" t="s">
        <v>971</v>
      </c>
      <c r="E451" s="35" t="s">
        <v>55</v>
      </c>
      <c r="F451" s="38">
        <v>25</v>
      </c>
      <c r="G451" s="41">
        <v>8000</v>
      </c>
      <c r="H451" s="124">
        <f t="shared" si="16"/>
        <v>200000</v>
      </c>
      <c r="I451" s="112" t="s">
        <v>69</v>
      </c>
      <c r="J451" s="165" t="s">
        <v>1161</v>
      </c>
      <c r="K451" s="181"/>
    </row>
    <row r="452" spans="1:11">
      <c r="A452" s="229">
        <v>447</v>
      </c>
      <c r="B452" s="44"/>
      <c r="C452" s="29" t="s">
        <v>972</v>
      </c>
      <c r="D452" s="12" t="s">
        <v>31</v>
      </c>
      <c r="E452" s="35" t="s">
        <v>55</v>
      </c>
      <c r="F452" s="38">
        <v>42</v>
      </c>
      <c r="G452" s="41">
        <v>1600</v>
      </c>
      <c r="H452" s="124">
        <f t="shared" si="16"/>
        <v>67200</v>
      </c>
      <c r="I452" s="112" t="s">
        <v>69</v>
      </c>
      <c r="J452" s="165" t="s">
        <v>1161</v>
      </c>
      <c r="K452" s="181"/>
    </row>
    <row r="453" spans="1:11">
      <c r="A453" s="229">
        <v>448</v>
      </c>
      <c r="B453" s="44"/>
      <c r="C453" s="29" t="s">
        <v>974</v>
      </c>
      <c r="D453" s="12" t="s">
        <v>975</v>
      </c>
      <c r="E453" s="35" t="s">
        <v>55</v>
      </c>
      <c r="F453" s="38">
        <v>1</v>
      </c>
      <c r="G453" s="41">
        <v>2400</v>
      </c>
      <c r="H453" s="124">
        <f t="shared" si="16"/>
        <v>2400</v>
      </c>
      <c r="I453" s="112" t="s">
        <v>69</v>
      </c>
      <c r="J453" s="165" t="s">
        <v>1161</v>
      </c>
      <c r="K453" s="181"/>
    </row>
    <row r="454" spans="1:11">
      <c r="A454" s="229">
        <v>449</v>
      </c>
      <c r="B454" s="115"/>
      <c r="C454" s="29" t="s">
        <v>976</v>
      </c>
      <c r="D454" s="12" t="s">
        <v>977</v>
      </c>
      <c r="E454" s="35" t="s">
        <v>55</v>
      </c>
      <c r="F454" s="38">
        <v>4</v>
      </c>
      <c r="G454" s="41">
        <v>20000</v>
      </c>
      <c r="H454" s="124">
        <f t="shared" si="16"/>
        <v>80000</v>
      </c>
      <c r="I454" s="184" t="s">
        <v>1103</v>
      </c>
      <c r="J454" s="165" t="s">
        <v>1161</v>
      </c>
      <c r="K454" s="181"/>
    </row>
    <row r="455" spans="1:11">
      <c r="A455" s="229">
        <v>450</v>
      </c>
      <c r="B455" s="115"/>
      <c r="C455" s="29" t="s">
        <v>978</v>
      </c>
      <c r="D455" s="12" t="s">
        <v>979</v>
      </c>
      <c r="E455" s="35" t="s">
        <v>55</v>
      </c>
      <c r="F455" s="38">
        <v>1</v>
      </c>
      <c r="G455" s="42">
        <v>5000</v>
      </c>
      <c r="H455" s="124">
        <f t="shared" si="16"/>
        <v>5000</v>
      </c>
      <c r="I455" s="184" t="s">
        <v>1103</v>
      </c>
      <c r="J455" s="165" t="s">
        <v>1161</v>
      </c>
      <c r="K455" s="181"/>
    </row>
    <row r="456" spans="1:11">
      <c r="A456" s="229">
        <v>451</v>
      </c>
      <c r="B456" s="115"/>
      <c r="C456" s="29" t="s">
        <v>980</v>
      </c>
      <c r="D456" s="12" t="s">
        <v>981</v>
      </c>
      <c r="E456" s="35" t="s">
        <v>55</v>
      </c>
      <c r="F456" s="38">
        <v>2</v>
      </c>
      <c r="G456" s="41">
        <v>2000</v>
      </c>
      <c r="H456" s="124">
        <f t="shared" si="16"/>
        <v>4000</v>
      </c>
      <c r="I456" s="184" t="s">
        <v>1103</v>
      </c>
      <c r="J456" s="165" t="s">
        <v>1161</v>
      </c>
      <c r="K456" s="181"/>
    </row>
    <row r="457" spans="1:11">
      <c r="A457" s="229">
        <v>452</v>
      </c>
      <c r="B457" s="107"/>
      <c r="C457" s="29" t="s">
        <v>982</v>
      </c>
      <c r="D457" s="12" t="s">
        <v>983</v>
      </c>
      <c r="E457" s="35" t="s">
        <v>55</v>
      </c>
      <c r="F457" s="38">
        <v>25</v>
      </c>
      <c r="G457" s="41">
        <v>8000</v>
      </c>
      <c r="H457" s="124">
        <f t="shared" si="16"/>
        <v>200000</v>
      </c>
      <c r="I457" s="184" t="s">
        <v>1103</v>
      </c>
      <c r="J457" s="165" t="s">
        <v>1161</v>
      </c>
      <c r="K457" s="181"/>
    </row>
    <row r="458" spans="1:11">
      <c r="A458" s="229">
        <v>453</v>
      </c>
      <c r="B458" s="107"/>
      <c r="C458" s="29" t="s">
        <v>984</v>
      </c>
      <c r="D458" s="12" t="s">
        <v>32</v>
      </c>
      <c r="E458" s="35" t="s">
        <v>55</v>
      </c>
      <c r="F458" s="38">
        <v>58</v>
      </c>
      <c r="G458" s="41">
        <v>8000</v>
      </c>
      <c r="H458" s="124">
        <f t="shared" si="16"/>
        <v>464000</v>
      </c>
      <c r="I458" s="184" t="s">
        <v>1103</v>
      </c>
      <c r="J458" s="165" t="s">
        <v>1161</v>
      </c>
      <c r="K458" s="181"/>
    </row>
    <row r="459" spans="1:11">
      <c r="A459" s="229">
        <v>454</v>
      </c>
      <c r="B459" s="184"/>
      <c r="C459" s="29" t="s">
        <v>985</v>
      </c>
      <c r="D459" s="12" t="s">
        <v>973</v>
      </c>
      <c r="E459" s="184" t="s">
        <v>55</v>
      </c>
      <c r="F459" s="38">
        <v>46</v>
      </c>
      <c r="G459" s="41">
        <v>2500</v>
      </c>
      <c r="H459" s="124">
        <f t="shared" si="16"/>
        <v>115000</v>
      </c>
      <c r="I459" s="184" t="s">
        <v>1103</v>
      </c>
      <c r="J459" s="165" t="s">
        <v>1161</v>
      </c>
      <c r="K459" s="181"/>
    </row>
    <row r="460" spans="1:11">
      <c r="A460" s="229">
        <v>455</v>
      </c>
      <c r="B460" s="184"/>
      <c r="C460" s="29" t="s">
        <v>986</v>
      </c>
      <c r="D460" s="12" t="s">
        <v>91</v>
      </c>
      <c r="E460" s="184" t="s">
        <v>55</v>
      </c>
      <c r="F460" s="38">
        <v>1</v>
      </c>
      <c r="G460" s="41">
        <v>33000</v>
      </c>
      <c r="H460" s="124">
        <f t="shared" si="16"/>
        <v>33000</v>
      </c>
      <c r="I460" s="184" t="s">
        <v>1103</v>
      </c>
      <c r="J460" s="165" t="s">
        <v>1161</v>
      </c>
      <c r="K460" s="181"/>
    </row>
    <row r="461" spans="1:11">
      <c r="A461" s="229">
        <v>456</v>
      </c>
      <c r="B461" s="184"/>
      <c r="C461" s="29" t="s">
        <v>987</v>
      </c>
      <c r="D461" s="12" t="s">
        <v>988</v>
      </c>
      <c r="E461" s="184" t="s">
        <v>56</v>
      </c>
      <c r="F461" s="38">
        <v>2</v>
      </c>
      <c r="G461" s="41">
        <v>1175</v>
      </c>
      <c r="H461" s="124">
        <f t="shared" si="16"/>
        <v>2350</v>
      </c>
      <c r="I461" s="184" t="s">
        <v>1103</v>
      </c>
      <c r="J461" s="165" t="s">
        <v>1161</v>
      </c>
      <c r="K461" s="181"/>
    </row>
    <row r="462" spans="1:11">
      <c r="A462" s="229">
        <v>457</v>
      </c>
      <c r="B462" s="184"/>
      <c r="C462" s="29" t="s">
        <v>989</v>
      </c>
      <c r="D462" s="12" t="s">
        <v>134</v>
      </c>
      <c r="E462" s="184" t="s">
        <v>56</v>
      </c>
      <c r="F462" s="38">
        <v>1</v>
      </c>
      <c r="G462" s="41">
        <v>5296.5</v>
      </c>
      <c r="H462" s="124">
        <f t="shared" si="16"/>
        <v>5296.5</v>
      </c>
      <c r="I462" s="184" t="s">
        <v>1103</v>
      </c>
      <c r="J462" s="165" t="s">
        <v>1161</v>
      </c>
      <c r="K462" s="181"/>
    </row>
    <row r="463" spans="1:11">
      <c r="A463" s="229">
        <v>458</v>
      </c>
      <c r="B463" s="184"/>
      <c r="C463" s="29" t="s">
        <v>990</v>
      </c>
      <c r="D463" s="12" t="s">
        <v>983</v>
      </c>
      <c r="E463" s="184" t="s">
        <v>56</v>
      </c>
      <c r="F463" s="38">
        <v>7</v>
      </c>
      <c r="G463" s="41">
        <v>12200</v>
      </c>
      <c r="H463" s="124">
        <f t="shared" si="16"/>
        <v>85400</v>
      </c>
      <c r="I463" s="184" t="s">
        <v>1103</v>
      </c>
      <c r="J463" s="165" t="s">
        <v>1161</v>
      </c>
      <c r="K463" s="181"/>
    </row>
    <row r="464" spans="1:11">
      <c r="A464" s="229">
        <v>459</v>
      </c>
      <c r="B464" s="184"/>
      <c r="C464" s="29" t="s">
        <v>991</v>
      </c>
      <c r="D464" s="12" t="s">
        <v>983</v>
      </c>
      <c r="E464" s="184" t="s">
        <v>56</v>
      </c>
      <c r="F464" s="38">
        <v>6</v>
      </c>
      <c r="G464" s="41">
        <v>12200</v>
      </c>
      <c r="H464" s="124">
        <f t="shared" si="16"/>
        <v>73200</v>
      </c>
      <c r="I464" s="184" t="s">
        <v>1103</v>
      </c>
      <c r="J464" s="165" t="s">
        <v>1161</v>
      </c>
      <c r="K464" s="181"/>
    </row>
    <row r="465" spans="1:11">
      <c r="A465" s="229">
        <v>460</v>
      </c>
      <c r="B465" s="184"/>
      <c r="C465" s="29" t="s">
        <v>992</v>
      </c>
      <c r="D465" s="12" t="s">
        <v>993</v>
      </c>
      <c r="E465" s="184" t="s">
        <v>55</v>
      </c>
      <c r="F465" s="38">
        <v>1</v>
      </c>
      <c r="G465" s="41">
        <v>24000</v>
      </c>
      <c r="H465" s="124">
        <f t="shared" si="16"/>
        <v>24000</v>
      </c>
      <c r="I465" s="184" t="s">
        <v>1103</v>
      </c>
      <c r="J465" s="165" t="s">
        <v>1161</v>
      </c>
      <c r="K465" s="181"/>
    </row>
    <row r="466" spans="1:11">
      <c r="A466" s="229">
        <v>461</v>
      </c>
      <c r="B466" s="113"/>
      <c r="C466" s="29" t="s">
        <v>994</v>
      </c>
      <c r="D466" s="12" t="s">
        <v>68</v>
      </c>
      <c r="E466" s="35" t="s">
        <v>55</v>
      </c>
      <c r="F466" s="38">
        <v>15</v>
      </c>
      <c r="G466" s="41">
        <v>17000</v>
      </c>
      <c r="H466" s="124">
        <f t="shared" si="16"/>
        <v>255000</v>
      </c>
      <c r="I466" s="112" t="s">
        <v>69</v>
      </c>
      <c r="J466" s="165" t="s">
        <v>1161</v>
      </c>
      <c r="K466" s="181"/>
    </row>
    <row r="467" spans="1:11">
      <c r="A467" s="229">
        <v>462</v>
      </c>
      <c r="B467" s="44"/>
      <c r="C467" s="29" t="s">
        <v>995</v>
      </c>
      <c r="D467" s="12" t="s">
        <v>996</v>
      </c>
      <c r="E467" s="35" t="s">
        <v>55</v>
      </c>
      <c r="F467" s="38">
        <v>30</v>
      </c>
      <c r="G467" s="41">
        <v>400</v>
      </c>
      <c r="H467" s="124">
        <f t="shared" si="16"/>
        <v>12000</v>
      </c>
      <c r="I467" s="112" t="s">
        <v>1190</v>
      </c>
      <c r="J467" s="165" t="s">
        <v>1161</v>
      </c>
      <c r="K467" s="46"/>
    </row>
    <row r="468" spans="1:11" ht="24" customHeight="1">
      <c r="A468" s="229">
        <v>463</v>
      </c>
      <c r="B468" s="184"/>
      <c r="C468" s="13" t="s">
        <v>382</v>
      </c>
      <c r="D468" s="106" t="s">
        <v>391</v>
      </c>
      <c r="E468" s="35" t="s">
        <v>56</v>
      </c>
      <c r="F468" s="35">
        <v>1</v>
      </c>
      <c r="G468" s="41">
        <v>33000</v>
      </c>
      <c r="H468" s="124">
        <f t="shared" ref="H468:H476" si="17">SUM(F468*G468)</f>
        <v>33000</v>
      </c>
      <c r="I468" s="184" t="s">
        <v>69</v>
      </c>
      <c r="J468" s="145" t="s">
        <v>1182</v>
      </c>
      <c r="K468" s="46"/>
    </row>
    <row r="469" spans="1:11">
      <c r="A469" s="229">
        <v>464</v>
      </c>
      <c r="B469" s="184"/>
      <c r="C469" s="22" t="s">
        <v>383</v>
      </c>
      <c r="D469" s="12" t="s">
        <v>392</v>
      </c>
      <c r="E469" s="35" t="s">
        <v>1100</v>
      </c>
      <c r="F469" s="35">
        <v>5</v>
      </c>
      <c r="G469" s="42">
        <v>3970</v>
      </c>
      <c r="H469" s="124">
        <f t="shared" si="17"/>
        <v>19850</v>
      </c>
      <c r="I469" s="184" t="s">
        <v>69</v>
      </c>
      <c r="J469" s="145" t="s">
        <v>1182</v>
      </c>
      <c r="K469" s="46"/>
    </row>
    <row r="470" spans="1:11">
      <c r="A470" s="229">
        <v>465</v>
      </c>
      <c r="B470" s="184"/>
      <c r="C470" s="6" t="s">
        <v>384</v>
      </c>
      <c r="D470" s="12" t="s">
        <v>393</v>
      </c>
      <c r="E470" s="35" t="s">
        <v>56</v>
      </c>
      <c r="F470" s="35">
        <v>1</v>
      </c>
      <c r="G470" s="42">
        <v>690</v>
      </c>
      <c r="H470" s="124">
        <f t="shared" si="17"/>
        <v>690</v>
      </c>
      <c r="I470" s="184" t="s">
        <v>69</v>
      </c>
      <c r="J470" s="145" t="s">
        <v>1182</v>
      </c>
      <c r="K470" s="46"/>
    </row>
    <row r="471" spans="1:11">
      <c r="A471" s="229">
        <v>466</v>
      </c>
      <c r="B471" s="184"/>
      <c r="C471" s="6" t="s">
        <v>385</v>
      </c>
      <c r="D471" s="12" t="s">
        <v>394</v>
      </c>
      <c r="E471" s="35" t="s">
        <v>55</v>
      </c>
      <c r="F471" s="35">
        <v>1</v>
      </c>
      <c r="G471" s="42">
        <v>3350</v>
      </c>
      <c r="H471" s="124">
        <f t="shared" si="17"/>
        <v>3350</v>
      </c>
      <c r="I471" s="184" t="s">
        <v>69</v>
      </c>
      <c r="J471" s="145" t="s">
        <v>1182</v>
      </c>
      <c r="K471" s="46"/>
    </row>
    <row r="472" spans="1:11">
      <c r="A472" s="229">
        <v>467</v>
      </c>
      <c r="B472" s="184"/>
      <c r="C472" s="6" t="s">
        <v>386</v>
      </c>
      <c r="D472" s="12" t="s">
        <v>276</v>
      </c>
      <c r="E472" s="35" t="s">
        <v>55</v>
      </c>
      <c r="F472" s="35">
        <v>2</v>
      </c>
      <c r="G472" s="42">
        <v>32000</v>
      </c>
      <c r="H472" s="124">
        <f t="shared" si="17"/>
        <v>64000</v>
      </c>
      <c r="I472" s="184" t="s">
        <v>69</v>
      </c>
      <c r="J472" s="145" t="s">
        <v>1182</v>
      </c>
      <c r="K472" s="46"/>
    </row>
    <row r="473" spans="1:11">
      <c r="A473" s="229">
        <v>468</v>
      </c>
      <c r="B473" s="184"/>
      <c r="C473" s="6" t="s">
        <v>387</v>
      </c>
      <c r="D473" s="12" t="s">
        <v>68</v>
      </c>
      <c r="E473" s="35" t="s">
        <v>55</v>
      </c>
      <c r="F473" s="35">
        <v>2</v>
      </c>
      <c r="G473" s="42">
        <v>17000</v>
      </c>
      <c r="H473" s="124">
        <f t="shared" si="17"/>
        <v>34000</v>
      </c>
      <c r="I473" s="184" t="s">
        <v>69</v>
      </c>
      <c r="J473" s="145" t="s">
        <v>1182</v>
      </c>
      <c r="K473" s="46"/>
    </row>
    <row r="474" spans="1:11">
      <c r="A474" s="229">
        <v>469</v>
      </c>
      <c r="B474" s="184"/>
      <c r="C474" s="24" t="s">
        <v>388</v>
      </c>
      <c r="D474" s="133" t="s">
        <v>395</v>
      </c>
      <c r="E474" s="35" t="s">
        <v>55</v>
      </c>
      <c r="F474" s="35">
        <v>2</v>
      </c>
      <c r="G474" s="42">
        <v>1950</v>
      </c>
      <c r="H474" s="124">
        <f t="shared" si="17"/>
        <v>3900</v>
      </c>
      <c r="I474" s="184" t="s">
        <v>69</v>
      </c>
      <c r="J474" s="145" t="s">
        <v>1182</v>
      </c>
      <c r="K474" s="46"/>
    </row>
    <row r="475" spans="1:11">
      <c r="A475" s="229">
        <v>470</v>
      </c>
      <c r="B475" s="184"/>
      <c r="C475" s="24" t="s">
        <v>389</v>
      </c>
      <c r="D475" s="133" t="s">
        <v>396</v>
      </c>
      <c r="E475" s="35" t="s">
        <v>55</v>
      </c>
      <c r="F475" s="35">
        <v>1</v>
      </c>
      <c r="G475" s="42">
        <v>30000</v>
      </c>
      <c r="H475" s="124">
        <f t="shared" si="17"/>
        <v>30000</v>
      </c>
      <c r="I475" s="184" t="s">
        <v>69</v>
      </c>
      <c r="J475" s="145" t="s">
        <v>1182</v>
      </c>
      <c r="K475" s="46"/>
    </row>
    <row r="476" spans="1:11">
      <c r="A476" s="229">
        <v>471</v>
      </c>
      <c r="B476" s="184"/>
      <c r="C476" s="24" t="s">
        <v>390</v>
      </c>
      <c r="D476" s="133" t="s">
        <v>68</v>
      </c>
      <c r="E476" s="35" t="s">
        <v>55</v>
      </c>
      <c r="F476" s="35">
        <v>1</v>
      </c>
      <c r="G476" s="42">
        <v>20000</v>
      </c>
      <c r="H476" s="124">
        <f t="shared" si="17"/>
        <v>20000</v>
      </c>
      <c r="I476" s="184" t="s">
        <v>69</v>
      </c>
      <c r="J476" s="145" t="s">
        <v>1182</v>
      </c>
      <c r="K476" s="46"/>
    </row>
    <row r="477" spans="1:11">
      <c r="A477" s="479" t="s">
        <v>1189</v>
      </c>
      <c r="B477" s="480"/>
      <c r="C477" s="480"/>
      <c r="D477" s="480"/>
      <c r="E477" s="480"/>
      <c r="F477" s="480"/>
      <c r="G477" s="481"/>
      <c r="H477" s="146">
        <f>SUM(H6:H476)</f>
        <v>28254611.140000001</v>
      </c>
      <c r="I477" s="184"/>
      <c r="J477" s="94"/>
      <c r="K477" s="46"/>
    </row>
  </sheetData>
  <mergeCells count="4">
    <mergeCell ref="A1:K1"/>
    <mergeCell ref="A2:K2"/>
    <mergeCell ref="A3:K3"/>
    <mergeCell ref="A477:G477"/>
  </mergeCells>
  <printOptions horizontalCentered="1"/>
  <pageMargins left="0.19685039370078741" right="0" top="0.19685039370078741" bottom="0" header="0" footer="0"/>
  <pageSetup paperSize="9" scale="70" orientation="landscape" r:id="rId1"/>
  <headerFooter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5</vt:i4>
      </vt:variant>
    </vt:vector>
  </HeadingPairs>
  <TitlesOfParts>
    <vt:vector size="44" baseType="lpstr">
      <vt:lpstr>แผนกช่างยนต์</vt:lpstr>
      <vt:lpstr>แผนกเครื่องกลอุตสาหกรรม</vt:lpstr>
      <vt:lpstr>แผนกช่างเชื่อมโลหะ</vt:lpstr>
      <vt:lpstr>แผนกเทคนิคพื้นฐาน</vt:lpstr>
      <vt:lpstr>แผนกช่างไฟฟ้ากำลัง</vt:lpstr>
      <vt:lpstr>แผนกช่างอิเล็กทรอนิคส์</vt:lpstr>
      <vt:lpstr>แผนกคอมพิวเตอร์</vt:lpstr>
      <vt:lpstr>แผนกการตลาด</vt:lpstr>
      <vt:lpstr>แผนกการบัญชี</vt:lpstr>
      <vt:lpstr>แผนกสามัญสัมพันธ์</vt:lpstr>
      <vt:lpstr>แผนกก่อสร้าง</vt:lpstr>
      <vt:lpstr>แผนกการโรมแรม</vt:lpstr>
      <vt:lpstr>แผนกช่างกลโรงงาน</vt:lpstr>
      <vt:lpstr>งานทะเบียน</vt:lpstr>
      <vt:lpstr>งานบริหารงานทั่วไป</vt:lpstr>
      <vt:lpstr>งานพัสดุ</vt:lpstr>
      <vt:lpstr>งานบัญชี</vt:lpstr>
      <vt:lpstr>งานบุคลากร</vt:lpstr>
      <vt:lpstr>งานการเงิน</vt:lpstr>
      <vt:lpstr>งานอาคารสถานที่</vt:lpstr>
      <vt:lpstr>งานประชาสัมพันธ์</vt:lpstr>
      <vt:lpstr>งานโครงการพิเศษ</vt:lpstr>
      <vt:lpstr>งานกิจกรรม</vt:lpstr>
      <vt:lpstr>งานแนะแนว</vt:lpstr>
      <vt:lpstr>งานสวัสดิการ</vt:lpstr>
      <vt:lpstr>งานครูที่ปรึกษา</vt:lpstr>
      <vt:lpstr>งานปกครอง</vt:lpstr>
      <vt:lpstr>งานวางแผน</vt:lpstr>
      <vt:lpstr>งานส่งเสริมผลิตผลการค้า</vt:lpstr>
      <vt:lpstr>งานประกันคุณภาพ</vt:lpstr>
      <vt:lpstr>งานวิจัยฯ</vt:lpstr>
      <vt:lpstr>งานความร่วมมือ</vt:lpstr>
      <vt:lpstr>งานศูนย์ข้อมูลฯ</vt:lpstr>
      <vt:lpstr>งานทวิภาคี</vt:lpstr>
      <vt:lpstr>งานพัฒนาหลักสูตร</vt:lpstr>
      <vt:lpstr>งานวัดผลและประเมินผล</vt:lpstr>
      <vt:lpstr>งานวิทยบริการและห้องสมุด</vt:lpstr>
      <vt:lpstr>งานสื่อการเรียนการสอน</vt:lpstr>
      <vt:lpstr>รายการชำรุด</vt:lpstr>
      <vt:lpstr>แผนกช่างไฟฟ้ากำลัง!Print_Area</vt:lpstr>
      <vt:lpstr>แผนกสามัญสัมพันธ์!Print_Area</vt:lpstr>
      <vt:lpstr>งานสื่อการเรียนการสอน!Print_Titles</vt:lpstr>
      <vt:lpstr>แผนกช่างยนต์!Print_Titles</vt:lpstr>
      <vt:lpstr>รายการชำรุด!Print_Titles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2021-06-29T06:36:10Z</cp:lastPrinted>
  <dcterms:created xsi:type="dcterms:W3CDTF">2017-11-14T01:32:33Z</dcterms:created>
  <dcterms:modified xsi:type="dcterms:W3CDTF">2021-06-29T06:56:05Z</dcterms:modified>
</cp:coreProperties>
</file>