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3. ฝ่ายวิชาการ\"/>
    </mc:Choice>
  </mc:AlternateContent>
  <xr:revisionPtr revIDLastSave="0" documentId="13_ncr:1_{0AAD0408-3B97-402D-8E8E-D56502771CD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ื่อ" sheetId="46" r:id="rId1"/>
  </sheets>
  <calcPr calcId="191029"/>
</workbook>
</file>

<file path=xl/calcChain.xml><?xml version="1.0" encoding="utf-8"?>
<calcChain xmlns="http://schemas.openxmlformats.org/spreadsheetml/2006/main">
  <c r="K79" i="46" l="1"/>
  <c r="K54" i="46"/>
  <c r="K67" i="46" s="1"/>
  <c r="K39" i="46"/>
  <c r="K40" i="46"/>
  <c r="K41" i="46"/>
  <c r="K42" i="46"/>
  <c r="K43" i="46"/>
  <c r="K44" i="46"/>
  <c r="K45" i="46"/>
  <c r="K46" i="46"/>
  <c r="K47" i="46"/>
  <c r="K48" i="46"/>
  <c r="K49" i="46"/>
  <c r="K50" i="46"/>
  <c r="K51" i="46"/>
  <c r="K52" i="46"/>
  <c r="K53" i="46"/>
  <c r="K38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7" i="46"/>
  <c r="K24" i="46" s="1"/>
  <c r="K37" i="46" s="1"/>
  <c r="K68" i="46" l="1"/>
  <c r="K69" i="46"/>
  <c r="K70" i="46"/>
  <c r="K71" i="46"/>
  <c r="K72" i="46"/>
  <c r="K73" i="46"/>
  <c r="K74" i="46"/>
  <c r="K75" i="46"/>
  <c r="K76" i="46"/>
  <c r="K77" i="46"/>
  <c r="K78" i="46"/>
</calcChain>
</file>

<file path=xl/sharedStrings.xml><?xml version="1.0" encoding="utf-8"?>
<sst xmlns="http://schemas.openxmlformats.org/spreadsheetml/2006/main" count="294" uniqueCount="143">
  <si>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</si>
  <si>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</si>
  <si>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</si>
  <si>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</si>
  <si>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</si>
  <si>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</si>
  <si>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</si>
  <si>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</si>
  <si>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</si>
  <si>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</si>
  <si>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</si>
  <si>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</si>
  <si>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</si>
  <si>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</si>
  <si>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</si>
  <si>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</si>
  <si>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</si>
  <si>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</si>
  <si>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</si>
  <si>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</si>
  <si>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</si>
  <si>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</si>
  <si>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6730-002-0001/391-002</t>
  </si>
  <si>
    <t>จอรับภาพ 175 * 175</t>
  </si>
  <si>
    <t>6730-001-0002/391-001</t>
  </si>
  <si>
    <t>เครื่องฉายภาพทึบแสง</t>
  </si>
  <si>
    <t>5820-015-0003/391-001</t>
  </si>
  <si>
    <t>เครื่องวีดีโอแบบเล่นและบันทึกเทป</t>
  </si>
  <si>
    <t>5825-020-0001/391-001</t>
  </si>
  <si>
    <t>โทรทัศน์สี 20 "</t>
  </si>
  <si>
    <t>6710-004-0001/412-001</t>
  </si>
  <si>
    <t>กล้องบันทึกภาพ วีดีโอ</t>
  </si>
  <si>
    <t>6730-001-0001/412-001-003</t>
  </si>
  <si>
    <t>เครื่องฉายภาพข้ามศรีษะ</t>
  </si>
  <si>
    <t>6730-001-0001/442-004-007</t>
  </si>
  <si>
    <t>6730-002-0001/442-001-004</t>
  </si>
  <si>
    <t>5825-020-0001/444-001</t>
  </si>
  <si>
    <t>โทรทัศน์สี 29 "</t>
  </si>
  <si>
    <t>6720-008-0001/442-001</t>
  </si>
  <si>
    <t>กล้องสีครบชุด</t>
  </si>
  <si>
    <t>7110-002-0006/442-001</t>
  </si>
  <si>
    <t>ตู้บานเลื่อนกระจก ขนาด 4 ฟุต</t>
  </si>
  <si>
    <t>5820-015-0001/452-003</t>
  </si>
  <si>
    <t>วีดีโอ 2 หัวเทป/จูนเนอร์</t>
  </si>
  <si>
    <t>5820-015-0002/452-002</t>
  </si>
  <si>
    <t>วีดีโอ ซีวีดี ซีดี</t>
  </si>
  <si>
    <t>7730-006-0001/452-001-002</t>
  </si>
  <si>
    <t>เทปใบ้แบบคู่</t>
  </si>
  <si>
    <t>6730-001-0003/461-001</t>
  </si>
  <si>
    <t>เครื่องมัลติมีเดียโปรเจคเตอร์</t>
  </si>
  <si>
    <t>7440-001-0002/461-001</t>
  </si>
  <si>
    <t>COMPUTER NOTEBOOK เจ จี</t>
  </si>
  <si>
    <t>7440-010-0001/481-001</t>
  </si>
  <si>
    <t>ศูนย์การเรียนรู้ด้วยตัวเอง</t>
  </si>
  <si>
    <t>4210-001-0001/484-001</t>
  </si>
  <si>
    <t>เครื่องปรับอากาศชนิดแขวน 38000 บีทียู</t>
  </si>
  <si>
    <t>7440-001-0001/484-001-006</t>
  </si>
  <si>
    <t>เครื่องคอมพิวเตอร์</t>
  </si>
  <si>
    <t>6720-005-0002/492-007</t>
  </si>
  <si>
    <t>กล้องดิจิตอล  CANON</t>
  </si>
  <si>
    <t>6930-013-0001/521-001</t>
  </si>
  <si>
    <t>ชุดครุภัณฑ์ปฎิบัติการวิชาชีพพื้นฐานและวิชาชีพพื้นฐาน</t>
  </si>
  <si>
    <t>7110-006-0006/531-014</t>
  </si>
  <si>
    <t>เก้าอี้(ขาเหล็ก)  5  แฉก</t>
  </si>
  <si>
    <t>7110-006-0006/531-028</t>
  </si>
  <si>
    <t>ตู้เหล็ก  2  บานเปิด</t>
  </si>
  <si>
    <t>7110-007-0004/531-011</t>
  </si>
  <si>
    <t>โต๊ะเหล็ก  4  ฟุต</t>
  </si>
  <si>
    <t>7440-001-0001/531-072-100</t>
  </si>
  <si>
    <t>ชุดคอมพิวเตอร์ พร้อมโต๊ะเก้าอี้</t>
  </si>
  <si>
    <t>7440-001-0001/531-103-122</t>
  </si>
  <si>
    <t>เครื่องคอมพิวเตอร์พร้อมโต๊ะเก้าอี้</t>
  </si>
  <si>
    <t>6730-001-0003/531-005</t>
  </si>
  <si>
    <t>โปรเจคเตอร์</t>
  </si>
  <si>
    <t>7440-001-0001/531-153</t>
  </si>
  <si>
    <t>7440-001-0001/541-157-166</t>
  </si>
  <si>
    <t>7440-001-0001/541-167</t>
  </si>
  <si>
    <t>เครื่องคอมพิวเตอร์แม่ข่าย</t>
  </si>
  <si>
    <t>7110-006-0006/551-022-023</t>
  </si>
  <si>
    <t>เก้าอี้ประชุม</t>
  </si>
  <si>
    <t>7110-007-0016/551-001-005</t>
  </si>
  <si>
    <t>โต๊ะประชุมขนาด 400*250</t>
  </si>
  <si>
    <t>7110-006-0007/551-001-005</t>
  </si>
  <si>
    <t>เก้าอี้ประชุมแบบโยกได้</t>
  </si>
  <si>
    <t>711-006-0008/551-001-027</t>
  </si>
  <si>
    <t>เก้าอี้บุนวม</t>
  </si>
  <si>
    <t>6310-003-0001/551-001</t>
  </si>
  <si>
    <t>ตู้สาขาโทรศัพท์</t>
  </si>
  <si>
    <t>6730-001-0001/551-004</t>
  </si>
  <si>
    <t>โปรแจคเตอร์</t>
  </si>
  <si>
    <t>7110-006-0008/551-001-007</t>
  </si>
  <si>
    <t>7440-001-0001/551-173-179</t>
  </si>
  <si>
    <t xml:space="preserve">เครื่องคอมพิวเตอร์ </t>
  </si>
  <si>
    <t>7730-005-0001/566-009-012</t>
  </si>
  <si>
    <t>TV LG Phasma 50 นิ้ว PA4500</t>
  </si>
  <si>
    <t>6720-005-0003/566-001-002</t>
  </si>
  <si>
    <t>กล้องถ่ายภาพนิ่งความละเอียดสูง</t>
  </si>
  <si>
    <t>6720-005-002/566-001</t>
  </si>
  <si>
    <t>กล้องถ่ายภาพนิ่ง</t>
  </si>
  <si>
    <t>6760-004-0001/566-001</t>
  </si>
  <si>
    <t>เลนส์กล้องถ่ายภาพนิ่งระยะไกล</t>
  </si>
  <si>
    <t>6760-004-0002/566-001</t>
  </si>
  <si>
    <t>เลนส์กล้องถ่ายภาพนิ่ง</t>
  </si>
  <si>
    <t>6760-008-0001/566-001</t>
  </si>
  <si>
    <t>แฟลชกล้องถ่ายภาพนิ่ง 566-001</t>
  </si>
  <si>
    <t>งปม.</t>
  </si>
  <si>
    <t>บกศ.</t>
  </si>
  <si>
    <t>ปกอ.</t>
  </si>
  <si>
    <t>อุดหนุน</t>
  </si>
  <si>
    <t>-</t>
  </si>
  <si>
    <t>ขาตั้งหัก จอภาพขาด</t>
  </si>
  <si>
    <t>เปิดไม่ติด ก้านส่งไฟหัก</t>
  </si>
  <si>
    <t>เปิดไม่ติด เครื่องบันทึกพัง</t>
  </si>
  <si>
    <t>เปิดไม่ติด หลอดภาพเสีย ปลั๊กไหม้</t>
  </si>
  <si>
    <t>เปิดไม่ติด หลอดภาพพัง จอแตก</t>
  </si>
  <si>
    <t>เปิดไม่ติด</t>
  </si>
  <si>
    <t>เปิดไม่ติด เลนส์พัง บันทึกภาพไม่ได้</t>
  </si>
  <si>
    <t>กระจกแตก บานเลื่อนสนิมเกาะ</t>
  </si>
  <si>
    <t>เปิดไม่ได้ บอร์ดพัง</t>
  </si>
  <si>
    <t>บอร์ดวงจรพัง</t>
  </si>
  <si>
    <t>วงจรพัง</t>
  </si>
  <si>
    <t>เปิดไม่ได้ หลอดภาพพัง บอร์ดพัง</t>
  </si>
  <si>
    <t>จอภาพพัง เครื่องเปิดไม่ได้ บอร์ดพัง</t>
  </si>
  <si>
    <t>ตู้เหล็กบานเลื่อนชำรุดปิดไม่ได้</t>
  </si>
  <si>
    <t>เปิดไม่ติด คอมเพรสเซอร์พัง</t>
  </si>
  <si>
    <t>เปิดไม่ติด บอร์ดพัง</t>
  </si>
  <si>
    <t xml:space="preserve">เปิดไม่ติด </t>
  </si>
  <si>
    <t>ผุพัง ขาเก้าอี้หัก</t>
  </si>
  <si>
    <t>ประตูปิดไม่ได้</t>
  </si>
  <si>
    <t>เปิดไม่ได้ จอภาพพัง</t>
  </si>
  <si>
    <t>ชำรุดเปิดไม่ติด</t>
  </si>
  <si>
    <t>ขาเก้าอี้หัก</t>
  </si>
  <si>
    <t>ชำรุดใช้งานไม่ได้</t>
  </si>
  <si>
    <t>บอร์ดพัง เคสผุพัง</t>
  </si>
  <si>
    <t>เปิดไม่ติด เลนส์พัง วงจรช็อต</t>
  </si>
  <si>
    <t>เลนส์กล้องแตก</t>
  </si>
  <si>
    <t>แฟลชกล้องแตกพัง</t>
  </si>
  <si>
    <t>ประจำปี 2565 สิ้นงวดเมื่อวันที่ 30 กันยายน 2565 ของงานสื่อการเรียนการสอน</t>
  </si>
  <si>
    <t>เปิดไม่ติด หลอดฉายพัง หม้อแปลงพัง</t>
  </si>
  <si>
    <t>ยอดยกไป</t>
  </si>
  <si>
    <t>ยอดยกมา</t>
  </si>
  <si>
    <t>(นายสันติ  ไชยประดิษฐ์)</t>
  </si>
  <si>
    <t xml:space="preserve"> 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</si>
</sst>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5"/>
      <color theme="1"/>
      <name val="TH SarabunPSK"/>
      <family val="2"/>
    </font>
    <font>
      <sz val="15"/>
      <name val="TH SarabunPSK"/>
      <family val="2"/>
    </font>
    <font>
      <b/>
      <sz val="1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49" fontId="9" fillId="0" borderId="1" xfId="6" applyNumberFormat="1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43" fontId="9" fillId="0" borderId="1" xfId="1" applyFont="1" applyBorder="1"/>
    <xf numFmtId="43" fontId="9" fillId="0" borderId="1" xfId="1" applyFont="1" applyBorder="1" applyAlignment="1">
      <alignment horizontal="center"/>
    </xf>
    <xf numFmtId="43" fontId="9" fillId="0" borderId="1" xfId="1" applyFont="1" applyBorder="1" applyAlignment="1"/>
    <xf numFmtId="43" fontId="3" fillId="0" borderId="1" xfId="11" applyFont="1" applyBorder="1" applyAlignment="1">
      <alignment horizontal="left"/>
    </xf>
    <xf numFmtId="43" fontId="3" fillId="0" borderId="1" xfId="11" applyFont="1" applyBorder="1" applyAlignment="1"/>
    <xf numFmtId="0" fontId="3" fillId="0" borderId="5" xfId="2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43" fontId="9" fillId="0" borderId="5" xfId="1" applyFont="1" applyBorder="1"/>
    <xf numFmtId="43" fontId="3" fillId="0" borderId="5" xfId="11" applyFont="1" applyBorder="1" applyAlignment="1"/>
    <xf numFmtId="0" fontId="4" fillId="2" borderId="1" xfId="0" applyFont="1" applyFill="1" applyBorder="1"/>
    <xf numFmtId="43" fontId="5" fillId="0" borderId="6" xfId="0" applyNumberFormat="1" applyFont="1" applyBorder="1"/>
    <xf numFmtId="0" fontId="5" fillId="0" borderId="0" xfId="0" applyFont="1" applyAlignment="1">
      <alignment horizontal="center"/>
    </xf>
    <xf numFmtId="43" fontId="5" fillId="0" borderId="0" xfId="0" applyNumberFormat="1" applyFont="1"/>
    <xf numFmtId="0" fontId="4" fillId="0" borderId="10" xfId="0" applyFont="1" applyBorder="1"/>
    <xf numFmtId="0" fontId="5" fillId="0" borderId="10" xfId="0" applyFont="1" applyBorder="1" applyAlignment="1">
      <alignment horizontal="center"/>
    </xf>
    <xf numFmtId="43" fontId="5" fillId="0" borderId="10" xfId="0" applyNumberFormat="1" applyFont="1" applyBorder="1"/>
    <xf numFmtId="43" fontId="10" fillId="0" borderId="1" xfId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1619249</xdr:colOff>
      <xdr:row>80</xdr:row>
      <xdr:rowOff>76202</xdr:rowOff>
    </xdr:from>
    <xdr:to>
      <xdr:col>11</xdr:col>
      <xdr:colOff>1943099</xdr:colOff>
      <xdr:row>84</xdr:row>
      <xdr:rowOff>247651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F0E0AC8-9935-4823-8142-DDDC91CF7757}"/>
            </a:ext>
          </a:extLst>
        </xdr:cNvPr>
        <xdr:cNvSpPr txBox="1"/>
      </xdr:nvSpPr>
      <xdr:spPr>
        <a:xfrm rot="5400000">
          <a:off x="11877674" y="25993727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1609724</xdr:colOff>
      <xdr:row>24</xdr:row>
      <xdr:rowOff>219078</xdr:rowOff>
    </xdr:from>
    <xdr:to>
      <xdr:col>11</xdr:col>
      <xdr:colOff>1943098</xdr:colOff>
      <xdr:row>29</xdr:row>
      <xdr:rowOff>66676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C8ABAE67-F60E-4EA2-9B3B-2DF0B85AC2BA}"/>
            </a:ext>
          </a:extLst>
        </xdr:cNvPr>
        <xdr:cNvSpPr txBox="1"/>
      </xdr:nvSpPr>
      <xdr:spPr>
        <a:xfrm rot="5400000">
          <a:off x="11877674" y="8391528"/>
          <a:ext cx="1381123" cy="3333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1619249</xdr:colOff>
      <xdr:row>54</xdr:row>
      <xdr:rowOff>142877</xdr:rowOff>
    </xdr:from>
    <xdr:to>
      <xdr:col>11</xdr:col>
      <xdr:colOff>1952622</xdr:colOff>
      <xdr:row>59</xdr:row>
      <xdr:rowOff>57153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AA107610-7B20-402A-AE70-4EC943A1F5AE}"/>
            </a:ext>
          </a:extLst>
        </xdr:cNvPr>
        <xdr:cNvSpPr txBox="1"/>
      </xdr:nvSpPr>
      <xdr:spPr>
        <a:xfrm rot="5400000">
          <a:off x="11825285" y="17816516"/>
          <a:ext cx="1447801" cy="3333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86"/>
  <sheetViews>
    <sheetView tabSelected="1" topLeftCell="A70" zoomScaleNormal="100" zoomScaleSheetLayoutView="100" workbookViewId="0">
      <selection activeCell="A79" sqref="A79:J79"/>
    </sheetView>
  </sheetViews>
  <sheetFormatPr defaultColWidth="9" defaultRowHeight="24"/>
  <cols>
    <col min="1" max="1" width="5.7109375" style="1" customWidth="1"/>
    <col min="2" max="2" width="12.5703125" style="11" customWidth="1"/>
    <col min="3" max="3" width="30.140625" style="7" customWidth="1"/>
    <col min="4" max="4" width="42.85546875" style="1" customWidth="1"/>
    <col min="5" max="5" width="8" style="1" customWidth="1"/>
    <col min="6" max="6" width="8.5703125" style="1" customWidth="1"/>
    <col min="7" max="7" width="7.28515625" style="1" customWidth="1"/>
    <col min="8" max="8" width="8" style="1" customWidth="1"/>
    <col min="9" max="9" width="8.140625" style="1" customWidth="1"/>
    <col min="10" max="10" width="14.7109375" style="1" customWidth="1"/>
    <col min="11" max="11" width="15.85546875" style="1" customWidth="1"/>
    <col min="12" max="12" width="33" style="11" customWidth="1"/>
    <col min="13" max="16384" width="9" style="1"/>
  </cols>
  <sheetData>
    <row r="1" spans="1:12">
      <c r="L1" s="11" t="s">
        <v>20</v>
      </c>
    </row>
    <row r="2" spans="1:12">
      <c r="A2" s="41" t="s">
        <v>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>
      <c r="A3" s="42" t="s">
        <v>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>
      <c r="A4" s="43" t="s">
        <v>137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28.5" customHeight="1">
      <c r="A5" s="39" t="s">
        <v>8</v>
      </c>
      <c r="B5" s="39" t="s">
        <v>19</v>
      </c>
      <c r="C5" s="39" t="s">
        <v>16</v>
      </c>
      <c r="D5" s="44" t="s">
        <v>0</v>
      </c>
      <c r="E5" s="39" t="s">
        <v>11</v>
      </c>
      <c r="F5" s="39" t="s">
        <v>10</v>
      </c>
      <c r="G5" s="46" t="s">
        <v>12</v>
      </c>
      <c r="H5" s="48" t="s">
        <v>1</v>
      </c>
      <c r="I5" s="49"/>
      <c r="J5" s="39" t="s">
        <v>15</v>
      </c>
      <c r="K5" s="39" t="s">
        <v>9</v>
      </c>
      <c r="L5" s="39" t="s">
        <v>14</v>
      </c>
    </row>
    <row r="6" spans="1:12" ht="45" customHeight="1">
      <c r="A6" s="40"/>
      <c r="B6" s="40"/>
      <c r="C6" s="40"/>
      <c r="D6" s="45"/>
      <c r="E6" s="40"/>
      <c r="F6" s="40"/>
      <c r="G6" s="47"/>
      <c r="H6" s="5" t="s">
        <v>13</v>
      </c>
      <c r="I6" s="4" t="s">
        <v>3</v>
      </c>
      <c r="J6" s="40"/>
      <c r="K6" s="40"/>
      <c r="L6" s="40"/>
    </row>
    <row r="7" spans="1:12">
      <c r="A7" s="12">
        <v>1</v>
      </c>
      <c r="B7" s="12">
        <v>2539</v>
      </c>
      <c r="C7" s="13" t="s">
        <v>22</v>
      </c>
      <c r="D7" s="13" t="s">
        <v>23</v>
      </c>
      <c r="E7" s="16" t="s">
        <v>105</v>
      </c>
      <c r="F7" s="2">
        <v>26</v>
      </c>
      <c r="G7" s="2" t="s">
        <v>109</v>
      </c>
      <c r="H7" s="2">
        <v>1</v>
      </c>
      <c r="I7" s="3">
        <v>1</v>
      </c>
      <c r="J7" s="18">
        <v>3600</v>
      </c>
      <c r="K7" s="18">
        <f>SUM(I7*J7)</f>
        <v>3600</v>
      </c>
      <c r="L7" s="21" t="s">
        <v>110</v>
      </c>
    </row>
    <row r="8" spans="1:12">
      <c r="A8" s="12">
        <v>2</v>
      </c>
      <c r="B8" s="12">
        <v>2539</v>
      </c>
      <c r="C8" s="13" t="s">
        <v>24</v>
      </c>
      <c r="D8" s="13" t="s">
        <v>25</v>
      </c>
      <c r="E8" s="16" t="s">
        <v>105</v>
      </c>
      <c r="F8" s="2">
        <v>26</v>
      </c>
      <c r="G8" s="2" t="s">
        <v>109</v>
      </c>
      <c r="H8" s="2">
        <v>1</v>
      </c>
      <c r="I8" s="3">
        <v>1</v>
      </c>
      <c r="J8" s="18">
        <v>45000</v>
      </c>
      <c r="K8" s="18">
        <f t="shared" ref="K8:K23" si="0">SUM(I8*J8)</f>
        <v>45000</v>
      </c>
      <c r="L8" s="21" t="s">
        <v>111</v>
      </c>
    </row>
    <row r="9" spans="1:12">
      <c r="A9" s="12">
        <v>3</v>
      </c>
      <c r="B9" s="12">
        <v>2539</v>
      </c>
      <c r="C9" s="13" t="s">
        <v>26</v>
      </c>
      <c r="D9" s="14" t="s">
        <v>27</v>
      </c>
      <c r="E9" s="16" t="s">
        <v>105</v>
      </c>
      <c r="F9" s="2">
        <v>26</v>
      </c>
      <c r="G9" s="2" t="s">
        <v>109</v>
      </c>
      <c r="H9" s="2">
        <v>1</v>
      </c>
      <c r="I9" s="3">
        <v>1</v>
      </c>
      <c r="J9" s="18">
        <v>8500</v>
      </c>
      <c r="K9" s="18">
        <f t="shared" si="0"/>
        <v>8500</v>
      </c>
      <c r="L9" s="21" t="s">
        <v>112</v>
      </c>
    </row>
    <row r="10" spans="1:12">
      <c r="A10" s="12">
        <v>4</v>
      </c>
      <c r="B10" s="12">
        <v>2539</v>
      </c>
      <c r="C10" s="13" t="s">
        <v>28</v>
      </c>
      <c r="D10" s="14" t="s">
        <v>29</v>
      </c>
      <c r="E10" s="16" t="s">
        <v>105</v>
      </c>
      <c r="F10" s="2">
        <v>26</v>
      </c>
      <c r="G10" s="2" t="s">
        <v>109</v>
      </c>
      <c r="H10" s="2">
        <v>1</v>
      </c>
      <c r="I10" s="3">
        <v>1</v>
      </c>
      <c r="J10" s="18">
        <v>9000</v>
      </c>
      <c r="K10" s="18">
        <f t="shared" si="0"/>
        <v>9000</v>
      </c>
      <c r="L10" s="21" t="s">
        <v>113</v>
      </c>
    </row>
    <row r="11" spans="1:12">
      <c r="A11" s="12">
        <v>5</v>
      </c>
      <c r="B11" s="12">
        <v>2541</v>
      </c>
      <c r="C11" s="13" t="s">
        <v>30</v>
      </c>
      <c r="D11" s="14" t="s">
        <v>31</v>
      </c>
      <c r="E11" s="16" t="s">
        <v>106</v>
      </c>
      <c r="F11" s="2">
        <v>24</v>
      </c>
      <c r="G11" s="2" t="s">
        <v>109</v>
      </c>
      <c r="H11" s="2">
        <v>1</v>
      </c>
      <c r="I11" s="3">
        <v>1</v>
      </c>
      <c r="J11" s="18">
        <v>53900</v>
      </c>
      <c r="K11" s="18">
        <f t="shared" si="0"/>
        <v>53900</v>
      </c>
      <c r="L11" s="21" t="s">
        <v>112</v>
      </c>
    </row>
    <row r="12" spans="1:12">
      <c r="A12" s="12">
        <v>6</v>
      </c>
      <c r="B12" s="12">
        <v>2541</v>
      </c>
      <c r="C12" s="13" t="s">
        <v>32</v>
      </c>
      <c r="D12" s="13" t="s">
        <v>33</v>
      </c>
      <c r="E12" s="16" t="s">
        <v>106</v>
      </c>
      <c r="F12" s="2">
        <v>24</v>
      </c>
      <c r="G12" s="2" t="s">
        <v>109</v>
      </c>
      <c r="H12" s="2">
        <v>3</v>
      </c>
      <c r="I12" s="3">
        <v>3</v>
      </c>
      <c r="J12" s="18">
        <v>9400</v>
      </c>
      <c r="K12" s="18">
        <f t="shared" si="0"/>
        <v>28200</v>
      </c>
      <c r="L12" s="21" t="s">
        <v>138</v>
      </c>
    </row>
    <row r="13" spans="1:12">
      <c r="A13" s="12">
        <v>7</v>
      </c>
      <c r="B13" s="12">
        <v>2544</v>
      </c>
      <c r="C13" s="13" t="s">
        <v>34</v>
      </c>
      <c r="D13" s="13" t="s">
        <v>33</v>
      </c>
      <c r="E13" s="16" t="s">
        <v>106</v>
      </c>
      <c r="F13" s="2">
        <v>21</v>
      </c>
      <c r="G13" s="2" t="s">
        <v>109</v>
      </c>
      <c r="H13" s="2">
        <v>4</v>
      </c>
      <c r="I13" s="3">
        <v>4</v>
      </c>
      <c r="J13" s="18">
        <v>7650</v>
      </c>
      <c r="K13" s="18">
        <f t="shared" si="0"/>
        <v>30600</v>
      </c>
      <c r="L13" s="21" t="s">
        <v>138</v>
      </c>
    </row>
    <row r="14" spans="1:12">
      <c r="A14" s="12">
        <v>8</v>
      </c>
      <c r="B14" s="12">
        <v>2544</v>
      </c>
      <c r="C14" s="13" t="s">
        <v>35</v>
      </c>
      <c r="D14" s="13" t="s">
        <v>23</v>
      </c>
      <c r="E14" s="16" t="s">
        <v>106</v>
      </c>
      <c r="F14" s="2">
        <v>21</v>
      </c>
      <c r="G14" s="2" t="s">
        <v>109</v>
      </c>
      <c r="H14" s="2">
        <v>4</v>
      </c>
      <c r="I14" s="3">
        <v>4</v>
      </c>
      <c r="J14" s="18">
        <v>3600</v>
      </c>
      <c r="K14" s="18">
        <f t="shared" si="0"/>
        <v>14400</v>
      </c>
      <c r="L14" s="21" t="s">
        <v>110</v>
      </c>
    </row>
    <row r="15" spans="1:12">
      <c r="A15" s="12">
        <v>9</v>
      </c>
      <c r="B15" s="12">
        <v>2544</v>
      </c>
      <c r="C15" s="13" t="s">
        <v>36</v>
      </c>
      <c r="D15" s="14" t="s">
        <v>37</v>
      </c>
      <c r="E15" s="16" t="s">
        <v>107</v>
      </c>
      <c r="F15" s="2">
        <v>21</v>
      </c>
      <c r="G15" s="2" t="s">
        <v>109</v>
      </c>
      <c r="H15" s="2">
        <v>1</v>
      </c>
      <c r="I15" s="3">
        <v>1</v>
      </c>
      <c r="J15" s="18">
        <v>15500</v>
      </c>
      <c r="K15" s="18">
        <f t="shared" si="0"/>
        <v>15500</v>
      </c>
      <c r="L15" s="21" t="s">
        <v>114</v>
      </c>
    </row>
    <row r="16" spans="1:12">
      <c r="A16" s="12">
        <v>10</v>
      </c>
      <c r="B16" s="12">
        <v>2544</v>
      </c>
      <c r="C16" s="13" t="s">
        <v>38</v>
      </c>
      <c r="D16" s="14" t="s">
        <v>39</v>
      </c>
      <c r="E16" s="16" t="s">
        <v>106</v>
      </c>
      <c r="F16" s="2">
        <v>21</v>
      </c>
      <c r="G16" s="2" t="s">
        <v>109</v>
      </c>
      <c r="H16" s="2">
        <v>1</v>
      </c>
      <c r="I16" s="3">
        <v>1</v>
      </c>
      <c r="J16" s="18">
        <v>8700</v>
      </c>
      <c r="K16" s="18">
        <f t="shared" si="0"/>
        <v>8700</v>
      </c>
      <c r="L16" s="21" t="s">
        <v>116</v>
      </c>
    </row>
    <row r="17" spans="1:12">
      <c r="A17" s="12">
        <v>11</v>
      </c>
      <c r="B17" s="12">
        <v>2544</v>
      </c>
      <c r="C17" s="13" t="s">
        <v>40</v>
      </c>
      <c r="D17" s="14" t="s">
        <v>41</v>
      </c>
      <c r="E17" s="16" t="s">
        <v>106</v>
      </c>
      <c r="F17" s="2">
        <v>21</v>
      </c>
      <c r="G17" s="2" t="s">
        <v>109</v>
      </c>
      <c r="H17" s="2">
        <v>1</v>
      </c>
      <c r="I17" s="3">
        <v>1</v>
      </c>
      <c r="J17" s="18">
        <v>3000</v>
      </c>
      <c r="K17" s="18">
        <f t="shared" si="0"/>
        <v>3000</v>
      </c>
      <c r="L17" s="21" t="s">
        <v>117</v>
      </c>
    </row>
    <row r="18" spans="1:12">
      <c r="A18" s="12">
        <v>12</v>
      </c>
      <c r="B18" s="12">
        <v>2545</v>
      </c>
      <c r="C18" s="13" t="s">
        <v>42</v>
      </c>
      <c r="D18" s="14" t="s">
        <v>43</v>
      </c>
      <c r="E18" s="16" t="s">
        <v>106</v>
      </c>
      <c r="F18" s="2">
        <v>20</v>
      </c>
      <c r="G18" s="2" t="s">
        <v>109</v>
      </c>
      <c r="H18" s="2">
        <v>1</v>
      </c>
      <c r="I18" s="3">
        <v>1</v>
      </c>
      <c r="J18" s="18">
        <v>5990</v>
      </c>
      <c r="K18" s="18">
        <f t="shared" si="0"/>
        <v>5990</v>
      </c>
      <c r="L18" s="21" t="s">
        <v>118</v>
      </c>
    </row>
    <row r="19" spans="1:12">
      <c r="A19" s="12">
        <v>13</v>
      </c>
      <c r="B19" s="12">
        <v>2545</v>
      </c>
      <c r="C19" s="13" t="s">
        <v>44</v>
      </c>
      <c r="D19" s="14" t="s">
        <v>45</v>
      </c>
      <c r="E19" s="16" t="s">
        <v>106</v>
      </c>
      <c r="F19" s="2">
        <v>20</v>
      </c>
      <c r="G19" s="2" t="s">
        <v>109</v>
      </c>
      <c r="H19" s="2">
        <v>1</v>
      </c>
      <c r="I19" s="3">
        <v>1</v>
      </c>
      <c r="J19" s="18">
        <v>2650</v>
      </c>
      <c r="K19" s="18">
        <f t="shared" si="0"/>
        <v>2650</v>
      </c>
      <c r="L19" s="21" t="s">
        <v>119</v>
      </c>
    </row>
    <row r="20" spans="1:12">
      <c r="A20" s="12">
        <v>14</v>
      </c>
      <c r="B20" s="12">
        <v>2545</v>
      </c>
      <c r="C20" s="13" t="s">
        <v>46</v>
      </c>
      <c r="D20" s="15" t="s">
        <v>47</v>
      </c>
      <c r="E20" s="16" t="s">
        <v>106</v>
      </c>
      <c r="F20" s="2">
        <v>20</v>
      </c>
      <c r="G20" s="2" t="s">
        <v>109</v>
      </c>
      <c r="H20" s="6">
        <v>2</v>
      </c>
      <c r="I20" s="3">
        <v>2</v>
      </c>
      <c r="J20" s="19">
        <v>4050</v>
      </c>
      <c r="K20" s="18">
        <f t="shared" si="0"/>
        <v>8100</v>
      </c>
      <c r="L20" s="21" t="s">
        <v>120</v>
      </c>
    </row>
    <row r="21" spans="1:12">
      <c r="A21" s="12">
        <v>15</v>
      </c>
      <c r="B21" s="12">
        <v>2546</v>
      </c>
      <c r="C21" s="13" t="s">
        <v>48</v>
      </c>
      <c r="D21" s="14" t="s">
        <v>49</v>
      </c>
      <c r="E21" s="16" t="s">
        <v>105</v>
      </c>
      <c r="F21" s="2">
        <v>19</v>
      </c>
      <c r="G21" s="2" t="s">
        <v>109</v>
      </c>
      <c r="H21" s="2">
        <v>1</v>
      </c>
      <c r="I21" s="3">
        <v>1</v>
      </c>
      <c r="J21" s="18">
        <v>130000</v>
      </c>
      <c r="K21" s="18">
        <f t="shared" si="0"/>
        <v>130000</v>
      </c>
      <c r="L21" s="21" t="s">
        <v>121</v>
      </c>
    </row>
    <row r="22" spans="1:12">
      <c r="A22" s="12">
        <v>16</v>
      </c>
      <c r="B22" s="12">
        <v>2546</v>
      </c>
      <c r="C22" s="13" t="s">
        <v>50</v>
      </c>
      <c r="D22" s="14" t="s">
        <v>51</v>
      </c>
      <c r="E22" s="16" t="s">
        <v>105</v>
      </c>
      <c r="F22" s="2">
        <v>19</v>
      </c>
      <c r="G22" s="2" t="s">
        <v>109</v>
      </c>
      <c r="H22" s="2">
        <v>1</v>
      </c>
      <c r="I22" s="3">
        <v>1</v>
      </c>
      <c r="J22" s="18">
        <v>35000</v>
      </c>
      <c r="K22" s="18">
        <f t="shared" si="0"/>
        <v>35000</v>
      </c>
      <c r="L22" s="21" t="s">
        <v>122</v>
      </c>
    </row>
    <row r="23" spans="1:12">
      <c r="A23" s="12">
        <v>17</v>
      </c>
      <c r="B23" s="12">
        <v>2548</v>
      </c>
      <c r="C23" s="13" t="s">
        <v>52</v>
      </c>
      <c r="D23" s="14" t="s">
        <v>53</v>
      </c>
      <c r="E23" s="16" t="s">
        <v>105</v>
      </c>
      <c r="F23" s="2">
        <v>17</v>
      </c>
      <c r="G23" s="2" t="s">
        <v>109</v>
      </c>
      <c r="H23" s="2">
        <v>1</v>
      </c>
      <c r="I23" s="3">
        <v>1</v>
      </c>
      <c r="J23" s="18">
        <v>462312</v>
      </c>
      <c r="K23" s="18">
        <f t="shared" si="0"/>
        <v>462312</v>
      </c>
      <c r="L23" s="21" t="s">
        <v>123</v>
      </c>
    </row>
    <row r="24" spans="1:12" ht="24.75" thickBot="1">
      <c r="A24" s="31"/>
      <c r="B24" s="31"/>
      <c r="C24" s="31"/>
      <c r="D24" s="31"/>
      <c r="E24" s="31"/>
      <c r="F24" s="31"/>
      <c r="G24" s="31"/>
      <c r="H24" s="31"/>
      <c r="I24" s="31"/>
      <c r="J24" s="32" t="s">
        <v>139</v>
      </c>
      <c r="K24" s="33">
        <f>SUM(K7:K23)</f>
        <v>864452</v>
      </c>
      <c r="L24" s="31"/>
    </row>
    <row r="25" spans="1:12" ht="24.75" thickTop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30"/>
    </row>
    <row r="26" spans="1:12">
      <c r="B26" s="9" t="s">
        <v>2</v>
      </c>
      <c r="C26" s="7" t="s">
        <v>17</v>
      </c>
      <c r="I26" s="8"/>
    </row>
    <row r="27" spans="1:12">
      <c r="C27" s="7" t="s">
        <v>18</v>
      </c>
      <c r="L27" s="1"/>
    </row>
    <row r="28" spans="1:12">
      <c r="H28" s="38" t="s">
        <v>142</v>
      </c>
      <c r="I28" s="38"/>
      <c r="J28" s="38"/>
      <c r="K28" s="38"/>
      <c r="L28" s="1"/>
    </row>
    <row r="29" spans="1:12">
      <c r="H29" s="38" t="s">
        <v>141</v>
      </c>
      <c r="I29" s="38"/>
      <c r="J29" s="38"/>
      <c r="K29" s="38"/>
    </row>
    <row r="30" spans="1:12">
      <c r="H30" s="38" t="s">
        <v>4</v>
      </c>
      <c r="I30" s="38"/>
      <c r="J30" s="38"/>
      <c r="K30" s="38"/>
    </row>
    <row r="31" spans="1:12">
      <c r="L31" s="11" t="s">
        <v>20</v>
      </c>
    </row>
    <row r="32" spans="1:12">
      <c r="A32" s="41" t="s">
        <v>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spans="1:12">
      <c r="A33" s="42" t="s">
        <v>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1:12">
      <c r="A34" s="43" t="s">
        <v>137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spans="1:12">
      <c r="A35" s="39" t="s">
        <v>8</v>
      </c>
      <c r="B35" s="39" t="s">
        <v>19</v>
      </c>
      <c r="C35" s="39" t="s">
        <v>16</v>
      </c>
      <c r="D35" s="44" t="s">
        <v>0</v>
      </c>
      <c r="E35" s="39" t="s">
        <v>11</v>
      </c>
      <c r="F35" s="39" t="s">
        <v>10</v>
      </c>
      <c r="G35" s="46" t="s">
        <v>12</v>
      </c>
      <c r="H35" s="48" t="s">
        <v>1</v>
      </c>
      <c r="I35" s="49"/>
      <c r="J35" s="39" t="s">
        <v>15</v>
      </c>
      <c r="K35" s="39" t="s">
        <v>9</v>
      </c>
      <c r="L35" s="39" t="s">
        <v>14</v>
      </c>
    </row>
    <row r="36" spans="1:12" ht="72">
      <c r="A36" s="40"/>
      <c r="B36" s="40"/>
      <c r="C36" s="40"/>
      <c r="D36" s="45"/>
      <c r="E36" s="40"/>
      <c r="F36" s="40"/>
      <c r="G36" s="47"/>
      <c r="H36" s="5" t="s">
        <v>13</v>
      </c>
      <c r="I36" s="4" t="s">
        <v>3</v>
      </c>
      <c r="J36" s="40"/>
      <c r="K36" s="40"/>
      <c r="L36" s="40"/>
    </row>
    <row r="37" spans="1:12">
      <c r="A37" s="12"/>
      <c r="B37" s="12"/>
      <c r="C37" s="13"/>
      <c r="D37" s="14"/>
      <c r="E37" s="16"/>
      <c r="F37" s="2"/>
      <c r="G37" s="2"/>
      <c r="H37" s="2"/>
      <c r="I37" s="3"/>
      <c r="J37" s="34" t="s">
        <v>140</v>
      </c>
      <c r="K37" s="34">
        <f>SUM(K24)</f>
        <v>864452</v>
      </c>
      <c r="L37" s="21"/>
    </row>
    <row r="38" spans="1:12">
      <c r="A38" s="12">
        <v>18</v>
      </c>
      <c r="B38" s="12">
        <v>2548</v>
      </c>
      <c r="C38" s="13" t="s">
        <v>54</v>
      </c>
      <c r="D38" s="14" t="s">
        <v>55</v>
      </c>
      <c r="E38" s="16" t="s">
        <v>107</v>
      </c>
      <c r="F38" s="2">
        <v>17</v>
      </c>
      <c r="G38" s="2" t="s">
        <v>109</v>
      </c>
      <c r="H38" s="2">
        <v>1</v>
      </c>
      <c r="I38" s="3">
        <v>1</v>
      </c>
      <c r="J38" s="18">
        <v>42000</v>
      </c>
      <c r="K38" s="18">
        <f>SUM(I38*J38)</f>
        <v>42000</v>
      </c>
      <c r="L38" s="21" t="s">
        <v>124</v>
      </c>
    </row>
    <row r="39" spans="1:12">
      <c r="A39" s="12">
        <v>19</v>
      </c>
      <c r="B39" s="12">
        <v>2548</v>
      </c>
      <c r="C39" s="13" t="s">
        <v>56</v>
      </c>
      <c r="D39" s="14" t="s">
        <v>57</v>
      </c>
      <c r="E39" s="16" t="s">
        <v>107</v>
      </c>
      <c r="F39" s="2">
        <v>17</v>
      </c>
      <c r="G39" s="2" t="s">
        <v>109</v>
      </c>
      <c r="H39" s="2">
        <v>6</v>
      </c>
      <c r="I39" s="3">
        <v>6</v>
      </c>
      <c r="J39" s="18">
        <v>20000</v>
      </c>
      <c r="K39" s="18">
        <f t="shared" ref="K39:K53" si="1">SUM(I39*J39)</f>
        <v>120000</v>
      </c>
      <c r="L39" s="21" t="s">
        <v>125</v>
      </c>
    </row>
    <row r="40" spans="1:12">
      <c r="A40" s="12">
        <v>20</v>
      </c>
      <c r="B40" s="12">
        <v>2549</v>
      </c>
      <c r="C40" s="13" t="s">
        <v>58</v>
      </c>
      <c r="D40" s="14" t="s">
        <v>59</v>
      </c>
      <c r="E40" s="12" t="s">
        <v>106</v>
      </c>
      <c r="F40" s="2">
        <v>16</v>
      </c>
      <c r="G40" s="2" t="s">
        <v>109</v>
      </c>
      <c r="H40" s="2">
        <v>1</v>
      </c>
      <c r="I40" s="3">
        <v>1</v>
      </c>
      <c r="J40" s="18">
        <v>12990</v>
      </c>
      <c r="K40" s="18">
        <f t="shared" si="1"/>
        <v>12990</v>
      </c>
      <c r="L40" s="21" t="s">
        <v>126</v>
      </c>
    </row>
    <row r="41" spans="1:12">
      <c r="A41" s="12">
        <v>21</v>
      </c>
      <c r="B41" s="12">
        <v>2552</v>
      </c>
      <c r="C41" s="13" t="s">
        <v>60</v>
      </c>
      <c r="D41" s="14" t="s">
        <v>61</v>
      </c>
      <c r="E41" s="12" t="s">
        <v>105</v>
      </c>
      <c r="F41" s="2">
        <v>13</v>
      </c>
      <c r="G41" s="2" t="s">
        <v>109</v>
      </c>
      <c r="H41" s="2">
        <v>1</v>
      </c>
      <c r="I41" s="3">
        <v>1</v>
      </c>
      <c r="J41" s="18">
        <v>1694000</v>
      </c>
      <c r="K41" s="18">
        <f t="shared" si="1"/>
        <v>1694000</v>
      </c>
      <c r="L41" s="21" t="s">
        <v>115</v>
      </c>
    </row>
    <row r="42" spans="1:12">
      <c r="A42" s="12">
        <v>22</v>
      </c>
      <c r="B42" s="12">
        <v>2553</v>
      </c>
      <c r="C42" s="13" t="s">
        <v>62</v>
      </c>
      <c r="D42" s="14" t="s">
        <v>63</v>
      </c>
      <c r="E42" s="12" t="s">
        <v>105</v>
      </c>
      <c r="F42" s="2">
        <v>12</v>
      </c>
      <c r="G42" s="2" t="s">
        <v>109</v>
      </c>
      <c r="H42" s="2">
        <v>1</v>
      </c>
      <c r="I42" s="3">
        <v>1</v>
      </c>
      <c r="J42" s="18">
        <v>1100</v>
      </c>
      <c r="K42" s="18">
        <f t="shared" si="1"/>
        <v>1100</v>
      </c>
      <c r="L42" s="21" t="s">
        <v>127</v>
      </c>
    </row>
    <row r="43" spans="1:12">
      <c r="A43" s="12">
        <v>23</v>
      </c>
      <c r="B43" s="12">
        <v>2553</v>
      </c>
      <c r="C43" s="13" t="s">
        <v>64</v>
      </c>
      <c r="D43" s="14" t="s">
        <v>65</v>
      </c>
      <c r="E43" s="12" t="s">
        <v>105</v>
      </c>
      <c r="F43" s="2">
        <v>12</v>
      </c>
      <c r="G43" s="2" t="s">
        <v>109</v>
      </c>
      <c r="H43" s="2">
        <v>1</v>
      </c>
      <c r="I43" s="3">
        <v>1</v>
      </c>
      <c r="J43" s="18">
        <v>3500</v>
      </c>
      <c r="K43" s="18">
        <f t="shared" si="1"/>
        <v>3500</v>
      </c>
      <c r="L43" s="21" t="s">
        <v>128</v>
      </c>
    </row>
    <row r="44" spans="1:12">
      <c r="A44" s="12">
        <v>24</v>
      </c>
      <c r="B44" s="12">
        <v>2553</v>
      </c>
      <c r="C44" s="13" t="s">
        <v>66</v>
      </c>
      <c r="D44" s="14" t="s">
        <v>67</v>
      </c>
      <c r="E44" s="12" t="s">
        <v>105</v>
      </c>
      <c r="F44" s="2">
        <v>12</v>
      </c>
      <c r="G44" s="2" t="s">
        <v>109</v>
      </c>
      <c r="H44" s="2">
        <v>1</v>
      </c>
      <c r="I44" s="3">
        <v>1</v>
      </c>
      <c r="J44" s="18">
        <v>3750</v>
      </c>
      <c r="K44" s="18">
        <f t="shared" si="1"/>
        <v>3750</v>
      </c>
      <c r="L44" s="21" t="s">
        <v>127</v>
      </c>
    </row>
    <row r="45" spans="1:12">
      <c r="A45" s="12">
        <v>25</v>
      </c>
      <c r="B45" s="12">
        <v>2553</v>
      </c>
      <c r="C45" s="13" t="s">
        <v>68</v>
      </c>
      <c r="D45" s="14" t="s">
        <v>69</v>
      </c>
      <c r="E45" s="12" t="s">
        <v>105</v>
      </c>
      <c r="F45" s="2">
        <v>12</v>
      </c>
      <c r="G45" s="2" t="s">
        <v>109</v>
      </c>
      <c r="H45" s="2">
        <v>28</v>
      </c>
      <c r="I45" s="3">
        <v>28</v>
      </c>
      <c r="J45" s="18">
        <v>16700</v>
      </c>
      <c r="K45" s="18">
        <f t="shared" si="1"/>
        <v>467600</v>
      </c>
      <c r="L45" s="21" t="s">
        <v>115</v>
      </c>
    </row>
    <row r="46" spans="1:12">
      <c r="A46" s="12">
        <v>26</v>
      </c>
      <c r="B46" s="12">
        <v>2553</v>
      </c>
      <c r="C46" s="13" t="s">
        <v>70</v>
      </c>
      <c r="D46" s="14" t="s">
        <v>71</v>
      </c>
      <c r="E46" s="12" t="s">
        <v>105</v>
      </c>
      <c r="F46" s="2">
        <v>12</v>
      </c>
      <c r="G46" s="2" t="s">
        <v>109</v>
      </c>
      <c r="H46" s="2">
        <v>20</v>
      </c>
      <c r="I46" s="3">
        <v>20</v>
      </c>
      <c r="J46" s="20">
        <v>18495</v>
      </c>
      <c r="K46" s="18">
        <f t="shared" si="1"/>
        <v>369900</v>
      </c>
      <c r="L46" s="21" t="s">
        <v>115</v>
      </c>
    </row>
    <row r="47" spans="1:12">
      <c r="A47" s="12">
        <v>27</v>
      </c>
      <c r="B47" s="12">
        <v>2553</v>
      </c>
      <c r="C47" s="13" t="s">
        <v>72</v>
      </c>
      <c r="D47" s="14" t="s">
        <v>73</v>
      </c>
      <c r="E47" s="12" t="s">
        <v>105</v>
      </c>
      <c r="F47" s="2">
        <v>12</v>
      </c>
      <c r="G47" s="2" t="s">
        <v>109</v>
      </c>
      <c r="H47" s="2">
        <v>1</v>
      </c>
      <c r="I47" s="3">
        <v>1</v>
      </c>
      <c r="J47" s="18">
        <v>30000</v>
      </c>
      <c r="K47" s="18">
        <f t="shared" si="1"/>
        <v>30000</v>
      </c>
      <c r="L47" s="22" t="s">
        <v>129</v>
      </c>
    </row>
    <row r="48" spans="1:12">
      <c r="A48" s="12">
        <v>28</v>
      </c>
      <c r="B48" s="12">
        <v>2553</v>
      </c>
      <c r="C48" s="13" t="s">
        <v>74</v>
      </c>
      <c r="D48" s="14" t="s">
        <v>71</v>
      </c>
      <c r="E48" s="12" t="s">
        <v>105</v>
      </c>
      <c r="F48" s="2">
        <v>12</v>
      </c>
      <c r="G48" s="2" t="s">
        <v>109</v>
      </c>
      <c r="H48" s="6">
        <v>1</v>
      </c>
      <c r="I48" s="3">
        <v>1</v>
      </c>
      <c r="J48" s="18">
        <v>17000</v>
      </c>
      <c r="K48" s="18">
        <f t="shared" si="1"/>
        <v>17000</v>
      </c>
      <c r="L48" s="27" t="s">
        <v>130</v>
      </c>
    </row>
    <row r="49" spans="1:12">
      <c r="A49" s="12">
        <v>29</v>
      </c>
      <c r="B49" s="12">
        <v>2554</v>
      </c>
      <c r="C49" s="13" t="s">
        <v>75</v>
      </c>
      <c r="D49" s="14" t="s">
        <v>71</v>
      </c>
      <c r="E49" s="12" t="s">
        <v>105</v>
      </c>
      <c r="F49" s="2">
        <v>11</v>
      </c>
      <c r="G49" s="2" t="s">
        <v>109</v>
      </c>
      <c r="H49" s="23">
        <v>10</v>
      </c>
      <c r="I49" s="24">
        <v>10</v>
      </c>
      <c r="J49" s="25">
        <v>19400</v>
      </c>
      <c r="K49" s="18">
        <f t="shared" si="1"/>
        <v>194000</v>
      </c>
      <c r="L49" s="26" t="s">
        <v>130</v>
      </c>
    </row>
    <row r="50" spans="1:12">
      <c r="A50" s="12">
        <v>30</v>
      </c>
      <c r="B50" s="12">
        <v>2554</v>
      </c>
      <c r="C50" s="13" t="s">
        <v>76</v>
      </c>
      <c r="D50" s="14" t="s">
        <v>77</v>
      </c>
      <c r="E50" s="12" t="s">
        <v>105</v>
      </c>
      <c r="F50" s="2">
        <v>11</v>
      </c>
      <c r="G50" s="2" t="s">
        <v>109</v>
      </c>
      <c r="H50" s="2">
        <v>1</v>
      </c>
      <c r="I50" s="3">
        <v>1</v>
      </c>
      <c r="J50" s="18">
        <v>70000</v>
      </c>
      <c r="K50" s="18">
        <f t="shared" si="1"/>
        <v>70000</v>
      </c>
      <c r="L50" s="22" t="s">
        <v>130</v>
      </c>
    </row>
    <row r="51" spans="1:12">
      <c r="A51" s="12">
        <v>31</v>
      </c>
      <c r="B51" s="12">
        <v>2555</v>
      </c>
      <c r="C51" s="13" t="s">
        <v>78</v>
      </c>
      <c r="D51" s="14" t="s">
        <v>79</v>
      </c>
      <c r="E51" s="17" t="s">
        <v>105</v>
      </c>
      <c r="F51" s="2">
        <v>10</v>
      </c>
      <c r="G51" s="2" t="s">
        <v>109</v>
      </c>
      <c r="H51" s="2">
        <v>2</v>
      </c>
      <c r="I51" s="3">
        <v>2</v>
      </c>
      <c r="J51" s="18">
        <v>858</v>
      </c>
      <c r="K51" s="18">
        <f t="shared" si="1"/>
        <v>1716</v>
      </c>
      <c r="L51" s="22" t="s">
        <v>127</v>
      </c>
    </row>
    <row r="52" spans="1:12">
      <c r="A52" s="12">
        <v>32</v>
      </c>
      <c r="B52" s="12">
        <v>2555</v>
      </c>
      <c r="C52" s="13" t="s">
        <v>80</v>
      </c>
      <c r="D52" s="14" t="s">
        <v>81</v>
      </c>
      <c r="E52" s="17" t="s">
        <v>105</v>
      </c>
      <c r="F52" s="2">
        <v>10</v>
      </c>
      <c r="G52" s="2" t="s">
        <v>109</v>
      </c>
      <c r="H52" s="2">
        <v>2</v>
      </c>
      <c r="I52" s="3">
        <v>2</v>
      </c>
      <c r="J52" s="18">
        <v>4550</v>
      </c>
      <c r="K52" s="18">
        <f t="shared" si="1"/>
        <v>9100</v>
      </c>
      <c r="L52" s="22" t="s">
        <v>127</v>
      </c>
    </row>
    <row r="53" spans="1:12">
      <c r="A53" s="12">
        <v>33</v>
      </c>
      <c r="B53" s="12">
        <v>2555</v>
      </c>
      <c r="C53" s="13" t="s">
        <v>82</v>
      </c>
      <c r="D53" s="14" t="s">
        <v>83</v>
      </c>
      <c r="E53" s="17" t="s">
        <v>105</v>
      </c>
      <c r="F53" s="2">
        <v>10</v>
      </c>
      <c r="G53" s="2" t="s">
        <v>109</v>
      </c>
      <c r="H53" s="2">
        <v>5</v>
      </c>
      <c r="I53" s="3">
        <v>5</v>
      </c>
      <c r="J53" s="18">
        <v>3250</v>
      </c>
      <c r="K53" s="18">
        <f t="shared" si="1"/>
        <v>16250</v>
      </c>
      <c r="L53" s="22" t="s">
        <v>131</v>
      </c>
    </row>
    <row r="54" spans="1:12" ht="24.75" thickBot="1">
      <c r="A54" s="31"/>
      <c r="B54" s="31"/>
      <c r="C54" s="31"/>
      <c r="D54" s="31"/>
      <c r="E54" s="31"/>
      <c r="F54" s="31"/>
      <c r="G54" s="31"/>
      <c r="H54" s="31"/>
      <c r="I54" s="31"/>
      <c r="J54" s="32" t="s">
        <v>139</v>
      </c>
      <c r="K54" s="33">
        <f>SUM(K37:K53)</f>
        <v>3917358</v>
      </c>
      <c r="L54" s="31"/>
    </row>
    <row r="55" spans="1:12" ht="24.75" thickTop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30"/>
    </row>
    <row r="56" spans="1:12">
      <c r="B56" s="9" t="s">
        <v>2</v>
      </c>
      <c r="C56" s="7" t="s">
        <v>17</v>
      </c>
      <c r="I56" s="8"/>
    </row>
    <row r="57" spans="1:12">
      <c r="C57" s="7" t="s">
        <v>18</v>
      </c>
      <c r="L57" s="1"/>
    </row>
    <row r="58" spans="1:12">
      <c r="H58" s="38" t="s">
        <v>21</v>
      </c>
      <c r="I58" s="38"/>
      <c r="J58" s="38"/>
      <c r="K58" s="38"/>
      <c r="L58" s="1"/>
    </row>
    <row r="59" spans="1:12">
      <c r="H59" s="38" t="s">
        <v>141</v>
      </c>
      <c r="I59" s="38"/>
      <c r="J59" s="38"/>
      <c r="K59" s="38"/>
    </row>
    <row r="60" spans="1:12">
      <c r="H60" s="38" t="s">
        <v>4</v>
      </c>
      <c r="I60" s="38"/>
      <c r="J60" s="38"/>
      <c r="K60" s="38"/>
    </row>
    <row r="61" spans="1:12">
      <c r="L61" s="11" t="s">
        <v>20</v>
      </c>
    </row>
    <row r="62" spans="1:12">
      <c r="A62" s="41" t="s">
        <v>6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spans="1:12">
      <c r="A63" s="42" t="s">
        <v>7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>
      <c r="A64" s="43" t="s">
        <v>137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</row>
    <row r="65" spans="1:12">
      <c r="A65" s="39" t="s">
        <v>8</v>
      </c>
      <c r="B65" s="39" t="s">
        <v>19</v>
      </c>
      <c r="C65" s="39" t="s">
        <v>16</v>
      </c>
      <c r="D65" s="44" t="s">
        <v>0</v>
      </c>
      <c r="E65" s="39" t="s">
        <v>11</v>
      </c>
      <c r="F65" s="39" t="s">
        <v>10</v>
      </c>
      <c r="G65" s="46" t="s">
        <v>12</v>
      </c>
      <c r="H65" s="48" t="s">
        <v>1</v>
      </c>
      <c r="I65" s="49"/>
      <c r="J65" s="39" t="s">
        <v>15</v>
      </c>
      <c r="K65" s="39" t="s">
        <v>9</v>
      </c>
      <c r="L65" s="39" t="s">
        <v>14</v>
      </c>
    </row>
    <row r="66" spans="1:12" ht="72">
      <c r="A66" s="40"/>
      <c r="B66" s="40"/>
      <c r="C66" s="40"/>
      <c r="D66" s="45"/>
      <c r="E66" s="40"/>
      <c r="F66" s="40"/>
      <c r="G66" s="47"/>
      <c r="H66" s="5" t="s">
        <v>13</v>
      </c>
      <c r="I66" s="4" t="s">
        <v>3</v>
      </c>
      <c r="J66" s="40"/>
      <c r="K66" s="40"/>
      <c r="L66" s="40"/>
    </row>
    <row r="67" spans="1:12">
      <c r="A67" s="12"/>
      <c r="B67" s="12"/>
      <c r="C67" s="13"/>
      <c r="D67" s="14"/>
      <c r="E67" s="16"/>
      <c r="F67" s="2"/>
      <c r="G67" s="2"/>
      <c r="H67" s="2"/>
      <c r="I67" s="3"/>
      <c r="J67" s="34" t="s">
        <v>140</v>
      </c>
      <c r="K67" s="34">
        <f>SUM(K54)</f>
        <v>3917358</v>
      </c>
      <c r="L67" s="21"/>
    </row>
    <row r="68" spans="1:12">
      <c r="A68" s="12">
        <v>34</v>
      </c>
      <c r="B68" s="12">
        <v>2555</v>
      </c>
      <c r="C68" s="13" t="s">
        <v>84</v>
      </c>
      <c r="D68" s="14" t="s">
        <v>85</v>
      </c>
      <c r="E68" s="17" t="s">
        <v>105</v>
      </c>
      <c r="F68" s="2">
        <v>10</v>
      </c>
      <c r="G68" s="2" t="s">
        <v>109</v>
      </c>
      <c r="H68" s="2">
        <v>27</v>
      </c>
      <c r="I68" s="3">
        <v>27</v>
      </c>
      <c r="J68" s="18">
        <v>858</v>
      </c>
      <c r="K68" s="18">
        <f t="shared" ref="K68:K78" si="2">SUM(I68*J68)</f>
        <v>23166</v>
      </c>
      <c r="L68" s="22" t="s">
        <v>127</v>
      </c>
    </row>
    <row r="69" spans="1:12">
      <c r="A69" s="12">
        <v>35</v>
      </c>
      <c r="B69" s="12">
        <v>2555</v>
      </c>
      <c r="C69" s="13" t="s">
        <v>86</v>
      </c>
      <c r="D69" s="14" t="s">
        <v>87</v>
      </c>
      <c r="E69" s="17" t="s">
        <v>105</v>
      </c>
      <c r="F69" s="2">
        <v>10</v>
      </c>
      <c r="G69" s="2" t="s">
        <v>109</v>
      </c>
      <c r="H69" s="2">
        <v>1</v>
      </c>
      <c r="I69" s="3">
        <v>1</v>
      </c>
      <c r="J69" s="18">
        <v>71050</v>
      </c>
      <c r="K69" s="18">
        <f t="shared" si="2"/>
        <v>71050</v>
      </c>
      <c r="L69" s="22" t="s">
        <v>132</v>
      </c>
    </row>
    <row r="70" spans="1:12">
      <c r="A70" s="12">
        <v>36</v>
      </c>
      <c r="B70" s="12">
        <v>2555</v>
      </c>
      <c r="C70" s="13" t="s">
        <v>88</v>
      </c>
      <c r="D70" s="14" t="s">
        <v>89</v>
      </c>
      <c r="E70" s="17" t="s">
        <v>105</v>
      </c>
      <c r="F70" s="2">
        <v>10</v>
      </c>
      <c r="G70" s="2" t="s">
        <v>109</v>
      </c>
      <c r="H70" s="2">
        <v>1</v>
      </c>
      <c r="I70" s="3">
        <v>1</v>
      </c>
      <c r="J70" s="18">
        <v>52000</v>
      </c>
      <c r="K70" s="18">
        <f t="shared" si="2"/>
        <v>52000</v>
      </c>
      <c r="L70" s="22" t="s">
        <v>132</v>
      </c>
    </row>
    <row r="71" spans="1:12">
      <c r="A71" s="12">
        <v>37</v>
      </c>
      <c r="B71" s="12">
        <v>2555</v>
      </c>
      <c r="C71" s="13" t="s">
        <v>90</v>
      </c>
      <c r="D71" s="14" t="s">
        <v>85</v>
      </c>
      <c r="E71" s="17" t="s">
        <v>105</v>
      </c>
      <c r="F71" s="2">
        <v>10</v>
      </c>
      <c r="G71" s="2" t="s">
        <v>109</v>
      </c>
      <c r="H71" s="2">
        <v>7</v>
      </c>
      <c r="I71" s="3">
        <v>7</v>
      </c>
      <c r="J71" s="18">
        <v>850</v>
      </c>
      <c r="K71" s="18">
        <f t="shared" si="2"/>
        <v>5950</v>
      </c>
      <c r="L71" s="22" t="s">
        <v>127</v>
      </c>
    </row>
    <row r="72" spans="1:12">
      <c r="A72" s="12">
        <v>38</v>
      </c>
      <c r="B72" s="12">
        <v>2555</v>
      </c>
      <c r="C72" s="13" t="s">
        <v>91</v>
      </c>
      <c r="D72" s="14" t="s">
        <v>92</v>
      </c>
      <c r="E72" s="17" t="s">
        <v>105</v>
      </c>
      <c r="F72" s="2">
        <v>10</v>
      </c>
      <c r="G72" s="2" t="s">
        <v>109</v>
      </c>
      <c r="H72" s="2">
        <v>7</v>
      </c>
      <c r="I72" s="3">
        <v>7</v>
      </c>
      <c r="J72" s="18">
        <v>18150</v>
      </c>
      <c r="K72" s="18">
        <f t="shared" si="2"/>
        <v>127050</v>
      </c>
      <c r="L72" s="22" t="s">
        <v>133</v>
      </c>
    </row>
    <row r="73" spans="1:12">
      <c r="A73" s="12">
        <v>39</v>
      </c>
      <c r="B73" s="12">
        <v>2556</v>
      </c>
      <c r="C73" s="13" t="s">
        <v>93</v>
      </c>
      <c r="D73" s="14" t="s">
        <v>94</v>
      </c>
      <c r="E73" s="16" t="s">
        <v>108</v>
      </c>
      <c r="F73" s="2">
        <v>9</v>
      </c>
      <c r="G73" s="2" t="s">
        <v>109</v>
      </c>
      <c r="H73" s="2">
        <v>1</v>
      </c>
      <c r="I73" s="3">
        <v>1</v>
      </c>
      <c r="J73" s="18">
        <v>24800</v>
      </c>
      <c r="K73" s="18">
        <f t="shared" si="2"/>
        <v>24800</v>
      </c>
      <c r="L73" s="22" t="s">
        <v>130</v>
      </c>
    </row>
    <row r="74" spans="1:12">
      <c r="A74" s="12">
        <v>40</v>
      </c>
      <c r="B74" s="12">
        <v>2556</v>
      </c>
      <c r="C74" s="13" t="s">
        <v>95</v>
      </c>
      <c r="D74" s="14" t="s">
        <v>96</v>
      </c>
      <c r="E74" s="16" t="s">
        <v>108</v>
      </c>
      <c r="F74" s="2">
        <v>9</v>
      </c>
      <c r="G74" s="2" t="s">
        <v>109</v>
      </c>
      <c r="H74" s="2">
        <v>2</v>
      </c>
      <c r="I74" s="3">
        <v>2</v>
      </c>
      <c r="J74" s="18">
        <v>40000</v>
      </c>
      <c r="K74" s="18">
        <f t="shared" si="2"/>
        <v>80000</v>
      </c>
      <c r="L74" s="22" t="s">
        <v>134</v>
      </c>
    </row>
    <row r="75" spans="1:12">
      <c r="A75" s="12">
        <v>41</v>
      </c>
      <c r="B75" s="12">
        <v>2556</v>
      </c>
      <c r="C75" s="13" t="s">
        <v>97</v>
      </c>
      <c r="D75" s="14" t="s">
        <v>98</v>
      </c>
      <c r="E75" s="16" t="s">
        <v>108</v>
      </c>
      <c r="F75" s="2">
        <v>9</v>
      </c>
      <c r="G75" s="2" t="s">
        <v>109</v>
      </c>
      <c r="H75" s="2">
        <v>1</v>
      </c>
      <c r="I75" s="3">
        <v>1</v>
      </c>
      <c r="J75" s="18">
        <v>12600</v>
      </c>
      <c r="K75" s="18">
        <f t="shared" si="2"/>
        <v>12600</v>
      </c>
      <c r="L75" s="22" t="s">
        <v>134</v>
      </c>
    </row>
    <row r="76" spans="1:12">
      <c r="A76" s="12">
        <v>42</v>
      </c>
      <c r="B76" s="12">
        <v>2556</v>
      </c>
      <c r="C76" s="13" t="s">
        <v>99</v>
      </c>
      <c r="D76" s="14" t="s">
        <v>100</v>
      </c>
      <c r="E76" s="16" t="s">
        <v>108</v>
      </c>
      <c r="F76" s="2">
        <v>9</v>
      </c>
      <c r="G76" s="2" t="s">
        <v>109</v>
      </c>
      <c r="H76" s="2">
        <v>1</v>
      </c>
      <c r="I76" s="3">
        <v>1</v>
      </c>
      <c r="J76" s="18">
        <v>11900</v>
      </c>
      <c r="K76" s="18">
        <f t="shared" si="2"/>
        <v>11900</v>
      </c>
      <c r="L76" s="22" t="s">
        <v>135</v>
      </c>
    </row>
    <row r="77" spans="1:12">
      <c r="A77" s="12">
        <v>43</v>
      </c>
      <c r="B77" s="12">
        <v>2556</v>
      </c>
      <c r="C77" s="13" t="s">
        <v>101</v>
      </c>
      <c r="D77" s="14" t="s">
        <v>102</v>
      </c>
      <c r="E77" s="16" t="s">
        <v>108</v>
      </c>
      <c r="F77" s="2">
        <v>9</v>
      </c>
      <c r="G77" s="2" t="s">
        <v>109</v>
      </c>
      <c r="H77" s="2">
        <v>1</v>
      </c>
      <c r="I77" s="3">
        <v>1</v>
      </c>
      <c r="J77" s="18">
        <v>3500</v>
      </c>
      <c r="K77" s="18">
        <f t="shared" si="2"/>
        <v>3500</v>
      </c>
      <c r="L77" s="22" t="s">
        <v>135</v>
      </c>
    </row>
    <row r="78" spans="1:12" ht="24.75" thickBot="1">
      <c r="A78" s="12">
        <v>44</v>
      </c>
      <c r="B78" s="12">
        <v>2556</v>
      </c>
      <c r="C78" s="13" t="s">
        <v>103</v>
      </c>
      <c r="D78" s="14" t="s">
        <v>104</v>
      </c>
      <c r="E78" s="16" t="s">
        <v>108</v>
      </c>
      <c r="F78" s="2">
        <v>9</v>
      </c>
      <c r="G78" s="2" t="s">
        <v>109</v>
      </c>
      <c r="H78" s="2">
        <v>1</v>
      </c>
      <c r="I78" s="3">
        <v>1</v>
      </c>
      <c r="J78" s="18">
        <v>6000</v>
      </c>
      <c r="K78" s="18">
        <f t="shared" si="2"/>
        <v>6000</v>
      </c>
      <c r="L78" s="22" t="s">
        <v>136</v>
      </c>
    </row>
    <row r="79" spans="1:12" ht="24.75" thickBot="1">
      <c r="A79" s="35" t="s">
        <v>5</v>
      </c>
      <c r="B79" s="36"/>
      <c r="C79" s="36"/>
      <c r="D79" s="36"/>
      <c r="E79" s="36"/>
      <c r="F79" s="36"/>
      <c r="G79" s="36"/>
      <c r="H79" s="36"/>
      <c r="I79" s="36"/>
      <c r="J79" s="37"/>
      <c r="K79" s="28">
        <f>SUM(K67:K78)</f>
        <v>4335374</v>
      </c>
      <c r="L79" s="10"/>
    </row>
    <row r="80" spans="1:12" ht="24.75" thickTop="1"/>
    <row r="81" spans="2:12">
      <c r="B81" s="9" t="s">
        <v>2</v>
      </c>
      <c r="C81" s="7" t="s">
        <v>17</v>
      </c>
      <c r="I81" s="8"/>
    </row>
    <row r="82" spans="2:12">
      <c r="C82" s="7" t="s">
        <v>18</v>
      </c>
      <c r="L82" s="1"/>
    </row>
    <row r="83" spans="2:12">
      <c r="L83" s="1"/>
    </row>
    <row r="84" spans="2:12">
      <c r="H84" s="38" t="s">
        <v>21</v>
      </c>
      <c r="I84" s="38"/>
      <c r="J84" s="38"/>
      <c r="K84" s="38"/>
      <c r="L84" s="1"/>
    </row>
    <row r="85" spans="2:12">
      <c r="H85" s="38" t="s">
        <v>141</v>
      </c>
      <c r="I85" s="38"/>
      <c r="J85" s="38"/>
      <c r="K85" s="38"/>
    </row>
    <row r="86" spans="2:12">
      <c r="H86" s="38" t="s">
        <v>4</v>
      </c>
      <c r="I86" s="38"/>
      <c r="J86" s="38"/>
      <c r="K86" s="38"/>
    </row>
  </sheetData>
  <mergeCells count="52">
    <mergeCell ref="A63:L63"/>
    <mergeCell ref="A64:L64"/>
    <mergeCell ref="A65:A66"/>
    <mergeCell ref="B65:B66"/>
    <mergeCell ref="C65:C66"/>
    <mergeCell ref="D65:D66"/>
    <mergeCell ref="E65:E66"/>
    <mergeCell ref="F65:F66"/>
    <mergeCell ref="G65:G66"/>
    <mergeCell ref="H65:I65"/>
    <mergeCell ref="J65:J66"/>
    <mergeCell ref="K65:K66"/>
    <mergeCell ref="L65:L66"/>
    <mergeCell ref="L35:L36"/>
    <mergeCell ref="H58:K58"/>
    <mergeCell ref="H59:K59"/>
    <mergeCell ref="H60:K60"/>
    <mergeCell ref="A62:L62"/>
    <mergeCell ref="F35:F36"/>
    <mergeCell ref="G35:G36"/>
    <mergeCell ref="H35:I35"/>
    <mergeCell ref="J35:J36"/>
    <mergeCell ref="K35:K3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A79:J79"/>
    <mergeCell ref="H84:K84"/>
    <mergeCell ref="H85:K85"/>
    <mergeCell ref="H86:K86"/>
    <mergeCell ref="L5:L6"/>
    <mergeCell ref="H28:K28"/>
    <mergeCell ref="H29:K29"/>
    <mergeCell ref="H30:K30"/>
    <mergeCell ref="A32:L32"/>
    <mergeCell ref="A33:L33"/>
    <mergeCell ref="A34:L34"/>
    <mergeCell ref="A35:A36"/>
    <mergeCell ref="B35:B36"/>
    <mergeCell ref="C35:C36"/>
    <mergeCell ref="D35:D36"/>
    <mergeCell ref="E35:E3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งานสื่อ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2022-10-31T06:23:30Z</cp:lastPrinted>
  <dcterms:created xsi:type="dcterms:W3CDTF">2017-11-14T01:32:33Z</dcterms:created>
  <dcterms:modified xsi:type="dcterms:W3CDTF">2023-11-06T09:03:15Z</dcterms:modified>
</cp:coreProperties>
</file>