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3. ฝ่ายวิชาการ\"/>
    </mc:Choice>
  </mc:AlternateContent>
  <xr:revisionPtr revIDLastSave="0" documentId="13_ncr:1_{353206DC-733D-4407-958A-4079BF4354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งานวิทยบริการ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7" i="2"/>
  <c r="K23" i="2" l="1"/>
</calcChain>
</file>

<file path=xl/sharedStrings.xml><?xml version="1.0" encoding="utf-8"?>
<sst xmlns="http://schemas.openxmlformats.org/spreadsheetml/2006/main" count="104" uniqueCount="68">
  <si>
    <t>ลำดับ
ที่</t>
  </si>
  <si>
    <t>รายการ ขนาด ลักษณะ</t>
  </si>
  <si>
    <t>จำนวน</t>
  </si>
  <si>
    <t>เป็นเงิน</t>
  </si>
  <si>
    <t>หมายเหตุ</t>
  </si>
  <si>
    <t>7110-007-0006/391-001-391-008</t>
  </si>
  <si>
    <t>โต๊ะอ่านหนังสือ ขนาด 4 ที่นั่งพร้อมเก้าอี้ไม้</t>
  </si>
  <si>
    <t>งปม.</t>
  </si>
  <si>
    <t>7110-002-0001/391-001</t>
  </si>
  <si>
    <t>ตู้ดรรชนี 12 ลิ้นชัก</t>
  </si>
  <si>
    <t>7195-006-0001/391-001-391-002</t>
  </si>
  <si>
    <t>แท่นอ่านหนังสือพิมพ์</t>
  </si>
  <si>
    <t>บกศ.</t>
  </si>
  <si>
    <t>7110-002-0003/391-001</t>
  </si>
  <si>
    <t>ตู้เก็บบัตรรายการ  15  ลิ้นชัก</t>
  </si>
  <si>
    <t>7490-002-0001/391-001</t>
  </si>
  <si>
    <t>เครื่องตัดกระดาษหรือขอบหนังสือ</t>
  </si>
  <si>
    <t>7490-015-0002/462-001</t>
  </si>
  <si>
    <t>ประตูควบคุมทางเข้าออกแบบ 2 ทาง</t>
  </si>
  <si>
    <t>7440-001-0001/462-008</t>
  </si>
  <si>
    <t>ชุดเครื่องคอมพิวเตอร์</t>
  </si>
  <si>
    <t>7430-008-0001/472-003</t>
  </si>
  <si>
    <t>เครื่องปริ้นเลเซอร์แคนนอน 1210</t>
  </si>
  <si>
    <t>7105-006-0001/482-001-003</t>
  </si>
  <si>
    <t>โต๊ะญี่ปุ่น</t>
  </si>
  <si>
    <t>7105-006-0001/493-001</t>
  </si>
  <si>
    <t>7125-001-0004/493-001</t>
  </si>
  <si>
    <t>ตู้เก็บหนังสือ ขนาด 35*70 ซม.</t>
  </si>
  <si>
    <t>7051-006-0002/502-004-007</t>
  </si>
  <si>
    <t>7125-001-0005/502-001-005</t>
  </si>
  <si>
    <t>ตู้เก็บแผ่น VCD แบบไม้</t>
  </si>
  <si>
    <t>7440-001-0004/521-059-070</t>
  </si>
  <si>
    <t>ชุดเครื่องคอมพิวเตอร์ตั้งโต๊ะ (โต๊ะ+ เก้าอี้)</t>
  </si>
  <si>
    <t>7430-008-0002/531-025</t>
  </si>
  <si>
    <t>เครื่องปริ้นเตอร์  CANON LBP 3050</t>
  </si>
  <si>
    <t>7440-001-0001/531-152</t>
  </si>
  <si>
    <t>เครื่องคอมพิวเตอร์พร้อมโต๊ะเก้าอี้</t>
  </si>
  <si>
    <t>รวมเป็นเงิน</t>
  </si>
  <si>
    <t>(นายชาตรี  ศรีสะอาด)</t>
  </si>
  <si>
    <t>หัวหน้าหน่วยจ่าย/หน่วยเบิก</t>
  </si>
  <si>
    <t>เอกสารหมายเลข...................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</si>
  <si>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</si>
  <si>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</si>
  <si>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วัน เดือน ปี 
ที่ได้มา</t>
  </si>
  <si>
    <t xml:space="preserve">หมายเลขประจำ
วัสดุครุภัณฑ์ </t>
  </si>
  <si>
    <t>ได้มา
โดยวิธีใด</t>
  </si>
  <si>
    <t>ระยะเวลา
ใช้งาน</t>
  </si>
  <si>
    <t>เคย
ซ่อม
กี่ครั้ง</t>
  </si>
  <si>
    <t>หน่วยละ</t>
  </si>
  <si>
    <t>คำชี้แจง
ประกอบ
ของชำรุด</t>
  </si>
  <si>
    <t>เต็มตาม
บัญชี</t>
  </si>
  <si>
    <t>ชำรุด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</si>
  <si>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</si>
  <si>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</si>
  <si>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-</t>
  </si>
  <si>
    <t>ประจำปี 2564 สิ้นงวดเมื่อวันที่ 30 กันยายน 2564 ของงานวิทยบริการและห้องสมุด</t>
  </si>
  <si>
    <t xml:space="preserve">ไม้อัดผุ เหล็กเป็นสนิม  </t>
  </si>
  <si>
    <t xml:space="preserve">ลิ้นชัก เปิด-ปิดไม่ได้ ไม้ผุ </t>
  </si>
  <si>
    <t>ลิ้นชัก เปิด-ปิดไม่ได้ ไม้ผุ</t>
  </si>
  <si>
    <t xml:space="preserve">ขาหัก ,ไม้อัดผุ  </t>
  </si>
  <si>
    <t xml:space="preserve">เมนบอร์ด, ฮาร์ดดิสก์,การ์ดขยายไหม้ </t>
  </si>
  <si>
    <t xml:space="preserve">ไม้อัดผุ  </t>
  </si>
  <si>
    <t xml:space="preserve">ไม้อัดผุ </t>
  </si>
  <si>
    <t xml:space="preserve">แผงวงจรไหม้,ใบมีดไม่คม เป็นสนิม </t>
  </si>
  <si>
    <t xml:space="preserve">ควบคุมการเข้า-ออก ไม่ทำงาน   </t>
  </si>
  <si>
    <t xml:space="preserve">ขาเซ็นเซอร์หัก,drum เสีย  </t>
  </si>
  <si>
    <t>เมนบอร์ด, ฮาร์ดดิสก์,การ์ดขยายไหม้/ 
โต๊ะ ไม้อัดผุ เก้าอี้ ขาหัก</t>
  </si>
  <si>
    <t xml:space="preserve"> 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</si>
</sst>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rgb="FF333333"/>
      <name val="TH SarabunPSK"/>
      <family val="2"/>
    </font>
    <font>
      <sz val="16"/>
      <color rgb="FF303030"/>
      <name val="TH SarabunPSK"/>
      <family val="2"/>
    </font>
    <font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5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 applyAlignment="1">
      <alignment horizontal="center"/>
    </xf>
    <xf numFmtId="164" fontId="5" fillId="0" borderId="2" xfId="1" applyFont="1" applyFill="1" applyBorder="1"/>
    <xf numFmtId="43" fontId="3" fillId="0" borderId="4" xfId="0" applyNumberFormat="1" applyFont="1" applyBorder="1" applyAlignment="1">
      <alignment horizontal="center" vertical="center" wrapText="1"/>
    </xf>
    <xf numFmtId="43" fontId="5" fillId="0" borderId="1" xfId="6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43" fontId="5" fillId="0" borderId="1" xfId="1" applyNumberFormat="1" applyFont="1" applyFill="1" applyBorder="1"/>
    <xf numFmtId="0" fontId="8" fillId="0" borderId="1" xfId="0" applyFont="1" applyBorder="1"/>
    <xf numFmtId="0" fontId="9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4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4" fontId="5" fillId="0" borderId="1" xfId="1" applyFont="1" applyFill="1" applyBorder="1"/>
    <xf numFmtId="0" fontId="2" fillId="0" borderId="0" xfId="0" applyFont="1" applyAlignment="1">
      <alignment horizontal="center"/>
    </xf>
    <xf numFmtId="0" fontId="5" fillId="0" borderId="0" xfId="3" applyFont="1" applyAlignment="1">
      <alignment horizontal="center"/>
    </xf>
    <xf numFmtId="43" fontId="3" fillId="0" borderId="0" xfId="0" applyNumberFormat="1" applyFont="1"/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2" applyFont="1" applyBorder="1" applyAlignment="1">
      <alignment horizontal="left" vertical="top"/>
    </xf>
    <xf numFmtId="0" fontId="5" fillId="0" borderId="4" xfId="3" applyFont="1" applyBorder="1" applyAlignment="1">
      <alignment horizontal="center" vertical="top"/>
    </xf>
    <xf numFmtId="0" fontId="5" fillId="0" borderId="1" xfId="3" applyFont="1" applyBorder="1" applyAlignment="1">
      <alignment horizontal="center" vertical="top"/>
    </xf>
    <xf numFmtId="164" fontId="5" fillId="0" borderId="1" xfId="1" applyFont="1" applyFill="1" applyBorder="1" applyAlignment="1">
      <alignment vertical="top"/>
    </xf>
    <xf numFmtId="43" fontId="3" fillId="0" borderId="4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5" fillId="0" borderId="1" xfId="2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43" fontId="2" fillId="0" borderId="9" xfId="0" applyNumberFormat="1" applyFont="1" applyBorder="1"/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5" applyFont="1" applyAlignment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9">
    <cellStyle name="เครื่องหมายจุลภาค 9" xfId="6" xr:uid="{00000000-0005-0000-0000-000001000000}"/>
    <cellStyle name="จุลภาค" xfId="1" builtinId="3"/>
    <cellStyle name="ปกติ" xfId="0" builtinId="0"/>
    <cellStyle name="ปกติ 12" xfId="7" xr:uid="{00000000-0005-0000-0000-000003000000}"/>
    <cellStyle name="ปกติ 19" xfId="8" xr:uid="{00000000-0005-0000-0000-000004000000}"/>
    <cellStyle name="ปกติ 21" xfId="3" xr:uid="{00000000-0005-0000-0000-000005000000}"/>
    <cellStyle name="ปกติ 22" xfId="4" xr:uid="{00000000-0005-0000-0000-000006000000}"/>
    <cellStyle name="ปกติ 3" xfId="5" xr:uid="{00000000-0005-0000-0000-000007000000}"/>
    <cellStyle name="ปกติ_รายการครุภัณฑ์ ปี 52 ที่แก้ไขเรียงลำดับใหม่ 23 ก.พ.53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2918951</xdr:colOff>
      <xdr:row>23</xdr:row>
      <xdr:rowOff>235569</xdr:rowOff>
    </xdr:from>
    <xdr:to>
      <xdr:col>11</xdr:col>
      <xdr:colOff>3243927</xdr:colOff>
      <xdr:row>29</xdr:row>
      <xdr:rowOff>80710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2407336" y="8250652"/>
          <a:ext cx="1688689" cy="324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1685925</xdr:colOff>
      <xdr:row>24</xdr:row>
      <xdr:rowOff>47627</xdr:rowOff>
    </xdr:from>
    <xdr:to>
      <xdr:col>11</xdr:col>
      <xdr:colOff>2009775</xdr:colOff>
      <xdr:row>28</xdr:row>
      <xdr:rowOff>219076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4896B9D-D3DE-4B21-B65D-1FAA38DB1C39}"/>
            </a:ext>
          </a:extLst>
        </xdr:cNvPr>
        <xdr:cNvSpPr txBox="1"/>
      </xdr:nvSpPr>
      <xdr:spPr>
        <a:xfrm rot="5400000">
          <a:off x="11782425" y="8210552"/>
          <a:ext cx="13906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Normal="100" workbookViewId="0">
      <selection activeCell="H17" sqref="H17"/>
    </sheetView>
  </sheetViews>
  <sheetFormatPr defaultColWidth="9" defaultRowHeight="24" customHeight="1" x14ac:dyDescent="0.55000000000000004"/>
  <cols>
    <col min="1" max="1" width="5.85546875" style="1" customWidth="1"/>
    <col min="2" max="2" width="12.42578125" style="2" customWidth="1"/>
    <col min="3" max="3" width="33.5703125" style="3" customWidth="1"/>
    <col min="4" max="4" width="41.42578125" style="1" customWidth="1"/>
    <col min="5" max="5" width="6.85546875" style="1" customWidth="1"/>
    <col min="6" max="6" width="9.28515625" style="1" customWidth="1"/>
    <col min="7" max="7" width="6.5703125" style="1" customWidth="1"/>
    <col min="8" max="9" width="7.5703125" style="1" customWidth="1"/>
    <col min="10" max="10" width="13.140625" style="1" customWidth="1"/>
    <col min="11" max="11" width="15.140625" style="1" customWidth="1"/>
    <col min="12" max="12" width="33.85546875" style="2" customWidth="1"/>
    <col min="13" max="16384" width="9" style="1"/>
  </cols>
  <sheetData>
    <row r="1" spans="1:12" ht="24" customHeight="1" x14ac:dyDescent="0.55000000000000004">
      <c r="L1" s="4" t="s">
        <v>40</v>
      </c>
    </row>
    <row r="2" spans="1:12" ht="24" customHeight="1" x14ac:dyDescent="0.55000000000000004">
      <c r="A2" s="49" t="s">
        <v>41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24" customHeight="1" x14ac:dyDescent="0.55000000000000004">
      <c r="A3" s="50" t="s">
        <v>42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4" customHeight="1" x14ac:dyDescent="0.55000000000000004">
      <c r="A4" s="51" t="s">
        <v>55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2" ht="24" customHeight="1" x14ac:dyDescent="0.55000000000000004">
      <c r="A5" s="44" t="s">
        <v>0</v>
      </c>
      <c r="B5" s="44" t="s">
        <v>43</v>
      </c>
      <c r="C5" s="44" t="s">
        <v>44</v>
      </c>
      <c r="D5" s="52" t="s">
        <v>1</v>
      </c>
      <c r="E5" s="44" t="s">
        <v>45</v>
      </c>
      <c r="F5" s="44" t="s">
        <v>46</v>
      </c>
      <c r="G5" s="54" t="s">
        <v>47</v>
      </c>
      <c r="H5" s="42" t="s">
        <v>2</v>
      </c>
      <c r="I5" s="43"/>
      <c r="J5" s="44" t="s">
        <v>48</v>
      </c>
      <c r="K5" s="44" t="s">
        <v>3</v>
      </c>
      <c r="L5" s="44" t="s">
        <v>49</v>
      </c>
    </row>
    <row r="6" spans="1:12" ht="24" customHeight="1" x14ac:dyDescent="0.55000000000000004">
      <c r="A6" s="45"/>
      <c r="B6" s="45"/>
      <c r="C6" s="45"/>
      <c r="D6" s="53"/>
      <c r="E6" s="45"/>
      <c r="F6" s="45"/>
      <c r="G6" s="55"/>
      <c r="H6" s="5" t="s">
        <v>50</v>
      </c>
      <c r="I6" s="6" t="s">
        <v>51</v>
      </c>
      <c r="J6" s="45"/>
      <c r="K6" s="45"/>
      <c r="L6" s="45"/>
    </row>
    <row r="7" spans="1:12" ht="24" customHeight="1" x14ac:dyDescent="0.55000000000000004">
      <c r="A7" s="7">
        <v>1</v>
      </c>
      <c r="B7" s="8">
        <v>2539</v>
      </c>
      <c r="C7" s="9" t="s">
        <v>5</v>
      </c>
      <c r="D7" s="10" t="s">
        <v>6</v>
      </c>
      <c r="E7" s="11" t="s">
        <v>7</v>
      </c>
      <c r="F7" s="8">
        <v>25</v>
      </c>
      <c r="G7" s="2" t="s">
        <v>54</v>
      </c>
      <c r="H7" s="11">
        <v>6</v>
      </c>
      <c r="I7" s="2">
        <v>2</v>
      </c>
      <c r="J7" s="12">
        <v>6500</v>
      </c>
      <c r="K7" s="13">
        <f>SUM(I7*J7)</f>
        <v>13000</v>
      </c>
      <c r="L7" s="14" t="s">
        <v>56</v>
      </c>
    </row>
    <row r="8" spans="1:12" ht="24" customHeight="1" x14ac:dyDescent="0.55000000000000004">
      <c r="A8" s="15">
        <v>2</v>
      </c>
      <c r="B8" s="8">
        <v>2539</v>
      </c>
      <c r="C8" s="9" t="s">
        <v>8</v>
      </c>
      <c r="D8" s="10" t="s">
        <v>9</v>
      </c>
      <c r="E8" s="11" t="s">
        <v>7</v>
      </c>
      <c r="F8" s="11">
        <v>25</v>
      </c>
      <c r="G8" s="11" t="s">
        <v>54</v>
      </c>
      <c r="H8" s="11">
        <v>1</v>
      </c>
      <c r="I8" s="16">
        <v>1</v>
      </c>
      <c r="J8" s="12">
        <v>5300</v>
      </c>
      <c r="K8" s="13">
        <f t="shared" ref="K8:K21" si="0">SUM(I8*J8)</f>
        <v>5300</v>
      </c>
      <c r="L8" s="14" t="s">
        <v>57</v>
      </c>
    </row>
    <row r="9" spans="1:12" ht="24" customHeight="1" x14ac:dyDescent="0.55000000000000004">
      <c r="A9" s="7">
        <v>3</v>
      </c>
      <c r="B9" s="8">
        <v>2539</v>
      </c>
      <c r="C9" s="9" t="s">
        <v>10</v>
      </c>
      <c r="D9" s="10" t="s">
        <v>11</v>
      </c>
      <c r="E9" s="11" t="s">
        <v>7</v>
      </c>
      <c r="F9" s="11">
        <v>25</v>
      </c>
      <c r="G9" s="11" t="s">
        <v>54</v>
      </c>
      <c r="H9" s="11">
        <v>2</v>
      </c>
      <c r="I9" s="16">
        <v>2</v>
      </c>
      <c r="J9" s="12">
        <v>3000</v>
      </c>
      <c r="K9" s="13">
        <f t="shared" si="0"/>
        <v>6000</v>
      </c>
      <c r="L9" s="14" t="s">
        <v>56</v>
      </c>
    </row>
    <row r="10" spans="1:12" ht="24" customHeight="1" x14ac:dyDescent="0.55000000000000004">
      <c r="A10" s="15">
        <v>4</v>
      </c>
      <c r="B10" s="8">
        <v>2539</v>
      </c>
      <c r="C10" s="9" t="s">
        <v>13</v>
      </c>
      <c r="D10" s="10" t="s">
        <v>14</v>
      </c>
      <c r="E10" s="11" t="s">
        <v>7</v>
      </c>
      <c r="F10" s="11">
        <v>25</v>
      </c>
      <c r="G10" s="11" t="s">
        <v>54</v>
      </c>
      <c r="H10" s="11">
        <v>1</v>
      </c>
      <c r="I10" s="16">
        <v>1</v>
      </c>
      <c r="J10" s="12">
        <v>5000</v>
      </c>
      <c r="K10" s="13">
        <f t="shared" si="0"/>
        <v>5000</v>
      </c>
      <c r="L10" s="14" t="s">
        <v>58</v>
      </c>
    </row>
    <row r="11" spans="1:12" ht="24" customHeight="1" x14ac:dyDescent="0.55000000000000004">
      <c r="A11" s="7">
        <v>5</v>
      </c>
      <c r="B11" s="8">
        <v>2539</v>
      </c>
      <c r="C11" s="9" t="s">
        <v>15</v>
      </c>
      <c r="D11" s="10" t="s">
        <v>16</v>
      </c>
      <c r="E11" s="11" t="s">
        <v>7</v>
      </c>
      <c r="F11" s="11">
        <v>25</v>
      </c>
      <c r="G11" s="11" t="s">
        <v>54</v>
      </c>
      <c r="H11" s="11">
        <v>1</v>
      </c>
      <c r="I11" s="16">
        <v>1</v>
      </c>
      <c r="J11" s="12">
        <v>35000</v>
      </c>
      <c r="K11" s="13">
        <f t="shared" si="0"/>
        <v>35000</v>
      </c>
      <c r="L11" s="18" t="s">
        <v>63</v>
      </c>
    </row>
    <row r="12" spans="1:12" ht="24" customHeight="1" x14ac:dyDescent="0.55000000000000004">
      <c r="A12" s="15">
        <v>6</v>
      </c>
      <c r="B12" s="8">
        <v>2546</v>
      </c>
      <c r="C12" s="9" t="s">
        <v>17</v>
      </c>
      <c r="D12" s="10" t="s">
        <v>18</v>
      </c>
      <c r="E12" s="11" t="s">
        <v>12</v>
      </c>
      <c r="F12" s="11">
        <v>18</v>
      </c>
      <c r="G12" s="11" t="s">
        <v>54</v>
      </c>
      <c r="H12" s="11">
        <v>1</v>
      </c>
      <c r="I12" s="16">
        <v>1</v>
      </c>
      <c r="J12" s="12">
        <v>31559.65</v>
      </c>
      <c r="K12" s="13">
        <f t="shared" si="0"/>
        <v>31559.65</v>
      </c>
      <c r="L12" s="19" t="s">
        <v>64</v>
      </c>
    </row>
    <row r="13" spans="1:12" ht="24" customHeight="1" x14ac:dyDescent="0.55000000000000004">
      <c r="A13" s="7">
        <v>7</v>
      </c>
      <c r="B13" s="8">
        <v>2546</v>
      </c>
      <c r="C13" s="9" t="s">
        <v>19</v>
      </c>
      <c r="D13" s="9" t="s">
        <v>20</v>
      </c>
      <c r="E13" s="11" t="s">
        <v>12</v>
      </c>
      <c r="F13" s="11">
        <v>18</v>
      </c>
      <c r="G13" s="11" t="s">
        <v>54</v>
      </c>
      <c r="H13" s="11">
        <v>1</v>
      </c>
      <c r="I13" s="16">
        <v>1</v>
      </c>
      <c r="J13" s="12">
        <v>33000</v>
      </c>
      <c r="K13" s="13">
        <f t="shared" si="0"/>
        <v>33000</v>
      </c>
      <c r="L13" s="20" t="s">
        <v>60</v>
      </c>
    </row>
    <row r="14" spans="1:12" ht="24" customHeight="1" x14ac:dyDescent="0.55000000000000004">
      <c r="A14" s="15">
        <v>8</v>
      </c>
      <c r="B14" s="8">
        <v>2547</v>
      </c>
      <c r="C14" s="9" t="s">
        <v>21</v>
      </c>
      <c r="D14" s="9" t="s">
        <v>22</v>
      </c>
      <c r="E14" s="11" t="s">
        <v>12</v>
      </c>
      <c r="F14" s="11">
        <v>17</v>
      </c>
      <c r="G14" s="11" t="s">
        <v>54</v>
      </c>
      <c r="H14" s="11">
        <v>1</v>
      </c>
      <c r="I14" s="16">
        <v>1</v>
      </c>
      <c r="J14" s="12">
        <v>8290</v>
      </c>
      <c r="K14" s="13">
        <f t="shared" si="0"/>
        <v>8290</v>
      </c>
      <c r="L14" s="21" t="s">
        <v>65</v>
      </c>
    </row>
    <row r="15" spans="1:12" ht="24" customHeight="1" x14ac:dyDescent="0.55000000000000004">
      <c r="A15" s="7">
        <v>9</v>
      </c>
      <c r="B15" s="8">
        <v>2548</v>
      </c>
      <c r="C15" s="9" t="s">
        <v>23</v>
      </c>
      <c r="D15" s="9" t="s">
        <v>24</v>
      </c>
      <c r="E15" s="8" t="s">
        <v>12</v>
      </c>
      <c r="F15" s="11">
        <v>16</v>
      </c>
      <c r="G15" s="11" t="s">
        <v>54</v>
      </c>
      <c r="H15" s="11">
        <v>3</v>
      </c>
      <c r="I15" s="16">
        <v>3</v>
      </c>
      <c r="J15" s="12">
        <v>300</v>
      </c>
      <c r="K15" s="13">
        <f t="shared" si="0"/>
        <v>900</v>
      </c>
      <c r="L15" s="14" t="s">
        <v>59</v>
      </c>
    </row>
    <row r="16" spans="1:12" ht="24" customHeight="1" x14ac:dyDescent="0.55000000000000004">
      <c r="A16" s="15">
        <v>10</v>
      </c>
      <c r="B16" s="8">
        <v>2549</v>
      </c>
      <c r="C16" s="9" t="s">
        <v>25</v>
      </c>
      <c r="D16" s="9" t="s">
        <v>24</v>
      </c>
      <c r="E16" s="8" t="s">
        <v>12</v>
      </c>
      <c r="F16" s="11">
        <v>15</v>
      </c>
      <c r="G16" s="11" t="s">
        <v>54</v>
      </c>
      <c r="H16" s="11">
        <v>1</v>
      </c>
      <c r="I16" s="16">
        <v>1</v>
      </c>
      <c r="J16" s="12">
        <v>300</v>
      </c>
      <c r="K16" s="13">
        <f t="shared" si="0"/>
        <v>300</v>
      </c>
      <c r="L16" s="14" t="s">
        <v>59</v>
      </c>
    </row>
    <row r="17" spans="1:12" ht="24" customHeight="1" x14ac:dyDescent="0.55000000000000004">
      <c r="A17" s="7">
        <v>11</v>
      </c>
      <c r="B17" s="8">
        <v>2549</v>
      </c>
      <c r="C17" s="9" t="s">
        <v>26</v>
      </c>
      <c r="D17" s="9" t="s">
        <v>27</v>
      </c>
      <c r="E17" s="8" t="s">
        <v>12</v>
      </c>
      <c r="F17" s="11">
        <v>15</v>
      </c>
      <c r="G17" s="11" t="s">
        <v>54</v>
      </c>
      <c r="H17" s="11">
        <v>1</v>
      </c>
      <c r="I17" s="22">
        <v>1</v>
      </c>
      <c r="J17" s="12">
        <v>340</v>
      </c>
      <c r="K17" s="13">
        <f t="shared" si="0"/>
        <v>340</v>
      </c>
      <c r="L17" s="14" t="s">
        <v>61</v>
      </c>
    </row>
    <row r="18" spans="1:12" ht="24" customHeight="1" x14ac:dyDescent="0.55000000000000004">
      <c r="A18" s="15">
        <v>12</v>
      </c>
      <c r="B18" s="8">
        <v>2550</v>
      </c>
      <c r="C18" s="9" t="s">
        <v>28</v>
      </c>
      <c r="D18" s="9" t="s">
        <v>24</v>
      </c>
      <c r="E18" s="8" t="s">
        <v>12</v>
      </c>
      <c r="F18" s="11">
        <v>14</v>
      </c>
      <c r="G18" s="11" t="s">
        <v>54</v>
      </c>
      <c r="H18" s="11">
        <v>4</v>
      </c>
      <c r="I18" s="16">
        <v>4</v>
      </c>
      <c r="J18" s="17">
        <v>750</v>
      </c>
      <c r="K18" s="13">
        <f t="shared" si="0"/>
        <v>3000</v>
      </c>
      <c r="L18" s="14" t="s">
        <v>59</v>
      </c>
    </row>
    <row r="19" spans="1:12" ht="24" customHeight="1" x14ac:dyDescent="0.55000000000000004">
      <c r="A19" s="7">
        <v>13</v>
      </c>
      <c r="B19" s="8">
        <v>2550</v>
      </c>
      <c r="C19" s="9" t="s">
        <v>29</v>
      </c>
      <c r="D19" s="9" t="s">
        <v>30</v>
      </c>
      <c r="E19" s="8" t="s">
        <v>12</v>
      </c>
      <c r="F19" s="11">
        <v>14</v>
      </c>
      <c r="G19" s="11" t="s">
        <v>54</v>
      </c>
      <c r="H19" s="22">
        <v>5</v>
      </c>
      <c r="I19" s="22">
        <v>5</v>
      </c>
      <c r="J19" s="12">
        <v>350</v>
      </c>
      <c r="K19" s="13">
        <f t="shared" si="0"/>
        <v>1750</v>
      </c>
      <c r="L19" s="14" t="s">
        <v>62</v>
      </c>
    </row>
    <row r="20" spans="1:12" s="36" customFormat="1" ht="24" customHeight="1" x14ac:dyDescent="0.25">
      <c r="A20" s="29">
        <v>14</v>
      </c>
      <c r="B20" s="6">
        <v>2552</v>
      </c>
      <c r="C20" s="30" t="s">
        <v>31</v>
      </c>
      <c r="D20" s="30" t="s">
        <v>32</v>
      </c>
      <c r="E20" s="31" t="s">
        <v>7</v>
      </c>
      <c r="F20" s="32">
        <v>12</v>
      </c>
      <c r="G20" s="32" t="s">
        <v>54</v>
      </c>
      <c r="H20" s="32">
        <v>12</v>
      </c>
      <c r="I20" s="32">
        <v>12</v>
      </c>
      <c r="J20" s="33">
        <v>15750</v>
      </c>
      <c r="K20" s="13">
        <f t="shared" si="0"/>
        <v>189000</v>
      </c>
      <c r="L20" s="35" t="s">
        <v>60</v>
      </c>
    </row>
    <row r="21" spans="1:12" ht="24" customHeight="1" x14ac:dyDescent="0.55000000000000004">
      <c r="A21" s="7">
        <v>15</v>
      </c>
      <c r="B21" s="8">
        <v>2553</v>
      </c>
      <c r="C21" s="9" t="s">
        <v>33</v>
      </c>
      <c r="D21" s="9" t="s">
        <v>34</v>
      </c>
      <c r="E21" s="23" t="s">
        <v>7</v>
      </c>
      <c r="F21" s="11">
        <v>11</v>
      </c>
      <c r="G21" s="11" t="s">
        <v>54</v>
      </c>
      <c r="H21" s="11">
        <v>1</v>
      </c>
      <c r="I21" s="11">
        <v>1</v>
      </c>
      <c r="J21" s="24">
        <v>5350</v>
      </c>
      <c r="K21" s="13">
        <f t="shared" si="0"/>
        <v>5350</v>
      </c>
      <c r="L21" s="21" t="s">
        <v>65</v>
      </c>
    </row>
    <row r="22" spans="1:12" ht="48.75" customHeight="1" thickBot="1" x14ac:dyDescent="0.6">
      <c r="A22" s="29">
        <v>16</v>
      </c>
      <c r="B22" s="6">
        <v>2553</v>
      </c>
      <c r="C22" s="30" t="s">
        <v>35</v>
      </c>
      <c r="D22" s="37" t="s">
        <v>36</v>
      </c>
      <c r="E22" s="31" t="s">
        <v>7</v>
      </c>
      <c r="F22" s="32">
        <v>11</v>
      </c>
      <c r="G22" s="32" t="s">
        <v>54</v>
      </c>
      <c r="H22" s="32">
        <v>1</v>
      </c>
      <c r="I22" s="32">
        <v>1</v>
      </c>
      <c r="J22" s="33">
        <v>17000</v>
      </c>
      <c r="K22" s="34">
        <f>SUM(I22*J22)</f>
        <v>17000</v>
      </c>
      <c r="L22" s="38" t="s">
        <v>66</v>
      </c>
    </row>
    <row r="23" spans="1:12" ht="24" customHeight="1" thickBot="1" x14ac:dyDescent="0.6">
      <c r="A23" s="46" t="s">
        <v>37</v>
      </c>
      <c r="B23" s="47"/>
      <c r="C23" s="47"/>
      <c r="D23" s="47"/>
      <c r="E23" s="47"/>
      <c r="F23" s="47"/>
      <c r="G23" s="47"/>
      <c r="H23" s="47"/>
      <c r="I23" s="47"/>
      <c r="J23" s="48"/>
      <c r="K23" s="39">
        <f>SUM(K7:K22)</f>
        <v>354789.65</v>
      </c>
      <c r="L23" s="40"/>
    </row>
    <row r="24" spans="1:12" ht="24" customHeight="1" thickTop="1" x14ac:dyDescent="0.55000000000000004">
      <c r="A24" s="25"/>
      <c r="B24" s="25"/>
      <c r="C24" s="25"/>
      <c r="D24" s="25"/>
      <c r="E24" s="25"/>
      <c r="F24" s="25"/>
      <c r="G24" s="25"/>
      <c r="H24" s="25"/>
      <c r="I24" s="26"/>
      <c r="J24" s="27"/>
      <c r="K24" s="27"/>
    </row>
    <row r="25" spans="1:12" ht="24" customHeight="1" x14ac:dyDescent="0.55000000000000004">
      <c r="B25" s="28" t="s">
        <v>4</v>
      </c>
      <c r="C25" s="3" t="s">
        <v>52</v>
      </c>
      <c r="I25" s="26"/>
    </row>
    <row r="26" spans="1:12" ht="24" customHeight="1" x14ac:dyDescent="0.55000000000000004">
      <c r="C26" s="3" t="s">
        <v>53</v>
      </c>
      <c r="L26" s="1"/>
    </row>
    <row r="27" spans="1:12" ht="24" customHeight="1" x14ac:dyDescent="0.55000000000000004">
      <c r="L27" s="1"/>
    </row>
    <row r="28" spans="1:12" ht="24" customHeight="1" x14ac:dyDescent="0.55000000000000004">
      <c r="H28" s="41" t="s">
        <v>67</v>
      </c>
      <c r="I28" s="41"/>
      <c r="J28" s="41"/>
      <c r="K28" s="41"/>
      <c r="L28" s="1"/>
    </row>
    <row r="29" spans="1:12" ht="24" customHeight="1" x14ac:dyDescent="0.55000000000000004">
      <c r="H29" s="41" t="s">
        <v>38</v>
      </c>
      <c r="I29" s="41"/>
      <c r="J29" s="41"/>
      <c r="K29" s="41"/>
    </row>
    <row r="30" spans="1:12" ht="24" customHeight="1" x14ac:dyDescent="0.55000000000000004">
      <c r="H30" s="41" t="s">
        <v>39</v>
      </c>
      <c r="I30" s="41"/>
      <c r="J30" s="41"/>
      <c r="K30" s="41"/>
    </row>
  </sheetData>
  <mergeCells count="18">
    <mergeCell ref="L5:L6"/>
    <mergeCell ref="A23:J23"/>
    <mergeCell ref="H28:K2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9:K29"/>
    <mergeCell ref="H30:K30"/>
    <mergeCell ref="H5:I5"/>
    <mergeCell ref="J5:J6"/>
    <mergeCell ref="K5:K6"/>
  </mergeCells>
  <printOptions horizontalCentered="1"/>
  <pageMargins left="0.19685039370078741" right="0.19685039370078741" top="0.59055118110236227" bottom="0.19685039370078741" header="0" footer="0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Pasdoo</cp:lastModifiedBy>
  <cp:lastPrinted>2022-10-17T11:08:38Z</cp:lastPrinted>
  <dcterms:created xsi:type="dcterms:W3CDTF">2021-09-23T11:27:12Z</dcterms:created>
  <dcterms:modified xsi:type="dcterms:W3CDTF">2023-11-06T08:06:00Z</dcterms:modified>
</cp:coreProperties>
</file>