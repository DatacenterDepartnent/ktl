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1. ฝ่ายบริหารทรัพยากร\"/>
    </mc:Choice>
  </mc:AlternateContent>
  <xr:revisionPtr revIDLastSave="0" documentId="13_ncr:1_{A0405A43-866D-4F6F-98B2-ACF9912FAD37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ประชาสัมพันธ์" sheetId="33" r:id="rId1"/>
  </sheets>
  <calcPr calcId="191029"/>
</workbook>
</file>

<file path=xl/calcChain.xml><?xml version="1.0" encoding="utf-8"?>
<calcChain xmlns="http://schemas.openxmlformats.org/spreadsheetml/2006/main">
  <c r="K14" i="33" l="1"/>
  <c r="K8" i="33"/>
  <c r="K9" i="33"/>
  <c r="K10" i="33"/>
  <c r="K11" i="33"/>
  <c r="K12" i="33"/>
  <c r="K13" i="33"/>
  <c r="K15" i="33"/>
  <c r="K17" i="33"/>
  <c r="K16" i="33"/>
  <c r="K18" i="33"/>
  <c r="K19" i="33"/>
  <c r="K20" i="33"/>
  <c r="K21" i="33"/>
  <c r="K22" i="33"/>
  <c r="K7" i="33"/>
  <c r="K23" i="33" l="1"/>
</calcChain>
</file>

<file path=xl/sharedStrings.xml><?xml version="1.0" encoding="utf-8"?>
<sst xmlns="http://schemas.openxmlformats.org/spreadsheetml/2006/main" count="104" uniqueCount="65">
  <si>
    <t>รายการ ขนาด ลักษณะ</t>
  </si>
  <si>
    <t>จำนวน</t>
  </si>
  <si>
    <t>หมายเหตุ</t>
  </si>
  <si>
    <t>ชำรุด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</si>
  <si>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</si>
  <si>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</si>
  <si>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</si>
  <si>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</si>
  <si>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</si>
  <si>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</si>
  <si>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</si>
  <si>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</si>
  <si>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</si>
  <si>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</si>
  <si>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</si>
  <si>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</si>
  <si>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</si>
  <si>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</si>
  <si>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</si>
  <si>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</si>
  <si>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</si>
  <si>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เอกสารหมายเลข ……….</t>
  </si>
  <si>
    <t>เครื่องปริ้นเตอร์ HP PSC 1315</t>
  </si>
  <si>
    <t>บกศ</t>
  </si>
  <si>
    <t>ซาวด์การ์ด</t>
  </si>
  <si>
    <t>เครื่องไรท์ ซีดี</t>
  </si>
  <si>
    <t>ฮาร์ดดิส80</t>
  </si>
  <si>
    <t>ลำโพง</t>
  </si>
  <si>
    <t>5965-003-0001/491-001-006</t>
  </si>
  <si>
    <t>หูฟังพร้อมไมค์</t>
  </si>
  <si>
    <t>ผ้าม่าน ขนาด 0.8*2 เมตร</t>
  </si>
  <si>
    <t>งปม</t>
  </si>
  <si>
    <t>ผ้าม่าน ขนาด 0.7*1.8 เมตร</t>
  </si>
  <si>
    <t>ผ้าม่าน ขนาด 0.9*1.85 เมตร</t>
  </si>
  <si>
    <t>ผ้าม่าน ขนาด 1*1.35 เมตร</t>
  </si>
  <si>
    <t>ผ้าม่าน ขนาด 0.9*45 เมตร</t>
  </si>
  <si>
    <t>7110-006-0006/531-010</t>
  </si>
  <si>
    <t>เก้าอี้ ขาเหล็ก 5 แฉก</t>
  </si>
  <si>
    <t>7430-008-0002/531-022</t>
  </si>
  <si>
    <t>เครื่องปริ้นเตอร์ CANNON LBp3050</t>
  </si>
  <si>
    <t>7440-001-0001//531-148</t>
  </si>
  <si>
    <t>เครื่องคอมพิวเตอร์พร้อมโต๊ะเก้าอี้</t>
  </si>
  <si>
    <t>6760-0802-6002/602-001</t>
  </si>
  <si>
    <t>แฟลต speedlite yn 568ex2</t>
  </si>
  <si>
    <t>6760-0802-6003/602-001</t>
  </si>
  <si>
    <t>ขาตั้งกล้อง</t>
  </si>
  <si>
    <t>-</t>
  </si>
  <si>
    <t>เครื่องเปิดไม่ติด/ไม่พบโต๊ะเก้าอี้</t>
  </si>
  <si>
    <t>ปริ้นไม่ได้ ตลับหมึกชำรุด</t>
  </si>
  <si>
    <t>ไหม้</t>
  </si>
  <si>
    <t>ดอกลำโพงขาด</t>
  </si>
  <si>
    <t>ขาด</t>
  </si>
  <si>
    <t>ขาเก้าอี้หัก</t>
  </si>
  <si>
    <t>ตลับหมึกชำรุด</t>
  </si>
  <si>
    <t>แตกใช้งานไม่ได้</t>
  </si>
  <si>
    <t>ขาหลุด</t>
  </si>
  <si>
    <t>ประจำปี 2565 สิ้นงวดเมื่อวันที่ 30 กันยายน 2565 ของงานประชาสัมพันธ์</t>
  </si>
  <si>
    <t>(นายชินาธิป  พรมชา)</t>
  </si>
  <si>
    <t>7430-008-0002/492-006</t>
  </si>
  <si>
    <t>7440-001-0001/492-001</t>
  </si>
  <si>
    <t>7440-010-0002/492-007</t>
  </si>
  <si>
    <t>7440-010-0003/492-001</t>
  </si>
  <si>
    <t>7440-010-0004/492-001</t>
  </si>
  <si>
    <t>8350-001-0001/491-001-006</t>
  </si>
  <si>
    <t>8350-001-0001/491-001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</si>
</sst>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Alignment="1">
      <alignment horizontal="left"/>
    </xf>
    <xf numFmtId="43" fontId="3" fillId="0" borderId="0" xfId="12" applyFont="1" applyBorder="1" applyAlignment="1"/>
    <xf numFmtId="0" fontId="3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8" xfId="0" applyNumberFormat="1" applyFont="1" applyBorder="1"/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4" fillId="0" borderId="8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43" fontId="3" fillId="0" borderId="1" xfId="12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1533525</xdr:colOff>
      <xdr:row>24</xdr:row>
      <xdr:rowOff>76204</xdr:rowOff>
    </xdr:from>
    <xdr:to>
      <xdr:col>11</xdr:col>
      <xdr:colOff>1866900</xdr:colOff>
      <xdr:row>28</xdr:row>
      <xdr:rowOff>257176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544302" y="8210552"/>
          <a:ext cx="1400172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P30"/>
  <sheetViews>
    <sheetView tabSelected="1" zoomScaleNormal="100" workbookViewId="0">
      <selection activeCell="A4" sqref="A4:L4"/>
    </sheetView>
  </sheetViews>
  <sheetFormatPr defaultColWidth="9" defaultRowHeight="24" customHeight="1"/>
  <cols>
    <col min="1" max="1" width="5.42578125" style="2" customWidth="1"/>
    <col min="2" max="2" width="15" style="2" customWidth="1"/>
    <col min="3" max="3" width="32.7109375" style="2" customWidth="1"/>
    <col min="4" max="4" width="40.5703125" style="2" customWidth="1"/>
    <col min="5" max="5" width="8" style="2" customWidth="1"/>
    <col min="6" max="6" width="8.85546875" style="2" customWidth="1"/>
    <col min="7" max="7" width="7.5703125" style="2" customWidth="1"/>
    <col min="8" max="8" width="7.28515625" style="2" customWidth="1"/>
    <col min="9" max="9" width="6.7109375" style="2" customWidth="1"/>
    <col min="10" max="10" width="15.5703125" style="2" customWidth="1"/>
    <col min="11" max="11" width="17.7109375" style="2" customWidth="1"/>
    <col min="12" max="12" width="29" style="6" customWidth="1"/>
    <col min="13" max="13" width="18.28515625" style="2" customWidth="1"/>
    <col min="14" max="14" width="12.7109375" style="2" customWidth="1"/>
    <col min="15" max="15" width="9" style="2"/>
    <col min="16" max="16" width="12.42578125" style="2" bestFit="1" customWidth="1"/>
    <col min="17" max="16384" width="9" style="2"/>
  </cols>
  <sheetData>
    <row r="1" spans="1:14" ht="24" customHeight="1">
      <c r="L1" s="6" t="s">
        <v>21</v>
      </c>
    </row>
    <row r="2" spans="1:14" ht="24" customHeight="1">
      <c r="A2" s="30" t="s">
        <v>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6"/>
    </row>
    <row r="3" spans="1:14" ht="24" customHeight="1">
      <c r="A3" s="31" t="s">
        <v>20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19"/>
    </row>
    <row r="4" spans="1:14" ht="24" customHeight="1">
      <c r="A4" s="32" t="s">
        <v>56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6"/>
    </row>
    <row r="5" spans="1:14" ht="24" customHeight="1">
      <c r="A5" s="25" t="s">
        <v>8</v>
      </c>
      <c r="B5" s="25" t="s">
        <v>19</v>
      </c>
      <c r="C5" s="25" t="s">
        <v>16</v>
      </c>
      <c r="D5" s="33" t="s">
        <v>0</v>
      </c>
      <c r="E5" s="25" t="s">
        <v>11</v>
      </c>
      <c r="F5" s="25" t="s">
        <v>10</v>
      </c>
      <c r="G5" s="35" t="s">
        <v>12</v>
      </c>
      <c r="H5" s="37" t="s">
        <v>1</v>
      </c>
      <c r="I5" s="38"/>
      <c r="J5" s="25" t="s">
        <v>15</v>
      </c>
      <c r="K5" s="25" t="s">
        <v>9</v>
      </c>
      <c r="L5" s="25" t="s">
        <v>14</v>
      </c>
      <c r="M5" s="18"/>
    </row>
    <row r="6" spans="1:14" ht="46.5" customHeight="1">
      <c r="A6" s="26"/>
      <c r="B6" s="26"/>
      <c r="C6" s="26"/>
      <c r="D6" s="34"/>
      <c r="E6" s="26"/>
      <c r="F6" s="26"/>
      <c r="G6" s="36"/>
      <c r="H6" s="10" t="s">
        <v>13</v>
      </c>
      <c r="I6" s="9" t="s">
        <v>3</v>
      </c>
      <c r="J6" s="26"/>
      <c r="K6" s="26"/>
      <c r="L6" s="26"/>
      <c r="M6" s="14"/>
      <c r="N6" s="12"/>
    </row>
    <row r="7" spans="1:14" ht="24" customHeight="1">
      <c r="A7" s="7">
        <v>1</v>
      </c>
      <c r="B7" s="11">
        <v>2549</v>
      </c>
      <c r="C7" s="3" t="s">
        <v>58</v>
      </c>
      <c r="D7" s="1" t="s">
        <v>22</v>
      </c>
      <c r="E7" s="4" t="s">
        <v>23</v>
      </c>
      <c r="F7" s="4">
        <v>16</v>
      </c>
      <c r="G7" s="4" t="s">
        <v>46</v>
      </c>
      <c r="H7" s="5">
        <v>1</v>
      </c>
      <c r="I7" s="5">
        <v>1</v>
      </c>
      <c r="J7" s="8">
        <v>5900</v>
      </c>
      <c r="K7" s="8">
        <f>SUM(I7*J7)</f>
        <v>5900</v>
      </c>
      <c r="L7" s="22" t="s">
        <v>48</v>
      </c>
      <c r="M7" s="14"/>
      <c r="N7" s="12"/>
    </row>
    <row r="8" spans="1:14" ht="24" customHeight="1">
      <c r="A8" s="7">
        <v>2</v>
      </c>
      <c r="B8" s="11">
        <v>2549</v>
      </c>
      <c r="C8" s="3" t="s">
        <v>59</v>
      </c>
      <c r="D8" s="1" t="s">
        <v>24</v>
      </c>
      <c r="E8" s="4" t="s">
        <v>23</v>
      </c>
      <c r="F8" s="4">
        <v>16</v>
      </c>
      <c r="G8" s="4" t="s">
        <v>46</v>
      </c>
      <c r="H8" s="5">
        <v>1</v>
      </c>
      <c r="I8" s="5">
        <v>1</v>
      </c>
      <c r="J8" s="8">
        <v>900</v>
      </c>
      <c r="K8" s="8">
        <f t="shared" ref="K8:K22" si="0">SUM(I8*J8)</f>
        <v>900</v>
      </c>
      <c r="L8" s="22" t="s">
        <v>49</v>
      </c>
      <c r="M8" s="14"/>
      <c r="N8" s="12"/>
    </row>
    <row r="9" spans="1:14" ht="24" customHeight="1">
      <c r="A9" s="7">
        <v>3</v>
      </c>
      <c r="B9" s="11">
        <v>2549</v>
      </c>
      <c r="C9" s="3" t="s">
        <v>60</v>
      </c>
      <c r="D9" s="1" t="s">
        <v>25</v>
      </c>
      <c r="E9" s="4" t="s">
        <v>23</v>
      </c>
      <c r="F9" s="4">
        <v>16</v>
      </c>
      <c r="G9" s="4" t="s">
        <v>46</v>
      </c>
      <c r="H9" s="5">
        <v>1</v>
      </c>
      <c r="I9" s="5">
        <v>1</v>
      </c>
      <c r="J9" s="8">
        <v>1200</v>
      </c>
      <c r="K9" s="8">
        <f t="shared" si="0"/>
        <v>1200</v>
      </c>
      <c r="L9" s="22" t="s">
        <v>49</v>
      </c>
      <c r="M9" s="14"/>
      <c r="N9" s="12"/>
    </row>
    <row r="10" spans="1:14" ht="24" customHeight="1">
      <c r="A10" s="7">
        <v>4</v>
      </c>
      <c r="B10" s="11">
        <v>2549</v>
      </c>
      <c r="C10" s="3" t="s">
        <v>61</v>
      </c>
      <c r="D10" s="1" t="s">
        <v>26</v>
      </c>
      <c r="E10" s="4" t="s">
        <v>23</v>
      </c>
      <c r="F10" s="4">
        <v>16</v>
      </c>
      <c r="G10" s="4" t="s">
        <v>46</v>
      </c>
      <c r="H10" s="5">
        <v>1</v>
      </c>
      <c r="I10" s="5">
        <v>1</v>
      </c>
      <c r="J10" s="8">
        <v>2900</v>
      </c>
      <c r="K10" s="8">
        <f t="shared" si="0"/>
        <v>2900</v>
      </c>
      <c r="L10" s="22" t="s">
        <v>49</v>
      </c>
      <c r="M10" s="14"/>
      <c r="N10" s="12"/>
    </row>
    <row r="11" spans="1:14" ht="24" customHeight="1">
      <c r="A11" s="7">
        <v>5</v>
      </c>
      <c r="B11" s="11">
        <v>2549</v>
      </c>
      <c r="C11" s="3" t="s">
        <v>62</v>
      </c>
      <c r="D11" s="1" t="s">
        <v>27</v>
      </c>
      <c r="E11" s="4" t="s">
        <v>23</v>
      </c>
      <c r="F11" s="4">
        <v>16</v>
      </c>
      <c r="G11" s="4" t="s">
        <v>46</v>
      </c>
      <c r="H11" s="5">
        <v>1</v>
      </c>
      <c r="I11" s="5">
        <v>1</v>
      </c>
      <c r="J11" s="8">
        <v>1200</v>
      </c>
      <c r="K11" s="8">
        <f t="shared" si="0"/>
        <v>1200</v>
      </c>
      <c r="L11" s="23" t="s">
        <v>50</v>
      </c>
      <c r="M11" s="12"/>
      <c r="N11" s="12"/>
    </row>
    <row r="12" spans="1:14" ht="24" customHeight="1">
      <c r="A12" s="7">
        <v>6</v>
      </c>
      <c r="B12" s="11">
        <v>2549</v>
      </c>
      <c r="C12" s="3" t="s">
        <v>28</v>
      </c>
      <c r="D12" s="1" t="s">
        <v>29</v>
      </c>
      <c r="E12" s="4" t="s">
        <v>23</v>
      </c>
      <c r="F12" s="4">
        <v>16</v>
      </c>
      <c r="G12" s="4" t="s">
        <v>46</v>
      </c>
      <c r="H12" s="5">
        <v>1</v>
      </c>
      <c r="I12" s="5">
        <v>1</v>
      </c>
      <c r="J12" s="8">
        <v>250</v>
      </c>
      <c r="K12" s="8">
        <f t="shared" si="0"/>
        <v>250</v>
      </c>
      <c r="L12" s="23" t="s">
        <v>51</v>
      </c>
      <c r="M12" s="12"/>
      <c r="N12" s="12"/>
    </row>
    <row r="13" spans="1:14" ht="24" customHeight="1">
      <c r="A13" s="7">
        <v>7</v>
      </c>
      <c r="B13" s="11">
        <v>2549</v>
      </c>
      <c r="C13" s="3" t="s">
        <v>63</v>
      </c>
      <c r="D13" s="1" t="s">
        <v>30</v>
      </c>
      <c r="E13" s="4" t="s">
        <v>31</v>
      </c>
      <c r="F13" s="4">
        <v>16</v>
      </c>
      <c r="G13" s="4" t="s">
        <v>46</v>
      </c>
      <c r="H13" s="5">
        <v>6</v>
      </c>
      <c r="I13" s="5">
        <v>6</v>
      </c>
      <c r="J13" s="8">
        <v>500</v>
      </c>
      <c r="K13" s="8">
        <f t="shared" si="0"/>
        <v>3000</v>
      </c>
      <c r="L13" s="23" t="s">
        <v>51</v>
      </c>
      <c r="M13" s="12"/>
      <c r="N13" s="12"/>
    </row>
    <row r="14" spans="1:14" ht="24" customHeight="1">
      <c r="A14" s="7">
        <v>8</v>
      </c>
      <c r="B14" s="11">
        <v>2549</v>
      </c>
      <c r="C14" s="3" t="s">
        <v>64</v>
      </c>
      <c r="D14" s="1" t="s">
        <v>33</v>
      </c>
      <c r="E14" s="4" t="s">
        <v>31</v>
      </c>
      <c r="F14" s="4">
        <v>16</v>
      </c>
      <c r="G14" s="4" t="s">
        <v>46</v>
      </c>
      <c r="H14" s="5">
        <v>1</v>
      </c>
      <c r="I14" s="5">
        <v>1</v>
      </c>
      <c r="J14" s="8">
        <v>600</v>
      </c>
      <c r="K14" s="8">
        <f t="shared" si="0"/>
        <v>600</v>
      </c>
      <c r="L14" s="23" t="s">
        <v>51</v>
      </c>
      <c r="M14" s="12"/>
      <c r="N14" s="12"/>
    </row>
    <row r="15" spans="1:14" ht="24" customHeight="1">
      <c r="A15" s="7">
        <v>9</v>
      </c>
      <c r="B15" s="11">
        <v>2549</v>
      </c>
      <c r="C15" s="3" t="s">
        <v>64</v>
      </c>
      <c r="D15" s="1" t="s">
        <v>32</v>
      </c>
      <c r="E15" s="4" t="s">
        <v>31</v>
      </c>
      <c r="F15" s="4">
        <v>16</v>
      </c>
      <c r="G15" s="4" t="s">
        <v>46</v>
      </c>
      <c r="H15" s="5">
        <v>1</v>
      </c>
      <c r="I15" s="5">
        <v>1</v>
      </c>
      <c r="J15" s="8">
        <v>500</v>
      </c>
      <c r="K15" s="8">
        <f t="shared" si="0"/>
        <v>500</v>
      </c>
      <c r="L15" s="23" t="s">
        <v>51</v>
      </c>
      <c r="M15" s="12"/>
      <c r="N15" s="12"/>
    </row>
    <row r="16" spans="1:14" ht="24" customHeight="1">
      <c r="A16" s="7">
        <v>10</v>
      </c>
      <c r="B16" s="11">
        <v>2549</v>
      </c>
      <c r="C16" s="3" t="s">
        <v>64</v>
      </c>
      <c r="D16" s="1" t="s">
        <v>34</v>
      </c>
      <c r="E16" s="4" t="s">
        <v>31</v>
      </c>
      <c r="F16" s="4">
        <v>16</v>
      </c>
      <c r="G16" s="4" t="s">
        <v>46</v>
      </c>
      <c r="H16" s="5">
        <v>1</v>
      </c>
      <c r="I16" s="5">
        <v>1</v>
      </c>
      <c r="J16" s="8">
        <v>500</v>
      </c>
      <c r="K16" s="8">
        <f>SUM(I16*J16)</f>
        <v>500</v>
      </c>
      <c r="L16" s="23" t="s">
        <v>51</v>
      </c>
      <c r="M16" s="12"/>
      <c r="N16" s="12"/>
    </row>
    <row r="17" spans="1:16" ht="24" customHeight="1">
      <c r="A17" s="7">
        <v>11</v>
      </c>
      <c r="B17" s="11">
        <v>2549</v>
      </c>
      <c r="C17" s="3" t="s">
        <v>64</v>
      </c>
      <c r="D17" s="1" t="s">
        <v>35</v>
      </c>
      <c r="E17" s="4" t="s">
        <v>31</v>
      </c>
      <c r="F17" s="4">
        <v>16</v>
      </c>
      <c r="G17" s="4" t="s">
        <v>46</v>
      </c>
      <c r="H17" s="5">
        <v>1</v>
      </c>
      <c r="I17" s="5">
        <v>1</v>
      </c>
      <c r="J17" s="8">
        <v>400</v>
      </c>
      <c r="K17" s="8">
        <f t="shared" si="0"/>
        <v>400</v>
      </c>
      <c r="L17" s="23" t="s">
        <v>51</v>
      </c>
      <c r="M17" s="12"/>
      <c r="N17" s="12"/>
    </row>
    <row r="18" spans="1:16" ht="24" customHeight="1">
      <c r="A18" s="7">
        <v>12</v>
      </c>
      <c r="B18" s="11">
        <v>2553</v>
      </c>
      <c r="C18" s="3" t="s">
        <v>36</v>
      </c>
      <c r="D18" s="1" t="s">
        <v>37</v>
      </c>
      <c r="E18" s="4" t="s">
        <v>31</v>
      </c>
      <c r="F18" s="4">
        <v>12</v>
      </c>
      <c r="G18" s="4" t="s">
        <v>46</v>
      </c>
      <c r="H18" s="5">
        <v>1</v>
      </c>
      <c r="I18" s="5">
        <v>1</v>
      </c>
      <c r="J18" s="8">
        <v>1100</v>
      </c>
      <c r="K18" s="8">
        <f t="shared" si="0"/>
        <v>1100</v>
      </c>
      <c r="L18" s="23" t="s">
        <v>52</v>
      </c>
      <c r="M18" s="12"/>
      <c r="N18" s="12"/>
    </row>
    <row r="19" spans="1:16" ht="24" customHeight="1">
      <c r="A19" s="7">
        <v>13</v>
      </c>
      <c r="B19" s="11">
        <v>2553</v>
      </c>
      <c r="C19" s="3" t="s">
        <v>38</v>
      </c>
      <c r="D19" s="1" t="s">
        <v>39</v>
      </c>
      <c r="E19" s="4" t="s">
        <v>31</v>
      </c>
      <c r="F19" s="4">
        <v>12</v>
      </c>
      <c r="G19" s="4" t="s">
        <v>46</v>
      </c>
      <c r="H19" s="5">
        <v>1</v>
      </c>
      <c r="I19" s="5">
        <v>1</v>
      </c>
      <c r="J19" s="8">
        <v>5350</v>
      </c>
      <c r="K19" s="8">
        <f t="shared" si="0"/>
        <v>5350</v>
      </c>
      <c r="L19" s="23" t="s">
        <v>53</v>
      </c>
      <c r="M19" s="12"/>
      <c r="N19" s="12"/>
    </row>
    <row r="20" spans="1:16" ht="24" customHeight="1">
      <c r="A20" s="7">
        <v>14</v>
      </c>
      <c r="B20" s="11">
        <v>2553</v>
      </c>
      <c r="C20" s="3" t="s">
        <v>40</v>
      </c>
      <c r="D20" s="1" t="s">
        <v>41</v>
      </c>
      <c r="E20" s="4" t="s">
        <v>31</v>
      </c>
      <c r="F20" s="4">
        <v>12</v>
      </c>
      <c r="G20" s="4" t="s">
        <v>46</v>
      </c>
      <c r="H20" s="5">
        <v>1</v>
      </c>
      <c r="I20" s="5">
        <v>1</v>
      </c>
      <c r="J20" s="8">
        <v>17000</v>
      </c>
      <c r="K20" s="8">
        <f t="shared" si="0"/>
        <v>17000</v>
      </c>
      <c r="L20" s="23" t="s">
        <v>47</v>
      </c>
      <c r="M20" s="12"/>
      <c r="N20" s="12"/>
    </row>
    <row r="21" spans="1:16" ht="24" customHeight="1">
      <c r="A21" s="7">
        <v>15</v>
      </c>
      <c r="B21" s="21">
        <v>22128</v>
      </c>
      <c r="C21" s="3" t="s">
        <v>42</v>
      </c>
      <c r="D21" s="1" t="s">
        <v>43</v>
      </c>
      <c r="E21" s="4" t="s">
        <v>23</v>
      </c>
      <c r="F21" s="4">
        <v>5</v>
      </c>
      <c r="G21" s="4" t="s">
        <v>46</v>
      </c>
      <c r="H21" s="5">
        <v>1</v>
      </c>
      <c r="I21" s="5">
        <v>1</v>
      </c>
      <c r="J21" s="8">
        <v>5900</v>
      </c>
      <c r="K21" s="8">
        <f t="shared" si="0"/>
        <v>5900</v>
      </c>
      <c r="L21" s="23" t="s">
        <v>54</v>
      </c>
      <c r="M21" s="12"/>
      <c r="N21" s="12"/>
    </row>
    <row r="22" spans="1:16" ht="24" customHeight="1">
      <c r="A22" s="7">
        <v>16</v>
      </c>
      <c r="B22" s="21">
        <v>241274</v>
      </c>
      <c r="C22" s="3" t="s">
        <v>44</v>
      </c>
      <c r="D22" s="1" t="s">
        <v>45</v>
      </c>
      <c r="E22" s="4" t="s">
        <v>23</v>
      </c>
      <c r="F22" s="4">
        <v>5</v>
      </c>
      <c r="G22" s="4" t="s">
        <v>46</v>
      </c>
      <c r="H22" s="5">
        <v>1</v>
      </c>
      <c r="I22" s="5">
        <v>1</v>
      </c>
      <c r="J22" s="8">
        <v>3900</v>
      </c>
      <c r="K22" s="8">
        <f t="shared" si="0"/>
        <v>3900</v>
      </c>
      <c r="L22" s="23" t="s">
        <v>55</v>
      </c>
      <c r="M22" s="12"/>
      <c r="N22" s="12"/>
    </row>
    <row r="23" spans="1:16" ht="24" customHeight="1" thickBot="1">
      <c r="A23" s="27" t="s">
        <v>6</v>
      </c>
      <c r="B23" s="28"/>
      <c r="C23" s="28"/>
      <c r="D23" s="28"/>
      <c r="E23" s="28"/>
      <c r="F23" s="28"/>
      <c r="G23" s="28"/>
      <c r="H23" s="28"/>
      <c r="I23" s="28"/>
      <c r="J23" s="29"/>
      <c r="K23" s="17">
        <f>SUM(K7:K22)</f>
        <v>50600</v>
      </c>
      <c r="L23" s="20"/>
      <c r="M23" s="6"/>
    </row>
    <row r="24" spans="1:16" ht="24" customHeight="1" thickTop="1">
      <c r="I24" s="15"/>
      <c r="M24" s="6"/>
      <c r="P24" s="12"/>
    </row>
    <row r="25" spans="1:16" ht="24" customHeight="1">
      <c r="B25" s="16" t="s">
        <v>2</v>
      </c>
      <c r="C25" s="13" t="s">
        <v>17</v>
      </c>
      <c r="L25" s="2"/>
      <c r="M25" s="6"/>
    </row>
    <row r="26" spans="1:16" ht="24" customHeight="1">
      <c r="B26" s="6"/>
      <c r="C26" s="13" t="s">
        <v>18</v>
      </c>
      <c r="L26" s="2"/>
    </row>
    <row r="27" spans="1:16" ht="24" customHeight="1">
      <c r="D27" s="13"/>
      <c r="L27" s="2"/>
    </row>
    <row r="28" spans="1:16" ht="24" customHeight="1">
      <c r="I28" s="24" t="s">
        <v>4</v>
      </c>
      <c r="J28" s="24"/>
      <c r="K28" s="24"/>
    </row>
    <row r="29" spans="1:16" ht="24" customHeight="1">
      <c r="I29" s="24" t="s">
        <v>57</v>
      </c>
      <c r="J29" s="24"/>
      <c r="K29" s="24"/>
    </row>
    <row r="30" spans="1:16" ht="24" customHeight="1">
      <c r="I30" s="24" t="s">
        <v>5</v>
      </c>
      <c r="J30" s="24"/>
      <c r="K30" s="24"/>
    </row>
  </sheetData>
  <mergeCells count="18"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I30:K30"/>
    <mergeCell ref="K5:K6"/>
    <mergeCell ref="L5:L6"/>
    <mergeCell ref="A23:J23"/>
    <mergeCell ref="I28:K28"/>
    <mergeCell ref="I29:K29"/>
  </mergeCells>
  <printOptions horizontalCentered="1"/>
  <pageMargins left="0.19685039370078741" right="0" top="0.59055118110236227" bottom="0.19685039370078741" header="0" footer="0"/>
  <pageSetup paperSize="9" scale="7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งานประชาสัมพันธ์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2022-10-12T04:07:52Z</cp:lastPrinted>
  <dcterms:created xsi:type="dcterms:W3CDTF">2017-11-14T01:32:33Z</dcterms:created>
  <dcterms:modified xsi:type="dcterms:W3CDTF">2023-11-03T02:49:56Z</dcterms:modified>
</cp:coreProperties>
</file>