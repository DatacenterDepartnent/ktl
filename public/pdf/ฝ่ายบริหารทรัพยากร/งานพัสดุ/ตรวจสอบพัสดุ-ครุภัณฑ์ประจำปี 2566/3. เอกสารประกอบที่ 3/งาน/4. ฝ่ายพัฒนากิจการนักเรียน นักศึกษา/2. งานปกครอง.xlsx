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4. ฝ่ายพัฒนากิจการนักเรียน นักศึกษา\"/>
    </mc:Choice>
  </mc:AlternateContent>
  <xr:revisionPtr revIDLastSave="0" documentId="13_ncr:1_{00E338EF-3D05-499D-826A-F33EF8F6CE0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กครอง" sheetId="46" r:id="rId1"/>
  </sheets>
  <calcPr calcId="191029"/>
</workbook>
</file>

<file path=xl/calcChain.xml><?xml version="1.0" encoding="utf-8"?>
<calcChain xmlns="http://schemas.openxmlformats.org/spreadsheetml/2006/main">
  <c r="K13" i="46" l="1"/>
  <c r="K8" i="46"/>
  <c r="K9" i="46"/>
  <c r="K10" i="46"/>
  <c r="K11" i="46"/>
  <c r="K12" i="46"/>
  <c r="K7" i="46"/>
</calcChain>
</file>

<file path=xl/sharedStrings.xml><?xml version="1.0" encoding="utf-8"?>
<sst xmlns="http://schemas.openxmlformats.org/spreadsheetml/2006/main" count="56" uniqueCount="47">
  <si>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</si>
  <si>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</si>
  <si>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</si>
  <si>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</si>
  <si>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</si>
  <si>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</si>
  <si>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</si>
  <si>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</si>
  <si>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</si>
  <si>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</si>
  <si>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</si>
  <si>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</si>
  <si>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</si>
  <si>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</si>
  <si>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</si>
  <si>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</si>
  <si>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</si>
  <si>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</si>
  <si>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</si>
  <si>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</si>
  <si>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</si>
  <si>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</si>
  <si>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</si>
  <si>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งปม</t>
  </si>
  <si>
    <t>2549</t>
  </si>
  <si>
    <t>7125-002-0002/492-005</t>
  </si>
  <si>
    <t>ตู้เหล็ก 4 ลิ้นชัก</t>
  </si>
  <si>
    <t>บกศ</t>
  </si>
  <si>
    <t>7430-008-0002/493-003</t>
  </si>
  <si>
    <t>เครื่องปริ้นเตอร์ HP 1020</t>
  </si>
  <si>
    <t>บริจาค</t>
  </si>
  <si>
    <t>7430-008-0002/492-010</t>
  </si>
  <si>
    <t>7440-010-0005/502-001</t>
  </si>
  <si>
    <t>จอคอมพิวเตอร์ SVOA  17  นิ้ว</t>
  </si>
  <si>
    <t>7110-007-0004/521-001-002</t>
  </si>
  <si>
    <t>โต๊ะเหล็ก ขนาด 4 ฟุต SMART FORM + เก้าอี้</t>
  </si>
  <si>
    <t>6710-004-0001/531-02</t>
  </si>
  <si>
    <t>กล้องถ่ายภาพเคลื่อนไว</t>
  </si>
  <si>
    <t>ฐานตู้เหล็กสนิมกัด</t>
  </si>
  <si>
    <t>หัวพิมพ์แตก</t>
  </si>
  <si>
    <t>ตลับหมึกพัง/ไฟซ๊อตที่แผงไฟ</t>
  </si>
  <si>
    <t>แผงไฟจอพัง</t>
  </si>
  <si>
    <t>ขาโต๊ะหัก/ขาเก้าอี้สนิมขึ้น</t>
  </si>
  <si>
    <t>เซนเซอร์พัง/แป้นรับแบตชาร์จไฟไม่เข้า</t>
  </si>
  <si>
    <t xml:space="preserve"> -</t>
  </si>
  <si>
    <t>ประจำปี 2565 สิ้นงวดเมื่อวันที่ 30 กันยายน 2565 ของงานปกครอง</t>
  </si>
  <si>
    <t>(นายสมาน  คำขาว)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</si>
</sst>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3" fillId="0" borderId="1" xfId="12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1504950</xdr:colOff>
      <xdr:row>14</xdr:row>
      <xdr:rowOff>28575</xdr:rowOff>
    </xdr:from>
    <xdr:to>
      <xdr:col>11</xdr:col>
      <xdr:colOff>1828800</xdr:colOff>
      <xdr:row>18</xdr:row>
      <xdr:rowOff>209550</xdr:rowOff>
    </xdr:to>
    <xdr:sp macro="" textlink="">
      <xdr:nvSpPr>
        <xdr:cNvPr id="3" name="กล่องข้อความ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0901362" y="5167313"/>
          <a:ext cx="1400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topLeftCell="A4" workbookViewId="0">
      <selection activeCell="I7" sqref="I7:K12"/>
    </sheetView>
  </sheetViews>
  <sheetFormatPr defaultColWidth="9" defaultRowHeight="24"/>
  <cols>
    <col min="1" max="1" width="5.28515625" style="2" customWidth="1"/>
    <col min="2" max="2" width="12" style="19" customWidth="1"/>
    <col min="3" max="3" width="28.42578125" style="13" customWidth="1"/>
    <col min="4" max="4" width="39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2.28515625" style="19" customWidth="1"/>
    <col min="13" max="16384" width="9" style="2"/>
  </cols>
  <sheetData>
    <row r="1" spans="1:12">
      <c r="L1" s="19" t="s">
        <v>21</v>
      </c>
    </row>
    <row r="2" spans="1:12">
      <c r="A2" s="22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23" t="s">
        <v>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>
      <c r="A4" s="24" t="s">
        <v>45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>
      <c r="A5" s="25" t="s">
        <v>9</v>
      </c>
      <c r="B5" s="25" t="s">
        <v>20</v>
      </c>
      <c r="C5" s="25" t="s">
        <v>17</v>
      </c>
      <c r="D5" s="27" t="s">
        <v>0</v>
      </c>
      <c r="E5" s="25" t="s">
        <v>12</v>
      </c>
      <c r="F5" s="25" t="s">
        <v>11</v>
      </c>
      <c r="G5" s="29" t="s">
        <v>13</v>
      </c>
      <c r="H5" s="31" t="s">
        <v>1</v>
      </c>
      <c r="I5" s="32"/>
      <c r="J5" s="25" t="s">
        <v>16</v>
      </c>
      <c r="K5" s="25" t="s">
        <v>10</v>
      </c>
      <c r="L5" s="25" t="s">
        <v>15</v>
      </c>
    </row>
    <row r="6" spans="1:12" ht="72">
      <c r="A6" s="26"/>
      <c r="B6" s="26"/>
      <c r="C6" s="26"/>
      <c r="D6" s="28"/>
      <c r="E6" s="26"/>
      <c r="F6" s="26"/>
      <c r="G6" s="30"/>
      <c r="H6" s="11" t="s">
        <v>14</v>
      </c>
      <c r="I6" s="10" t="s">
        <v>3</v>
      </c>
      <c r="J6" s="26"/>
      <c r="K6" s="26"/>
      <c r="L6" s="26"/>
    </row>
    <row r="7" spans="1:12">
      <c r="A7" s="12">
        <v>1</v>
      </c>
      <c r="B7" s="9" t="s">
        <v>24</v>
      </c>
      <c r="C7" s="3" t="s">
        <v>25</v>
      </c>
      <c r="D7" s="1" t="s">
        <v>26</v>
      </c>
      <c r="E7" s="4" t="s">
        <v>27</v>
      </c>
      <c r="F7" s="4">
        <v>16</v>
      </c>
      <c r="G7" s="4" t="s">
        <v>44</v>
      </c>
      <c r="H7" s="4">
        <v>1</v>
      </c>
      <c r="I7" s="5">
        <v>1</v>
      </c>
      <c r="J7" s="6">
        <v>3100</v>
      </c>
      <c r="K7" s="6">
        <f>SUM(I7*J7)</f>
        <v>3100</v>
      </c>
      <c r="L7" s="21" t="s">
        <v>38</v>
      </c>
    </row>
    <row r="8" spans="1:12">
      <c r="A8" s="12">
        <v>2</v>
      </c>
      <c r="B8" s="7">
        <v>2549</v>
      </c>
      <c r="C8" s="3" t="s">
        <v>28</v>
      </c>
      <c r="D8" s="1" t="s">
        <v>29</v>
      </c>
      <c r="E8" s="4" t="s">
        <v>30</v>
      </c>
      <c r="F8" s="4">
        <v>16</v>
      </c>
      <c r="G8" s="4" t="s">
        <v>44</v>
      </c>
      <c r="H8" s="4">
        <v>1</v>
      </c>
      <c r="I8" s="5">
        <v>1</v>
      </c>
      <c r="J8" s="6">
        <v>5500</v>
      </c>
      <c r="K8" s="6">
        <f t="shared" ref="K8:K12" si="0">SUM(I8*J8)</f>
        <v>5500</v>
      </c>
      <c r="L8" s="21" t="s">
        <v>39</v>
      </c>
    </row>
    <row r="9" spans="1:12">
      <c r="A9" s="12">
        <v>3</v>
      </c>
      <c r="B9" s="7">
        <v>2549</v>
      </c>
      <c r="C9" s="3" t="s">
        <v>31</v>
      </c>
      <c r="D9" s="1" t="s">
        <v>29</v>
      </c>
      <c r="E9" s="4" t="s">
        <v>27</v>
      </c>
      <c r="F9" s="4">
        <v>16</v>
      </c>
      <c r="G9" s="4" t="s">
        <v>44</v>
      </c>
      <c r="H9" s="4">
        <v>1</v>
      </c>
      <c r="I9" s="5">
        <v>1</v>
      </c>
      <c r="J9" s="6">
        <v>5296.5</v>
      </c>
      <c r="K9" s="6">
        <f t="shared" si="0"/>
        <v>5296.5</v>
      </c>
      <c r="L9" s="21" t="s">
        <v>40</v>
      </c>
    </row>
    <row r="10" spans="1:12">
      <c r="A10" s="12">
        <v>4</v>
      </c>
      <c r="B10" s="7">
        <v>2550</v>
      </c>
      <c r="C10" s="3" t="s">
        <v>32</v>
      </c>
      <c r="D10" s="1" t="s">
        <v>33</v>
      </c>
      <c r="E10" s="4" t="s">
        <v>27</v>
      </c>
      <c r="F10" s="4">
        <v>15</v>
      </c>
      <c r="G10" s="4" t="s">
        <v>44</v>
      </c>
      <c r="H10" s="4">
        <v>1</v>
      </c>
      <c r="I10" s="5">
        <v>1</v>
      </c>
      <c r="J10" s="6">
        <v>3500</v>
      </c>
      <c r="K10" s="6">
        <f t="shared" si="0"/>
        <v>3500</v>
      </c>
      <c r="L10" s="21" t="s">
        <v>41</v>
      </c>
    </row>
    <row r="11" spans="1:12">
      <c r="A11" s="12">
        <v>5</v>
      </c>
      <c r="B11" s="7">
        <v>2552</v>
      </c>
      <c r="C11" s="3" t="s">
        <v>34</v>
      </c>
      <c r="D11" s="1" t="s">
        <v>35</v>
      </c>
      <c r="E11" s="4" t="s">
        <v>23</v>
      </c>
      <c r="F11" s="4">
        <v>13</v>
      </c>
      <c r="G11" s="4" t="s">
        <v>44</v>
      </c>
      <c r="H11" s="4">
        <v>2</v>
      </c>
      <c r="I11" s="5">
        <v>2</v>
      </c>
      <c r="J11" s="6">
        <v>3900</v>
      </c>
      <c r="K11" s="6">
        <f t="shared" si="0"/>
        <v>7800</v>
      </c>
      <c r="L11" s="21" t="s">
        <v>42</v>
      </c>
    </row>
    <row r="12" spans="1:12" ht="24.75" thickBot="1">
      <c r="A12" s="12">
        <v>6</v>
      </c>
      <c r="B12" s="7">
        <v>2553</v>
      </c>
      <c r="C12" s="3" t="s">
        <v>36</v>
      </c>
      <c r="D12" s="1" t="s">
        <v>37</v>
      </c>
      <c r="E12" s="4" t="s">
        <v>23</v>
      </c>
      <c r="F12" s="4">
        <v>12</v>
      </c>
      <c r="G12" s="4" t="s">
        <v>44</v>
      </c>
      <c r="H12" s="4">
        <v>1</v>
      </c>
      <c r="I12" s="5">
        <v>1</v>
      </c>
      <c r="J12" s="6">
        <v>22000</v>
      </c>
      <c r="K12" s="6">
        <f t="shared" si="0"/>
        <v>22000</v>
      </c>
      <c r="L12" s="8" t="s">
        <v>43</v>
      </c>
    </row>
    <row r="13" spans="1:12" ht="24.75" thickBot="1">
      <c r="A13" s="33" t="s">
        <v>5</v>
      </c>
      <c r="B13" s="34"/>
      <c r="C13" s="34"/>
      <c r="D13" s="34"/>
      <c r="E13" s="34"/>
      <c r="F13" s="34"/>
      <c r="G13" s="34"/>
      <c r="H13" s="34"/>
      <c r="I13" s="34"/>
      <c r="J13" s="35"/>
      <c r="K13" s="17">
        <f>SUM(K7:K12)</f>
        <v>47196.5</v>
      </c>
      <c r="L13" s="18"/>
    </row>
    <row r="14" spans="1:12" ht="24.75" thickTop="1">
      <c r="A14" s="20"/>
      <c r="B14" s="20"/>
      <c r="C14" s="20"/>
      <c r="D14" s="20"/>
      <c r="E14" s="20"/>
      <c r="F14" s="20"/>
      <c r="G14" s="20"/>
      <c r="H14" s="20"/>
      <c r="I14" s="15"/>
      <c r="J14" s="14"/>
      <c r="K14" s="14"/>
    </row>
    <row r="15" spans="1:12">
      <c r="B15" s="16" t="s">
        <v>2</v>
      </c>
      <c r="C15" s="13" t="s">
        <v>18</v>
      </c>
      <c r="I15" s="15"/>
    </row>
    <row r="16" spans="1:12">
      <c r="C16" s="13" t="s">
        <v>19</v>
      </c>
      <c r="L16" s="2"/>
    </row>
    <row r="17" spans="8:12">
      <c r="H17" s="36" t="s">
        <v>7</v>
      </c>
      <c r="I17" s="36"/>
      <c r="L17" s="2"/>
    </row>
    <row r="18" spans="8:12">
      <c r="H18" s="36" t="s">
        <v>22</v>
      </c>
      <c r="I18" s="36"/>
      <c r="J18" s="36"/>
      <c r="K18" s="36"/>
      <c r="L18" s="2"/>
    </row>
    <row r="19" spans="8:12">
      <c r="H19" s="36" t="s">
        <v>46</v>
      </c>
      <c r="I19" s="36"/>
      <c r="J19" s="36"/>
      <c r="K19" s="36"/>
    </row>
    <row r="20" spans="8:12">
      <c r="H20" s="36" t="s">
        <v>4</v>
      </c>
      <c r="I20" s="36"/>
      <c r="J20" s="36"/>
      <c r="K20" s="36"/>
    </row>
  </sheetData>
  <mergeCells count="19">
    <mergeCell ref="A13:J13"/>
    <mergeCell ref="H18:K18"/>
    <mergeCell ref="H19:K19"/>
    <mergeCell ref="H20:K20"/>
    <mergeCell ref="H17:I17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2022-10-18T02:33:42Z</cp:lastPrinted>
  <dcterms:created xsi:type="dcterms:W3CDTF">2017-11-14T01:32:33Z</dcterms:created>
  <dcterms:modified xsi:type="dcterms:W3CDTF">2023-11-06T06:08:24Z</dcterms:modified>
</cp:coreProperties>
</file>