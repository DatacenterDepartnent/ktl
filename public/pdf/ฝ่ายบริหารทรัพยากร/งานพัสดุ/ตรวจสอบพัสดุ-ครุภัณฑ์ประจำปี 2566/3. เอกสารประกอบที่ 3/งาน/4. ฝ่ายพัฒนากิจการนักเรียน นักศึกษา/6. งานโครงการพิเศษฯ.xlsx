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ใหม่\ตรวจครุภัณฑ์ประจำปี\ตรวจสอบพัสดุ-ครุภัณฑ์ประจำปี 2566\3. เอกสารประกอบที่ 3\งาน\4. ฝ่ายพัฒนากิจการนักเรียน นักศึกษา\"/>
    </mc:Choice>
  </mc:AlternateContent>
  <xr:revisionPtr revIDLastSave="0" documentId="13_ncr:1_{97D611CE-92B4-446D-BD12-56B456173F36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โครงการพิเศษ" sheetId="46" r:id="rId1"/>
  </sheets>
  <definedNames>
    <definedName name="_xlnm.Print_Titles" localSheetId="0">โครงการพิเศษ!$2:$5</definedName>
  </definedNames>
  <calcPr calcId="191029"/>
</workbook>
</file>

<file path=xl/calcChain.xml><?xml version="1.0" encoding="utf-8"?>
<calcChain xmlns="http://schemas.openxmlformats.org/spreadsheetml/2006/main">
  <c r="K12" i="46" l="1"/>
  <c r="K8" i="46"/>
  <c r="K9" i="46"/>
  <c r="K10" i="46"/>
  <c r="K11" i="46"/>
  <c r="K7" i="46"/>
</calcChain>
</file>

<file path=xl/sharedStrings.xml><?xml version="1.0" encoding="utf-8"?>
<sst xmlns="http://schemas.openxmlformats.org/spreadsheetml/2006/main" count="50" uniqueCount="39">
  <si>
    <t>รายการ ขนาด ลักษณะ</t>
  </si>
  <si>
    <t>จำนวน</t>
  </si>
  <si>
    <t>หมายเหตุ</t>
  </si>
  <si>
    <t>ชำรุด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</si>
  <si>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</si>
  <si>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</si>
  <si>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</si>
  <si>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</si>
  <si>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</si>
  <si>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</si>
  <si>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</si>
  <si>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</si>
  <si>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</si>
  <si>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</si>
  <si>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</si>
  <si>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</si>
  <si>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</si>
  <si>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</si>
  <si>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</si>
  <si>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</si>
  <si>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เอกสารหมายเลข...................</t>
  </si>
  <si>
    <t xml:space="preserve"> ............................................................</t>
  </si>
  <si>
    <t>( นายประดิษฐ   ใจทรง )</t>
  </si>
  <si>
    <t>2553</t>
  </si>
  <si>
    <t>7110-007-0001/531-001</t>
  </si>
  <si>
    <t>งปม</t>
  </si>
  <si>
    <t>ขาโต๊ะชำรุด</t>
  </si>
  <si>
    <t>7110-006-006/531-011</t>
  </si>
  <si>
    <t>โต๊ะคอมพิวเตอร์ 60*100*75</t>
  </si>
  <si>
    <t>เก้าอี้ (ขาเหล็ก) 5 แฉก</t>
  </si>
  <si>
    <t>7110-006-0006/531-007-008</t>
  </si>
  <si>
    <t>7110-007-0003/531-018</t>
  </si>
  <si>
    <t>โต๊ะระดับ 3-6</t>
  </si>
  <si>
    <t>7440-001-0001/531-140</t>
  </si>
  <si>
    <t>เครื่องคอมพิวเตอร์พร้อมโต๊ะเก้าอี้</t>
  </si>
  <si>
    <t>เมนบอร์ดเครื่องคอมฯพัง/ขาโต๊ะหัก</t>
  </si>
  <si>
    <t xml:space="preserve"> -</t>
  </si>
  <si>
    <t>ขาเก้าอี้หัก</t>
  </si>
  <si>
    <t>ประจำปี 2565 สิ้นงวดเมื่อวันที่ 30 กันยายน 2565 ของงานโครงการพิเศษและบริการชุมชุน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</si>
</sst>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u/>
      <sz val="16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36">
    <xf numFmtId="0" fontId="0" fillId="0" borderId="0" xfId="0"/>
    <xf numFmtId="0" fontId="3" fillId="0" borderId="1" xfId="6" applyFont="1" applyBorder="1"/>
    <xf numFmtId="0" fontId="4" fillId="0" borderId="0" xfId="0" applyFont="1"/>
    <xf numFmtId="0" fontId="3" fillId="0" borderId="1" xfId="6" applyFont="1" applyBorder="1" applyAlignment="1">
      <alignment horizontal="left"/>
    </xf>
    <xf numFmtId="0" fontId="3" fillId="0" borderId="1" xfId="2" applyFont="1" applyBorder="1" applyAlignment="1">
      <alignment horizontal="center"/>
    </xf>
    <xf numFmtId="0" fontId="3" fillId="0" borderId="1" xfId="6" applyFont="1" applyBorder="1" applyAlignment="1">
      <alignment horizontal="center"/>
    </xf>
    <xf numFmtId="43" fontId="3" fillId="0" borderId="1" xfId="1" applyFont="1" applyBorder="1"/>
    <xf numFmtId="0" fontId="3" fillId="0" borderId="1" xfId="0" applyFont="1" applyBorder="1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/>
    </xf>
    <xf numFmtId="43" fontId="4" fillId="0" borderId="0" xfId="0" applyNumberFormat="1" applyFont="1"/>
    <xf numFmtId="0" fontId="3" fillId="0" borderId="0" xfId="2" applyFont="1" applyAlignment="1">
      <alignment horizontal="center"/>
    </xf>
    <xf numFmtId="0" fontId="8" fillId="0" borderId="0" xfId="0" applyFont="1" applyAlignment="1">
      <alignment horizontal="center"/>
    </xf>
    <xf numFmtId="43" fontId="4" fillId="0" borderId="6" xfId="0" applyNumberFormat="1" applyFont="1" applyBorder="1"/>
    <xf numFmtId="0" fontId="4" fillId="0" borderId="6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43" fontId="3" fillId="0" borderId="1" xfId="12" applyFont="1" applyBorder="1" applyAlignment="1">
      <alignment horizontal="left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9" applyFont="1" applyAlignment="1">
      <alignment horizontal="center" vertical="center"/>
    </xf>
    <xf numFmtId="0" fontId="6" fillId="0" borderId="0" xfId="0" applyFont="1" applyAlignment="1" applyProtection="1">
      <alignment horizontal="center"/>
      <protection locked="0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1314450</xdr:colOff>
      <xdr:row>13</xdr:row>
      <xdr:rowOff>47625</xdr:rowOff>
    </xdr:from>
    <xdr:to>
      <xdr:col>11</xdr:col>
      <xdr:colOff>1657350</xdr:colOff>
      <xdr:row>17</xdr:row>
      <xdr:rowOff>276225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 rot="5400000">
          <a:off x="10934700" y="4914900"/>
          <a:ext cx="1447800" cy="342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L19"/>
  <sheetViews>
    <sheetView tabSelected="1" topLeftCell="A7" workbookViewId="0">
      <selection activeCell="L12" sqref="L12"/>
    </sheetView>
  </sheetViews>
  <sheetFormatPr defaultColWidth="9" defaultRowHeight="24"/>
  <cols>
    <col min="1" max="1" width="5.28515625" style="2" customWidth="1"/>
    <col min="2" max="2" width="12" style="18" customWidth="1"/>
    <col min="3" max="3" width="29.7109375" style="12" customWidth="1"/>
    <col min="4" max="4" width="40.5703125" style="2" customWidth="1"/>
    <col min="5" max="5" width="8" style="2" customWidth="1"/>
    <col min="6" max="6" width="8.5703125" style="2" customWidth="1"/>
    <col min="7" max="7" width="6.85546875" style="2" customWidth="1"/>
    <col min="8" max="9" width="7.5703125" style="2" customWidth="1"/>
    <col min="10" max="10" width="12.5703125" style="2" customWidth="1"/>
    <col min="11" max="11" width="13.85546875" style="2" customWidth="1"/>
    <col min="12" max="12" width="30" style="18" customWidth="1"/>
    <col min="13" max="16384" width="9" style="2"/>
  </cols>
  <sheetData>
    <row r="1" spans="1:12">
      <c r="L1" s="18" t="s">
        <v>20</v>
      </c>
    </row>
    <row r="2" spans="1:12">
      <c r="A2" s="27" t="s">
        <v>6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</row>
    <row r="3" spans="1:12">
      <c r="A3" s="28" t="s">
        <v>7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</row>
    <row r="4" spans="1:12">
      <c r="A4" s="29" t="s">
        <v>38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</row>
    <row r="5" spans="1:12" ht="28.5" customHeight="1">
      <c r="A5" s="21" t="s">
        <v>8</v>
      </c>
      <c r="B5" s="21" t="s">
        <v>19</v>
      </c>
      <c r="C5" s="21" t="s">
        <v>16</v>
      </c>
      <c r="D5" s="30" t="s">
        <v>0</v>
      </c>
      <c r="E5" s="21" t="s">
        <v>11</v>
      </c>
      <c r="F5" s="21" t="s">
        <v>10</v>
      </c>
      <c r="G5" s="32" t="s">
        <v>12</v>
      </c>
      <c r="H5" s="34" t="s">
        <v>1</v>
      </c>
      <c r="I5" s="35"/>
      <c r="J5" s="21" t="s">
        <v>15</v>
      </c>
      <c r="K5" s="21" t="s">
        <v>9</v>
      </c>
      <c r="L5" s="21" t="s">
        <v>14</v>
      </c>
    </row>
    <row r="6" spans="1:12" ht="45" customHeight="1">
      <c r="A6" s="22"/>
      <c r="B6" s="22"/>
      <c r="C6" s="22"/>
      <c r="D6" s="31"/>
      <c r="E6" s="22"/>
      <c r="F6" s="22"/>
      <c r="G6" s="33"/>
      <c r="H6" s="10" t="s">
        <v>13</v>
      </c>
      <c r="I6" s="9" t="s">
        <v>3</v>
      </c>
      <c r="J6" s="22"/>
      <c r="K6" s="22"/>
      <c r="L6" s="22"/>
    </row>
    <row r="7" spans="1:12">
      <c r="A7" s="11">
        <v>1</v>
      </c>
      <c r="B7" s="8" t="s">
        <v>23</v>
      </c>
      <c r="C7" s="3" t="s">
        <v>24</v>
      </c>
      <c r="D7" s="1" t="s">
        <v>28</v>
      </c>
      <c r="E7" s="4" t="s">
        <v>25</v>
      </c>
      <c r="F7" s="4">
        <v>12</v>
      </c>
      <c r="G7" s="4" t="s">
        <v>36</v>
      </c>
      <c r="H7" s="4">
        <v>1</v>
      </c>
      <c r="I7" s="5">
        <v>1</v>
      </c>
      <c r="J7" s="6">
        <v>900</v>
      </c>
      <c r="K7" s="6">
        <f>SUM(I7*J7)</f>
        <v>900</v>
      </c>
      <c r="L7" s="20" t="s">
        <v>26</v>
      </c>
    </row>
    <row r="8" spans="1:12">
      <c r="A8" s="11">
        <v>2</v>
      </c>
      <c r="B8" s="7">
        <v>2553</v>
      </c>
      <c r="C8" s="3" t="s">
        <v>27</v>
      </c>
      <c r="D8" s="1" t="s">
        <v>29</v>
      </c>
      <c r="E8" s="4" t="s">
        <v>25</v>
      </c>
      <c r="F8" s="4">
        <v>12</v>
      </c>
      <c r="G8" s="4" t="s">
        <v>36</v>
      </c>
      <c r="H8" s="4">
        <v>1</v>
      </c>
      <c r="I8" s="5">
        <v>1</v>
      </c>
      <c r="J8" s="6">
        <v>1100</v>
      </c>
      <c r="K8" s="6">
        <f t="shared" ref="K8:K11" si="0">SUM(I8*J8)</f>
        <v>1100</v>
      </c>
      <c r="L8" s="20" t="s">
        <v>37</v>
      </c>
    </row>
    <row r="9" spans="1:12">
      <c r="A9" s="11">
        <v>3</v>
      </c>
      <c r="B9" s="7">
        <v>2553</v>
      </c>
      <c r="C9" s="3" t="s">
        <v>30</v>
      </c>
      <c r="D9" s="1" t="s">
        <v>29</v>
      </c>
      <c r="E9" s="4" t="s">
        <v>25</v>
      </c>
      <c r="F9" s="4">
        <v>12</v>
      </c>
      <c r="G9" s="4" t="s">
        <v>36</v>
      </c>
      <c r="H9" s="4">
        <v>2</v>
      </c>
      <c r="I9" s="5">
        <v>2</v>
      </c>
      <c r="J9" s="6">
        <v>1150</v>
      </c>
      <c r="K9" s="6">
        <f t="shared" si="0"/>
        <v>2300</v>
      </c>
      <c r="L9" s="20" t="s">
        <v>37</v>
      </c>
    </row>
    <row r="10" spans="1:12">
      <c r="A10" s="11">
        <v>4</v>
      </c>
      <c r="B10" s="7">
        <v>2553</v>
      </c>
      <c r="C10" s="3" t="s">
        <v>31</v>
      </c>
      <c r="D10" s="1" t="s">
        <v>32</v>
      </c>
      <c r="E10" s="4" t="s">
        <v>25</v>
      </c>
      <c r="F10" s="4">
        <v>12</v>
      </c>
      <c r="G10" s="4" t="s">
        <v>36</v>
      </c>
      <c r="H10" s="4">
        <v>1</v>
      </c>
      <c r="I10" s="5">
        <v>1</v>
      </c>
      <c r="J10" s="6">
        <v>3300</v>
      </c>
      <c r="K10" s="6">
        <f t="shared" si="0"/>
        <v>3300</v>
      </c>
      <c r="L10" s="20" t="s">
        <v>26</v>
      </c>
    </row>
    <row r="11" spans="1:12" ht="24.75" thickBot="1">
      <c r="A11" s="11">
        <v>5</v>
      </c>
      <c r="B11" s="7">
        <v>2553</v>
      </c>
      <c r="C11" s="3" t="s">
        <v>33</v>
      </c>
      <c r="D11" s="1" t="s">
        <v>34</v>
      </c>
      <c r="E11" s="4" t="s">
        <v>25</v>
      </c>
      <c r="F11" s="4">
        <v>12</v>
      </c>
      <c r="G11" s="4" t="s">
        <v>36</v>
      </c>
      <c r="H11" s="4">
        <v>1</v>
      </c>
      <c r="I11" s="5">
        <v>1</v>
      </c>
      <c r="J11" s="6">
        <v>17000</v>
      </c>
      <c r="K11" s="6">
        <f t="shared" si="0"/>
        <v>17000</v>
      </c>
      <c r="L11" s="20" t="s">
        <v>35</v>
      </c>
    </row>
    <row r="12" spans="1:12" ht="24.75" thickBot="1">
      <c r="A12" s="23" t="s">
        <v>5</v>
      </c>
      <c r="B12" s="24"/>
      <c r="C12" s="24"/>
      <c r="D12" s="24"/>
      <c r="E12" s="24"/>
      <c r="F12" s="24"/>
      <c r="G12" s="24"/>
      <c r="H12" s="24"/>
      <c r="I12" s="24"/>
      <c r="J12" s="25"/>
      <c r="K12" s="16">
        <f>SUM(K7:K11)</f>
        <v>24600</v>
      </c>
      <c r="L12" s="17"/>
    </row>
    <row r="13" spans="1:12" ht="24.75" thickTop="1">
      <c r="A13" s="19"/>
      <c r="B13" s="19"/>
      <c r="C13" s="19"/>
      <c r="D13" s="19"/>
      <c r="E13" s="19"/>
      <c r="F13" s="19"/>
      <c r="G13" s="19"/>
      <c r="H13" s="19"/>
      <c r="I13" s="14"/>
      <c r="J13" s="13"/>
      <c r="K13" s="13"/>
    </row>
    <row r="14" spans="1:12">
      <c r="B14" s="15" t="s">
        <v>2</v>
      </c>
      <c r="C14" s="12" t="s">
        <v>17</v>
      </c>
      <c r="I14" s="14"/>
    </row>
    <row r="15" spans="1:12">
      <c r="C15" s="12" t="s">
        <v>18</v>
      </c>
      <c r="L15" s="2"/>
    </row>
    <row r="16" spans="1:12">
      <c r="L16" s="2"/>
    </row>
    <row r="17" spans="8:12">
      <c r="H17" s="26" t="s">
        <v>21</v>
      </c>
      <c r="I17" s="26"/>
      <c r="J17" s="26"/>
      <c r="K17" s="26"/>
      <c r="L17" s="2"/>
    </row>
    <row r="18" spans="8:12">
      <c r="H18" s="26" t="s">
        <v>22</v>
      </c>
      <c r="I18" s="26"/>
      <c r="J18" s="26"/>
      <c r="K18" s="26"/>
    </row>
    <row r="19" spans="8:12">
      <c r="H19" s="26" t="s">
        <v>4</v>
      </c>
      <c r="I19" s="26"/>
      <c r="J19" s="26"/>
      <c r="K19" s="26"/>
    </row>
  </sheetData>
  <mergeCells count="18">
    <mergeCell ref="H19:K19"/>
    <mergeCell ref="H18:K18"/>
    <mergeCell ref="H5:I5"/>
    <mergeCell ref="J5:J6"/>
    <mergeCell ref="K5:K6"/>
    <mergeCell ref="L5:L6"/>
    <mergeCell ref="A12:J12"/>
    <mergeCell ref="H17:K17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</mergeCells>
  <printOptions horizontalCentered="1"/>
  <pageMargins left="0.19685039370078741" right="0" top="0.59055118110236227" bottom="0.19685039370078741" header="0" footer="0"/>
  <pageSetup paperSize="9" scale="8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โครงการพิเศษ</vt:lpstr>
      <vt:lpstr>โครงการพิเศษ!Print_Titles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2022-10-18T03:39:03Z</cp:lastPrinted>
  <dcterms:created xsi:type="dcterms:W3CDTF">2017-11-14T01:32:33Z</dcterms:created>
  <dcterms:modified xsi:type="dcterms:W3CDTF">2023-11-06T07:11:59Z</dcterms:modified>
</cp:coreProperties>
</file>