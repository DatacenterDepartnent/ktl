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/>
  <mc:AlternateContent xmlns:mc="http://schemas.openxmlformats.org/markup-compatibility/2006">
    <mc:Choice Requires="x15">
      <x15ac:absPath xmlns:x15ac="http://schemas.microsoft.com/office/spreadsheetml/2010/11/ac" url="C:\Users\Pasdoo\Documents\งานพัสดุ ใหม่\ตรวจครุภัณฑ์ประจำปี\ตรวจสอบพัสดุ-ครุภัณฑ์ประจำปี 2566\3. เอกสารประกอบที่ 3\งาน\4. ฝ่ายพัฒนากิจการนักเรียน นักศึกษา\"/>
    </mc:Choice>
  </mc:AlternateContent>
  <xr:revisionPtr revIDLastSave="0" documentId="13_ncr:1_{D24BC4E4-C1A5-4D3B-B47F-19B9FC5AAF42}" xr6:coauthVersionLast="47" xr6:coauthVersionMax="47" xr10:uidLastSave="{00000000-0000-0000-0000-000000000000}"/>
  <bookViews>
    <workbookView xWindow="-120" yWindow="-120" windowWidth="24240" windowHeight="13140" tabRatio="897" xr2:uid="{00000000-000D-0000-FFFF-FFFF00000000}"/>
  </bookViews>
  <sheets>
    <sheet name="ต้นฉบับ" sheetId="46" r:id="rId1"/>
  </sheets>
  <definedNames>
    <definedName name="_xlnm.Print_Titles" localSheetId="0">ต้นฉบับ!$2:$5</definedName>
  </definedNames>
  <calcPr calcId="191029"/>
</workbook>
</file>

<file path=xl/calcChain.xml><?xml version="1.0" encoding="utf-8"?>
<calcChain xmlns="http://schemas.openxmlformats.org/spreadsheetml/2006/main">
  <c r="K10" i="46" l="1"/>
  <c r="K8" i="46"/>
  <c r="K9" i="46"/>
  <c r="K7" i="46"/>
</calcChain>
</file>

<file path=xl/sharedStrings.xml><?xml version="1.0" encoding="utf-8"?>
<sst xmlns="http://schemas.openxmlformats.org/spreadsheetml/2006/main" count="39" uniqueCount="35">
  <si>
    <t>รายการ ขนาด ลักษณะ</t>
  </si>
  <si>
    <t>จำนวน</t>
  </si>
  <si>
    <t>หมายเหตุ</t>
  </si>
  <si>
    <t>ชำรุด</t>
  </si>
  <si>
    <t>หัวหน้าหน่วยจ่าย/หน่วยเบิก</t>
  </si>
  <si>
    <t>รวมเป็นเงิน</t>
  </si>
  <si>
    <t xml:space="preserve"> สถานศึกษา วิทยาลัยเทคนิคกันทรลักษ์</t>
  </si>
  <si>
    <t>บัญชีรายการ ครุภัณฑ์ ชำรุด เสื่อมคุณภาพ ไม่ใช้ราชการ ของสถานศึกษา</t>
  </si>
  <si>
    <t>ลำดับ
ที่</t>
  </si>
  <si>
    <t>เป็นเงิน</t>
  </si>
  <si>
    <t>ระยะเวลา
ใช้งาน</t>
  </si>
  <si>
    <t>ได้มา
โดยวิธีใด</t>
  </si>
  <si>
    <t>เคย
ซ่อม
กี่ครั้ง</t>
  </si>
  <si>
    <t>เต็มตาม
บัญชี</t>
  </si>
  <si>
    <t>คำชี้แจง
ประกอบ
ของชำรุด</t>
  </si>
  <si>
    <t>หน่วยละ</t>
  </si>
  <si>
    <t xml:space="preserve">หมายเลขประจำ
วัสดุครุภัณฑ์ </t>
  </si>
  <si>
    <t>1. ให้แยกบัญชี เช่น บัญชีรายการครุภัณฑ์มูลค่าต่ำกว่าเกณฑ์ หรือ บัญชีรายการครุภัณฑ์ชำรุด เป็นต้น</t>
  </si>
  <si>
    <t>2. ในช่อง "เป็นเงิน" ให้ลงจำนวนเงินรวมตามจำนวนของที่ชำรุดเท่านั้น</t>
  </si>
  <si>
    <t>วัน เดือน ปี 
ที่ได้มา</t>
  </si>
  <si>
    <t>เอกสารหมายเลข...................</t>
  </si>
  <si>
    <t xml:space="preserve"> ............................................................</t>
  </si>
  <si>
    <t>7430-008-0002/531-016</t>
  </si>
  <si>
    <t>งปม.</t>
  </si>
  <si>
    <t>4110-002-0003/531-003-017</t>
  </si>
  <si>
    <t>7430-008-0006/531-028</t>
  </si>
  <si>
    <t xml:space="preserve"> -</t>
  </si>
  <si>
    <t>(นางเพ็ชรา  โหม่งมาตร์)</t>
  </si>
  <si>
    <t>มอเตอร์ไหม้</t>
  </si>
  <si>
    <t>เป็นสนิม</t>
  </si>
  <si>
    <t>ชุดกลไกชำรุด</t>
  </si>
  <si>
    <t>ประจำปี 2565 สิ้นงวดเมื่อวันที่ 30 กันยายน 2565  ของงานสวัสดิการนักเรียน นักศึกษา</t>
  </si>
  <si>
    <t xml:space="preserve">ปั้มอัตโนมัติ  WP-305Q   </t>
  </si>
  <si>
    <t xml:space="preserve">เครื่องทำน้ำเย็น  VT-699  VICTOR   </t>
  </si>
  <si>
    <t xml:space="preserve">Printer  HP  Laserjet  M1522n  MFP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</si>
</sst>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9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4"/>
      <name val="Cordia New"/>
      <family val="2"/>
    </font>
    <font>
      <sz val="16"/>
      <name val="TH SarabunPSK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b/>
      <sz val="16"/>
      <name val="TH SarabunPSK"/>
      <family val="2"/>
    </font>
    <font>
      <u/>
      <sz val="16"/>
      <color theme="1"/>
      <name val="TH SarabunPSK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35">
    <xf numFmtId="0" fontId="0" fillId="0" borderId="0" xfId="0"/>
    <xf numFmtId="0" fontId="3" fillId="0" borderId="1" xfId="6" applyFont="1" applyBorder="1"/>
    <xf numFmtId="0" fontId="4" fillId="0" borderId="0" xfId="0" applyFont="1"/>
    <xf numFmtId="0" fontId="3" fillId="0" borderId="1" xfId="6" applyFont="1" applyBorder="1" applyAlignment="1">
      <alignment horizontal="left"/>
    </xf>
    <xf numFmtId="0" fontId="3" fillId="0" borderId="1" xfId="2" applyFont="1" applyBorder="1" applyAlignment="1">
      <alignment horizontal="center"/>
    </xf>
    <xf numFmtId="0" fontId="3" fillId="0" borderId="1" xfId="6" applyFont="1" applyBorder="1" applyAlignment="1">
      <alignment horizontal="center"/>
    </xf>
    <xf numFmtId="43" fontId="3" fillId="0" borderId="1" xfId="1" applyFont="1" applyBorder="1"/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 wrapText="1"/>
    </xf>
    <xf numFmtId="0" fontId="3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left"/>
    </xf>
    <xf numFmtId="43" fontId="4" fillId="0" borderId="0" xfId="0" applyNumberFormat="1" applyFont="1"/>
    <xf numFmtId="0" fontId="3" fillId="0" borderId="0" xfId="2" applyFont="1" applyAlignment="1">
      <alignment horizontal="center"/>
    </xf>
    <xf numFmtId="0" fontId="8" fillId="0" borderId="0" xfId="0" applyFont="1" applyAlignment="1">
      <alignment horizontal="center"/>
    </xf>
    <xf numFmtId="43" fontId="4" fillId="0" borderId="6" xfId="0" applyNumberFormat="1" applyFont="1" applyBorder="1"/>
    <xf numFmtId="0" fontId="4" fillId="0" borderId="6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43" fontId="3" fillId="0" borderId="1" xfId="12" applyFont="1" applyBorder="1" applyAlignment="1">
      <alignment horizontal="left"/>
    </xf>
    <xf numFmtId="0" fontId="4" fillId="0" borderId="0" xfId="0" applyFont="1" applyAlignment="1">
      <alignment horizontal="center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9" applyFont="1" applyAlignment="1">
      <alignment horizontal="center" vertical="center"/>
    </xf>
    <xf numFmtId="0" fontId="6" fillId="0" borderId="0" xfId="0" applyFont="1" applyAlignment="1" applyProtection="1">
      <alignment horizontal="center"/>
      <protection locked="0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top" wrapText="1"/>
    </xf>
    <xf numFmtId="0" fontId="4" fillId="0" borderId="5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mruColors>
      <color rgb="FF7030A0"/>
      <color rgb="FF993300"/>
      <color rgb="FF0070C0"/>
      <color rgb="FFFF0066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1495425</xdr:colOff>
      <xdr:row>11</xdr:row>
      <xdr:rowOff>0</xdr:rowOff>
    </xdr:from>
    <xdr:to>
      <xdr:col>11</xdr:col>
      <xdr:colOff>1819275</xdr:colOff>
      <xdr:row>16</xdr:row>
      <xdr:rowOff>152400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 rot="5400000">
          <a:off x="10868025" y="5600700"/>
          <a:ext cx="1676400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 3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11</xdr:col>
      <xdr:colOff>752475</xdr:colOff>
      <xdr:row>11</xdr:row>
      <xdr:rowOff>133350</xdr:rowOff>
    </xdr:from>
    <xdr:to>
      <xdr:col>11</xdr:col>
      <xdr:colOff>1095375</xdr:colOff>
      <xdr:row>16</xdr:row>
      <xdr:rowOff>76200</xdr:rowOff>
    </xdr:to>
    <xdr:sp macro="" textlink="">
      <xdr:nvSpPr>
        <xdr:cNvPr id="3" name="กล่องข้อความ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 rot="16200000" flipV="1">
          <a:off x="10896600" y="4314825"/>
          <a:ext cx="1466850" cy="342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 3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L17"/>
  <sheetViews>
    <sheetView tabSelected="1" topLeftCell="A4" zoomScaleNormal="100" workbookViewId="0">
      <selection activeCell="I7" sqref="I7:K9"/>
    </sheetView>
  </sheetViews>
  <sheetFormatPr defaultColWidth="9" defaultRowHeight="24" customHeight="1"/>
  <cols>
    <col min="1" max="1" width="5.28515625" style="2" customWidth="1"/>
    <col min="2" max="2" width="12" style="17" customWidth="1"/>
    <col min="3" max="3" width="29.28515625" style="11" customWidth="1"/>
    <col min="4" max="4" width="44.7109375" style="2" customWidth="1"/>
    <col min="5" max="5" width="8.28515625" style="2" customWidth="1"/>
    <col min="6" max="6" width="9" style="2" customWidth="1"/>
    <col min="7" max="7" width="7.28515625" style="2" customWidth="1"/>
    <col min="8" max="8" width="8.140625" style="2" customWidth="1"/>
    <col min="9" max="9" width="8" style="2" customWidth="1"/>
    <col min="10" max="10" width="13.5703125" style="2" customWidth="1"/>
    <col min="11" max="11" width="15" style="2" customWidth="1"/>
    <col min="12" max="12" width="21.42578125" style="17" customWidth="1"/>
    <col min="13" max="16384" width="9" style="2"/>
  </cols>
  <sheetData>
    <row r="1" spans="1:12" ht="24" customHeight="1">
      <c r="K1" s="20" t="s">
        <v>20</v>
      </c>
      <c r="L1" s="20"/>
    </row>
    <row r="2" spans="1:12" ht="24" customHeight="1">
      <c r="A2" s="26" t="s">
        <v>6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</row>
    <row r="3" spans="1:12" ht="24" customHeight="1">
      <c r="A3" s="27" t="s">
        <v>7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</row>
    <row r="4" spans="1:12" ht="24" customHeight="1">
      <c r="A4" s="28" t="s">
        <v>31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</row>
    <row r="5" spans="1:12">
      <c r="A5" s="21" t="s">
        <v>8</v>
      </c>
      <c r="B5" s="21" t="s">
        <v>19</v>
      </c>
      <c r="C5" s="21" t="s">
        <v>16</v>
      </c>
      <c r="D5" s="29" t="s">
        <v>0</v>
      </c>
      <c r="E5" s="21" t="s">
        <v>11</v>
      </c>
      <c r="F5" s="21" t="s">
        <v>10</v>
      </c>
      <c r="G5" s="31" t="s">
        <v>12</v>
      </c>
      <c r="H5" s="33" t="s">
        <v>1</v>
      </c>
      <c r="I5" s="34"/>
      <c r="J5" s="21" t="s">
        <v>15</v>
      </c>
      <c r="K5" s="21" t="s">
        <v>9</v>
      </c>
      <c r="L5" s="21" t="s">
        <v>14</v>
      </c>
    </row>
    <row r="6" spans="1:12" ht="45" customHeight="1">
      <c r="A6" s="22"/>
      <c r="B6" s="22"/>
      <c r="C6" s="22"/>
      <c r="D6" s="30"/>
      <c r="E6" s="22"/>
      <c r="F6" s="22"/>
      <c r="G6" s="32"/>
      <c r="H6" s="9" t="s">
        <v>13</v>
      </c>
      <c r="I6" s="8" t="s">
        <v>3</v>
      </c>
      <c r="J6" s="22"/>
      <c r="K6" s="22"/>
      <c r="L6" s="22"/>
    </row>
    <row r="7" spans="1:12" ht="24" customHeight="1">
      <c r="A7" s="10">
        <v>1</v>
      </c>
      <c r="B7" s="7">
        <v>2553</v>
      </c>
      <c r="C7" s="3" t="s">
        <v>22</v>
      </c>
      <c r="D7" s="1" t="s">
        <v>32</v>
      </c>
      <c r="E7" s="4" t="s">
        <v>23</v>
      </c>
      <c r="F7" s="4">
        <v>12</v>
      </c>
      <c r="G7" s="4" t="s">
        <v>26</v>
      </c>
      <c r="H7" s="4">
        <v>1</v>
      </c>
      <c r="I7" s="5">
        <v>1</v>
      </c>
      <c r="J7" s="6">
        <v>3700</v>
      </c>
      <c r="K7" s="6">
        <f>SUM(I7*J7)</f>
        <v>3700</v>
      </c>
      <c r="L7" s="19" t="s">
        <v>28</v>
      </c>
    </row>
    <row r="8" spans="1:12" ht="24" customHeight="1">
      <c r="A8" s="10">
        <v>2</v>
      </c>
      <c r="B8" s="7">
        <v>2553</v>
      </c>
      <c r="C8" s="3" t="s">
        <v>24</v>
      </c>
      <c r="D8" s="1" t="s">
        <v>33</v>
      </c>
      <c r="E8" s="4" t="s">
        <v>23</v>
      </c>
      <c r="F8" s="4">
        <v>12</v>
      </c>
      <c r="G8" s="4" t="s">
        <v>26</v>
      </c>
      <c r="H8" s="4">
        <v>15</v>
      </c>
      <c r="I8" s="5">
        <v>15</v>
      </c>
      <c r="J8" s="6">
        <v>4238.5200000000004</v>
      </c>
      <c r="K8" s="6">
        <f t="shared" ref="K8:K9" si="0">SUM(I8*J8)</f>
        <v>63577.8</v>
      </c>
      <c r="L8" s="19" t="s">
        <v>29</v>
      </c>
    </row>
    <row r="9" spans="1:12" ht="24" customHeight="1" thickBot="1">
      <c r="A9" s="10">
        <v>3</v>
      </c>
      <c r="B9" s="7">
        <v>2553</v>
      </c>
      <c r="C9" s="3" t="s">
        <v>25</v>
      </c>
      <c r="D9" s="1" t="s">
        <v>34</v>
      </c>
      <c r="E9" s="4" t="s">
        <v>23</v>
      </c>
      <c r="F9" s="4">
        <v>12</v>
      </c>
      <c r="G9" s="4" t="s">
        <v>26</v>
      </c>
      <c r="H9" s="4">
        <v>1</v>
      </c>
      <c r="I9" s="5">
        <v>1</v>
      </c>
      <c r="J9" s="6">
        <v>10140</v>
      </c>
      <c r="K9" s="6">
        <f t="shared" si="0"/>
        <v>10140</v>
      </c>
      <c r="L9" s="19" t="s">
        <v>30</v>
      </c>
    </row>
    <row r="10" spans="1:12" ht="24" customHeight="1" thickBot="1">
      <c r="A10" s="23" t="s">
        <v>5</v>
      </c>
      <c r="B10" s="24"/>
      <c r="C10" s="24"/>
      <c r="D10" s="24"/>
      <c r="E10" s="24"/>
      <c r="F10" s="24"/>
      <c r="G10" s="24"/>
      <c r="H10" s="24"/>
      <c r="I10" s="24"/>
      <c r="J10" s="25"/>
      <c r="K10" s="15">
        <f>SUM(K7:K9)</f>
        <v>77417.8</v>
      </c>
      <c r="L10" s="16"/>
    </row>
    <row r="11" spans="1:12" ht="24" customHeight="1" thickTop="1">
      <c r="A11" s="18"/>
      <c r="B11" s="18"/>
      <c r="C11" s="18"/>
      <c r="D11" s="18"/>
      <c r="E11" s="18"/>
      <c r="F11" s="18"/>
      <c r="G11" s="18"/>
      <c r="H11" s="18"/>
      <c r="I11" s="13"/>
      <c r="J11" s="12"/>
      <c r="K11" s="12"/>
    </row>
    <row r="12" spans="1:12" ht="24" customHeight="1">
      <c r="B12" s="14" t="s">
        <v>2</v>
      </c>
      <c r="C12" s="11" t="s">
        <v>17</v>
      </c>
      <c r="I12" s="13"/>
    </row>
    <row r="13" spans="1:12" ht="24" customHeight="1">
      <c r="C13" s="11" t="s">
        <v>18</v>
      </c>
      <c r="L13" s="2"/>
    </row>
    <row r="14" spans="1:12" ht="24" customHeight="1">
      <c r="L14" s="2"/>
    </row>
    <row r="15" spans="1:12" ht="24" customHeight="1">
      <c r="H15" s="20" t="s">
        <v>21</v>
      </c>
      <c r="I15" s="20"/>
      <c r="J15" s="20"/>
      <c r="K15" s="20"/>
      <c r="L15" s="2"/>
    </row>
    <row r="16" spans="1:12" ht="24" customHeight="1">
      <c r="H16" s="20" t="s">
        <v>27</v>
      </c>
      <c r="I16" s="20"/>
      <c r="J16" s="20"/>
      <c r="K16" s="20"/>
    </row>
    <row r="17" spans="8:11" ht="24" customHeight="1">
      <c r="H17" s="20" t="s">
        <v>4</v>
      </c>
      <c r="I17" s="20"/>
      <c r="J17" s="20"/>
      <c r="K17" s="20"/>
    </row>
  </sheetData>
  <mergeCells count="19">
    <mergeCell ref="H17:K17"/>
    <mergeCell ref="H16:K16"/>
    <mergeCell ref="H5:I5"/>
    <mergeCell ref="J5:J6"/>
    <mergeCell ref="K5:K6"/>
    <mergeCell ref="K1:L1"/>
    <mergeCell ref="L5:L6"/>
    <mergeCell ref="A10:J10"/>
    <mergeCell ref="H15:K15"/>
    <mergeCell ref="A2:L2"/>
    <mergeCell ref="A3:L3"/>
    <mergeCell ref="A4:L4"/>
    <mergeCell ref="A5:A6"/>
    <mergeCell ref="B5:B6"/>
    <mergeCell ref="C5:C6"/>
    <mergeCell ref="D5:D6"/>
    <mergeCell ref="E5:E6"/>
    <mergeCell ref="F5:F6"/>
    <mergeCell ref="G5:G6"/>
  </mergeCells>
  <printOptions horizontalCentered="1"/>
  <pageMargins left="0.19685039370078741" right="0" top="0.59055118110236227" bottom="0.19685039370078741" header="0" footer="0"/>
  <pageSetup paperSize="9" scale="80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1</vt:i4>
      </vt:variant>
      <vt:variant>
        <vt:lpstr>ช่วงที่มีชื่อ</vt:lpstr>
      </vt:variant>
      <vt:variant>
        <vt:i4>1</vt:i4>
      </vt:variant>
    </vt:vector>
  </HeadingPairs>
  <TitlesOfParts>
    <vt:vector size="2" baseType="lpstr">
      <vt:lpstr>ต้นฉบับ</vt:lpstr>
      <vt:lpstr>ต้นฉบับ!Print_Titles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Pasdoo</cp:lastModifiedBy>
  <cp:lastPrinted>2022-10-18T02:45:36Z</cp:lastPrinted>
  <dcterms:created xsi:type="dcterms:W3CDTF">2017-11-14T01:32:33Z</dcterms:created>
  <dcterms:modified xsi:type="dcterms:W3CDTF">2023-11-06T06:16:47Z</dcterms:modified>
</cp:coreProperties>
</file>