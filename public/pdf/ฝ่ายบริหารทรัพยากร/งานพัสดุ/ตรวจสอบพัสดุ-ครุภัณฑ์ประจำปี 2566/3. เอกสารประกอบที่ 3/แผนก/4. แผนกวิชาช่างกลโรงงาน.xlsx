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344262BA-2681-4DFA-80D4-76E2116E9D66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46" l="1"/>
  <c r="K8" i="46"/>
  <c r="K9" i="46"/>
  <c r="K10" i="46"/>
  <c r="K11" i="46"/>
  <c r="K12" i="46"/>
  <c r="K7" i="46"/>
</calcChain>
</file>

<file path=xl/sharedStrings.xml><?xml version="1.0" encoding="utf-8"?>
<sst xmlns="http://schemas.openxmlformats.org/spreadsheetml/2006/main" count="56" uniqueCount="40">
  <si>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</si>
  <si>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</si>
  <si>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</si>
  <si>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</si>
  <si>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</si>
  <si>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</si>
  <si>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</si>
  <si>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</si>
  <si>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</si>
  <si>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</si>
  <si>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</si>
  <si>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</si>
  <si>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</si>
  <si>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</si>
  <si>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</si>
  <si>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</si>
  <si>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</si>
  <si>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</si>
  <si>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</si>
  <si>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</si>
  <si>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</si>
  <si>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(นายประภาส  นามโคตร)</t>
  </si>
  <si>
    <t xml:space="preserve"> 2546</t>
  </si>
  <si>
    <t>3416-001-0001/463-001</t>
  </si>
  <si>
    <t>เครื่องกลึงขนาดยันศูนย์เหนือแท่น 125 มม.</t>
  </si>
  <si>
    <t>2546</t>
  </si>
  <si>
    <t>3416-001-0001/463-002</t>
  </si>
  <si>
    <t>3416-001-0001/623-001(6)</t>
  </si>
  <si>
    <t>เครื่องกลึง</t>
  </si>
  <si>
    <t>3417-001-0001/623-001(2)</t>
  </si>
  <si>
    <t>เครื่องกัดตั้ง</t>
  </si>
  <si>
    <t xml:space="preserve">3417-001-0002/623-001 </t>
  </si>
  <si>
    <t>เครื่องกัด Coppy</t>
  </si>
  <si>
    <t>3443-001-0001/623-001</t>
  </si>
  <si>
    <t>เครื่องปั้มเล็ก</t>
  </si>
  <si>
    <t>บริจาค</t>
  </si>
  <si>
    <t>ระบบไฟฟ้าชำรุด,ระบบแมคคานิคชำรุด</t>
  </si>
  <si>
    <t>-</t>
  </si>
  <si>
    <t>ประจำปี 2565 สิ้นงวดเมื่อวันที่ 30 กันยายน 2565 ของแผนกวิชาช่างกลโรงงาน</t>
  </si>
  <si>
    <t xml:space="preserve"> 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</si>
</sst>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1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5" fillId="0" borderId="0" xfId="0" applyFont="1" applyBorder="1"/>
    <xf numFmtId="49" fontId="4" fillId="0" borderId="1" xfId="13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3" fontId="5" fillId="0" borderId="6" xfId="0" applyNumberFormat="1" applyFont="1" applyBorder="1" applyAlignment="1"/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5" xfId="6" applyFont="1" applyBorder="1" applyAlignment="1">
      <alignment horizontal="left"/>
    </xf>
    <xf numFmtId="0" fontId="10" fillId="0" borderId="1" xfId="0" applyFont="1" applyBorder="1"/>
    <xf numFmtId="43" fontId="4" fillId="0" borderId="1" xfId="1" applyFont="1" applyFill="1" applyBorder="1"/>
    <xf numFmtId="43" fontId="2" fillId="0" borderId="1" xfId="12" applyNumberFormat="1" applyFont="1" applyBorder="1" applyAlignment="1">
      <alignment horizontal="left"/>
    </xf>
    <xf numFmtId="0" fontId="4" fillId="0" borderId="1" xfId="2" quotePrefix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1514475</xdr:colOff>
      <xdr:row>14</xdr:row>
      <xdr:rowOff>85725</xdr:rowOff>
    </xdr:from>
    <xdr:to>
      <xdr:col>11</xdr:col>
      <xdr:colOff>1838325</xdr:colOff>
      <xdr:row>19</xdr:row>
      <xdr:rowOff>38100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39462" y="5281613"/>
          <a:ext cx="14763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topLeftCell="A7" zoomScaleNormal="100" workbookViewId="0">
      <selection activeCell="A13" sqref="A13:J13"/>
    </sheetView>
  </sheetViews>
  <sheetFormatPr defaultColWidth="9" defaultRowHeight="24"/>
  <cols>
    <col min="1" max="1" width="5.28515625" style="2" customWidth="1"/>
    <col min="2" max="2" width="12" style="21" customWidth="1"/>
    <col min="3" max="3" width="27.5703125" style="13" customWidth="1"/>
    <col min="4" max="4" width="37" style="2" customWidth="1"/>
    <col min="5" max="5" width="7.7109375" style="2" customWidth="1"/>
    <col min="6" max="6" width="8.5703125" style="2" customWidth="1"/>
    <col min="7" max="9" width="7.5703125" style="2" customWidth="1"/>
    <col min="10" max="10" width="14.28515625" style="2" customWidth="1"/>
    <col min="11" max="11" width="14.7109375" style="2" customWidth="1"/>
    <col min="12" max="12" width="32.5703125" style="21" customWidth="1"/>
    <col min="13" max="16384" width="9" style="2"/>
  </cols>
  <sheetData>
    <row r="1" spans="1:12">
      <c r="L1" s="21" t="s">
        <v>20</v>
      </c>
    </row>
    <row r="2" spans="1:12">
      <c r="A2" s="37" t="s">
        <v>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>
      <c r="A4" s="39" t="s">
        <v>38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>
      <c r="A5" s="32" t="s">
        <v>8</v>
      </c>
      <c r="B5" s="32" t="s">
        <v>19</v>
      </c>
      <c r="C5" s="32" t="s">
        <v>16</v>
      </c>
      <c r="D5" s="40" t="s">
        <v>0</v>
      </c>
      <c r="E5" s="32" t="s">
        <v>11</v>
      </c>
      <c r="F5" s="32" t="s">
        <v>10</v>
      </c>
      <c r="G5" s="42" t="s">
        <v>12</v>
      </c>
      <c r="H5" s="30" t="s">
        <v>1</v>
      </c>
      <c r="I5" s="31"/>
      <c r="J5" s="32" t="s">
        <v>15</v>
      </c>
      <c r="K5" s="32" t="s">
        <v>9</v>
      </c>
      <c r="L5" s="32" t="s">
        <v>14</v>
      </c>
    </row>
    <row r="6" spans="1:12" ht="48">
      <c r="A6" s="33"/>
      <c r="B6" s="33"/>
      <c r="C6" s="33"/>
      <c r="D6" s="41"/>
      <c r="E6" s="33"/>
      <c r="F6" s="33"/>
      <c r="G6" s="43"/>
      <c r="H6" s="10" t="s">
        <v>13</v>
      </c>
      <c r="I6" s="9" t="s">
        <v>3</v>
      </c>
      <c r="J6" s="33"/>
      <c r="K6" s="33"/>
      <c r="L6" s="33"/>
    </row>
    <row r="7" spans="1:12">
      <c r="A7" s="11">
        <v>1</v>
      </c>
      <c r="B7" s="8" t="s">
        <v>22</v>
      </c>
      <c r="C7" s="3" t="s">
        <v>23</v>
      </c>
      <c r="D7" s="1" t="s">
        <v>24</v>
      </c>
      <c r="E7" s="4" t="s">
        <v>35</v>
      </c>
      <c r="F7" s="28">
        <v>19</v>
      </c>
      <c r="G7" s="28" t="s">
        <v>37</v>
      </c>
      <c r="H7" s="5">
        <v>1</v>
      </c>
      <c r="I7" s="5">
        <v>1</v>
      </c>
      <c r="J7" s="6">
        <v>69950</v>
      </c>
      <c r="K7" s="26">
        <f>SUM(I7*J7)</f>
        <v>69950</v>
      </c>
      <c r="L7" s="27" t="s">
        <v>36</v>
      </c>
    </row>
    <row r="8" spans="1:12">
      <c r="A8" s="11">
        <v>2</v>
      </c>
      <c r="B8" s="8" t="s">
        <v>25</v>
      </c>
      <c r="C8" s="3" t="s">
        <v>26</v>
      </c>
      <c r="D8" s="1" t="s">
        <v>24</v>
      </c>
      <c r="E8" s="4" t="s">
        <v>35</v>
      </c>
      <c r="F8" s="28">
        <v>19</v>
      </c>
      <c r="G8" s="28" t="s">
        <v>37</v>
      </c>
      <c r="H8" s="5">
        <v>1</v>
      </c>
      <c r="I8" s="5">
        <v>1</v>
      </c>
      <c r="J8" s="6">
        <v>86000</v>
      </c>
      <c r="K8" s="26">
        <f t="shared" ref="K8:K12" si="0">SUM(I8*J8)</f>
        <v>86000</v>
      </c>
      <c r="L8" s="27" t="s">
        <v>36</v>
      </c>
    </row>
    <row r="9" spans="1:12">
      <c r="A9" s="11">
        <v>3</v>
      </c>
      <c r="B9" s="23">
        <v>22914</v>
      </c>
      <c r="C9" s="24" t="s">
        <v>27</v>
      </c>
      <c r="D9" s="25" t="s">
        <v>28</v>
      </c>
      <c r="E9" s="4" t="s">
        <v>35</v>
      </c>
      <c r="F9" s="28">
        <v>3</v>
      </c>
      <c r="G9" s="28" t="s">
        <v>37</v>
      </c>
      <c r="H9" s="5">
        <v>6</v>
      </c>
      <c r="I9" s="5">
        <v>6</v>
      </c>
      <c r="J9" s="6">
        <v>38000</v>
      </c>
      <c r="K9" s="26">
        <f t="shared" si="0"/>
        <v>228000</v>
      </c>
      <c r="L9" s="27" t="s">
        <v>36</v>
      </c>
    </row>
    <row r="10" spans="1:12">
      <c r="A10" s="11">
        <v>4</v>
      </c>
      <c r="B10" s="23">
        <v>22914</v>
      </c>
      <c r="C10" s="24" t="s">
        <v>29</v>
      </c>
      <c r="D10" s="25" t="s">
        <v>30</v>
      </c>
      <c r="E10" s="4" t="s">
        <v>35</v>
      </c>
      <c r="F10" s="28">
        <v>3</v>
      </c>
      <c r="G10" s="28" t="s">
        <v>37</v>
      </c>
      <c r="H10" s="5">
        <v>2</v>
      </c>
      <c r="I10" s="5">
        <v>2</v>
      </c>
      <c r="J10" s="6">
        <v>31000</v>
      </c>
      <c r="K10" s="26">
        <f t="shared" si="0"/>
        <v>62000</v>
      </c>
      <c r="L10" s="27" t="s">
        <v>36</v>
      </c>
    </row>
    <row r="11" spans="1:12">
      <c r="A11" s="11">
        <v>5</v>
      </c>
      <c r="B11" s="23">
        <v>22914</v>
      </c>
      <c r="C11" s="24" t="s">
        <v>31</v>
      </c>
      <c r="D11" s="25" t="s">
        <v>32</v>
      </c>
      <c r="E11" s="4" t="s">
        <v>35</v>
      </c>
      <c r="F11" s="28">
        <v>3</v>
      </c>
      <c r="G11" s="28" t="s">
        <v>37</v>
      </c>
      <c r="H11" s="5">
        <v>1</v>
      </c>
      <c r="I11" s="5">
        <v>1</v>
      </c>
      <c r="J11" s="6">
        <v>35000</v>
      </c>
      <c r="K11" s="26">
        <f t="shared" si="0"/>
        <v>35000</v>
      </c>
      <c r="L11" s="27" t="s">
        <v>36</v>
      </c>
    </row>
    <row r="12" spans="1:12" ht="24.75" thickBot="1">
      <c r="A12" s="11">
        <v>6</v>
      </c>
      <c r="B12" s="23">
        <v>22914</v>
      </c>
      <c r="C12" s="24" t="s">
        <v>33</v>
      </c>
      <c r="D12" s="25" t="s">
        <v>34</v>
      </c>
      <c r="E12" s="4" t="s">
        <v>35</v>
      </c>
      <c r="F12" s="28">
        <v>3</v>
      </c>
      <c r="G12" s="28" t="s">
        <v>37</v>
      </c>
      <c r="H12" s="5">
        <v>1</v>
      </c>
      <c r="I12" s="5">
        <v>1</v>
      </c>
      <c r="J12" s="6">
        <v>25000</v>
      </c>
      <c r="K12" s="26">
        <f t="shared" si="0"/>
        <v>25000</v>
      </c>
      <c r="L12" s="27" t="s">
        <v>36</v>
      </c>
    </row>
    <row r="13" spans="1:12" ht="24.75" thickBot="1">
      <c r="A13" s="34" t="s">
        <v>5</v>
      </c>
      <c r="B13" s="35"/>
      <c r="C13" s="35"/>
      <c r="D13" s="35"/>
      <c r="E13" s="35"/>
      <c r="F13" s="35"/>
      <c r="G13" s="35"/>
      <c r="H13" s="35"/>
      <c r="I13" s="35"/>
      <c r="J13" s="36"/>
      <c r="K13" s="18">
        <f>SUM(K7:K12)</f>
        <v>505950</v>
      </c>
      <c r="L13" s="19"/>
    </row>
    <row r="14" spans="1:12" ht="24.75" thickTop="1">
      <c r="A14" s="22"/>
      <c r="B14" s="22"/>
      <c r="C14" s="22"/>
      <c r="D14" s="22"/>
      <c r="E14" s="22"/>
      <c r="F14" s="22"/>
      <c r="G14" s="22"/>
      <c r="H14" s="22"/>
      <c r="I14" s="16"/>
      <c r="J14" s="15"/>
      <c r="K14" s="15"/>
      <c r="L14" s="20"/>
    </row>
    <row r="15" spans="1:12">
      <c r="A15" s="7"/>
      <c r="B15" s="17" t="s">
        <v>2</v>
      </c>
      <c r="C15" s="12" t="s">
        <v>17</v>
      </c>
      <c r="D15" s="7"/>
      <c r="E15" s="7"/>
      <c r="F15" s="7"/>
      <c r="G15" s="7"/>
      <c r="H15" s="7"/>
      <c r="I15" s="16"/>
      <c r="J15" s="7"/>
      <c r="K15" s="7"/>
      <c r="L15" s="20"/>
    </row>
    <row r="16" spans="1:12">
      <c r="A16" s="7"/>
      <c r="B16" s="20"/>
      <c r="C16" s="12" t="s">
        <v>18</v>
      </c>
      <c r="D16" s="7"/>
      <c r="E16" s="7"/>
      <c r="F16" s="7"/>
      <c r="G16" s="7"/>
      <c r="H16" s="14"/>
      <c r="I16" s="14"/>
      <c r="J16" s="14"/>
      <c r="K16" s="14"/>
      <c r="L16" s="14"/>
    </row>
    <row r="17" spans="1:12">
      <c r="A17" s="7"/>
      <c r="B17" s="20"/>
      <c r="C17" s="12"/>
      <c r="D17" s="7"/>
      <c r="E17" s="7"/>
      <c r="F17" s="7"/>
      <c r="G17" s="7"/>
      <c r="H17" s="14"/>
      <c r="I17" s="14"/>
      <c r="J17" s="14"/>
      <c r="K17" s="14"/>
      <c r="L17" s="14"/>
    </row>
    <row r="18" spans="1:12">
      <c r="A18" s="7"/>
      <c r="B18" s="20"/>
      <c r="C18" s="12"/>
      <c r="D18" s="7"/>
      <c r="E18" s="7"/>
      <c r="F18" s="7"/>
      <c r="G18" s="7"/>
      <c r="H18" s="29" t="s">
        <v>39</v>
      </c>
      <c r="I18" s="29"/>
      <c r="J18" s="29"/>
      <c r="K18" s="29"/>
      <c r="L18" s="14"/>
    </row>
    <row r="19" spans="1:12">
      <c r="H19" s="29" t="s">
        <v>21</v>
      </c>
      <c r="I19" s="29"/>
      <c r="J19" s="29"/>
      <c r="K19" s="29"/>
    </row>
    <row r="20" spans="1:12">
      <c r="H20" s="29" t="s">
        <v>4</v>
      </c>
      <c r="I20" s="29"/>
      <c r="J20" s="29"/>
      <c r="K20" s="29"/>
    </row>
  </sheetData>
  <mergeCells count="18">
    <mergeCell ref="L5:L6"/>
    <mergeCell ref="A13:J13"/>
    <mergeCell ref="H18:K1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0:K20"/>
    <mergeCell ref="H19:K19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2022-10-18T09:51:50Z</cp:lastPrinted>
  <dcterms:created xsi:type="dcterms:W3CDTF">2017-11-14T01:32:33Z</dcterms:created>
  <dcterms:modified xsi:type="dcterms:W3CDTF">2022-10-18T09:51:52Z</dcterms:modified>
</cp:coreProperties>
</file>