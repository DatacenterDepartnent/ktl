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แผนก\"/>
    </mc:Choice>
  </mc:AlternateContent>
  <xr:revisionPtr revIDLastSave="0" documentId="13_ncr:1_{1E7B44FD-80CF-4AB2-8302-15CA0A3D012F}" xr6:coauthVersionLast="47" xr6:coauthVersionMax="47" xr10:uidLastSave="{00000000-0000-0000-0000-000000000000}"/>
  <bookViews>
    <workbookView showHorizontalScroll="0" showVerticalScroll="0" showSheetTabs="0"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27" i="46" l="1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24" i="46"/>
  <c r="K25" i="46"/>
  <c r="K26" i="46"/>
  <c r="K7" i="46"/>
</calcChain>
</file>

<file path=xl/sharedStrings.xml><?xml version="1.0" encoding="utf-8"?>
<sst xmlns="http://schemas.openxmlformats.org/spreadsheetml/2006/main" count="130" uniqueCount="78">
  <si>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</si>
  <si>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</si>
  <si>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</si>
  <si>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วัน เดือน ปี 
ที่ได้มา</t>
  </si>
  <si>
    <t xml:space="preserve">หมายเลขประจำ
วัสดุครุภัณฑ์ </t>
  </si>
  <si>
    <t>รายการ ขนาด ลักษณะ</t>
  </si>
  <si>
    <t>ได้มา
โดยวิธีใด</t>
  </si>
  <si>
    <t>ระยะเวลา
ใช้งาน</t>
  </si>
  <si>
    <t>เคย
ซ่อม
กี่ครั้ง</t>
  </si>
  <si>
    <t>จำนวน</t>
  </si>
  <si>
    <t>หน่วยละ</t>
  </si>
  <si>
    <t>เป็นเงิน</t>
  </si>
  <si>
    <t>คำชี้แจง
ประกอบ
ของชำรุด</t>
  </si>
  <si>
    <t>เต็มตาม
บัญชี</t>
  </si>
  <si>
    <t>ชำรุด</t>
  </si>
  <si>
    <t>2539</t>
  </si>
  <si>
    <t>7430-001-0006/391-002-391-016</t>
  </si>
  <si>
    <t>เครื่องพิมพ์ดีดไฟฟ้าชนิดไม่มีหน่วยความจำ</t>
  </si>
  <si>
    <t>งปม.</t>
  </si>
  <si>
    <t>-</t>
  </si>
  <si>
    <t>7430-001-0003/391-002-391-026</t>
  </si>
  <si>
    <t>เครื่องพิมพ์ดีดภาษาอังกฤษแคร่ 15"</t>
  </si>
  <si>
    <t>7430-001-0005/391-003-391-027</t>
  </si>
  <si>
    <t>เครื่องพิมพ์ดีดแบบธรรมดาภาษาไทย 15"</t>
  </si>
  <si>
    <t>7110-007-0004/391-004-006</t>
  </si>
  <si>
    <t>โต๊ะพิมพ์ดีด</t>
  </si>
  <si>
    <t>เครื่องคำนวณเลข 12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</si>
  <si>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</si>
  <si>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</si>
  <si>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</si>
  <si>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</si>
  <si>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</si>
  <si>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</si>
  <si>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</si>
  <si>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</si>
  <si>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2540</t>
  </si>
  <si>
    <t>7430-001-0001/401-027-401-051</t>
  </si>
  <si>
    <t>เครื่องพิมพ์ดีดภาษาอังกฤษแคร่ 18"</t>
  </si>
  <si>
    <t>7430-001-0007/401-002,024</t>
  </si>
  <si>
    <t>เครื่องพิมพ์ดีดแบบธรรมดาภาษาไทย 18"</t>
  </si>
  <si>
    <t>รวมเป็นเงิน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</si>
  <si>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</si>
  <si>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</si>
  <si>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</si>
  <si>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7110-007-0004/401-053-401-140</t>
  </si>
  <si>
    <t>7420-001-0002/401-023-401-068</t>
  </si>
  <si>
    <t>7440-001-0001/462-004</t>
  </si>
  <si>
    <t>เครื่องคอมพิวเตอร์</t>
  </si>
  <si>
    <t>4140-001-0003/482-029-030</t>
  </si>
  <si>
    <t>พัดลมโคจร 16 นิ้ว</t>
  </si>
  <si>
    <t>บกศ.</t>
  </si>
  <si>
    <t>7430-008-0002/492-009</t>
  </si>
  <si>
    <t>เครื่องปริ้นเตอร์ HP 1020</t>
  </si>
  <si>
    <t>7430-001-0001/492-001-007</t>
  </si>
  <si>
    <t>7430-001-0001/492-008-013</t>
  </si>
  <si>
    <t>7440-001-0001/501-056</t>
  </si>
  <si>
    <t>เครื่องคอมพิวเตอร์ ยี่ห้อ ACER</t>
  </si>
  <si>
    <t>7440-001-0001/531-124-138</t>
  </si>
  <si>
    <t>เครื่องคอมพิวเตอร์พร้อมโต๊ะเก้าอี้</t>
  </si>
  <si>
    <t>7110-006-0004/531-161-190</t>
  </si>
  <si>
    <t>เก้าอี้เบาะพนักพิง</t>
  </si>
  <si>
    <t>ปุ่มแตกหัก</t>
  </si>
  <si>
    <t>แป้นหัก</t>
  </si>
  <si>
    <t>ขาหัก</t>
  </si>
  <si>
    <t>ระบบไฟฟ้าช็อต</t>
  </si>
  <si>
    <t>ปุ่มกดพัง</t>
  </si>
  <si>
    <t>แป้นพิมพ์หัก</t>
  </si>
  <si>
    <t>ช็อต</t>
  </si>
  <si>
    <t>เมนบอร์ดพัง</t>
  </si>
  <si>
    <t>มอเตอร์ไหม้</t>
  </si>
  <si>
    <t>ไม่ดึงกระดาษ</t>
  </si>
  <si>
    <t>หน้าจอไม่แสดงผล เก้าอี้หัก</t>
  </si>
  <si>
    <t>ขาหัก เบาะผุ</t>
  </si>
  <si>
    <t xml:space="preserve">เอกสารหมายเลข................ </t>
  </si>
  <si>
    <t>ประจำปี 2565 สิ้นงวดเมื่อวันที่ 30 กันยายน 2565 ของแผนกวิชาการบัญชี</t>
  </si>
  <si>
    <t>หัวหน้าหน่วยจ่าย/หน่วยเบิก</t>
  </si>
  <si>
    <t>(นางศิริรัตน์  คำเพราะ)</t>
  </si>
  <si>
    <t>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</si>
</sst>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/>
    </xf>
    <xf numFmtId="0" fontId="7" fillId="0" borderId="4" xfId="12" applyFont="1" applyBorder="1" applyAlignment="1">
      <alignment horizontal="left"/>
    </xf>
    <xf numFmtId="0" fontId="7" fillId="0" borderId="4" xfId="12" applyFont="1" applyBorder="1"/>
    <xf numFmtId="0" fontId="7" fillId="0" borderId="4" xfId="10" applyFont="1" applyBorder="1" applyAlignment="1">
      <alignment horizontal="center"/>
    </xf>
    <xf numFmtId="0" fontId="7" fillId="0" borderId="4" xfId="12" applyFont="1" applyBorder="1" applyAlignment="1">
      <alignment horizontal="center"/>
    </xf>
    <xf numFmtId="43" fontId="7" fillId="0" borderId="4" xfId="1" applyFont="1" applyBorder="1"/>
    <xf numFmtId="43" fontId="7" fillId="0" borderId="4" xfId="6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4" xfId="8" applyNumberFormat="1" applyFont="1" applyBorder="1" applyAlignment="1">
      <alignment horizontal="center"/>
    </xf>
    <xf numFmtId="49" fontId="7" fillId="0" borderId="4" xfId="9" applyNumberFormat="1" applyFont="1" applyBorder="1" applyAlignment="1">
      <alignment horizontal="center"/>
    </xf>
    <xf numFmtId="43" fontId="4" fillId="0" borderId="9" xfId="0" applyNumberFormat="1" applyFont="1" applyBorder="1"/>
    <xf numFmtId="0" fontId="4" fillId="0" borderId="9" xfId="0" applyFont="1" applyBorder="1" applyAlignment="1">
      <alignment horizontal="center"/>
    </xf>
    <xf numFmtId="0" fontId="7" fillId="0" borderId="0" xfId="1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1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5" xr:uid="{00000000-0005-0000-0000-000000000000}"/>
    <cellStyle name="เครื่องหมายจุลภาค 9" xfId="6" xr:uid="{00000000-0005-0000-0000-000002000000}"/>
    <cellStyle name="จุลภาค" xfId="1" builtinId="3"/>
    <cellStyle name="ปกติ" xfId="0" builtinId="0"/>
    <cellStyle name="ปกติ 10" xfId="7" xr:uid="{00000000-0005-0000-0000-000004000000}"/>
    <cellStyle name="ปกติ 12" xfId="8" xr:uid="{00000000-0005-0000-0000-000005000000}"/>
    <cellStyle name="ปกติ 14" xfId="2" xr:uid="{00000000-0005-0000-0000-000006000000}"/>
    <cellStyle name="ปกติ 19" xfId="9" xr:uid="{00000000-0005-0000-0000-000007000000}"/>
    <cellStyle name="ปกติ 21" xfId="10" xr:uid="{00000000-0005-0000-0000-000008000000}"/>
    <cellStyle name="ปกติ 22" xfId="3" xr:uid="{00000000-0005-0000-0000-000009000000}"/>
    <cellStyle name="ปกติ 3" xfId="11" xr:uid="{00000000-0005-0000-0000-00000A000000}"/>
    <cellStyle name="ปกติ 4" xfId="4" xr:uid="{00000000-0005-0000-0000-00000B000000}"/>
    <cellStyle name="ปกติ 5" xfId="13" xr:uid="{00000000-0005-0000-0000-00000C000000}"/>
    <cellStyle name="ปกติ_รายการครุภัณฑ์ ปี 52 ที่แก้ไขเรียงลำดับใหม่ 23 ก.พ.53" xfId="12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1885948</xdr:colOff>
      <xdr:row>27</xdr:row>
      <xdr:rowOff>123829</xdr:rowOff>
    </xdr:from>
    <xdr:to>
      <xdr:col>11</xdr:col>
      <xdr:colOff>2219323</xdr:colOff>
      <xdr:row>31</xdr:row>
      <xdr:rowOff>257178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2239624" y="9210678"/>
          <a:ext cx="1362074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th-TH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alt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32"/>
  <sheetViews>
    <sheetView tabSelected="1" topLeftCell="A13" zoomScaleNormal="100" workbookViewId="0">
      <selection activeCell="H16" sqref="H16"/>
    </sheetView>
  </sheetViews>
  <sheetFormatPr defaultColWidth="9" defaultRowHeight="24"/>
  <cols>
    <col min="1" max="1" width="6.140625" style="1" customWidth="1"/>
    <col min="2" max="2" width="11.85546875" style="2" customWidth="1"/>
    <col min="3" max="3" width="35.5703125" style="3" customWidth="1"/>
    <col min="4" max="4" width="41.28515625" style="1" customWidth="1"/>
    <col min="5" max="5" width="8.85546875" style="1" customWidth="1"/>
    <col min="6" max="6" width="8.5703125" style="1" customWidth="1"/>
    <col min="7" max="7" width="7" style="1" customWidth="1"/>
    <col min="8" max="9" width="7.5703125" style="1" customWidth="1"/>
    <col min="10" max="10" width="13.28515625" style="1" customWidth="1"/>
    <col min="11" max="11" width="15.28515625" style="1" customWidth="1"/>
    <col min="12" max="12" width="40.42578125" style="2" customWidth="1"/>
    <col min="13" max="16384" width="9" style="1"/>
  </cols>
  <sheetData>
    <row r="1" spans="1:12">
      <c r="L1" s="2" t="s">
        <v>73</v>
      </c>
    </row>
    <row r="2" spans="1:1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>
      <c r="A4" s="24" t="s">
        <v>74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28.5" customHeight="1">
      <c r="A5" s="27" t="s">
        <v>2</v>
      </c>
      <c r="B5" s="27" t="s">
        <v>3</v>
      </c>
      <c r="C5" s="27" t="s">
        <v>4</v>
      </c>
      <c r="D5" s="34" t="s">
        <v>5</v>
      </c>
      <c r="E5" s="27" t="s">
        <v>6</v>
      </c>
      <c r="F5" s="27" t="s">
        <v>7</v>
      </c>
      <c r="G5" s="29" t="s">
        <v>8</v>
      </c>
      <c r="H5" s="25" t="s">
        <v>9</v>
      </c>
      <c r="I5" s="26"/>
      <c r="J5" s="27" t="s">
        <v>10</v>
      </c>
      <c r="K5" s="27" t="s">
        <v>11</v>
      </c>
      <c r="L5" s="27" t="s">
        <v>12</v>
      </c>
    </row>
    <row r="6" spans="1:12" ht="45" customHeight="1">
      <c r="A6" s="28"/>
      <c r="B6" s="28"/>
      <c r="C6" s="28"/>
      <c r="D6" s="35"/>
      <c r="E6" s="28"/>
      <c r="F6" s="28"/>
      <c r="G6" s="30"/>
      <c r="H6" s="4" t="s">
        <v>13</v>
      </c>
      <c r="I6" s="5" t="s">
        <v>14</v>
      </c>
      <c r="J6" s="28"/>
      <c r="K6" s="28"/>
      <c r="L6" s="28"/>
    </row>
    <row r="7" spans="1:12">
      <c r="A7" s="6">
        <v>1</v>
      </c>
      <c r="B7" s="7" t="s">
        <v>15</v>
      </c>
      <c r="C7" s="8" t="s">
        <v>16</v>
      </c>
      <c r="D7" s="9" t="s">
        <v>17</v>
      </c>
      <c r="E7" s="10" t="s">
        <v>18</v>
      </c>
      <c r="F7" s="10">
        <v>26</v>
      </c>
      <c r="G7" s="10" t="s">
        <v>19</v>
      </c>
      <c r="H7" s="10">
        <v>15</v>
      </c>
      <c r="I7" s="11">
        <v>15</v>
      </c>
      <c r="J7" s="12">
        <v>2500</v>
      </c>
      <c r="K7" s="12">
        <f>SUM(I7*J7)</f>
        <v>37500</v>
      </c>
      <c r="L7" s="13" t="s">
        <v>61</v>
      </c>
    </row>
    <row r="8" spans="1:12">
      <c r="A8" s="6">
        <v>2</v>
      </c>
      <c r="B8" s="14">
        <v>2539</v>
      </c>
      <c r="C8" s="8" t="s">
        <v>20</v>
      </c>
      <c r="D8" s="9" t="s">
        <v>21</v>
      </c>
      <c r="E8" s="10" t="s">
        <v>18</v>
      </c>
      <c r="F8" s="10">
        <v>26</v>
      </c>
      <c r="G8" s="10" t="s">
        <v>19</v>
      </c>
      <c r="H8" s="10">
        <v>25</v>
      </c>
      <c r="I8" s="11">
        <v>25</v>
      </c>
      <c r="J8" s="12">
        <v>8000</v>
      </c>
      <c r="K8" s="12">
        <f t="shared" ref="K8:K26" si="0">SUM(I8*J8)</f>
        <v>200000</v>
      </c>
      <c r="L8" s="13" t="s">
        <v>62</v>
      </c>
    </row>
    <row r="9" spans="1:12">
      <c r="A9" s="6">
        <v>3</v>
      </c>
      <c r="B9" s="14">
        <v>2539</v>
      </c>
      <c r="C9" s="8" t="s">
        <v>22</v>
      </c>
      <c r="D9" s="9" t="s">
        <v>23</v>
      </c>
      <c r="E9" s="10" t="s">
        <v>18</v>
      </c>
      <c r="F9" s="10">
        <v>26</v>
      </c>
      <c r="G9" s="10" t="s">
        <v>19</v>
      </c>
      <c r="H9" s="10">
        <v>25</v>
      </c>
      <c r="I9" s="11">
        <v>25</v>
      </c>
      <c r="J9" s="12">
        <v>8000</v>
      </c>
      <c r="K9" s="12">
        <f t="shared" si="0"/>
        <v>200000</v>
      </c>
      <c r="L9" s="13" t="s">
        <v>62</v>
      </c>
    </row>
    <row r="10" spans="1:12">
      <c r="A10" s="6">
        <v>4</v>
      </c>
      <c r="B10" s="14">
        <v>2539</v>
      </c>
      <c r="C10" s="8" t="s">
        <v>24</v>
      </c>
      <c r="D10" s="9" t="s">
        <v>25</v>
      </c>
      <c r="E10" s="10" t="s">
        <v>18</v>
      </c>
      <c r="F10" s="10">
        <v>26</v>
      </c>
      <c r="G10" s="10" t="s">
        <v>19</v>
      </c>
      <c r="H10" s="10">
        <v>42</v>
      </c>
      <c r="I10" s="11">
        <v>42</v>
      </c>
      <c r="J10" s="12">
        <v>1600</v>
      </c>
      <c r="K10" s="12">
        <f t="shared" si="0"/>
        <v>67200</v>
      </c>
      <c r="L10" s="13" t="s">
        <v>63</v>
      </c>
    </row>
    <row r="11" spans="1:12">
      <c r="A11" s="6">
        <v>5</v>
      </c>
      <c r="B11" s="14">
        <v>2539</v>
      </c>
      <c r="C11" s="8" t="s">
        <v>27</v>
      </c>
      <c r="D11" s="9" t="s">
        <v>28</v>
      </c>
      <c r="E11" s="10" t="s">
        <v>18</v>
      </c>
      <c r="F11" s="10">
        <v>26</v>
      </c>
      <c r="G11" s="10" t="s">
        <v>19</v>
      </c>
      <c r="H11" s="10">
        <v>35</v>
      </c>
      <c r="I11" s="11">
        <v>2</v>
      </c>
      <c r="J11" s="12">
        <v>2400</v>
      </c>
      <c r="K11" s="12">
        <f t="shared" si="0"/>
        <v>4800</v>
      </c>
      <c r="L11" s="13" t="s">
        <v>63</v>
      </c>
    </row>
    <row r="12" spans="1:12">
      <c r="A12" s="6">
        <v>6</v>
      </c>
      <c r="B12" s="14">
        <v>2539</v>
      </c>
      <c r="C12" s="8" t="s">
        <v>29</v>
      </c>
      <c r="D12" s="9" t="s">
        <v>30</v>
      </c>
      <c r="E12" s="10" t="s">
        <v>18</v>
      </c>
      <c r="F12" s="10">
        <v>26</v>
      </c>
      <c r="G12" s="10" t="s">
        <v>19</v>
      </c>
      <c r="H12" s="10">
        <v>4</v>
      </c>
      <c r="I12" s="11">
        <v>4</v>
      </c>
      <c r="J12" s="12">
        <v>20000</v>
      </c>
      <c r="K12" s="12">
        <f t="shared" si="0"/>
        <v>80000</v>
      </c>
      <c r="L12" s="13" t="s">
        <v>64</v>
      </c>
    </row>
    <row r="13" spans="1:12">
      <c r="A13" s="6">
        <v>7</v>
      </c>
      <c r="B13" s="15" t="s">
        <v>15</v>
      </c>
      <c r="C13" s="8" t="s">
        <v>31</v>
      </c>
      <c r="D13" s="9" t="s">
        <v>32</v>
      </c>
      <c r="E13" s="10" t="s">
        <v>18</v>
      </c>
      <c r="F13" s="10">
        <v>26</v>
      </c>
      <c r="G13" s="10" t="s">
        <v>19</v>
      </c>
      <c r="H13" s="10">
        <v>1</v>
      </c>
      <c r="I13" s="11">
        <v>1</v>
      </c>
      <c r="J13" s="12">
        <v>5000</v>
      </c>
      <c r="K13" s="12">
        <f t="shared" si="0"/>
        <v>5000</v>
      </c>
      <c r="L13" s="13" t="s">
        <v>63</v>
      </c>
    </row>
    <row r="14" spans="1:12">
      <c r="A14" s="6">
        <v>8</v>
      </c>
      <c r="B14" s="16" t="s">
        <v>15</v>
      </c>
      <c r="C14" s="8" t="s">
        <v>33</v>
      </c>
      <c r="D14" s="8" t="s">
        <v>34</v>
      </c>
      <c r="E14" s="10" t="s">
        <v>18</v>
      </c>
      <c r="F14" s="10">
        <v>26</v>
      </c>
      <c r="G14" s="10" t="s">
        <v>19</v>
      </c>
      <c r="H14" s="10">
        <v>2</v>
      </c>
      <c r="I14" s="11">
        <v>2</v>
      </c>
      <c r="J14" s="12">
        <v>2000</v>
      </c>
      <c r="K14" s="12">
        <f t="shared" si="0"/>
        <v>4000</v>
      </c>
      <c r="L14" s="13" t="s">
        <v>65</v>
      </c>
    </row>
    <row r="15" spans="1:12">
      <c r="A15" s="6">
        <v>9</v>
      </c>
      <c r="B15" s="15" t="s">
        <v>35</v>
      </c>
      <c r="C15" s="8" t="s">
        <v>36</v>
      </c>
      <c r="D15" s="9" t="s">
        <v>37</v>
      </c>
      <c r="E15" s="10" t="s">
        <v>18</v>
      </c>
      <c r="F15" s="10">
        <v>25</v>
      </c>
      <c r="G15" s="10" t="s">
        <v>19</v>
      </c>
      <c r="H15" s="10">
        <v>25</v>
      </c>
      <c r="I15" s="11">
        <v>25</v>
      </c>
      <c r="J15" s="12">
        <v>8000</v>
      </c>
      <c r="K15" s="12">
        <f t="shared" si="0"/>
        <v>200000</v>
      </c>
      <c r="L15" s="13" t="s">
        <v>66</v>
      </c>
    </row>
    <row r="16" spans="1:12">
      <c r="A16" s="6">
        <v>10</v>
      </c>
      <c r="B16" s="17" t="s">
        <v>35</v>
      </c>
      <c r="C16" s="8" t="s">
        <v>38</v>
      </c>
      <c r="D16" s="9" t="s">
        <v>39</v>
      </c>
      <c r="E16" s="10" t="s">
        <v>18</v>
      </c>
      <c r="F16" s="10">
        <v>25</v>
      </c>
      <c r="G16" s="10" t="s">
        <v>19</v>
      </c>
      <c r="H16" s="10">
        <v>58</v>
      </c>
      <c r="I16" s="11">
        <v>58</v>
      </c>
      <c r="J16" s="12">
        <v>8000</v>
      </c>
      <c r="K16" s="12">
        <f t="shared" si="0"/>
        <v>464000</v>
      </c>
      <c r="L16" s="13" t="s">
        <v>66</v>
      </c>
    </row>
    <row r="17" spans="1:12">
      <c r="A17" s="6">
        <v>11</v>
      </c>
      <c r="B17" s="7" t="s">
        <v>35</v>
      </c>
      <c r="C17" s="8" t="s">
        <v>44</v>
      </c>
      <c r="D17" s="9" t="s">
        <v>25</v>
      </c>
      <c r="E17" s="10" t="s">
        <v>18</v>
      </c>
      <c r="F17" s="10">
        <v>25</v>
      </c>
      <c r="G17" s="10" t="s">
        <v>19</v>
      </c>
      <c r="H17" s="10">
        <v>90</v>
      </c>
      <c r="I17" s="11">
        <v>28</v>
      </c>
      <c r="J17" s="12">
        <v>1600</v>
      </c>
      <c r="K17" s="12">
        <f t="shared" si="0"/>
        <v>44800</v>
      </c>
      <c r="L17" s="13" t="s">
        <v>63</v>
      </c>
    </row>
    <row r="18" spans="1:12">
      <c r="A18" s="6">
        <v>12</v>
      </c>
      <c r="B18" s="14">
        <v>2540</v>
      </c>
      <c r="C18" s="8" t="s">
        <v>45</v>
      </c>
      <c r="D18" s="9" t="s">
        <v>26</v>
      </c>
      <c r="E18" s="10" t="s">
        <v>18</v>
      </c>
      <c r="F18" s="10">
        <v>25</v>
      </c>
      <c r="G18" s="10" t="s">
        <v>19</v>
      </c>
      <c r="H18" s="10">
        <v>46</v>
      </c>
      <c r="I18" s="11">
        <v>46</v>
      </c>
      <c r="J18" s="12">
        <v>2500</v>
      </c>
      <c r="K18" s="12">
        <f t="shared" si="0"/>
        <v>115000</v>
      </c>
      <c r="L18" s="13" t="s">
        <v>67</v>
      </c>
    </row>
    <row r="19" spans="1:12">
      <c r="A19" s="6">
        <v>13</v>
      </c>
      <c r="B19" s="14">
        <v>2546</v>
      </c>
      <c r="C19" s="8" t="s">
        <v>46</v>
      </c>
      <c r="D19" s="9" t="s">
        <v>47</v>
      </c>
      <c r="E19" s="10" t="s">
        <v>18</v>
      </c>
      <c r="F19" s="10">
        <v>19</v>
      </c>
      <c r="G19" s="10" t="s">
        <v>19</v>
      </c>
      <c r="H19" s="10">
        <v>1</v>
      </c>
      <c r="I19" s="11">
        <v>1</v>
      </c>
      <c r="J19" s="12">
        <v>33000</v>
      </c>
      <c r="K19" s="12">
        <f t="shared" si="0"/>
        <v>33000</v>
      </c>
      <c r="L19" s="13" t="s">
        <v>68</v>
      </c>
    </row>
    <row r="20" spans="1:12">
      <c r="A20" s="6">
        <v>14</v>
      </c>
      <c r="B20" s="14">
        <v>2548</v>
      </c>
      <c r="C20" s="8" t="s">
        <v>48</v>
      </c>
      <c r="D20" s="9" t="s">
        <v>49</v>
      </c>
      <c r="E20" s="10" t="s">
        <v>50</v>
      </c>
      <c r="F20" s="10">
        <v>17</v>
      </c>
      <c r="G20" s="10" t="s">
        <v>19</v>
      </c>
      <c r="H20" s="10">
        <v>2</v>
      </c>
      <c r="I20" s="11">
        <v>2</v>
      </c>
      <c r="J20" s="12">
        <v>1175</v>
      </c>
      <c r="K20" s="12">
        <f t="shared" si="0"/>
        <v>2350</v>
      </c>
      <c r="L20" s="13" t="s">
        <v>69</v>
      </c>
    </row>
    <row r="21" spans="1:12">
      <c r="A21" s="6">
        <v>15</v>
      </c>
      <c r="B21" s="14">
        <v>2549</v>
      </c>
      <c r="C21" s="8" t="s">
        <v>51</v>
      </c>
      <c r="D21" s="9" t="s">
        <v>52</v>
      </c>
      <c r="E21" s="10" t="s">
        <v>50</v>
      </c>
      <c r="F21" s="10">
        <v>16</v>
      </c>
      <c r="G21" s="10" t="s">
        <v>19</v>
      </c>
      <c r="H21" s="10">
        <v>1</v>
      </c>
      <c r="I21" s="11">
        <v>1</v>
      </c>
      <c r="J21" s="12">
        <v>5296</v>
      </c>
      <c r="K21" s="12">
        <f t="shared" si="0"/>
        <v>5296</v>
      </c>
      <c r="L21" s="13" t="s">
        <v>70</v>
      </c>
    </row>
    <row r="22" spans="1:12">
      <c r="A22" s="6">
        <v>16</v>
      </c>
      <c r="B22" s="14">
        <v>2549</v>
      </c>
      <c r="C22" s="8" t="s">
        <v>53</v>
      </c>
      <c r="D22" s="9" t="s">
        <v>37</v>
      </c>
      <c r="E22" s="10" t="s">
        <v>50</v>
      </c>
      <c r="F22" s="10">
        <v>16</v>
      </c>
      <c r="G22" s="10" t="s">
        <v>19</v>
      </c>
      <c r="H22" s="10">
        <v>7</v>
      </c>
      <c r="I22" s="11">
        <v>7</v>
      </c>
      <c r="J22" s="12">
        <v>12200</v>
      </c>
      <c r="K22" s="12">
        <f t="shared" si="0"/>
        <v>85400</v>
      </c>
      <c r="L22" s="13" t="s">
        <v>66</v>
      </c>
    </row>
    <row r="23" spans="1:12">
      <c r="A23" s="6">
        <v>17</v>
      </c>
      <c r="B23" s="14">
        <v>2549</v>
      </c>
      <c r="C23" s="8" t="s">
        <v>54</v>
      </c>
      <c r="D23" s="9" t="s">
        <v>37</v>
      </c>
      <c r="E23" s="10" t="s">
        <v>50</v>
      </c>
      <c r="F23" s="10">
        <v>15</v>
      </c>
      <c r="G23" s="10" t="s">
        <v>19</v>
      </c>
      <c r="H23" s="10">
        <v>6</v>
      </c>
      <c r="I23" s="11">
        <v>6</v>
      </c>
      <c r="J23" s="12">
        <v>12200</v>
      </c>
      <c r="K23" s="12">
        <f t="shared" si="0"/>
        <v>73200</v>
      </c>
      <c r="L23" s="13" t="s">
        <v>66</v>
      </c>
    </row>
    <row r="24" spans="1:12">
      <c r="A24" s="6">
        <v>18</v>
      </c>
      <c r="B24" s="14">
        <v>2550</v>
      </c>
      <c r="C24" s="8" t="s">
        <v>55</v>
      </c>
      <c r="D24" s="9" t="s">
        <v>56</v>
      </c>
      <c r="E24" s="10" t="s">
        <v>18</v>
      </c>
      <c r="F24" s="10">
        <v>15</v>
      </c>
      <c r="G24" s="10" t="s">
        <v>19</v>
      </c>
      <c r="H24" s="10">
        <v>1</v>
      </c>
      <c r="I24" s="11">
        <v>1</v>
      </c>
      <c r="J24" s="12">
        <v>24000</v>
      </c>
      <c r="K24" s="12">
        <f t="shared" si="0"/>
        <v>24000</v>
      </c>
      <c r="L24" s="13" t="s">
        <v>68</v>
      </c>
    </row>
    <row r="25" spans="1:12">
      <c r="A25" s="6">
        <v>19</v>
      </c>
      <c r="B25" s="14">
        <v>2553</v>
      </c>
      <c r="C25" s="8" t="s">
        <v>57</v>
      </c>
      <c r="D25" s="9" t="s">
        <v>58</v>
      </c>
      <c r="E25" s="10" t="s">
        <v>18</v>
      </c>
      <c r="F25" s="10">
        <v>12</v>
      </c>
      <c r="G25" s="10" t="s">
        <v>19</v>
      </c>
      <c r="H25" s="10">
        <v>15</v>
      </c>
      <c r="I25" s="11">
        <v>15</v>
      </c>
      <c r="J25" s="12">
        <v>17000</v>
      </c>
      <c r="K25" s="12">
        <f t="shared" si="0"/>
        <v>255000</v>
      </c>
      <c r="L25" s="13" t="s">
        <v>71</v>
      </c>
    </row>
    <row r="26" spans="1:12" ht="24.75" thickBot="1">
      <c r="A26" s="6">
        <v>20</v>
      </c>
      <c r="B26" s="14">
        <v>2553</v>
      </c>
      <c r="C26" s="8" t="s">
        <v>59</v>
      </c>
      <c r="D26" s="9" t="s">
        <v>60</v>
      </c>
      <c r="E26" s="10" t="s">
        <v>18</v>
      </c>
      <c r="F26" s="10">
        <v>12</v>
      </c>
      <c r="G26" s="10" t="s">
        <v>19</v>
      </c>
      <c r="H26" s="10">
        <v>30</v>
      </c>
      <c r="I26" s="11">
        <v>30</v>
      </c>
      <c r="J26" s="12">
        <v>400</v>
      </c>
      <c r="K26" s="12">
        <f t="shared" si="0"/>
        <v>12000</v>
      </c>
      <c r="L26" s="13" t="s">
        <v>72</v>
      </c>
    </row>
    <row r="27" spans="1:12" ht="24.75" thickBot="1">
      <c r="A27" s="31" t="s">
        <v>40</v>
      </c>
      <c r="B27" s="32"/>
      <c r="C27" s="32"/>
      <c r="D27" s="32"/>
      <c r="E27" s="32"/>
      <c r="F27" s="32"/>
      <c r="G27" s="32"/>
      <c r="H27" s="32"/>
      <c r="I27" s="32"/>
      <c r="J27" s="33"/>
      <c r="K27" s="18">
        <f>SUM(K7:K26)</f>
        <v>1912546</v>
      </c>
      <c r="L27" s="19"/>
    </row>
    <row r="28" spans="1:12" ht="24.75" thickTop="1">
      <c r="I28" s="20"/>
      <c r="L28" s="1"/>
    </row>
    <row r="29" spans="1:12">
      <c r="B29" s="2" t="s">
        <v>41</v>
      </c>
      <c r="C29" s="3" t="s">
        <v>42</v>
      </c>
      <c r="I29" s="20"/>
      <c r="L29" s="1"/>
    </row>
    <row r="30" spans="1:12">
      <c r="C30" s="3" t="s">
        <v>43</v>
      </c>
      <c r="J30" s="21" t="s">
        <v>77</v>
      </c>
      <c r="K30" s="21"/>
    </row>
    <row r="31" spans="1:12">
      <c r="J31" s="21" t="s">
        <v>76</v>
      </c>
      <c r="K31" s="21"/>
    </row>
    <row r="32" spans="1:12">
      <c r="J32" s="21" t="s">
        <v>75</v>
      </c>
      <c r="K32" s="21"/>
    </row>
  </sheetData>
  <mergeCells count="18">
    <mergeCell ref="C5:C6"/>
    <mergeCell ref="D5:D6"/>
    <mergeCell ref="J31:K31"/>
    <mergeCell ref="J32:K32"/>
    <mergeCell ref="J30:K30"/>
    <mergeCell ref="A2:L2"/>
    <mergeCell ref="A3:L3"/>
    <mergeCell ref="A4:L4"/>
    <mergeCell ref="H5:I5"/>
    <mergeCell ref="E5:E6"/>
    <mergeCell ref="F5:F6"/>
    <mergeCell ref="G5:G6"/>
    <mergeCell ref="J5:J6"/>
    <mergeCell ref="K5:K6"/>
    <mergeCell ref="L5:L6"/>
    <mergeCell ref="A27:J27"/>
    <mergeCell ref="A5:A6"/>
    <mergeCell ref="B5:B6"/>
  </mergeCells>
  <printOptions horizontalCentered="1"/>
  <pageMargins left="0.19685039370078741" right="0.19685039370078741" top="0.59055118110236227" bottom="0.19685039370078741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2022-10-19T02:52:26Z</cp:lastPrinted>
  <dcterms:created xsi:type="dcterms:W3CDTF">2017-11-14T01:32:00Z</dcterms:created>
  <dcterms:modified xsi:type="dcterms:W3CDTF">2023-11-01T10:55:54Z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6DFC0DFF19CD445194A6AFFFBE162004</vt:lpwstr>
  </property>
  <property fmtid="{D5CDD505-2E9C-101B-9397-08002B2CF9AE}" pid="3" name="KSOProductBuildVer">
    <vt:lpwstr>1054-11.2.0.10265</vt:lpwstr>
  </property>
</Properties>
</file>