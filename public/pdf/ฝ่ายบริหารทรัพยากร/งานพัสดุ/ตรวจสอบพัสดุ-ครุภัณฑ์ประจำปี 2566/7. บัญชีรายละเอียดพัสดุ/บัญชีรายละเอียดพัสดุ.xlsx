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7. บัญชีรายละเอียดพัสดุ\"/>
    </mc:Choice>
  </mc:AlternateContent>
  <xr:revisionPtr revIDLastSave="0" documentId="13_ncr:1_{50FB89A6-083B-488D-B60E-8632122E95D4}" xr6:coauthVersionLast="47" xr6:coauthVersionMax="47" xr10:uidLastSave="{00000000-0000-0000-0000-000000000000}"/>
  <bookViews>
    <workbookView xWindow="-120" yWindow="-120" windowWidth="24240" windowHeight="13140" xr2:uid="{CBB8C005-E1D1-485A-94A3-0B5339BBF829}"/>
  </bookViews>
  <sheets>
    <sheet name="ขาย" sheetId="2" r:id="rId1"/>
    <sheet name="ทำลายซาก" sheetId="3" r:id="rId2"/>
    <sheet name="แปรสภาพ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1" i="2" l="1"/>
  <c r="E272" i="3"/>
  <c r="E270" i="3"/>
  <c r="E258" i="3"/>
  <c r="E232" i="3"/>
  <c r="E220" i="3"/>
  <c r="E194" i="3"/>
  <c r="E182" i="3"/>
  <c r="E156" i="3"/>
  <c r="E144" i="3"/>
  <c r="E118" i="3"/>
  <c r="E106" i="3"/>
  <c r="E80" i="3"/>
  <c r="E68" i="3"/>
  <c r="E42" i="3"/>
  <c r="E30" i="3"/>
  <c r="E123" i="2"/>
  <c r="E111" i="2"/>
  <c r="E83" i="2"/>
  <c r="E71" i="2"/>
  <c r="E44" i="2"/>
  <c r="E32" i="2"/>
  <c r="E149" i="2"/>
  <c r="E108" i="2" l="1"/>
  <c r="E100" i="2"/>
  <c r="E96" i="2"/>
  <c r="E95" i="2"/>
  <c r="E97" i="2"/>
  <c r="E51" i="2"/>
  <c r="E50" i="2"/>
  <c r="E49" i="2"/>
  <c r="E47" i="2"/>
  <c r="E46" i="2"/>
  <c r="E90" i="2" l="1"/>
  <c r="E247" i="3" l="1"/>
  <c r="E245" i="3"/>
  <c r="E239" i="3" l="1"/>
  <c r="E242" i="3"/>
  <c r="E237" i="3"/>
  <c r="E236" i="3"/>
  <c r="E235" i="3"/>
  <c r="E219" i="3"/>
  <c r="E218" i="3"/>
  <c r="E215" i="3"/>
  <c r="E214" i="3"/>
  <c r="E211" i="3"/>
  <c r="E140" i="2" l="1"/>
  <c r="E166" i="3" l="1"/>
  <c r="E135" i="2"/>
  <c r="E134" i="2"/>
  <c r="E130" i="3" l="1"/>
  <c r="E129" i="3"/>
  <c r="E98" i="3"/>
  <c r="E128" i="3"/>
  <c r="E127" i="3"/>
  <c r="E126" i="3"/>
  <c r="E124" i="3"/>
  <c r="E123" i="3"/>
  <c r="E122" i="3"/>
  <c r="E121" i="3"/>
  <c r="E120" i="3"/>
  <c r="E119" i="3"/>
  <c r="E105" i="3"/>
  <c r="E104" i="3"/>
  <c r="E103" i="3"/>
  <c r="E102" i="3"/>
  <c r="E97" i="3"/>
  <c r="E96" i="3"/>
  <c r="E95" i="3"/>
  <c r="E94" i="3"/>
  <c r="E93" i="3"/>
  <c r="E92" i="3"/>
  <c r="E91" i="3"/>
  <c r="E90" i="3"/>
  <c r="E89" i="3"/>
  <c r="E88" i="3"/>
  <c r="E87" i="3" l="1"/>
  <c r="E106" i="2"/>
  <c r="E105" i="2"/>
  <c r="E102" i="2"/>
  <c r="E99" i="2"/>
  <c r="E101" i="2"/>
  <c r="E98" i="2"/>
  <c r="E94" i="2"/>
  <c r="E93" i="2"/>
  <c r="E68" i="2" l="1"/>
  <c r="E67" i="2"/>
  <c r="E66" i="2"/>
  <c r="E84" i="3" l="1"/>
  <c r="E83" i="3"/>
  <c r="E81" i="3"/>
  <c r="E67" i="3"/>
  <c r="E53" i="2"/>
  <c r="E45" i="2"/>
  <c r="E59" i="3"/>
  <c r="E55" i="3"/>
  <c r="E52" i="3"/>
  <c r="E51" i="3"/>
  <c r="E46" i="3"/>
  <c r="E45" i="3"/>
  <c r="E28" i="3"/>
  <c r="E27" i="3"/>
  <c r="E25" i="3"/>
  <c r="E24" i="3"/>
  <c r="E22" i="3"/>
  <c r="E21" i="3"/>
  <c r="E19" i="3"/>
  <c r="E18" i="3"/>
  <c r="E17" i="3"/>
  <c r="E16" i="3"/>
  <c r="E12" i="3"/>
  <c r="E11" i="3"/>
  <c r="E10" i="3"/>
  <c r="E9" i="3"/>
  <c r="E30" i="2" l="1"/>
  <c r="E28" i="2"/>
  <c r="E24" i="2"/>
  <c r="E23" i="2"/>
  <c r="E22" i="2"/>
  <c r="E21" i="2"/>
</calcChain>
</file>

<file path=xl/sharedStrings.xml><?xml version="1.0" encoding="utf-8"?>
<sst xmlns="http://schemas.openxmlformats.org/spreadsheetml/2006/main" count="1431" uniqueCount="604">
  <si>
    <t>วิทยาลัยเทคนิคกันทรลักษ์</t>
  </si>
  <si>
    <t>รายการ</t>
  </si>
  <si>
    <t>พัสดุที่ขอจำหน่าย</t>
  </si>
  <si>
    <t>จำนวน</t>
  </si>
  <si>
    <t>ราคาซื้อ/ได้มา</t>
  </si>
  <si>
    <t>หมายเหตุ</t>
  </si>
  <si>
    <t>ลำดับ
ที่</t>
  </si>
  <si>
    <t>ลงชื่อ</t>
  </si>
  <si>
    <t>.............................................................................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</si>
  <si>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</si>
  <si>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</si>
  <si>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</si>
  <si>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รวมเป็นเงินทั้งสิ้น</t>
  </si>
  <si>
    <t>ราคาต่อหน่วย</t>
  </si>
  <si>
    <t>1 เครื่อง</t>
  </si>
  <si>
    <t xml:space="preserve"> </t>
  </si>
  <si>
    <t>ยอดยกมา</t>
  </si>
  <si>
    <t>ยอดยกไป</t>
  </si>
  <si>
    <t>บัญชีรายละเอียดพัสดุที่ขอจำหน่ายโดยวิธีแปรสภาพ ประจำปี 2565</t>
  </si>
  <si>
    <t>บัญชีรายละเอียดพัสดุที่ขอจำหน่ายโดยวิธีทำลายซาก ประจำปี 2565</t>
  </si>
  <si>
    <t>บัญชีรายละเอียดพัสดุที่ขอจำหน่ายโดยวิธีขาย ประจำปี 2565</t>
  </si>
  <si>
    <t>(นางสาวภวิกา  โพธิ์ขาว)</t>
  </si>
  <si>
    <t>(นายสุวรรณ  บุษภาค)</t>
  </si>
  <si>
    <t>(นายสิริปัญญ์  เสริมสิริพิพัฒน์)</t>
  </si>
  <si>
    <t>2805-001-0001/482-001-005</t>
  </si>
  <si>
    <t>เครื่องยนต์ SAMTO 5.5 HP</t>
  </si>
  <si>
    <t>3 เครื่อง</t>
  </si>
  <si>
    <t>เครื่องปริ้นเตอร์</t>
  </si>
  <si>
    <t>7430-008-0002/531-029</t>
  </si>
  <si>
    <t>1 ชุด</t>
  </si>
  <si>
    <t>2 ชุด</t>
  </si>
  <si>
    <t>แม่แรงตะเฆ่  2  ตัน</t>
  </si>
  <si>
    <t>เครื่องอัดจาระบีแบบเคลื่อนที่ได้ใช้ลม</t>
  </si>
  <si>
    <t>4910-016-0001/391-001-391-002</t>
  </si>
  <si>
    <t>3442-002-0002/391-001</t>
  </si>
  <si>
    <t>2 ตัว</t>
  </si>
  <si>
    <t>ชุดปฏิบัติการช่างยนต์แก๊สโซลีนเล็ก</t>
  </si>
  <si>
    <t>2805-001-0001/401-001</t>
  </si>
  <si>
    <t>ชุดอุปกรณ์ฝึกระบบส่งกำลัง</t>
  </si>
  <si>
    <t>2520-014-0001/401-001</t>
  </si>
  <si>
    <t>เครื่องสาธิตการทำงานของคลัทซ์</t>
  </si>
  <si>
    <t>เครื่องสาธิตการทำงานของเกียร์อัตโนมัติ</t>
  </si>
  <si>
    <t>เครื่องสาธิตการทำงานของเกียร์ธรรมดา</t>
  </si>
  <si>
    <t>เครื่องสาธิตการทำงานของอัลเตอเนเตอร์</t>
  </si>
  <si>
    <t>เครื่องสาธิตการทำงานของมอเตอร์สตาร์ท</t>
  </si>
  <si>
    <t>เครื่องสาธิตการทำงานของเฟืองท้าย แบบ HYPOID</t>
  </si>
  <si>
    <t>2520-002-0001/401-001</t>
  </si>
  <si>
    <t>3010-006-0001/401-001</t>
  </si>
  <si>
    <t>3010-004-0001/401-001</t>
  </si>
  <si>
    <t>2925-011-0001/401-001</t>
  </si>
  <si>
    <t>2925-017-0001/401-001</t>
  </si>
  <si>
    <t>3020-003-0001/401-001</t>
  </si>
  <si>
    <t>เครื่องสาธิตระบบแวคกัมเบรกบอสเตอร์</t>
  </si>
  <si>
    <t>เครื่องสาธิตระบบดับเบิ้ลเซอร์คิทเบรค</t>
  </si>
  <si>
    <t>2530-006-0001/401-001</t>
  </si>
  <si>
    <t>2530-005-0001/401-001</t>
  </si>
  <si>
    <t>เครื่องสาธิตการทำงานของพวงมาลัย</t>
  </si>
  <si>
    <t>1680-009-0001/401-001</t>
  </si>
  <si>
    <t>เครื่องตรวจอาเมเจอร์</t>
  </si>
  <si>
    <t>เครื่องจักรยานยนต์  4  สูบ  4  จังหวะ</t>
  </si>
  <si>
    <t>4910-012-0002/401-001</t>
  </si>
  <si>
    <t>2340-005-0004/401-001-401-003</t>
  </si>
  <si>
    <t>เครื่องจักรยานยนต์  2  สูบ  4  จังหวะ</t>
  </si>
  <si>
    <t>เครื่องจักรยานยนต์ 1 สูบ 4 จังหวะขนาด 90-125 CC</t>
  </si>
  <si>
    <t>2340-005-0003/401-001-401-003</t>
  </si>
  <si>
    <t>2340-005-0002/401-001-401-005</t>
  </si>
  <si>
    <t>2340-005-0001/401-001-401-005</t>
  </si>
  <si>
    <t>เครื่องจักรยานยนต์ 1 สูบ 2 จังหวะขนาด 80-120 CC</t>
  </si>
  <si>
    <t>เครื่องค้นหารอยรั่วน้ำยาแอร์แบบเปลวไฟ</t>
  </si>
  <si>
    <t>4130-008-0001/411-001</t>
  </si>
  <si>
    <t>ชุดเครื่องคอมพิวเตอร์</t>
  </si>
  <si>
    <t>เครื่องยนต์ TOYOTA 2 L</t>
  </si>
  <si>
    <t>เครนยกเครื่องยนต์ ขนาด 1 ตัน</t>
  </si>
  <si>
    <t>2815-001-0004/493-001</t>
  </si>
  <si>
    <t>3940-005-0001/521-001</t>
  </si>
  <si>
    <t>ชุดทดลองปั้มดีเซล</t>
  </si>
  <si>
    <t xml:space="preserve"> -</t>
  </si>
  <si>
    <t>4910-016-0001/391-003</t>
  </si>
  <si>
    <t>7440-001-0001/531-101-102</t>
  </si>
  <si>
    <t>6730-001-0003/531-005</t>
  </si>
  <si>
    <t>เครื่องคอมพิวเตอร์พร้อมโต๊ะ</t>
  </si>
  <si>
    <t>เครื่องฉายมัลติมีเดียโปรเจกเตอร์</t>
  </si>
  <si>
    <t>ชย.</t>
  </si>
  <si>
    <t>ชย.สาขาเครื่องกลฯ</t>
  </si>
  <si>
    <t>ชย.สาขาเครื่องกลอุตฯ</t>
  </si>
  <si>
    <t>พัดลมตั้งพื้น 16 นิ้ว</t>
  </si>
  <si>
    <t>เครื่อง  CD  RW</t>
  </si>
  <si>
    <t>เครื่องสแกนเนอร์</t>
  </si>
  <si>
    <t>4141-001-0001/462-012</t>
  </si>
  <si>
    <t>7740-004-0001/462-003</t>
  </si>
  <si>
    <t>7440-010-0001/462-002</t>
  </si>
  <si>
    <t>5825-020-0001/473-001</t>
  </si>
  <si>
    <t>โทรทัศน์สีชนิดจอแบนขนาด  21  นิ้ว</t>
  </si>
  <si>
    <t>4140-001-0001/483-020-025</t>
  </si>
  <si>
    <t>4140-001-0001/483-026-035</t>
  </si>
  <si>
    <t>พัดลมติดผนัง 16 นิ้ว</t>
  </si>
  <si>
    <t>พัดลมติดผนัง</t>
  </si>
  <si>
    <t>7440-009-0002/492-001-005</t>
  </si>
  <si>
    <t>LAN CARD 10/100/1000</t>
  </si>
  <si>
    <t>LAN CARD 10/100</t>
  </si>
  <si>
    <t>7740-004-0001/502-008</t>
  </si>
  <si>
    <t>7440-009-0003/502-002</t>
  </si>
  <si>
    <t>ฮาร์ดดิส 250 GB</t>
  </si>
  <si>
    <t>7440-010-0010/502-001</t>
  </si>
  <si>
    <t>เครื่องสำรองไฟ</t>
  </si>
  <si>
    <t>7110-07-0001/531-005-021</t>
  </si>
  <si>
    <t>7110-006-0007/531-001-050</t>
  </si>
  <si>
    <t>7110-006-020/531-001-020</t>
  </si>
  <si>
    <t>โต๊ะคอมพิวเตอร์  80*60*75  ขาเหล็ก</t>
  </si>
  <si>
    <t>เก้าอี้ขาเหล็กไม้ยางพารา</t>
  </si>
  <si>
    <t>เก้าอี้นั่งโพลีโพลพิลีน</t>
  </si>
  <si>
    <t>ชอ.</t>
  </si>
  <si>
    <t xml:space="preserve"> 1 เครื่อง</t>
  </si>
  <si>
    <t>5 เครื่อง</t>
  </si>
  <si>
    <t>1 ตัว</t>
  </si>
  <si>
    <t>2 เครื่อง</t>
  </si>
  <si>
    <t>6 ตัว</t>
  </si>
  <si>
    <t>10 ตัว</t>
  </si>
  <si>
    <t>1 อัน</t>
  </si>
  <si>
    <t>17 ตัว</t>
  </si>
  <si>
    <t>50 ตัว</t>
  </si>
  <si>
    <t>20 ตัว</t>
  </si>
  <si>
    <t>6150-003-0004/391-001-391-020</t>
  </si>
  <si>
    <t>เครื่องจ่ายไฟกระแสตรง</t>
  </si>
  <si>
    <t>6625-002-0003/391-001-391-010</t>
  </si>
  <si>
    <t>6625-003-0008/391-001-391-020</t>
  </si>
  <si>
    <t>6910-001-0010/391-001-391-009</t>
  </si>
  <si>
    <t>ชุดทดลองวงจรไฟฟ้ากระแสตรงและกระแสสลับ</t>
  </si>
  <si>
    <t>ดิจิตอลมัลติมิเตอร์</t>
  </si>
  <si>
    <t>ชุดฝึกวงจรอิเล็กทรอนิกส์</t>
  </si>
  <si>
    <t>6635-015-0004/391-001-391-010</t>
  </si>
  <si>
    <t>6910-001-0005/391-001-391-009</t>
  </si>
  <si>
    <t>เครื่องฝึกเครื่องมือทดสอบไฟฟ้าและอิเล็กทรอนิกส์</t>
  </si>
  <si>
    <t>ชุดฝึกอิเล็กทรอนิกส์เบื้องต้น</t>
  </si>
  <si>
    <t>5825-020-0001/401-004-401-023</t>
  </si>
  <si>
    <t>5835-013-0002/401-001</t>
  </si>
  <si>
    <t>5835-013-0001/401-001-401-002</t>
  </si>
  <si>
    <t>เครื่องรับโทรทัศน์</t>
  </si>
  <si>
    <t>ชุดฝึกระบบเสียงสาธารณะ</t>
  </si>
  <si>
    <t>ชุดฝึกระบบเสียงในรถยนต์</t>
  </si>
  <si>
    <t>5826-019-0001/411-001-411-002</t>
  </si>
  <si>
    <t>5820-011-0001/451-001</t>
  </si>
  <si>
    <t>5820-005-0001/451-001</t>
  </si>
  <si>
    <t>5825-020-0001/452-002</t>
  </si>
  <si>
    <t>6910-001-0016/461-001-005</t>
  </si>
  <si>
    <t>ชุดสาธิตโทรทัศน์ระบบ MATV , CATV</t>
  </si>
  <si>
    <t>ชุดสาธิตโทรทัศน์วงจรปิด</t>
  </si>
  <si>
    <t>เครื่องรับโทรทัศน์ สี 14" พานโซนิค</t>
  </si>
  <si>
    <t>ชุดฝึกไฟเบอร์ออฟติก</t>
  </si>
  <si>
    <t>6910-001-0017/461-001-461-002</t>
  </si>
  <si>
    <t>ชุดฝึกรับ-ส่งวิทยุสื่อสารสำหรับฝึก</t>
  </si>
  <si>
    <t>7440-001-0001/462-007</t>
  </si>
  <si>
    <t>7125-001-0001/462-001</t>
  </si>
  <si>
    <t>5835-001-0001/462-001</t>
  </si>
  <si>
    <t>การ์ดติดตั้งวีดีโอ</t>
  </si>
  <si>
    <t>เครื่องขยายเสียงแบบเพาแอมป์</t>
  </si>
  <si>
    <t>5895-004-0001/462-001</t>
  </si>
  <si>
    <t>6910-001-0015/461-001-05</t>
  </si>
  <si>
    <t>5965-007-0001/461-001-002</t>
  </si>
  <si>
    <t>5825-020-0001/471-024</t>
  </si>
  <si>
    <t>เครื่องช่วยซาวด์กลอง  DM5</t>
  </si>
  <si>
    <t>ชุดฝึกเครื่องขยายเสียง</t>
  </si>
  <si>
    <t>ไมโครโฟนไร้สาย</t>
  </si>
  <si>
    <t>โทรทัศน์สีชนิดจอแบนขนาด  29  นิ้ว</t>
  </si>
  <si>
    <t>6720-005-0002/472-002</t>
  </si>
  <si>
    <t>กล้องดิจิตอล</t>
  </si>
  <si>
    <t>5965-007-0001/483-001-002</t>
  </si>
  <si>
    <t>6310-002-0001/482-001</t>
  </si>
  <si>
    <t>6730-001-0003/492-001</t>
  </si>
  <si>
    <t>6730-001-0002/492-001</t>
  </si>
  <si>
    <t>ไมโครโฟนไร้สายชนิดคู่</t>
  </si>
  <si>
    <t>ชุดรับสัญญาณดาวเทียม</t>
  </si>
  <si>
    <t>เครื่องโปรเจคเตอร์พร้อมจอ 70 นิ้ว</t>
  </si>
  <si>
    <t>เครื่องฉายภาพ 3 มิติ</t>
  </si>
  <si>
    <t>7440-009-0003/492-001</t>
  </si>
  <si>
    <t>5835-002-0003/492-001</t>
  </si>
  <si>
    <t>ตัวแปลงสัญญาณไฟเบอร์</t>
  </si>
  <si>
    <t>มิกเซอร์ 24 ช่อง</t>
  </si>
  <si>
    <t>7440-009-0001/502-001</t>
  </si>
  <si>
    <t>7440-001-0004/501-001</t>
  </si>
  <si>
    <t>การ์ด SKY 8800</t>
  </si>
  <si>
    <t xml:space="preserve">CASE SERVER </t>
  </si>
  <si>
    <t>5805-009-0001/512-001</t>
  </si>
  <si>
    <t>6730-001-0003/521-004</t>
  </si>
  <si>
    <t>6720-005-0003/521-001</t>
  </si>
  <si>
    <t>ตู้สาขาโทรศัพท์</t>
  </si>
  <si>
    <t>เครื่องมัลติมีเดียโปรเจคเตอร์ ACER P1166P</t>
  </si>
  <si>
    <t>กล้องถ่ายภาพนิ่ง NIKON รุ่น COOLPIX P90</t>
  </si>
  <si>
    <t>20 เครื่อง</t>
  </si>
  <si>
    <t>10 ชุด</t>
  </si>
  <si>
    <t>9 ชุด</t>
  </si>
  <si>
    <t>10 เครื่อง</t>
  </si>
  <si>
    <t>ชุดฝึกเครื่องส่งเอเอ็มเอฟเอ็มสเตอริโอ</t>
  </si>
  <si>
    <t>5 ชุด</t>
  </si>
  <si>
    <t>1 ตู้</t>
  </si>
  <si>
    <t>5950-004-0001/391-001-391-010</t>
  </si>
  <si>
    <t>ทรานฟอร์เมอร์ 1 เฟส</t>
  </si>
  <si>
    <t>5905-006-0003/391-001-391-010</t>
  </si>
  <si>
    <t>เครื่องวัดกระแสไฟฟ้าตรงแบบไมโครแอมป์</t>
  </si>
  <si>
    <t>โต๊ะพับเอนกประสงค์ 6 ฟุต</t>
  </si>
  <si>
    <t>7110-007-0011/451-019-451-028</t>
  </si>
  <si>
    <t>แรงเคลื่อนคงที่</t>
  </si>
  <si>
    <t>ชุดฝึกไฟฟ้าเบื้องต้น</t>
  </si>
  <si>
    <t>6910-001-0007/391-001</t>
  </si>
  <si>
    <t>6910-001-0006/391-001-391-007</t>
  </si>
  <si>
    <t>เครื่องวัดกระแสสลับแบบพอร์ทเทเบิ้ล</t>
  </si>
  <si>
    <t>5905-006-0004/391-001-391-010</t>
  </si>
  <si>
    <t>7110-007-0017/391-001-391-006</t>
  </si>
  <si>
    <t>โต๊ะงานช่างกล</t>
  </si>
  <si>
    <t>6625-002-0004/391-001</t>
  </si>
  <si>
    <t>ชุดสาธิตทดลองระบบเครื่องมือวัด</t>
  </si>
  <si>
    <t>ชุดฝึกการควบคุมเครื่องกลไฟฟ้า</t>
  </si>
  <si>
    <t>5975-006-0002/391-001-391-002</t>
  </si>
  <si>
    <t>ชุดฝึกเครื่องกลไฟฟ้า</t>
  </si>
  <si>
    <t>ชุดสาธิตเครื่องกลไฟฟ้าเบื้องต้น</t>
  </si>
  <si>
    <t>ชุดเครื่องทดสอบในงานติดตั้งไฟฟ้า</t>
  </si>
  <si>
    <t>เครื่องฝึกทดลองอิเล็กทรอนิกส์อุสาหกรรม</t>
  </si>
  <si>
    <t>เครื่องทดสอบอิเล็กทรอนิกส์และวงจร 1</t>
  </si>
  <si>
    <t>6110-010-0002/401-001</t>
  </si>
  <si>
    <t>6110-001-0001/401-001</t>
  </si>
  <si>
    <t>6110-011-0001/401-001</t>
  </si>
  <si>
    <t>5977-009-0002/401-001-401-005</t>
  </si>
  <si>
    <t>5915-003-0001/401-001-401-005</t>
  </si>
  <si>
    <t>เครื่องฝึกทดสอบไฟฟ้าและอิเล็กทรอนิกส์</t>
  </si>
  <si>
    <t>5977-009-0001/401-001</t>
  </si>
  <si>
    <t>ชุกฝึกประจำวิชาติดตั้งไฟฟ้า</t>
  </si>
  <si>
    <t>6105-004-0001/401-001</t>
  </si>
  <si>
    <t>ชุดประลองวงจรไฟฟ้า  2 กระแสสลับ</t>
  </si>
  <si>
    <t>ชุดประลองวงจรไฟฟ้า  1 กระแสตรง</t>
  </si>
  <si>
    <t>5915-005-0002/401-001-401-005</t>
  </si>
  <si>
    <t>5915-005-0001/401-001-401-005</t>
  </si>
  <si>
    <t>ชุดฝึกนิวเนติกส์ไฟฟ้า</t>
  </si>
  <si>
    <t>4810-001-0001/411-001</t>
  </si>
  <si>
    <t>อินเวอร์เตอร์ 3 เฟส</t>
  </si>
  <si>
    <t>ชุดฝึกควบคุมความเร็วมอเตอร์กระแสสลับ</t>
  </si>
  <si>
    <t>6110-006-0001/411-001</t>
  </si>
  <si>
    <t>6110-007-0001/411-001</t>
  </si>
  <si>
    <t>ชุดฝึกเครื่องทำความเย็น</t>
  </si>
  <si>
    <t>4110-008-0002/411-001</t>
  </si>
  <si>
    <t>ชุดฝึกการพันมอเตอร์และทรานฟอเมอร์</t>
  </si>
  <si>
    <t>5120-024-0002/421-001</t>
  </si>
  <si>
    <t>ชุดควบคุมความเร็วมอเตอร์ขนาดไม่ต่ำกว่า 3 แรงม้า</t>
  </si>
  <si>
    <t>ชุดอุปกรณ์ฝึกซ่อมเครื่องใช้ไฟฟ้า</t>
  </si>
  <si>
    <t>6110-002-0001/421-001</t>
  </si>
  <si>
    <t>6910-001-0001./421-001</t>
  </si>
  <si>
    <t>เครื่องพันขดลวด</t>
  </si>
  <si>
    <t>5120-024-0003/421-001</t>
  </si>
  <si>
    <t>ชุดเครื่องมือฝึกซ่อมเครื่องใช้ไฟฟ้า</t>
  </si>
  <si>
    <t>6910-001-0001/451-001</t>
  </si>
  <si>
    <t>ชุดทดลองเป็นลำดับขั้น PLC</t>
  </si>
  <si>
    <t>6930-002-0001/451-001</t>
  </si>
  <si>
    <t>ชฟ.</t>
  </si>
  <si>
    <t>โต๊ะเชื่อมแก๊สพร้อมเก้าอี้</t>
  </si>
  <si>
    <t>7110-007-0013/391-001-391-010</t>
  </si>
  <si>
    <t>7110-007-0003/391-001-391-010</t>
  </si>
  <si>
    <t>โต๊ะเชื่อมไฟฟ้าพร้อมเก้าอี้</t>
  </si>
  <si>
    <t>4710-007-0002/391-001-391-005</t>
  </si>
  <si>
    <t>ชุดท่อบรรจุแก๊ส ขนาด 40 ลิตร</t>
  </si>
  <si>
    <t>7110-007-0015/391-001</t>
  </si>
  <si>
    <t>โต๊ะปฏิบัติงานบัดกรี</t>
  </si>
  <si>
    <t>5130-007-0004/391-001</t>
  </si>
  <si>
    <t>สว่านไฟฟ้าตั้งโต๊ะ  13 มม.</t>
  </si>
  <si>
    <t>3470-002-0003/531-005-008</t>
  </si>
  <si>
    <t>เครื่องเชื่อม  orbit -220</t>
  </si>
  <si>
    <t>ชช.</t>
  </si>
  <si>
    <t>ชุดเครื่องมือและอุปกรณ์งานเชื่อมแก๊ส</t>
  </si>
  <si>
    <t>3470-002-0001/391-001</t>
  </si>
  <si>
    <t>ชุดเครื่องมือและอุปกรณ์งานโลหะแผ่น</t>
  </si>
  <si>
    <t>3470-003-0002/391-001</t>
  </si>
  <si>
    <t>7440-001-0001/462-003</t>
  </si>
  <si>
    <t>เครื่องเชื่อมพลาสติก</t>
  </si>
  <si>
    <t>3470-005-0001/471-001</t>
  </si>
  <si>
    <t>เครื่องฉายโปรเจคเตอร์ SONY UPL-ES-7</t>
  </si>
  <si>
    <t>6730-001-0003/521-002</t>
  </si>
  <si>
    <t>เครื่องเชื่อม  Tig 200 พร้อมอุปกรณ์</t>
  </si>
  <si>
    <t>3470-002-0003/531-010</t>
  </si>
  <si>
    <t>6 เครื่อง</t>
  </si>
  <si>
    <t>7 ชุด</t>
  </si>
  <si>
    <t>พัดลมโรงงาน 18 นิ้ว</t>
  </si>
  <si>
    <t>4140-001-0002/482-004-0007</t>
  </si>
  <si>
    <t>7430-008-0001/502-015</t>
  </si>
  <si>
    <t>7440-001-0001/502-058</t>
  </si>
  <si>
    <t>เครื่องปริ้นเตอร์ 1020</t>
  </si>
  <si>
    <t>เครื่องคอมพิวเตอร์ HP</t>
  </si>
  <si>
    <t>ทค.</t>
  </si>
  <si>
    <t>4 ตัว</t>
  </si>
  <si>
    <t>4 เครื่อง</t>
  </si>
  <si>
    <t>เครื่องพิมพ์ดีดไฟฟ้าชนิดไม่มีหน่วยความจำ</t>
  </si>
  <si>
    <t>7430-001-0006/391-002-391-016</t>
  </si>
  <si>
    <t>โต๊ะพิมพ์ดีด</t>
  </si>
  <si>
    <t>7110-007-0004/391-004-006</t>
  </si>
  <si>
    <t>7110-007-0004/401-053-401-140</t>
  </si>
  <si>
    <t>เครื่องคำนวนเลข  12  หลัก</t>
  </si>
  <si>
    <t>7420-001-0002/401-023-401-068</t>
  </si>
  <si>
    <t>พัดลมโคจร  16 นิ้ว</t>
  </si>
  <si>
    <t>4140-001-0003/482-029-030</t>
  </si>
  <si>
    <t>เก้าอี้เบาะพนักพิง</t>
  </si>
  <si>
    <t>7110-006-0004/531-161-190</t>
  </si>
  <si>
    <t>เครื่องพิมพ์ดีดภาษาอังกฤษแคร่  15"</t>
  </si>
  <si>
    <t>เครื่องพิมพ์ดีดแบบธรรมดาภาษาไทย 15"</t>
  </si>
  <si>
    <t>7430-001-0003/391-002-391-026</t>
  </si>
  <si>
    <t>7430-001-0005/391-003-391-027</t>
  </si>
  <si>
    <t>เครื่องบันทึกเงินสด</t>
  </si>
  <si>
    <t>7420-005-0001/391-001-391-004</t>
  </si>
  <si>
    <t>เครื่องพิมพ์ดีดภาษาอังกฤษแคร่  18"</t>
  </si>
  <si>
    <t>7430-001-0001/401-027-401-051</t>
  </si>
  <si>
    <t>7430-001-0007/401-002,024</t>
  </si>
  <si>
    <t>เครื่องพิมพ์ดีดแบบธรรมดาภาษาไทย  18"</t>
  </si>
  <si>
    <t>เครื่องคอมพิวเตอร์</t>
  </si>
  <si>
    <t>7440-001-0001/462-004</t>
  </si>
  <si>
    <t>7430-008-0002/492-009</t>
  </si>
  <si>
    <t>เครื่องปริ้นเตอร์ HP 1020</t>
  </si>
  <si>
    <t>7430-001-0001/492-001-007</t>
  </si>
  <si>
    <t>7430-001-0001/492-008-013</t>
  </si>
  <si>
    <t xml:space="preserve">เครื่องคอมพิวเตอร์ ยี่ห้อ ACER </t>
  </si>
  <si>
    <t>7440-001-0001/501-056</t>
  </si>
  <si>
    <t>เครื่องคอมพิวเตอร์พร้อมโต๊ะเก้าอี้</t>
  </si>
  <si>
    <t>7440-001-0001/531-124-138</t>
  </si>
  <si>
    <t>บช.</t>
  </si>
  <si>
    <t>42 ตัว</t>
  </si>
  <si>
    <t>90 ตัว</t>
  </si>
  <si>
    <t>25 ตัว</t>
  </si>
  <si>
    <t>58 เครื่อง</t>
  </si>
  <si>
    <t>7 เครื่อง</t>
  </si>
  <si>
    <t>15 เครื่อง</t>
  </si>
  <si>
    <t>46 เครื่อง</t>
  </si>
  <si>
    <t>30 ตัว</t>
  </si>
  <si>
    <t>โต๊ะวางเครื่องปริ้น</t>
  </si>
  <si>
    <t>7110-007-0002/401-002-401-005</t>
  </si>
  <si>
    <t>โต๊ะวางเครื่องคอมพิวเตอร์</t>
  </si>
  <si>
    <t>7110-007-0001/401-003-401-022</t>
  </si>
  <si>
    <t>เก้าอี้สำหรับคอมพิวเตอร์</t>
  </si>
  <si>
    <t>7110-006-0002/401-001-401-020</t>
  </si>
  <si>
    <t>7110-007-0002/421-007-421-008</t>
  </si>
  <si>
    <t>7110-007-0001/421-023-421-032</t>
  </si>
  <si>
    <t>7110-006-0002/421-021-421-040</t>
  </si>
  <si>
    <t>7110-007-0002/431-009-431-010</t>
  </si>
  <si>
    <t>7110-007-0001/431-033-431-037</t>
  </si>
  <si>
    <t>7110-006-0002/431-041-431-045</t>
  </si>
  <si>
    <t xml:space="preserve">เครื่อง WRITE CD ROM </t>
  </si>
  <si>
    <t>7740-004-0001/482-004-006</t>
  </si>
  <si>
    <t>4140-001-0001/482-016-021</t>
  </si>
  <si>
    <t>FLASH DRIVE 512 MB</t>
  </si>
  <si>
    <t>7440-009-0001/492-003</t>
  </si>
  <si>
    <t>เครื่อง DVD RW</t>
  </si>
  <si>
    <t>7740-010-0001/502-001</t>
  </si>
  <si>
    <t>เก้าอี้สำนักงาน  S -35  หนัง</t>
  </si>
  <si>
    <t>7110-006-0007/512-006</t>
  </si>
  <si>
    <t>เก้าอี้เบาะชุดโครเมี่ยม</t>
  </si>
  <si>
    <t>7110-006-0009/531-001-160</t>
  </si>
  <si>
    <t>เครื่องไมโครคอมพิวเตอร์</t>
  </si>
  <si>
    <t>7440-001-0001/401-015-016</t>
  </si>
  <si>
    <t>7440-001-0001/421-023-421-032</t>
  </si>
  <si>
    <t>7440-001-0001/431-036-431-040</t>
  </si>
  <si>
    <t>7440-001-0001/462-010-462-030</t>
  </si>
  <si>
    <t>7440-001-0001/461-041-461-047</t>
  </si>
  <si>
    <t>7440-001-0001/461-048-461-054</t>
  </si>
  <si>
    <t>7440-001-0001/482-031-482-035</t>
  </si>
  <si>
    <t>7440-001-0001/482-036-039</t>
  </si>
  <si>
    <t>7440-001-0001/482-040-043</t>
  </si>
  <si>
    <t>เครื่องคอมพิวเตอร์ GVIEW</t>
  </si>
  <si>
    <t>7440-001-0001/482-046</t>
  </si>
  <si>
    <t>7440-001-0001/493-007-016</t>
  </si>
  <si>
    <t>7440-001-0001/493-017-026</t>
  </si>
  <si>
    <t>เครื่องไมโครคอมพิวเตอร์ SVOA จอแบน</t>
  </si>
  <si>
    <t>7440-001-0001/512-060-108</t>
  </si>
  <si>
    <t>7440-001-0001/512-109-157</t>
  </si>
  <si>
    <t>เครื่องโปรเจคเตอร์พร้อมจอรับภาพ</t>
  </si>
  <si>
    <t>6730-001-0003/531-009-012</t>
  </si>
  <si>
    <t>พค.</t>
  </si>
  <si>
    <t>เครื่องคำนวนเลข</t>
  </si>
  <si>
    <t>7420-001-0001/391-001</t>
  </si>
  <si>
    <t>เครื่องพิมพ์ดีดแบบธรรมดาภาษาอังกฤษ 18"</t>
  </si>
  <si>
    <t>เครื่องพิมพ์ดีดแบบธรรมดาภาษาไทย  15"</t>
  </si>
  <si>
    <t>7430-001-0007/391-001</t>
  </si>
  <si>
    <t>7430-001-0002/391-001</t>
  </si>
  <si>
    <t>7430-001-0005/391-001</t>
  </si>
  <si>
    <t>6720-005-0002/472-001</t>
  </si>
  <si>
    <t>เครื่องโทรศัพท์ มือถือ NOKIA 6080</t>
  </si>
  <si>
    <t>5805-001-0002/502-002</t>
  </si>
  <si>
    <t>เครื่องคอมพิวเตอร์  จอแบน</t>
  </si>
  <si>
    <t>7440-001-0001/502-053-054</t>
  </si>
  <si>
    <t>เครื่องปริ้นเตอร์ CANON LBp 3050</t>
  </si>
  <si>
    <t>7430-008-0002/531-023</t>
  </si>
  <si>
    <t>พัสดุ</t>
  </si>
  <si>
    <t>5 ตัว</t>
  </si>
  <si>
    <t>160 ตัว</t>
  </si>
  <si>
    <t>21 เครื่อง</t>
  </si>
  <si>
    <t>49 เครื่อง</t>
  </si>
  <si>
    <t>คอมพิวเตอร์ DTK</t>
  </si>
  <si>
    <t>7440-001-0001/473-005</t>
  </si>
  <si>
    <t>7440-001-0001/531-147</t>
  </si>
  <si>
    <t>เก้าอี้สำนักงาน  (ขาเหล็ก)</t>
  </si>
  <si>
    <t>7110-006-0006/531-001</t>
  </si>
  <si>
    <t>เครื่องสำรองไฟฟ้า</t>
  </si>
  <si>
    <t>6130-001-0001/531-006</t>
  </si>
  <si>
    <t>7440-001-0001/492-049</t>
  </si>
  <si>
    <t>เครื่องคอมพิวเตอร์พร้อมจอ 20" HP</t>
  </si>
  <si>
    <t>7440-001-0001/566-001-002</t>
  </si>
  <si>
    <t>เครื่องปริ๊นเตอร์ Inkjet all in one Epson2106</t>
  </si>
  <si>
    <t>7430-008-0002/566-001-002</t>
  </si>
  <si>
    <t>บุค</t>
  </si>
  <si>
    <t>ซาวด์การ์ด</t>
  </si>
  <si>
    <t>7440-010-0001/492-001</t>
  </si>
  <si>
    <t>เครื่องไรท์ ซีดี</t>
  </si>
  <si>
    <t>7440-010-0002/492-007</t>
  </si>
  <si>
    <t>ฮาร์ดดิส 80</t>
  </si>
  <si>
    <t>7440-010-0003/492-001</t>
  </si>
  <si>
    <t>ลำโพง</t>
  </si>
  <si>
    <t>7440-010-0004/492-001</t>
  </si>
  <si>
    <t>ผ้าม่าน ขนาด 0.8 * 2 เมตร</t>
  </si>
  <si>
    <t>ผ้าม่าน ขนาด 0.9 * 1.85 เมตร</t>
  </si>
  <si>
    <t>8350-001-0001/491-001-006</t>
  </si>
  <si>
    <t>8350-001-0001/491-001</t>
  </si>
  <si>
    <t>ผ้าม่าน ขนาด 0.7 * 1.8 เมตร</t>
  </si>
  <si>
    <t>ผ้าม่าน ขนาด 1 * 1.35 เมตร</t>
  </si>
  <si>
    <t>ผ้าม่าน ขนาด 0.9 * .45 เมตร</t>
  </si>
  <si>
    <t>7430-008-0002/531-020</t>
  </si>
  <si>
    <t>7440-001-0001/531-148</t>
  </si>
  <si>
    <t>แฟลต speedlite yn 568ex 2</t>
  </si>
  <si>
    <t>6760-0802-6002</t>
  </si>
  <si>
    <t>เครื่องปริ้นเตอร์ HP PSC 1315</t>
  </si>
  <si>
    <t>7430-008-0002/492-006</t>
  </si>
  <si>
    <t>ปชส.</t>
  </si>
  <si>
    <t>6 ผืน</t>
  </si>
  <si>
    <t>1 ผืน</t>
  </si>
  <si>
    <t>9925-009-0001/412-001</t>
  </si>
  <si>
    <t>โต๊ะหมู่บูชา (หมู่ 9 หน้า 8)</t>
  </si>
  <si>
    <t>9925-009-0001/422-002</t>
  </si>
  <si>
    <t>โต๊ะหมู่บูชา (หมู่ 5)</t>
  </si>
  <si>
    <t>7110-007-0018/424-001-036</t>
  </si>
  <si>
    <t>โต๊ะรับประทานอาหาร</t>
  </si>
  <si>
    <t>5130-007-0001/442-001</t>
  </si>
  <si>
    <t>เครื่องเจียมือถือ 4" มากีต้า</t>
  </si>
  <si>
    <t>5210-002-0001/482-001</t>
  </si>
  <si>
    <t>เลื่อยวงเดือน 9 นิ้ว</t>
  </si>
  <si>
    <t>4330-001-0002/502-003</t>
  </si>
  <si>
    <t>ปั้มหอยโข่ง</t>
  </si>
  <si>
    <t>4610-007-0001/551-001-002</t>
  </si>
  <si>
    <t>เครื่องกรองน้ำ</t>
  </si>
  <si>
    <t>3750-002-0001/432-003</t>
  </si>
  <si>
    <t>รถตัดหญ้า 4 ล้อ</t>
  </si>
  <si>
    <t>3750-002-0001/432-004</t>
  </si>
  <si>
    <t>เครื่องตัดหญ้าแบบสายสะพาย</t>
  </si>
  <si>
    <t>5130-009-0001/442-001</t>
  </si>
  <si>
    <t>สว่านโรตารี่ GBH - 2 BOSCH</t>
  </si>
  <si>
    <t>4330-001-0002/452-002</t>
  </si>
  <si>
    <t>ปั้มน้ำมิตซู  ขนาด 2" 2 PH</t>
  </si>
  <si>
    <t>5130-009-0001/462-002</t>
  </si>
  <si>
    <t>สว่านไฟฟ้ากระแทก</t>
  </si>
  <si>
    <t>3510-003-0001/484-001</t>
  </si>
  <si>
    <t>เครื่องซักผ้า</t>
  </si>
  <si>
    <t>4110-002-0002/492-003-004</t>
  </si>
  <si>
    <t>เครื่องทำน้ำเย็น 5 หัว</t>
  </si>
  <si>
    <t>9925-009-0002/492-003</t>
  </si>
  <si>
    <t>โต๊ะหมู่บูชา ขนาด 9 * 9</t>
  </si>
  <si>
    <t>3450-002-0001/521-001</t>
  </si>
  <si>
    <t>เครื่องขัดพื้น CLEAN WORLD 18 นิ้ว TIP</t>
  </si>
  <si>
    <t>6720-005-0002/531-005</t>
  </si>
  <si>
    <t>กล้องถ่ายภาพนิ่ง</t>
  </si>
  <si>
    <t>7110-007-0014/551-017-024</t>
  </si>
  <si>
    <t>ชุดโต๊ะประชุม 8 ที่นั่ง พร้อมเก้าอี้</t>
  </si>
  <si>
    <t>4110-003-0001/551-001-002</t>
  </si>
  <si>
    <t xml:space="preserve">ปั๊มน้ำ MITSUBISHI 380V 2 นิ้ว 3แรง </t>
  </si>
  <si>
    <t>อาคาร</t>
  </si>
  <si>
    <t>2 ตู้</t>
  </si>
  <si>
    <t>36 ตัว</t>
  </si>
  <si>
    <t>1 ค้น</t>
  </si>
  <si>
    <t>7125-002-0002/401-012-013</t>
  </si>
  <si>
    <t>ตู้เหล็ก 4 ลิ้นชัก</t>
  </si>
  <si>
    <t>7110-002-0006/401-001</t>
  </si>
  <si>
    <t>ตู้เหล็ก 2  บานเลื่อน</t>
  </si>
  <si>
    <t>7125-002-0002/462-001</t>
  </si>
  <si>
    <t>7110-007-0001/502-006</t>
  </si>
  <si>
    <t>โต๊ะวางเครื่องคอม + เก้าอี้</t>
  </si>
  <si>
    <t>7110-002-0005/521-019-021</t>
  </si>
  <si>
    <t>ตู้เหล็ก  2 บานเปิด</t>
  </si>
  <si>
    <t>7110-006-0006/531-012</t>
  </si>
  <si>
    <t>เก้าอี้  (ขาเหล็ก) 5  แฉก</t>
  </si>
  <si>
    <t>7440-001-0001/472-030</t>
  </si>
  <si>
    <t>เครื่องปริ้นเตอร์  HP 1020</t>
  </si>
  <si>
    <t>7740-004-0002/492-012</t>
  </si>
  <si>
    <t>7440-001-0001/502-052</t>
  </si>
  <si>
    <t>เครื่องพิมพ์มัลติฟังชั่น HP LASER M 1120 MFP</t>
  </si>
  <si>
    <t>7430-008-0006/512-017</t>
  </si>
  <si>
    <t>3 ตู้</t>
  </si>
  <si>
    <t>เก้าอี้ (ขาเหล็ก)  5  แฉก</t>
  </si>
  <si>
    <t>7110-006-0006/531-017</t>
  </si>
  <si>
    <t>6130-001-0001/531-011</t>
  </si>
  <si>
    <t>กล้องดิจิตอล SONY รุ่น DSC-S950</t>
  </si>
  <si>
    <t>HP Laserjet MPP 1522n</t>
  </si>
  <si>
    <t>6720-005-0005/521-001</t>
  </si>
  <si>
    <t>7430-008-0006/531-014</t>
  </si>
  <si>
    <t>เครื่องล้างขวดบรรจุน้ำ</t>
  </si>
  <si>
    <t>4610-009-0001/531-001</t>
  </si>
  <si>
    <t>ตู้หยอดเหรียญน้ำดื่ม</t>
  </si>
  <si>
    <t>4110-003-0002/551-003</t>
  </si>
  <si>
    <t>เครื่องกรองน้ำขนาด 8 นิ้ว</t>
  </si>
  <si>
    <t>4610-007-0002/551-003</t>
  </si>
  <si>
    <t>ทะเบียน</t>
  </si>
  <si>
    <t>การค้า</t>
  </si>
  <si>
    <t>เครื่องคอมพิวเตอร์ ALL IN ONE</t>
  </si>
  <si>
    <t>7440-001-0001/582-001</t>
  </si>
  <si>
    <t>วิจัย</t>
  </si>
  <si>
    <t>Printer HP Laserjet M1522n MFP</t>
  </si>
  <si>
    <t>7430-008-0006/531-027</t>
  </si>
  <si>
    <t>วัดผล</t>
  </si>
  <si>
    <t>ชุดคอมพิวเตอร์</t>
  </si>
  <si>
    <t>7440-001-0001/462-005</t>
  </si>
  <si>
    <t>7440-001-0001/531-149</t>
  </si>
  <si>
    <t>หลักสูตร</t>
  </si>
  <si>
    <t>7440-001-0001/462-001</t>
  </si>
  <si>
    <t>7440-001-0001/531-144</t>
  </si>
  <si>
    <t>ทวิภาคี</t>
  </si>
  <si>
    <t>ตู้บานเลื่อนกระจก ขนาด 4 ฟุต</t>
  </si>
  <si>
    <t>7110-002-0006/442-001</t>
  </si>
  <si>
    <t>วีดีโอ ซีวีดี ซีดี</t>
  </si>
  <si>
    <t>5820-015-0002/452-002</t>
  </si>
  <si>
    <t>เทปใบ้แบบคู่</t>
  </si>
  <si>
    <t>7730-006-0001/452-001-002</t>
  </si>
  <si>
    <t>เก้าอี้(ขาเหล็ก)  5  แฉก</t>
  </si>
  <si>
    <t>7110-006-0006/531-014</t>
  </si>
  <si>
    <t>ตู้เหล็ก  2  บานเปิด</t>
  </si>
  <si>
    <t>7110-006-0006/531-028</t>
  </si>
  <si>
    <t>โต๊ะเหล็ก  4  ฟุต</t>
  </si>
  <si>
    <t>7110-007-0004/531-011</t>
  </si>
  <si>
    <t>เก้าอี้ประชุม</t>
  </si>
  <si>
    <t>7110-006-0006/551-022-023</t>
  </si>
  <si>
    <t>เก้าอี้ประชุมแบบโยกได้</t>
  </si>
  <si>
    <t>7110-006-0007/551-001-005</t>
  </si>
  <si>
    <t>เครื่องวีดีโอแบบเล่นและบันทึกเทป</t>
  </si>
  <si>
    <t>5820-015-0003/391-001</t>
  </si>
  <si>
    <t>โทรทัศน์สี 20 "</t>
  </si>
  <si>
    <t>5825-020-0001/391-001</t>
  </si>
  <si>
    <t>เครื่องฉายภาพข้ามศรีษะ</t>
  </si>
  <si>
    <t>6730-001-0001/412-001-003</t>
  </si>
  <si>
    <t>6730-001-0001/442-004-007</t>
  </si>
  <si>
    <t>โทรทัศน์สี 29 "</t>
  </si>
  <si>
    <t>5825-020-0001/444-001</t>
  </si>
  <si>
    <t>วีดีโอ 2 หัวเทป/จูนเนอร์</t>
  </si>
  <si>
    <t>5820-015-0001/452-003</t>
  </si>
  <si>
    <t>7440-001-0001/484-001-006</t>
  </si>
  <si>
    <t>ชุดคอมพิวเตอร์ พร้อมโต๊ะเก้าอี้</t>
  </si>
  <si>
    <t>7440-001-0001/531-072-100</t>
  </si>
  <si>
    <t>7440-001-0001/531-103-122</t>
  </si>
  <si>
    <t>7440-001-0001/531-153</t>
  </si>
  <si>
    <t>7440-001-0001/541-157-166</t>
  </si>
  <si>
    <t>โปรแจคเตอร์</t>
  </si>
  <si>
    <t>6310-003-0001/551-001</t>
  </si>
  <si>
    <t>6730-001-0001/551-004</t>
  </si>
  <si>
    <t xml:space="preserve">เครื่องคอมพิวเตอร์ </t>
  </si>
  <si>
    <t>TV LG Phasma 50 นิ้ว PA4500</t>
  </si>
  <si>
    <t>7440-001-0001/551-173-179</t>
  </si>
  <si>
    <t>7730-005-0001/566-009-012</t>
  </si>
  <si>
    <t>งานสื่อ</t>
  </si>
  <si>
    <t>2 อัน</t>
  </si>
  <si>
    <t>28 ชุด</t>
  </si>
  <si>
    <t>ตู้เก็บหนังสือ ขนาด 35*70 ซม.</t>
  </si>
  <si>
    <t>7125-001-0004/493-001</t>
  </si>
  <si>
    <t>โต๊ะอ่านหนังสือ ขนาด 4 ที่นั่งพร้อมเก้าอี้ไม้</t>
  </si>
  <si>
    <t>7110-007-0006/391-001-391-008</t>
  </si>
  <si>
    <t>ประตูควบคุมทางเข้าออกแบบ 2 ทาง</t>
  </si>
  <si>
    <t>7490-015-0002/462-001</t>
  </si>
  <si>
    <t>เครื่องปริ้นเลเซอร์แคนนอน 1210</t>
  </si>
  <si>
    <t>7430-008-0001/472-003</t>
  </si>
  <si>
    <t>ชุดเครื่องคอมพิวเตอร์ตั้งโต๊ะ (โต๊ะ+ เก้าอี้)</t>
  </si>
  <si>
    <t>เครื่องปริ้นเตอร์  CANON LBP 3050</t>
  </si>
  <si>
    <t>7440-001-0004/521-059-070</t>
  </si>
  <si>
    <t>7430-008-0002/531-025</t>
  </si>
  <si>
    <t>7440-001-0001/531-152</t>
  </si>
  <si>
    <t>วิทยาบริการ</t>
  </si>
  <si>
    <t>12 ชุด</t>
  </si>
  <si>
    <t>วิทยบริการ</t>
  </si>
  <si>
    <t>ชั้นเอนกประสงค์</t>
  </si>
  <si>
    <t>7125-004-0001/531-001-002</t>
  </si>
  <si>
    <t>เครื่องปรับอากาศ  PANASONIC 1800BTU</t>
  </si>
  <si>
    <t>4120-001-0002/541-007</t>
  </si>
  <si>
    <t xml:space="preserve">โต๊ะรีดผ้า  </t>
  </si>
  <si>
    <t>7105-006-0001/531-001-002</t>
  </si>
  <si>
    <t>7110-007-0011/541-001-020</t>
  </si>
  <si>
    <t>โต๊ะประชุม 20 ที่นั่ง พร้อมเก้าอี้ 20 ตัว</t>
  </si>
  <si>
    <t>กิจกรรม</t>
  </si>
  <si>
    <t>7125-002-0002/492-005</t>
  </si>
  <si>
    <t>ปกครอง</t>
  </si>
  <si>
    <t>7430-008-0002/493-003</t>
  </si>
  <si>
    <t>7430-008-0002/492-010</t>
  </si>
  <si>
    <t>ปั้มอัตโนมัติ  WP-305Q</t>
  </si>
  <si>
    <t>7430-008-0002/531-016</t>
  </si>
  <si>
    <t>เครื่องทำน้ำเย็น  VT-699 VICTOR</t>
  </si>
  <si>
    <t>4110-002-0003/531-003-017</t>
  </si>
  <si>
    <t>7430-008-0006/531-028</t>
  </si>
  <si>
    <t>สวัสดิการ</t>
  </si>
  <si>
    <t>7440-001-0001/531-142</t>
  </si>
  <si>
    <t>ครูที่ปรึกษา</t>
  </si>
  <si>
    <t xml:space="preserve">โต๊ะคอมพิวเตอร์  60*100*75 </t>
  </si>
  <si>
    <t>7110-007-0001/531-001</t>
  </si>
  <si>
    <t>เก้าอี้ (ขาเหล็ก) 5  แฉก</t>
  </si>
  <si>
    <t>7110-006-0006/531-011</t>
  </si>
  <si>
    <t>7110-006-0006/531-007-008</t>
  </si>
  <si>
    <t>7440-001-0001/531-140</t>
  </si>
  <si>
    <t>โครงการพิเศษฯ</t>
  </si>
  <si>
    <t xml:space="preserve"> -ไม่มีรายการ- </t>
  </si>
  <si>
    <t>ตู้น้ำดื่ม 6 ก๊อก ขนาด 3/8</t>
  </si>
  <si>
    <t>งานบัญชี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</si>
</sst>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;[Red]0.00"/>
  </numFmts>
  <fonts count="11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8"/>
      <name val="Calibri"/>
      <family val="2"/>
      <charset val="222"/>
      <scheme val="minor"/>
    </font>
    <font>
      <sz val="10"/>
      <name val="Arial"/>
      <family val="2"/>
    </font>
    <font>
      <b/>
      <sz val="16"/>
      <name val="TH SarabunPSK"/>
      <family val="2"/>
    </font>
    <font>
      <sz val="14"/>
      <name val="TH SarabunPSK"/>
      <family val="2"/>
    </font>
    <font>
      <sz val="1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4" fillId="0" borderId="0"/>
  </cellStyleXfs>
  <cellXfs count="10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3" xfId="2" applyFont="1" applyBorder="1" applyAlignment="1">
      <alignment horizontal="center"/>
    </xf>
    <xf numFmtId="43" fontId="5" fillId="0" borderId="3" xfId="1" applyFont="1" applyFill="1" applyBorder="1"/>
    <xf numFmtId="43" fontId="5" fillId="0" borderId="1" xfId="1" applyFont="1" applyFill="1" applyBorder="1"/>
    <xf numFmtId="43" fontId="5" fillId="0" borderId="4" xfId="1" applyFont="1" applyFill="1" applyBorder="1"/>
    <xf numFmtId="0" fontId="5" fillId="0" borderId="1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43" fontId="5" fillId="0" borderId="1" xfId="1" applyFont="1" applyBorder="1"/>
    <xf numFmtId="0" fontId="5" fillId="0" borderId="1" xfId="2" applyFont="1" applyBorder="1"/>
    <xf numFmtId="0" fontId="5" fillId="0" borderId="1" xfId="2" applyFont="1" applyBorder="1" applyAlignment="1">
      <alignment horizontal="left"/>
    </xf>
    <xf numFmtId="43" fontId="5" fillId="0" borderId="1" xfId="1" applyFont="1" applyFill="1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4" xfId="2" applyFont="1" applyBorder="1" applyAlignment="1">
      <alignment horizontal="left"/>
    </xf>
    <xf numFmtId="0" fontId="5" fillId="0" borderId="1" xfId="4" applyFont="1" applyBorder="1" applyAlignment="1">
      <alignment horizontal="left"/>
    </xf>
    <xf numFmtId="0" fontId="5" fillId="0" borderId="1" xfId="4" applyFont="1" applyBorder="1" applyAlignment="1">
      <alignment horizontal="center"/>
    </xf>
    <xf numFmtId="43" fontId="5" fillId="0" borderId="1" xfId="0" applyNumberFormat="1" applyFont="1" applyBorder="1"/>
    <xf numFmtId="0" fontId="9" fillId="0" borderId="4" xfId="2" applyFont="1" applyBorder="1"/>
    <xf numFmtId="43" fontId="5" fillId="0" borderId="4" xfId="1" applyFont="1" applyBorder="1"/>
    <xf numFmtId="0" fontId="5" fillId="0" borderId="1" xfId="1" applyNumberFormat="1" applyFont="1" applyBorder="1" applyAlignment="1">
      <alignment horizontal="center"/>
    </xf>
    <xf numFmtId="0" fontId="5" fillId="0" borderId="3" xfId="2" applyFont="1" applyBorder="1" applyAlignment="1">
      <alignment horizontal="left"/>
    </xf>
    <xf numFmtId="43" fontId="5" fillId="0" borderId="1" xfId="1" applyFont="1" applyBorder="1" applyAlignment="1"/>
    <xf numFmtId="0" fontId="5" fillId="0" borderId="5" xfId="2" applyFont="1" applyBorder="1" applyAlignment="1">
      <alignment horizontal="left"/>
    </xf>
    <xf numFmtId="0" fontId="5" fillId="0" borderId="3" xfId="2" applyFont="1" applyBorder="1"/>
    <xf numFmtId="43" fontId="5" fillId="0" borderId="3" xfId="1" applyFont="1" applyBorder="1"/>
    <xf numFmtId="0" fontId="5" fillId="2" borderId="1" xfId="2" applyFont="1" applyFill="1" applyBorder="1" applyAlignment="1">
      <alignment horizontal="center"/>
    </xf>
    <xf numFmtId="2" fontId="5" fillId="0" borderId="1" xfId="0" applyNumberFormat="1" applyFont="1" applyBorder="1"/>
    <xf numFmtId="0" fontId="5" fillId="0" borderId="6" xfId="2" applyFont="1" applyBorder="1" applyAlignment="1">
      <alignment horizontal="center"/>
    </xf>
    <xf numFmtId="0" fontId="5" fillId="0" borderId="1" xfId="4" applyFont="1" applyBorder="1"/>
    <xf numFmtId="43" fontId="5" fillId="0" borderId="6" xfId="1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49" fontId="5" fillId="0" borderId="1" xfId="2" applyNumberFormat="1" applyFont="1" applyBorder="1" applyAlignment="1">
      <alignment horizontal="left"/>
    </xf>
    <xf numFmtId="43" fontId="5" fillId="0" borderId="1" xfId="2" applyNumberFormat="1" applyFont="1" applyBorder="1"/>
    <xf numFmtId="49" fontId="5" fillId="0" borderId="1" xfId="0" applyNumberFormat="1" applyFont="1" applyBorder="1"/>
    <xf numFmtId="0" fontId="5" fillId="0" borderId="1" xfId="5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5" fillId="0" borderId="1" xfId="2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/>
    </xf>
    <xf numFmtId="43" fontId="5" fillId="0" borderId="4" xfId="1" applyFont="1" applyBorder="1" applyAlignment="1">
      <alignment horizontal="center"/>
    </xf>
    <xf numFmtId="43" fontId="5" fillId="0" borderId="1" xfId="1" applyFont="1" applyBorder="1" applyAlignment="1">
      <alignment horizontal="right"/>
    </xf>
    <xf numFmtId="0" fontId="5" fillId="0" borderId="1" xfId="0" applyFon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/>
    </xf>
    <xf numFmtId="49" fontId="5" fillId="0" borderId="1" xfId="2" applyNumberFormat="1" applyFont="1" applyBorder="1"/>
    <xf numFmtId="0" fontId="5" fillId="0" borderId="1" xfId="3" applyFont="1" applyBorder="1" applyAlignment="1">
      <alignment horizontal="center"/>
    </xf>
    <xf numFmtId="43" fontId="5" fillId="0" borderId="4" xfId="1" applyFont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43" fontId="5" fillId="2" borderId="1" xfId="1" applyFont="1" applyFill="1" applyBorder="1" applyAlignment="1">
      <alignment horizontal="center"/>
    </xf>
    <xf numFmtId="43" fontId="5" fillId="0" borderId="6" xfId="1" applyFont="1" applyBorder="1" applyAlignment="1">
      <alignment horizontal="right"/>
    </xf>
    <xf numFmtId="43" fontId="5" fillId="0" borderId="6" xfId="1" applyFont="1" applyBorder="1"/>
    <xf numFmtId="0" fontId="9" fillId="0" borderId="4" xfId="2" applyFont="1" applyBorder="1" applyAlignment="1">
      <alignment horizontal="left"/>
    </xf>
    <xf numFmtId="0" fontId="9" fillId="0" borderId="1" xfId="2" applyFont="1" applyBorder="1" applyAlignment="1">
      <alignment horizontal="left"/>
    </xf>
    <xf numFmtId="0" fontId="9" fillId="0" borderId="3" xfId="2" applyFont="1" applyBorder="1" applyAlignment="1">
      <alignment horizontal="left"/>
    </xf>
    <xf numFmtId="0" fontId="9" fillId="0" borderId="1" xfId="2" applyFont="1" applyBorder="1"/>
    <xf numFmtId="43" fontId="8" fillId="0" borderId="1" xfId="1" applyFont="1" applyBorder="1"/>
    <xf numFmtId="43" fontId="8" fillId="0" borderId="1" xfId="0" applyNumberFormat="1" applyFont="1" applyBorder="1"/>
    <xf numFmtId="43" fontId="8" fillId="0" borderId="1" xfId="1" applyFont="1" applyFill="1" applyBorder="1"/>
    <xf numFmtId="0" fontId="8" fillId="0" borderId="1" xfId="0" applyFont="1" applyBorder="1" applyAlignment="1">
      <alignment horizontal="left"/>
    </xf>
    <xf numFmtId="0" fontId="8" fillId="0" borderId="1" xfId="2" applyFont="1" applyBorder="1"/>
    <xf numFmtId="0" fontId="8" fillId="0" borderId="3" xfId="2" applyFont="1" applyBorder="1"/>
    <xf numFmtId="43" fontId="5" fillId="0" borderId="6" xfId="1" applyFont="1" applyFill="1" applyBorder="1" applyAlignment="1">
      <alignment horizontal="center"/>
    </xf>
    <xf numFmtId="0" fontId="5" fillId="0" borderId="4" xfId="2" applyFont="1" applyBorder="1"/>
    <xf numFmtId="43" fontId="5" fillId="0" borderId="7" xfId="1" applyFont="1" applyFill="1" applyBorder="1" applyAlignment="1">
      <alignment horizontal="center"/>
    </xf>
    <xf numFmtId="0" fontId="10" fillId="0" borderId="1" xfId="2" applyFont="1" applyBorder="1" applyAlignment="1">
      <alignment horizontal="left"/>
    </xf>
    <xf numFmtId="0" fontId="10" fillId="0" borderId="3" xfId="2" applyFont="1" applyBorder="1" applyAlignment="1">
      <alignment horizontal="left"/>
    </xf>
    <xf numFmtId="43" fontId="5" fillId="0" borderId="1" xfId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left" vertical="center"/>
    </xf>
    <xf numFmtId="49" fontId="5" fillId="0" borderId="2" xfId="2" applyNumberFormat="1" applyFont="1" applyBorder="1" applyAlignment="1">
      <alignment horizontal="left" vertical="center"/>
    </xf>
    <xf numFmtId="43" fontId="5" fillId="0" borderId="3" xfId="1" applyFont="1" applyFill="1" applyBorder="1" applyAlignment="1">
      <alignment horizontal="center"/>
    </xf>
    <xf numFmtId="49" fontId="5" fillId="0" borderId="3" xfId="2" applyNumberFormat="1" applyFont="1" applyBorder="1" applyAlignment="1">
      <alignment horizontal="left" vertical="center"/>
    </xf>
    <xf numFmtId="43" fontId="5" fillId="0" borderId="0" xfId="1" applyFont="1"/>
    <xf numFmtId="0" fontId="5" fillId="2" borderId="1" xfId="0" applyFont="1" applyFill="1" applyBorder="1"/>
    <xf numFmtId="49" fontId="5" fillId="0" borderId="1" xfId="0" applyNumberFormat="1" applyFont="1" applyBorder="1" applyAlignment="1">
      <alignment horizontal="left" vertical="top"/>
    </xf>
    <xf numFmtId="0" fontId="5" fillId="0" borderId="1" xfId="5" applyFont="1" applyBorder="1" applyAlignment="1">
      <alignment horizontal="center" vertical="top"/>
    </xf>
    <xf numFmtId="43" fontId="5" fillId="0" borderId="1" xfId="1" applyFont="1" applyBorder="1" applyAlignment="1">
      <alignment horizontal="right" vertical="top"/>
    </xf>
    <xf numFmtId="49" fontId="5" fillId="0" borderId="1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vertical="top"/>
    </xf>
    <xf numFmtId="164" fontId="5" fillId="0" borderId="1" xfId="0" applyNumberFormat="1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_ครุภัณฑ์ปี  2553" xfId="4" xr:uid="{6763B0E0-A4E4-4E31-9603-8AA89FEFC7FC}"/>
    <cellStyle name="จุลภาค" xfId="1" builtinId="3"/>
    <cellStyle name="ปกติ" xfId="0" builtinId="0"/>
    <cellStyle name="ปกติ 21" xfId="3" xr:uid="{ADF3C0D2-F3B5-494A-9466-2706C3D46E51}"/>
    <cellStyle name="ปกติ 22" xfId="5" xr:uid="{A00ABCC9-5104-4313-9800-7C90B954E409}"/>
    <cellStyle name="ปกติ_รายการครุภัณฑ์ ปี 52 ที่แก้ไขเรียงลำดับใหม่ 23 ก.พ.53" xfId="2" xr:uid="{41DB2910-E630-46CA-B04D-CBB114298D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F519-42CC-434D-9017-F6F64C45A356}">
  <sheetPr>
    <tabColor rgb="FFFFFF00"/>
  </sheetPr>
  <dimension ref="A1:G158"/>
  <sheetViews>
    <sheetView tabSelected="1" topLeftCell="A126" zoomScaleNormal="100" workbookViewId="0">
      <selection activeCell="J118" sqref="J118"/>
    </sheetView>
  </sheetViews>
  <sheetFormatPr defaultRowHeight="24"/>
  <cols>
    <col min="1" max="1" width="6" style="24" customWidth="1"/>
    <col min="2" max="2" width="44.28515625" style="20" customWidth="1"/>
    <col min="3" max="3" width="10.42578125" style="24" customWidth="1"/>
    <col min="4" max="4" width="12.7109375" style="20" customWidth="1"/>
    <col min="5" max="5" width="16.42578125" style="84" customWidth="1"/>
    <col min="6" max="6" width="28.85546875" style="20" customWidth="1"/>
    <col min="7" max="7" width="11.28515625" style="20" customWidth="1"/>
    <col min="8" max="16384" width="9.140625" style="20"/>
  </cols>
  <sheetData>
    <row r="1" spans="1:7">
      <c r="A1" s="93" t="s">
        <v>0</v>
      </c>
      <c r="B1" s="93"/>
      <c r="C1" s="93"/>
      <c r="D1" s="93"/>
      <c r="E1" s="93"/>
      <c r="F1" s="93"/>
    </row>
    <row r="2" spans="1:7">
      <c r="A2" s="94" t="s">
        <v>20</v>
      </c>
      <c r="B2" s="94"/>
      <c r="C2" s="94"/>
      <c r="D2" s="94"/>
      <c r="E2" s="94"/>
      <c r="F2" s="94"/>
    </row>
    <row r="3" spans="1:7">
      <c r="A3" s="95" t="s">
        <v>6</v>
      </c>
      <c r="B3" s="96" t="s">
        <v>1</v>
      </c>
      <c r="C3" s="97" t="s">
        <v>2</v>
      </c>
      <c r="D3" s="97"/>
      <c r="E3" s="97"/>
      <c r="F3" s="96" t="s">
        <v>5</v>
      </c>
    </row>
    <row r="4" spans="1:7" s="24" customFormat="1">
      <c r="A4" s="96"/>
      <c r="B4" s="96"/>
      <c r="C4" s="22" t="s">
        <v>3</v>
      </c>
      <c r="D4" s="23" t="s">
        <v>13</v>
      </c>
      <c r="E4" s="79" t="s">
        <v>4</v>
      </c>
      <c r="F4" s="96"/>
    </row>
    <row r="5" spans="1:7">
      <c r="A5" s="21">
        <v>1</v>
      </c>
      <c r="B5" s="80" t="s">
        <v>27</v>
      </c>
      <c r="C5" s="14" t="s">
        <v>14</v>
      </c>
      <c r="D5" s="16">
        <v>4000</v>
      </c>
      <c r="E5" s="16">
        <v>4000</v>
      </c>
      <c r="F5" s="29" t="s">
        <v>28</v>
      </c>
      <c r="G5" s="20" t="s">
        <v>83</v>
      </c>
    </row>
    <row r="6" spans="1:7">
      <c r="A6" s="21">
        <v>2</v>
      </c>
      <c r="B6" s="17" t="s">
        <v>25</v>
      </c>
      <c r="C6" s="14" t="s">
        <v>26</v>
      </c>
      <c r="D6" s="12">
        <v>3478</v>
      </c>
      <c r="E6" s="16">
        <v>10434</v>
      </c>
      <c r="F6" s="18" t="s">
        <v>24</v>
      </c>
      <c r="G6" s="20" t="s">
        <v>82</v>
      </c>
    </row>
    <row r="7" spans="1:7">
      <c r="A7" s="21">
        <v>3</v>
      </c>
      <c r="B7" s="17" t="s">
        <v>31</v>
      </c>
      <c r="C7" s="14" t="s">
        <v>35</v>
      </c>
      <c r="D7" s="12">
        <v>18500</v>
      </c>
      <c r="E7" s="16">
        <v>37000</v>
      </c>
      <c r="F7" s="65" t="s">
        <v>33</v>
      </c>
      <c r="G7" s="20" t="s">
        <v>82</v>
      </c>
    </row>
    <row r="8" spans="1:7">
      <c r="A8" s="21">
        <v>4</v>
      </c>
      <c r="B8" s="18" t="s">
        <v>32</v>
      </c>
      <c r="C8" s="14" t="s">
        <v>14</v>
      </c>
      <c r="D8" s="12">
        <v>24000</v>
      </c>
      <c r="E8" s="16">
        <v>24000</v>
      </c>
      <c r="F8" s="18" t="s">
        <v>34</v>
      </c>
      <c r="G8" s="20" t="s">
        <v>82</v>
      </c>
    </row>
    <row r="9" spans="1:7">
      <c r="A9" s="21">
        <v>5</v>
      </c>
      <c r="B9" s="18" t="s">
        <v>36</v>
      </c>
      <c r="C9" s="15" t="s">
        <v>29</v>
      </c>
      <c r="D9" s="12">
        <v>96000</v>
      </c>
      <c r="E9" s="12">
        <v>96000</v>
      </c>
      <c r="F9" s="18" t="s">
        <v>37</v>
      </c>
      <c r="G9" s="20" t="s">
        <v>82</v>
      </c>
    </row>
    <row r="10" spans="1:7">
      <c r="A10" s="21">
        <v>6</v>
      </c>
      <c r="B10" s="18" t="s">
        <v>38</v>
      </c>
      <c r="C10" s="14" t="s">
        <v>29</v>
      </c>
      <c r="D10" s="12">
        <v>39000</v>
      </c>
      <c r="E10" s="16">
        <v>39000</v>
      </c>
      <c r="F10" s="18" t="s">
        <v>39</v>
      </c>
      <c r="G10" s="20" t="s">
        <v>82</v>
      </c>
    </row>
    <row r="11" spans="1:7">
      <c r="A11" s="21">
        <v>7</v>
      </c>
      <c r="B11" s="17" t="s">
        <v>40</v>
      </c>
      <c r="C11" s="14" t="s">
        <v>112</v>
      </c>
      <c r="D11" s="12">
        <v>41800</v>
      </c>
      <c r="E11" s="16">
        <v>41800</v>
      </c>
      <c r="F11" s="18" t="s">
        <v>46</v>
      </c>
      <c r="G11" s="20" t="s">
        <v>82</v>
      </c>
    </row>
    <row r="12" spans="1:7">
      <c r="A12" s="21">
        <v>8</v>
      </c>
      <c r="B12" s="17" t="s">
        <v>41</v>
      </c>
      <c r="C12" s="58" t="s">
        <v>112</v>
      </c>
      <c r="D12" s="12">
        <v>95000</v>
      </c>
      <c r="E12" s="16">
        <v>95000</v>
      </c>
      <c r="F12" s="18" t="s">
        <v>47</v>
      </c>
      <c r="G12" s="20" t="s">
        <v>82</v>
      </c>
    </row>
    <row r="13" spans="1:7">
      <c r="A13" s="21">
        <v>9</v>
      </c>
      <c r="B13" s="17" t="s">
        <v>42</v>
      </c>
      <c r="C13" s="58" t="s">
        <v>112</v>
      </c>
      <c r="D13" s="12">
        <v>43800</v>
      </c>
      <c r="E13" s="16">
        <v>43800</v>
      </c>
      <c r="F13" s="18" t="s">
        <v>48</v>
      </c>
      <c r="G13" s="20" t="s">
        <v>82</v>
      </c>
    </row>
    <row r="14" spans="1:7">
      <c r="A14" s="21">
        <v>10</v>
      </c>
      <c r="B14" s="17" t="s">
        <v>43</v>
      </c>
      <c r="C14" s="58" t="s">
        <v>112</v>
      </c>
      <c r="D14" s="12">
        <v>14500</v>
      </c>
      <c r="E14" s="16">
        <v>14500</v>
      </c>
      <c r="F14" s="18" t="s">
        <v>49</v>
      </c>
      <c r="G14" s="20" t="s">
        <v>82</v>
      </c>
    </row>
    <row r="15" spans="1:7">
      <c r="A15" s="21">
        <v>11</v>
      </c>
      <c r="B15" s="17" t="s">
        <v>44</v>
      </c>
      <c r="C15" s="58" t="s">
        <v>112</v>
      </c>
      <c r="D15" s="12">
        <v>95000</v>
      </c>
      <c r="E15" s="16">
        <v>95000</v>
      </c>
      <c r="F15" s="18" t="s">
        <v>50</v>
      </c>
      <c r="G15" s="20" t="s">
        <v>82</v>
      </c>
    </row>
    <row r="16" spans="1:7">
      <c r="A16" s="21">
        <v>12</v>
      </c>
      <c r="B16" s="17" t="s">
        <v>45</v>
      </c>
      <c r="C16" s="58" t="s">
        <v>112</v>
      </c>
      <c r="D16" s="12">
        <v>43800</v>
      </c>
      <c r="E16" s="16">
        <v>43800</v>
      </c>
      <c r="F16" s="18" t="s">
        <v>51</v>
      </c>
      <c r="G16" s="20" t="s">
        <v>82</v>
      </c>
    </row>
    <row r="17" spans="1:7">
      <c r="A17" s="21">
        <v>13</v>
      </c>
      <c r="B17" s="17" t="s">
        <v>52</v>
      </c>
      <c r="C17" s="58" t="s">
        <v>112</v>
      </c>
      <c r="D17" s="12">
        <v>84000</v>
      </c>
      <c r="E17" s="16">
        <v>84000</v>
      </c>
      <c r="F17" s="18" t="s">
        <v>54</v>
      </c>
      <c r="G17" s="20" t="s">
        <v>82</v>
      </c>
    </row>
    <row r="18" spans="1:7">
      <c r="A18" s="21">
        <v>14</v>
      </c>
      <c r="B18" s="17" t="s">
        <v>53</v>
      </c>
      <c r="C18" s="58" t="s">
        <v>112</v>
      </c>
      <c r="D18" s="12">
        <v>84000</v>
      </c>
      <c r="E18" s="16">
        <v>84000</v>
      </c>
      <c r="F18" s="18" t="s">
        <v>55</v>
      </c>
      <c r="G18" s="20" t="s">
        <v>82</v>
      </c>
    </row>
    <row r="19" spans="1:7">
      <c r="A19" s="21">
        <v>15</v>
      </c>
      <c r="B19" s="17" t="s">
        <v>56</v>
      </c>
      <c r="C19" s="58" t="s">
        <v>112</v>
      </c>
      <c r="D19" s="12">
        <v>28500</v>
      </c>
      <c r="E19" s="16">
        <v>28500</v>
      </c>
      <c r="F19" s="18" t="s">
        <v>57</v>
      </c>
      <c r="G19" s="20" t="s">
        <v>82</v>
      </c>
    </row>
    <row r="20" spans="1:7">
      <c r="A20" s="21">
        <v>16</v>
      </c>
      <c r="B20" s="17" t="s">
        <v>58</v>
      </c>
      <c r="C20" s="14" t="s">
        <v>14</v>
      </c>
      <c r="D20" s="12">
        <v>12000</v>
      </c>
      <c r="E20" s="16">
        <v>12000</v>
      </c>
      <c r="F20" s="18" t="s">
        <v>60</v>
      </c>
      <c r="G20" s="20" t="s">
        <v>82</v>
      </c>
    </row>
    <row r="21" spans="1:7">
      <c r="A21" s="21">
        <v>17</v>
      </c>
      <c r="B21" s="17" t="s">
        <v>59</v>
      </c>
      <c r="C21" s="14" t="s">
        <v>26</v>
      </c>
      <c r="D21" s="12">
        <v>17800</v>
      </c>
      <c r="E21" s="16">
        <f>SUM(D21*3)</f>
        <v>53400</v>
      </c>
      <c r="F21" s="65" t="s">
        <v>61</v>
      </c>
      <c r="G21" s="20" t="s">
        <v>82</v>
      </c>
    </row>
    <row r="22" spans="1:7">
      <c r="A22" s="21">
        <v>18</v>
      </c>
      <c r="B22" s="17" t="s">
        <v>62</v>
      </c>
      <c r="C22" s="14" t="s">
        <v>26</v>
      </c>
      <c r="D22" s="12">
        <v>12800</v>
      </c>
      <c r="E22" s="16">
        <f>SUM(D22*3)</f>
        <v>38400</v>
      </c>
      <c r="F22" s="65" t="s">
        <v>64</v>
      </c>
      <c r="G22" s="20" t="s">
        <v>82</v>
      </c>
    </row>
    <row r="23" spans="1:7">
      <c r="A23" s="21">
        <v>19</v>
      </c>
      <c r="B23" s="17" t="s">
        <v>63</v>
      </c>
      <c r="C23" s="14" t="s">
        <v>113</v>
      </c>
      <c r="D23" s="12">
        <v>8400</v>
      </c>
      <c r="E23" s="16">
        <f>SUM(D23*5)</f>
        <v>42000</v>
      </c>
      <c r="F23" s="65" t="s">
        <v>65</v>
      </c>
      <c r="G23" s="20" t="s">
        <v>82</v>
      </c>
    </row>
    <row r="24" spans="1:7">
      <c r="A24" s="21">
        <v>20</v>
      </c>
      <c r="B24" s="17" t="s">
        <v>67</v>
      </c>
      <c r="C24" s="14" t="s">
        <v>113</v>
      </c>
      <c r="D24" s="12">
        <v>8400</v>
      </c>
      <c r="E24" s="16">
        <f>SUM(D24*5)</f>
        <v>42000</v>
      </c>
      <c r="F24" s="65" t="s">
        <v>66</v>
      </c>
      <c r="G24" s="20" t="s">
        <v>82</v>
      </c>
    </row>
    <row r="25" spans="1:7">
      <c r="A25" s="21">
        <v>21</v>
      </c>
      <c r="B25" s="17" t="s">
        <v>68</v>
      </c>
      <c r="C25" s="14" t="s">
        <v>14</v>
      </c>
      <c r="D25" s="12">
        <v>29700</v>
      </c>
      <c r="E25" s="16">
        <v>29700</v>
      </c>
      <c r="F25" s="18" t="s">
        <v>69</v>
      </c>
      <c r="G25" s="20" t="s">
        <v>82</v>
      </c>
    </row>
    <row r="26" spans="1:7">
      <c r="A26" s="21">
        <v>22</v>
      </c>
      <c r="B26" s="17" t="s">
        <v>71</v>
      </c>
      <c r="C26" s="14" t="s">
        <v>14</v>
      </c>
      <c r="D26" s="12">
        <v>45000</v>
      </c>
      <c r="E26" s="16">
        <v>45000</v>
      </c>
      <c r="F26" s="18" t="s">
        <v>73</v>
      </c>
      <c r="G26" s="20" t="s">
        <v>82</v>
      </c>
    </row>
    <row r="27" spans="1:7">
      <c r="A27" s="21">
        <v>23</v>
      </c>
      <c r="B27" s="17" t="s">
        <v>72</v>
      </c>
      <c r="C27" s="14" t="s">
        <v>114</v>
      </c>
      <c r="D27" s="12">
        <v>59100</v>
      </c>
      <c r="E27" s="16">
        <v>59100</v>
      </c>
      <c r="F27" s="18" t="s">
        <v>74</v>
      </c>
      <c r="G27" s="20" t="s">
        <v>82</v>
      </c>
    </row>
    <row r="28" spans="1:7">
      <c r="A28" s="21">
        <v>24</v>
      </c>
      <c r="B28" s="17" t="s">
        <v>75</v>
      </c>
      <c r="C28" s="14" t="s">
        <v>30</v>
      </c>
      <c r="D28" s="12">
        <v>16217.5</v>
      </c>
      <c r="E28" s="16">
        <f>SUM(D28*2)</f>
        <v>32435</v>
      </c>
      <c r="F28" s="25" t="s">
        <v>76</v>
      </c>
      <c r="G28" s="20" t="s">
        <v>82</v>
      </c>
    </row>
    <row r="29" spans="1:7">
      <c r="A29" s="21">
        <v>25</v>
      </c>
      <c r="B29" s="81" t="s">
        <v>31</v>
      </c>
      <c r="C29" s="14" t="s">
        <v>114</v>
      </c>
      <c r="D29" s="82">
        <v>18500</v>
      </c>
      <c r="E29" s="16">
        <v>18500</v>
      </c>
      <c r="F29" s="83" t="s">
        <v>77</v>
      </c>
      <c r="G29" s="20" t="s">
        <v>84</v>
      </c>
    </row>
    <row r="30" spans="1:7">
      <c r="A30" s="21">
        <v>26</v>
      </c>
      <c r="B30" s="80" t="s">
        <v>80</v>
      </c>
      <c r="C30" s="14" t="s">
        <v>115</v>
      </c>
      <c r="D30" s="12">
        <v>15000</v>
      </c>
      <c r="E30" s="16">
        <f>SUM(D30*2)</f>
        <v>30000</v>
      </c>
      <c r="F30" s="29" t="s">
        <v>78</v>
      </c>
      <c r="G30" s="20" t="s">
        <v>84</v>
      </c>
    </row>
    <row r="31" spans="1:7">
      <c r="A31" s="21">
        <v>27</v>
      </c>
      <c r="B31" s="80" t="s">
        <v>81</v>
      </c>
      <c r="C31" s="30" t="s">
        <v>14</v>
      </c>
      <c r="D31" s="12">
        <v>25000</v>
      </c>
      <c r="E31" s="16">
        <v>25000</v>
      </c>
      <c r="F31" s="29" t="s">
        <v>79</v>
      </c>
      <c r="G31" s="20" t="s">
        <v>84</v>
      </c>
    </row>
    <row r="32" spans="1:7">
      <c r="A32" s="21"/>
      <c r="B32" s="71" t="s">
        <v>17</v>
      </c>
      <c r="C32" s="21"/>
      <c r="D32" s="25"/>
      <c r="E32" s="68">
        <f>SUM(E5:E31)</f>
        <v>1168369</v>
      </c>
      <c r="F32" s="25"/>
    </row>
    <row r="34" spans="1:7">
      <c r="C34" s="24" t="s">
        <v>7</v>
      </c>
      <c r="D34" s="92" t="s">
        <v>8</v>
      </c>
      <c r="E34" s="92"/>
      <c r="F34" s="20" t="s">
        <v>9</v>
      </c>
    </row>
    <row r="35" spans="1:7">
      <c r="D35" s="92" t="s">
        <v>21</v>
      </c>
      <c r="E35" s="92"/>
    </row>
    <row r="36" spans="1:7" ht="33" customHeight="1">
      <c r="C36" s="24" t="s">
        <v>7</v>
      </c>
      <c r="D36" s="92" t="s">
        <v>8</v>
      </c>
      <c r="E36" s="92"/>
      <c r="F36" s="20" t="s">
        <v>10</v>
      </c>
    </row>
    <row r="37" spans="1:7">
      <c r="D37" s="92" t="s">
        <v>22</v>
      </c>
      <c r="E37" s="92"/>
    </row>
    <row r="38" spans="1:7" ht="33.75" customHeight="1">
      <c r="C38" s="24" t="s">
        <v>7</v>
      </c>
      <c r="D38" s="92" t="s">
        <v>8</v>
      </c>
      <c r="E38" s="92"/>
      <c r="F38" s="20" t="s">
        <v>11</v>
      </c>
    </row>
    <row r="39" spans="1:7">
      <c r="D39" s="92" t="s">
        <v>23</v>
      </c>
      <c r="E39" s="92"/>
    </row>
    <row r="40" spans="1:7">
      <c r="A40" s="93" t="s">
        <v>0</v>
      </c>
      <c r="B40" s="93"/>
      <c r="C40" s="93"/>
      <c r="D40" s="93"/>
      <c r="E40" s="93"/>
      <c r="F40" s="93"/>
    </row>
    <row r="41" spans="1:7">
      <c r="A41" s="94" t="s">
        <v>20</v>
      </c>
      <c r="B41" s="94"/>
      <c r="C41" s="94"/>
      <c r="D41" s="94"/>
      <c r="E41" s="94"/>
      <c r="F41" s="94"/>
    </row>
    <row r="42" spans="1:7">
      <c r="A42" s="95" t="s">
        <v>6</v>
      </c>
      <c r="B42" s="96" t="s">
        <v>1</v>
      </c>
      <c r="C42" s="97" t="s">
        <v>2</v>
      </c>
      <c r="D42" s="97"/>
      <c r="E42" s="97"/>
      <c r="F42" s="96" t="s">
        <v>5</v>
      </c>
    </row>
    <row r="43" spans="1:7">
      <c r="A43" s="96"/>
      <c r="B43" s="96"/>
      <c r="C43" s="22" t="s">
        <v>3</v>
      </c>
      <c r="D43" s="23" t="s">
        <v>13</v>
      </c>
      <c r="E43" s="79" t="s">
        <v>4</v>
      </c>
      <c r="F43" s="96"/>
    </row>
    <row r="44" spans="1:7">
      <c r="A44" s="21"/>
      <c r="B44" s="73" t="s">
        <v>16</v>
      </c>
      <c r="C44" s="10"/>
      <c r="D44" s="11"/>
      <c r="E44" s="68">
        <f>SUM(E32)</f>
        <v>1168369</v>
      </c>
      <c r="F44" s="25"/>
    </row>
    <row r="45" spans="1:7">
      <c r="A45" s="21">
        <v>28</v>
      </c>
      <c r="B45" s="17" t="s">
        <v>196</v>
      </c>
      <c r="C45" s="14" t="s">
        <v>191</v>
      </c>
      <c r="D45" s="16">
        <v>3271.03</v>
      </c>
      <c r="E45" s="16">
        <f>SUM(D45*10)</f>
        <v>32710.300000000003</v>
      </c>
      <c r="F45" s="65" t="s">
        <v>195</v>
      </c>
      <c r="G45" s="20" t="s">
        <v>251</v>
      </c>
    </row>
    <row r="46" spans="1:7">
      <c r="A46" s="21">
        <v>29</v>
      </c>
      <c r="B46" s="17" t="s">
        <v>198</v>
      </c>
      <c r="C46" s="14" t="s">
        <v>191</v>
      </c>
      <c r="D46" s="16">
        <v>4970</v>
      </c>
      <c r="E46" s="16">
        <f>SUM(D46*10)</f>
        <v>49700</v>
      </c>
      <c r="F46" s="78" t="s">
        <v>197</v>
      </c>
      <c r="G46" s="20" t="s">
        <v>251</v>
      </c>
    </row>
    <row r="47" spans="1:7">
      <c r="A47" s="21">
        <v>30</v>
      </c>
      <c r="B47" s="17" t="s">
        <v>199</v>
      </c>
      <c r="C47" s="14" t="s">
        <v>117</v>
      </c>
      <c r="D47" s="36">
        <v>1605</v>
      </c>
      <c r="E47" s="16">
        <f>SUM(D47*10)</f>
        <v>16050</v>
      </c>
      <c r="F47" s="77" t="s">
        <v>200</v>
      </c>
      <c r="G47" s="20" t="s">
        <v>251</v>
      </c>
    </row>
    <row r="48" spans="1:7">
      <c r="A48" s="21">
        <v>31</v>
      </c>
      <c r="B48" s="17" t="s">
        <v>201</v>
      </c>
      <c r="C48" s="14" t="s">
        <v>29</v>
      </c>
      <c r="D48" s="16">
        <v>499900</v>
      </c>
      <c r="E48" s="19">
        <v>499900</v>
      </c>
      <c r="F48" s="18" t="s">
        <v>203</v>
      </c>
      <c r="G48" s="20" t="s">
        <v>251</v>
      </c>
    </row>
    <row r="49" spans="1:7">
      <c r="A49" s="21">
        <v>32</v>
      </c>
      <c r="B49" s="17" t="s">
        <v>202</v>
      </c>
      <c r="C49" s="14" t="s">
        <v>277</v>
      </c>
      <c r="D49" s="16">
        <v>49972</v>
      </c>
      <c r="E49" s="19">
        <f>SUM(D49*7)</f>
        <v>349804</v>
      </c>
      <c r="F49" s="77" t="s">
        <v>204</v>
      </c>
      <c r="G49" s="20" t="s">
        <v>251</v>
      </c>
    </row>
    <row r="50" spans="1:7">
      <c r="A50" s="21">
        <v>33</v>
      </c>
      <c r="B50" s="17" t="s">
        <v>205</v>
      </c>
      <c r="C50" s="14" t="s">
        <v>191</v>
      </c>
      <c r="D50" s="16">
        <v>14970</v>
      </c>
      <c r="E50" s="19">
        <f>SUM(D50*10)</f>
        <v>149700</v>
      </c>
      <c r="F50" s="77" t="s">
        <v>206</v>
      </c>
      <c r="G50" s="20" t="s">
        <v>251</v>
      </c>
    </row>
    <row r="51" spans="1:7">
      <c r="A51" s="21">
        <v>34</v>
      </c>
      <c r="B51" s="17" t="s">
        <v>208</v>
      </c>
      <c r="C51" s="14" t="s">
        <v>116</v>
      </c>
      <c r="D51" s="16">
        <v>9950</v>
      </c>
      <c r="E51" s="19">
        <f>SUM(D51*6)</f>
        <v>59700</v>
      </c>
      <c r="F51" s="78" t="s">
        <v>207</v>
      </c>
      <c r="G51" s="20" t="s">
        <v>251</v>
      </c>
    </row>
    <row r="52" spans="1:7">
      <c r="A52" s="21">
        <v>35</v>
      </c>
      <c r="B52" s="28" t="s">
        <v>210</v>
      </c>
      <c r="C52" s="15" t="s">
        <v>29</v>
      </c>
      <c r="D52" s="33">
        <v>484700</v>
      </c>
      <c r="E52" s="12">
        <v>484700</v>
      </c>
      <c r="F52" s="37" t="s">
        <v>209</v>
      </c>
      <c r="G52" s="20" t="s">
        <v>251</v>
      </c>
    </row>
    <row r="53" spans="1:7">
      <c r="A53" s="21">
        <v>36</v>
      </c>
      <c r="B53" s="18" t="s">
        <v>211</v>
      </c>
      <c r="C53" s="14" t="s">
        <v>30</v>
      </c>
      <c r="D53" s="16">
        <v>17200</v>
      </c>
      <c r="E53" s="16">
        <f>SUM(D53*2)</f>
        <v>34400</v>
      </c>
      <c r="F53" s="77" t="s">
        <v>212</v>
      </c>
      <c r="G53" s="20" t="s">
        <v>251</v>
      </c>
    </row>
    <row r="54" spans="1:7">
      <c r="A54" s="21">
        <v>37</v>
      </c>
      <c r="B54" s="17" t="s">
        <v>213</v>
      </c>
      <c r="C54" s="14" t="s">
        <v>29</v>
      </c>
      <c r="D54" s="16">
        <v>925000</v>
      </c>
      <c r="E54" s="12">
        <v>925000</v>
      </c>
      <c r="F54" s="18" t="s">
        <v>218</v>
      </c>
      <c r="G54" s="20" t="s">
        <v>251</v>
      </c>
    </row>
    <row r="55" spans="1:7">
      <c r="A55" s="21">
        <v>38</v>
      </c>
      <c r="B55" s="17" t="s">
        <v>214</v>
      </c>
      <c r="C55" s="14" t="s">
        <v>29</v>
      </c>
      <c r="D55" s="16">
        <v>541900</v>
      </c>
      <c r="E55" s="12">
        <v>541900</v>
      </c>
      <c r="F55" s="18" t="s">
        <v>219</v>
      </c>
      <c r="G55" s="20" t="s">
        <v>251</v>
      </c>
    </row>
    <row r="56" spans="1:7">
      <c r="A56" s="21">
        <v>39</v>
      </c>
      <c r="B56" s="17" t="s">
        <v>225</v>
      </c>
      <c r="C56" s="14" t="s">
        <v>29</v>
      </c>
      <c r="D56" s="16">
        <v>179760</v>
      </c>
      <c r="E56" s="16">
        <v>179760</v>
      </c>
      <c r="F56" s="18" t="s">
        <v>226</v>
      </c>
      <c r="G56" s="20" t="s">
        <v>251</v>
      </c>
    </row>
    <row r="57" spans="1:7">
      <c r="A57" s="21">
        <v>40</v>
      </c>
      <c r="B57" s="17" t="s">
        <v>233</v>
      </c>
      <c r="C57" s="14" t="s">
        <v>29</v>
      </c>
      <c r="D57" s="16">
        <v>29700</v>
      </c>
      <c r="E57" s="16">
        <v>29700</v>
      </c>
      <c r="F57" s="35" t="s">
        <v>235</v>
      </c>
      <c r="G57" s="20" t="s">
        <v>251</v>
      </c>
    </row>
    <row r="58" spans="1:7">
      <c r="A58" s="21">
        <v>41</v>
      </c>
      <c r="B58" s="17" t="s">
        <v>234</v>
      </c>
      <c r="C58" s="14" t="s">
        <v>29</v>
      </c>
      <c r="D58" s="16">
        <v>115060</v>
      </c>
      <c r="E58" s="16">
        <v>115060</v>
      </c>
      <c r="F58" s="35" t="s">
        <v>236</v>
      </c>
      <c r="G58" s="20" t="s">
        <v>251</v>
      </c>
    </row>
    <row r="59" spans="1:7">
      <c r="A59" s="21">
        <v>42</v>
      </c>
      <c r="B59" s="38" t="s">
        <v>237</v>
      </c>
      <c r="C59" s="10" t="s">
        <v>29</v>
      </c>
      <c r="D59" s="39">
        <v>44990</v>
      </c>
      <c r="E59" s="16">
        <v>44900</v>
      </c>
      <c r="F59" s="35" t="s">
        <v>238</v>
      </c>
      <c r="G59" s="20" t="s">
        <v>251</v>
      </c>
    </row>
    <row r="60" spans="1:7">
      <c r="A60" s="21">
        <v>43</v>
      </c>
      <c r="B60" s="17" t="s">
        <v>231</v>
      </c>
      <c r="C60" s="14" t="s">
        <v>29</v>
      </c>
      <c r="D60" s="16">
        <v>200000</v>
      </c>
      <c r="E60" s="16">
        <v>200000</v>
      </c>
      <c r="F60" s="35" t="s">
        <v>232</v>
      </c>
      <c r="G60" s="20" t="s">
        <v>251</v>
      </c>
    </row>
    <row r="61" spans="1:7">
      <c r="A61" s="21">
        <v>44</v>
      </c>
      <c r="B61" s="17" t="s">
        <v>239</v>
      </c>
      <c r="C61" s="14" t="s">
        <v>29</v>
      </c>
      <c r="D61" s="16">
        <v>271500</v>
      </c>
      <c r="E61" s="16">
        <v>271500</v>
      </c>
      <c r="F61" s="18" t="s">
        <v>240</v>
      </c>
      <c r="G61" s="20" t="s">
        <v>251</v>
      </c>
    </row>
    <row r="62" spans="1:7">
      <c r="A62" s="21">
        <v>45</v>
      </c>
      <c r="B62" s="17" t="s">
        <v>245</v>
      </c>
      <c r="C62" s="14" t="s">
        <v>14</v>
      </c>
      <c r="D62" s="16">
        <v>42900</v>
      </c>
      <c r="E62" s="16">
        <v>42900</v>
      </c>
      <c r="F62" s="18" t="s">
        <v>246</v>
      </c>
      <c r="G62" s="20" t="s">
        <v>251</v>
      </c>
    </row>
    <row r="63" spans="1:7">
      <c r="A63" s="21">
        <v>46</v>
      </c>
      <c r="B63" s="17" t="s">
        <v>241</v>
      </c>
      <c r="C63" s="14" t="s">
        <v>29</v>
      </c>
      <c r="D63" s="16">
        <v>58300</v>
      </c>
      <c r="E63" s="16">
        <v>58300</v>
      </c>
      <c r="F63" s="18" t="s">
        <v>243</v>
      </c>
      <c r="G63" s="20" t="s">
        <v>251</v>
      </c>
    </row>
    <row r="64" spans="1:7">
      <c r="A64" s="21">
        <v>47</v>
      </c>
      <c r="B64" s="17" t="s">
        <v>242</v>
      </c>
      <c r="C64" s="14" t="s">
        <v>29</v>
      </c>
      <c r="D64" s="16">
        <v>46200</v>
      </c>
      <c r="E64" s="16">
        <v>46200</v>
      </c>
      <c r="F64" s="18" t="s">
        <v>244</v>
      </c>
      <c r="G64" s="20" t="s">
        <v>251</v>
      </c>
    </row>
    <row r="65" spans="1:7">
      <c r="A65" s="21">
        <v>48</v>
      </c>
      <c r="B65" s="17" t="s">
        <v>247</v>
      </c>
      <c r="C65" s="14" t="s">
        <v>29</v>
      </c>
      <c r="D65" s="16">
        <v>176550</v>
      </c>
      <c r="E65" s="16">
        <v>176550</v>
      </c>
      <c r="F65" s="18" t="s">
        <v>248</v>
      </c>
      <c r="G65" s="20" t="s">
        <v>251</v>
      </c>
    </row>
    <row r="66" spans="1:7">
      <c r="A66" s="21">
        <v>49</v>
      </c>
      <c r="B66" s="17" t="s">
        <v>252</v>
      </c>
      <c r="C66" s="42" t="s">
        <v>117</v>
      </c>
      <c r="D66" s="12">
        <v>3000</v>
      </c>
      <c r="E66" s="12">
        <f>SUM(D66*10)</f>
        <v>30000</v>
      </c>
      <c r="F66" s="78" t="s">
        <v>253</v>
      </c>
      <c r="G66" s="20" t="s">
        <v>264</v>
      </c>
    </row>
    <row r="67" spans="1:7">
      <c r="A67" s="21">
        <v>50</v>
      </c>
      <c r="B67" s="18" t="s">
        <v>255</v>
      </c>
      <c r="C67" s="42" t="s">
        <v>117</v>
      </c>
      <c r="D67" s="12">
        <v>3000</v>
      </c>
      <c r="E67" s="12">
        <f>SUM(D67*10)</f>
        <v>30000</v>
      </c>
      <c r="F67" s="78" t="s">
        <v>254</v>
      </c>
      <c r="G67" s="20" t="s">
        <v>264</v>
      </c>
    </row>
    <row r="68" spans="1:7">
      <c r="A68" s="21">
        <v>51</v>
      </c>
      <c r="B68" s="17" t="s">
        <v>257</v>
      </c>
      <c r="C68" s="42" t="s">
        <v>193</v>
      </c>
      <c r="D68" s="12">
        <v>4494</v>
      </c>
      <c r="E68" s="12">
        <f>SUM(D68*5)</f>
        <v>22470</v>
      </c>
      <c r="F68" s="78" t="s">
        <v>256</v>
      </c>
      <c r="G68" s="20" t="s">
        <v>264</v>
      </c>
    </row>
    <row r="69" spans="1:7">
      <c r="A69" s="21">
        <v>52</v>
      </c>
      <c r="B69" s="17" t="s">
        <v>259</v>
      </c>
      <c r="C69" s="42" t="s">
        <v>114</v>
      </c>
      <c r="D69" s="12">
        <v>2461</v>
      </c>
      <c r="E69" s="12">
        <v>2461</v>
      </c>
      <c r="F69" s="18" t="s">
        <v>258</v>
      </c>
      <c r="G69" s="20" t="s">
        <v>264</v>
      </c>
    </row>
    <row r="70" spans="1:7">
      <c r="A70" s="21">
        <v>53</v>
      </c>
      <c r="B70" s="17" t="s">
        <v>265</v>
      </c>
      <c r="C70" s="42" t="s">
        <v>29</v>
      </c>
      <c r="D70" s="16">
        <v>40000</v>
      </c>
      <c r="E70" s="12">
        <v>40000</v>
      </c>
      <c r="F70" s="35" t="s">
        <v>266</v>
      </c>
      <c r="G70" s="20" t="s">
        <v>264</v>
      </c>
    </row>
    <row r="71" spans="1:7">
      <c r="A71" s="21"/>
      <c r="B71" s="71" t="s">
        <v>17</v>
      </c>
      <c r="C71" s="14"/>
      <c r="D71" s="16"/>
      <c r="E71" s="70">
        <f>SUM(E44:E70)</f>
        <v>5601734.2999999998</v>
      </c>
      <c r="F71" s="18"/>
    </row>
    <row r="73" spans="1:7">
      <c r="C73" s="24" t="s">
        <v>7</v>
      </c>
      <c r="D73" s="92" t="s">
        <v>8</v>
      </c>
      <c r="E73" s="92"/>
      <c r="F73" s="20" t="s">
        <v>9</v>
      </c>
    </row>
    <row r="74" spans="1:7">
      <c r="D74" s="92" t="s">
        <v>21</v>
      </c>
      <c r="E74" s="92"/>
    </row>
    <row r="75" spans="1:7" ht="33" customHeight="1">
      <c r="C75" s="24" t="s">
        <v>7</v>
      </c>
      <c r="D75" s="92" t="s">
        <v>8</v>
      </c>
      <c r="E75" s="92"/>
      <c r="F75" s="20" t="s">
        <v>10</v>
      </c>
    </row>
    <row r="76" spans="1:7">
      <c r="D76" s="92" t="s">
        <v>22</v>
      </c>
      <c r="E76" s="92"/>
    </row>
    <row r="77" spans="1:7" ht="33.75" customHeight="1">
      <c r="C77" s="24" t="s">
        <v>7</v>
      </c>
      <c r="D77" s="92" t="s">
        <v>8</v>
      </c>
      <c r="E77" s="92"/>
      <c r="F77" s="20" t="s">
        <v>11</v>
      </c>
    </row>
    <row r="78" spans="1:7">
      <c r="D78" s="92" t="s">
        <v>23</v>
      </c>
      <c r="E78" s="92"/>
    </row>
    <row r="79" spans="1:7">
      <c r="A79" s="93" t="s">
        <v>0</v>
      </c>
      <c r="B79" s="93"/>
      <c r="C79" s="93"/>
      <c r="D79" s="93"/>
      <c r="E79" s="93"/>
      <c r="F79" s="93"/>
    </row>
    <row r="80" spans="1:7">
      <c r="A80" s="94" t="s">
        <v>20</v>
      </c>
      <c r="B80" s="94"/>
      <c r="C80" s="94"/>
      <c r="D80" s="94"/>
      <c r="E80" s="94"/>
      <c r="F80" s="94"/>
    </row>
    <row r="81" spans="1:7">
      <c r="A81" s="95" t="s">
        <v>6</v>
      </c>
      <c r="B81" s="96" t="s">
        <v>1</v>
      </c>
      <c r="C81" s="97" t="s">
        <v>2</v>
      </c>
      <c r="D81" s="97"/>
      <c r="E81" s="97"/>
      <c r="F81" s="96" t="s">
        <v>5</v>
      </c>
    </row>
    <row r="82" spans="1:7">
      <c r="A82" s="96"/>
      <c r="B82" s="96"/>
      <c r="C82" s="22" t="s">
        <v>3</v>
      </c>
      <c r="D82" s="23" t="s">
        <v>13</v>
      </c>
      <c r="E82" s="79" t="s">
        <v>4</v>
      </c>
      <c r="F82" s="96"/>
    </row>
    <row r="83" spans="1:7">
      <c r="A83" s="21"/>
      <c r="B83" s="73" t="s">
        <v>16</v>
      </c>
      <c r="C83" s="25"/>
      <c r="D83" s="25"/>
      <c r="E83" s="69">
        <f>SUM(E71)</f>
        <v>5601734.2999999998</v>
      </c>
      <c r="F83" s="25"/>
    </row>
    <row r="84" spans="1:7">
      <c r="A84" s="21">
        <v>54</v>
      </c>
      <c r="B84" s="17" t="s">
        <v>267</v>
      </c>
      <c r="C84" s="14" t="s">
        <v>29</v>
      </c>
      <c r="D84" s="16">
        <v>199700</v>
      </c>
      <c r="E84" s="12">
        <v>199700</v>
      </c>
      <c r="F84" s="18" t="s">
        <v>268</v>
      </c>
      <c r="G84" s="20" t="s">
        <v>264</v>
      </c>
    </row>
    <row r="85" spans="1:7">
      <c r="A85" s="21">
        <v>55</v>
      </c>
      <c r="B85" s="17" t="s">
        <v>261</v>
      </c>
      <c r="C85" s="42" t="s">
        <v>114</v>
      </c>
      <c r="D85" s="16">
        <v>15400</v>
      </c>
      <c r="E85" s="16">
        <v>15400</v>
      </c>
      <c r="F85" s="35" t="s">
        <v>260</v>
      </c>
      <c r="G85" s="20" t="s">
        <v>264</v>
      </c>
    </row>
    <row r="86" spans="1:7">
      <c r="A86" s="21">
        <v>56</v>
      </c>
      <c r="B86" s="17" t="s">
        <v>70</v>
      </c>
      <c r="C86" s="42" t="s">
        <v>29</v>
      </c>
      <c r="D86" s="16">
        <v>33000</v>
      </c>
      <c r="E86" s="12">
        <v>33000</v>
      </c>
      <c r="F86" s="18" t="s">
        <v>269</v>
      </c>
      <c r="G86" s="20" t="s">
        <v>264</v>
      </c>
    </row>
    <row r="87" spans="1:7">
      <c r="A87" s="21">
        <v>57</v>
      </c>
      <c r="B87" s="17" t="s">
        <v>270</v>
      </c>
      <c r="C87" s="42" t="s">
        <v>14</v>
      </c>
      <c r="D87" s="16">
        <v>28000</v>
      </c>
      <c r="E87" s="12">
        <v>28000</v>
      </c>
      <c r="F87" s="18" t="s">
        <v>271</v>
      </c>
      <c r="G87" s="20" t="s">
        <v>264</v>
      </c>
    </row>
    <row r="88" spans="1:7">
      <c r="A88" s="21">
        <v>58</v>
      </c>
      <c r="B88" s="43" t="s">
        <v>274</v>
      </c>
      <c r="C88" s="42" t="s">
        <v>14</v>
      </c>
      <c r="D88" s="16">
        <v>40000</v>
      </c>
      <c r="E88" s="19">
        <v>40000</v>
      </c>
      <c r="F88" s="29" t="s">
        <v>275</v>
      </c>
      <c r="G88" s="20" t="s">
        <v>264</v>
      </c>
    </row>
    <row r="89" spans="1:7">
      <c r="A89" s="21">
        <v>59</v>
      </c>
      <c r="B89" s="43" t="s">
        <v>263</v>
      </c>
      <c r="C89" s="30" t="s">
        <v>115</v>
      </c>
      <c r="D89" s="16">
        <v>23000</v>
      </c>
      <c r="E89" s="16">
        <v>46000</v>
      </c>
      <c r="F89" s="29" t="s">
        <v>262</v>
      </c>
      <c r="G89" s="20" t="s">
        <v>264</v>
      </c>
    </row>
    <row r="90" spans="1:7">
      <c r="A90" s="21">
        <v>60</v>
      </c>
      <c r="B90" s="17" t="s">
        <v>278</v>
      </c>
      <c r="C90" s="14" t="s">
        <v>286</v>
      </c>
      <c r="D90" s="12">
        <v>1722</v>
      </c>
      <c r="E90" s="12">
        <f>SUM(D90*4)</f>
        <v>6888</v>
      </c>
      <c r="F90" s="18" t="s">
        <v>279</v>
      </c>
      <c r="G90" s="20" t="s">
        <v>284</v>
      </c>
    </row>
    <row r="91" spans="1:7">
      <c r="A91" s="21">
        <v>61</v>
      </c>
      <c r="B91" s="75" t="s">
        <v>282</v>
      </c>
      <c r="C91" s="15" t="s">
        <v>14</v>
      </c>
      <c r="D91" s="13">
        <v>6000</v>
      </c>
      <c r="E91" s="12">
        <v>6000</v>
      </c>
      <c r="F91" s="28" t="s">
        <v>280</v>
      </c>
      <c r="G91" s="20" t="s">
        <v>284</v>
      </c>
    </row>
    <row r="92" spans="1:7">
      <c r="A92" s="21">
        <v>62</v>
      </c>
      <c r="B92" s="17" t="s">
        <v>283</v>
      </c>
      <c r="C92" s="14" t="s">
        <v>14</v>
      </c>
      <c r="D92" s="12">
        <v>20000</v>
      </c>
      <c r="E92" s="12">
        <v>20000</v>
      </c>
      <c r="F92" s="18" t="s">
        <v>281</v>
      </c>
      <c r="G92" s="20" t="s">
        <v>284</v>
      </c>
    </row>
    <row r="93" spans="1:7">
      <c r="A93" s="21">
        <v>63</v>
      </c>
      <c r="B93" s="17" t="s">
        <v>289</v>
      </c>
      <c r="C93" s="14" t="s">
        <v>319</v>
      </c>
      <c r="D93" s="44">
        <v>1600</v>
      </c>
      <c r="E93" s="12">
        <f>SUM(D93*42)</f>
        <v>67200</v>
      </c>
      <c r="F93" s="17" t="s">
        <v>290</v>
      </c>
      <c r="G93" s="20" t="s">
        <v>318</v>
      </c>
    </row>
    <row r="94" spans="1:7">
      <c r="A94" s="21">
        <v>64</v>
      </c>
      <c r="B94" s="17" t="s">
        <v>289</v>
      </c>
      <c r="C94" s="14" t="s">
        <v>320</v>
      </c>
      <c r="D94" s="44">
        <v>1600</v>
      </c>
      <c r="E94" s="16">
        <f>SUM(D94*90)</f>
        <v>144000</v>
      </c>
      <c r="F94" s="67" t="s">
        <v>291</v>
      </c>
      <c r="G94" s="20" t="s">
        <v>318</v>
      </c>
    </row>
    <row r="95" spans="1:7">
      <c r="A95" s="21">
        <v>65</v>
      </c>
      <c r="B95" s="17" t="s">
        <v>292</v>
      </c>
      <c r="C95" s="14" t="s">
        <v>325</v>
      </c>
      <c r="D95" s="44">
        <v>2500</v>
      </c>
      <c r="E95" s="31">
        <f>SUM(D95*46)</f>
        <v>115000</v>
      </c>
      <c r="F95" s="67" t="s">
        <v>293</v>
      </c>
      <c r="G95" s="20" t="s">
        <v>318</v>
      </c>
    </row>
    <row r="96" spans="1:7">
      <c r="A96" s="21">
        <v>66</v>
      </c>
      <c r="B96" s="17" t="s">
        <v>294</v>
      </c>
      <c r="C96" s="14" t="s">
        <v>35</v>
      </c>
      <c r="D96" s="44">
        <v>1175</v>
      </c>
      <c r="E96" s="12">
        <f>SUM(D96*2)</f>
        <v>2350</v>
      </c>
      <c r="F96" s="17" t="s">
        <v>295</v>
      </c>
      <c r="G96" s="20" t="s">
        <v>318</v>
      </c>
    </row>
    <row r="97" spans="1:7">
      <c r="A97" s="21">
        <v>67</v>
      </c>
      <c r="B97" s="17" t="s">
        <v>287</v>
      </c>
      <c r="C97" s="14" t="s">
        <v>324</v>
      </c>
      <c r="D97" s="44">
        <v>25000</v>
      </c>
      <c r="E97" s="12">
        <f>SUM(D97*185)</f>
        <v>4625000</v>
      </c>
      <c r="F97" s="67" t="s">
        <v>288</v>
      </c>
      <c r="G97" s="20" t="s">
        <v>318</v>
      </c>
    </row>
    <row r="98" spans="1:7">
      <c r="A98" s="21">
        <v>68</v>
      </c>
      <c r="B98" s="17" t="s">
        <v>298</v>
      </c>
      <c r="C98" s="14" t="s">
        <v>321</v>
      </c>
      <c r="D98" s="44">
        <v>8000</v>
      </c>
      <c r="E98" s="16">
        <f>SUM(D98*25)</f>
        <v>200000</v>
      </c>
      <c r="F98" s="67" t="s">
        <v>300</v>
      </c>
      <c r="G98" s="20" t="s">
        <v>318</v>
      </c>
    </row>
    <row r="99" spans="1:7">
      <c r="A99" s="21">
        <v>69</v>
      </c>
      <c r="B99" s="17" t="s">
        <v>299</v>
      </c>
      <c r="C99" s="14" t="s">
        <v>321</v>
      </c>
      <c r="D99" s="44">
        <v>8000</v>
      </c>
      <c r="E99" s="16">
        <f>SUM(D99*25)</f>
        <v>200000</v>
      </c>
      <c r="F99" s="67" t="s">
        <v>301</v>
      </c>
      <c r="G99" s="20" t="s">
        <v>318</v>
      </c>
    </row>
    <row r="100" spans="1:7">
      <c r="A100" s="21">
        <v>70</v>
      </c>
      <c r="B100" s="17" t="s">
        <v>302</v>
      </c>
      <c r="C100" s="14" t="s">
        <v>286</v>
      </c>
      <c r="D100" s="74">
        <v>20000</v>
      </c>
      <c r="E100" s="13">
        <f>SUM(D100*4)</f>
        <v>80000</v>
      </c>
      <c r="F100" s="67" t="s">
        <v>303</v>
      </c>
      <c r="G100" s="20" t="s">
        <v>318</v>
      </c>
    </row>
    <row r="101" spans="1:7">
      <c r="A101" s="21">
        <v>71</v>
      </c>
      <c r="B101" s="17" t="s">
        <v>304</v>
      </c>
      <c r="C101" s="14" t="s">
        <v>321</v>
      </c>
      <c r="D101" s="44">
        <v>8000</v>
      </c>
      <c r="E101" s="16">
        <f t="shared" ref="E101" si="0">SUM(D101*25)</f>
        <v>200000</v>
      </c>
      <c r="F101" s="67" t="s">
        <v>305</v>
      </c>
      <c r="G101" s="20" t="s">
        <v>318</v>
      </c>
    </row>
    <row r="102" spans="1:7">
      <c r="A102" s="21">
        <v>72</v>
      </c>
      <c r="B102" s="17" t="s">
        <v>307</v>
      </c>
      <c r="C102" s="14" t="s">
        <v>322</v>
      </c>
      <c r="D102" s="44">
        <v>8000</v>
      </c>
      <c r="E102" s="16">
        <f>SUM(D102*58)</f>
        <v>464000</v>
      </c>
      <c r="F102" s="17" t="s">
        <v>306</v>
      </c>
      <c r="G102" s="20" t="s">
        <v>318</v>
      </c>
    </row>
    <row r="103" spans="1:7">
      <c r="A103" s="21">
        <v>73</v>
      </c>
      <c r="B103" s="17" t="s">
        <v>308</v>
      </c>
      <c r="C103" s="14" t="s">
        <v>14</v>
      </c>
      <c r="D103" s="74">
        <v>33000</v>
      </c>
      <c r="E103" s="12">
        <v>33000</v>
      </c>
      <c r="F103" s="17" t="s">
        <v>309</v>
      </c>
      <c r="G103" s="20" t="s">
        <v>318</v>
      </c>
    </row>
    <row r="104" spans="1:7">
      <c r="A104" s="21">
        <v>74</v>
      </c>
      <c r="B104" s="75" t="s">
        <v>311</v>
      </c>
      <c r="C104" s="15" t="s">
        <v>14</v>
      </c>
      <c r="D104" s="76">
        <v>5296.5</v>
      </c>
      <c r="E104" s="12">
        <v>5296.5</v>
      </c>
      <c r="F104" s="75" t="s">
        <v>310</v>
      </c>
      <c r="G104" s="20" t="s">
        <v>318</v>
      </c>
    </row>
    <row r="105" spans="1:7">
      <c r="A105" s="21">
        <v>75</v>
      </c>
      <c r="B105" s="17" t="s">
        <v>304</v>
      </c>
      <c r="C105" s="14" t="s">
        <v>323</v>
      </c>
      <c r="D105" s="44">
        <v>12200</v>
      </c>
      <c r="E105" s="16">
        <f>SUM(D105*7)</f>
        <v>85400</v>
      </c>
      <c r="F105" s="17" t="s">
        <v>312</v>
      </c>
      <c r="G105" s="20" t="s">
        <v>318</v>
      </c>
    </row>
    <row r="106" spans="1:7">
      <c r="A106" s="21">
        <v>76</v>
      </c>
      <c r="B106" s="17" t="s">
        <v>304</v>
      </c>
      <c r="C106" s="14" t="s">
        <v>276</v>
      </c>
      <c r="D106" s="44">
        <v>12200</v>
      </c>
      <c r="E106" s="16">
        <f>SUM(D106*6)</f>
        <v>73200</v>
      </c>
      <c r="F106" s="17" t="s">
        <v>313</v>
      </c>
      <c r="G106" s="20" t="s">
        <v>318</v>
      </c>
    </row>
    <row r="107" spans="1:7">
      <c r="A107" s="21">
        <v>77</v>
      </c>
      <c r="B107" s="17" t="s">
        <v>314</v>
      </c>
      <c r="C107" s="14" t="s">
        <v>14</v>
      </c>
      <c r="D107" s="74">
        <v>24000</v>
      </c>
      <c r="E107" s="41">
        <v>24000</v>
      </c>
      <c r="F107" s="17" t="s">
        <v>315</v>
      </c>
      <c r="G107" s="20" t="s">
        <v>318</v>
      </c>
    </row>
    <row r="108" spans="1:7">
      <c r="A108" s="21">
        <v>78</v>
      </c>
      <c r="B108" s="17" t="s">
        <v>316</v>
      </c>
      <c r="C108" s="14" t="s">
        <v>14</v>
      </c>
      <c r="D108" s="19">
        <v>17000</v>
      </c>
      <c r="E108" s="31">
        <f>SUM(D108*15)</f>
        <v>255000</v>
      </c>
      <c r="F108" s="17" t="s">
        <v>317</v>
      </c>
      <c r="G108" s="20" t="s">
        <v>318</v>
      </c>
    </row>
    <row r="109" spans="1:7">
      <c r="A109" s="21">
        <v>79</v>
      </c>
      <c r="B109" s="25" t="s">
        <v>389</v>
      </c>
      <c r="C109" s="49" t="s">
        <v>14</v>
      </c>
      <c r="D109" s="16">
        <v>29000</v>
      </c>
      <c r="E109" s="12">
        <v>29000</v>
      </c>
      <c r="F109" s="26" t="s">
        <v>390</v>
      </c>
      <c r="G109" s="20" t="s">
        <v>603</v>
      </c>
    </row>
    <row r="110" spans="1:7">
      <c r="A110" s="21">
        <v>80</v>
      </c>
      <c r="B110" s="17" t="s">
        <v>316</v>
      </c>
      <c r="C110" s="49" t="s">
        <v>14</v>
      </c>
      <c r="D110" s="16">
        <v>17000</v>
      </c>
      <c r="E110" s="31">
        <v>17000</v>
      </c>
      <c r="F110" s="18" t="s">
        <v>391</v>
      </c>
      <c r="G110" s="20" t="s">
        <v>603</v>
      </c>
    </row>
    <row r="111" spans="1:7">
      <c r="A111" s="21"/>
      <c r="B111" s="71" t="s">
        <v>17</v>
      </c>
      <c r="C111" s="21"/>
      <c r="D111" s="25"/>
      <c r="E111" s="68">
        <f>SUM(E83:E110)</f>
        <v>12616168.800000001</v>
      </c>
      <c r="F111" s="25"/>
    </row>
    <row r="113" spans="1:7">
      <c r="C113" s="24" t="s">
        <v>7</v>
      </c>
      <c r="D113" s="92" t="s">
        <v>8</v>
      </c>
      <c r="E113" s="92"/>
      <c r="F113" s="20" t="s">
        <v>9</v>
      </c>
    </row>
    <row r="114" spans="1:7">
      <c r="B114" s="20" t="s">
        <v>15</v>
      </c>
      <c r="D114" s="92" t="s">
        <v>21</v>
      </c>
      <c r="E114" s="92"/>
    </row>
    <row r="115" spans="1:7">
      <c r="C115" s="24" t="s">
        <v>7</v>
      </c>
      <c r="D115" s="92" t="s">
        <v>8</v>
      </c>
      <c r="E115" s="92"/>
      <c r="F115" s="20" t="s">
        <v>10</v>
      </c>
    </row>
    <row r="116" spans="1:7">
      <c r="D116" s="92" t="s">
        <v>22</v>
      </c>
      <c r="E116" s="92"/>
    </row>
    <row r="117" spans="1:7">
      <c r="C117" s="24" t="s">
        <v>7</v>
      </c>
      <c r="D117" s="92" t="s">
        <v>8</v>
      </c>
      <c r="E117" s="92"/>
      <c r="F117" s="20" t="s">
        <v>11</v>
      </c>
    </row>
    <row r="118" spans="1:7">
      <c r="D118" s="92" t="s">
        <v>23</v>
      </c>
      <c r="E118" s="92"/>
    </row>
    <row r="119" spans="1:7">
      <c r="A119" s="93" t="s">
        <v>0</v>
      </c>
      <c r="B119" s="93"/>
      <c r="C119" s="93"/>
      <c r="D119" s="93"/>
      <c r="E119" s="93"/>
      <c r="F119" s="93"/>
    </row>
    <row r="120" spans="1:7">
      <c r="A120" s="94" t="s">
        <v>20</v>
      </c>
      <c r="B120" s="94"/>
      <c r="C120" s="94"/>
      <c r="D120" s="94"/>
      <c r="E120" s="94"/>
      <c r="F120" s="94"/>
    </row>
    <row r="121" spans="1:7">
      <c r="A121" s="95" t="s">
        <v>6</v>
      </c>
      <c r="B121" s="96" t="s">
        <v>1</v>
      </c>
      <c r="C121" s="97" t="s">
        <v>2</v>
      </c>
      <c r="D121" s="97"/>
      <c r="E121" s="97"/>
      <c r="F121" s="96" t="s">
        <v>5</v>
      </c>
    </row>
    <row r="122" spans="1:7">
      <c r="A122" s="96"/>
      <c r="B122" s="96"/>
      <c r="C122" s="22" t="s">
        <v>3</v>
      </c>
      <c r="D122" s="23" t="s">
        <v>13</v>
      </c>
      <c r="E122" s="79" t="s">
        <v>4</v>
      </c>
      <c r="F122" s="96"/>
    </row>
    <row r="123" spans="1:7">
      <c r="A123" s="21"/>
      <c r="B123" s="73" t="s">
        <v>16</v>
      </c>
      <c r="C123" s="10"/>
      <c r="D123" s="11"/>
      <c r="E123" s="68">
        <f>SUM(E111)</f>
        <v>12616168.800000001</v>
      </c>
      <c r="F123" s="25"/>
    </row>
    <row r="124" spans="1:7">
      <c r="A124" s="21">
        <v>81</v>
      </c>
      <c r="B124" s="46" t="s">
        <v>402</v>
      </c>
      <c r="C124" s="49" t="s">
        <v>118</v>
      </c>
      <c r="D124" s="54">
        <v>900</v>
      </c>
      <c r="E124" s="41">
        <v>900</v>
      </c>
      <c r="F124" s="18" t="s">
        <v>403</v>
      </c>
      <c r="G124" s="20" t="s">
        <v>423</v>
      </c>
    </row>
    <row r="125" spans="1:7">
      <c r="A125" s="21">
        <v>82</v>
      </c>
      <c r="B125" s="46" t="s">
        <v>404</v>
      </c>
      <c r="C125" s="49" t="s">
        <v>14</v>
      </c>
      <c r="D125" s="54">
        <v>1200</v>
      </c>
      <c r="E125" s="31">
        <v>1200</v>
      </c>
      <c r="F125" s="18" t="s">
        <v>405</v>
      </c>
      <c r="G125" s="20" t="s">
        <v>423</v>
      </c>
    </row>
    <row r="126" spans="1:7">
      <c r="A126" s="21">
        <v>83</v>
      </c>
      <c r="B126" s="46" t="s">
        <v>406</v>
      </c>
      <c r="C126" s="49" t="s">
        <v>118</v>
      </c>
      <c r="D126" s="54">
        <v>2900</v>
      </c>
      <c r="E126" s="16">
        <v>2900</v>
      </c>
      <c r="F126" s="18" t="s">
        <v>407</v>
      </c>
      <c r="G126" s="20" t="s">
        <v>423</v>
      </c>
    </row>
    <row r="127" spans="1:7">
      <c r="A127" s="21">
        <v>84</v>
      </c>
      <c r="B127" s="46" t="s">
        <v>408</v>
      </c>
      <c r="C127" s="49" t="s">
        <v>114</v>
      </c>
      <c r="D127" s="54">
        <v>1200</v>
      </c>
      <c r="E127" s="16">
        <v>1200</v>
      </c>
      <c r="F127" s="18" t="s">
        <v>409</v>
      </c>
      <c r="G127" s="20" t="s">
        <v>423</v>
      </c>
    </row>
    <row r="128" spans="1:7">
      <c r="A128" s="21">
        <v>85</v>
      </c>
      <c r="B128" s="17" t="s">
        <v>421</v>
      </c>
      <c r="C128" s="49" t="s">
        <v>14</v>
      </c>
      <c r="D128" s="16">
        <v>5900</v>
      </c>
      <c r="E128" s="16">
        <v>5900</v>
      </c>
      <c r="F128" s="18" t="s">
        <v>422</v>
      </c>
      <c r="G128" s="20" t="s">
        <v>423</v>
      </c>
    </row>
    <row r="129" spans="1:7">
      <c r="A129" s="21">
        <v>86</v>
      </c>
      <c r="B129" s="17" t="s">
        <v>382</v>
      </c>
      <c r="C129" s="49" t="s">
        <v>14</v>
      </c>
      <c r="D129" s="16">
        <v>5350</v>
      </c>
      <c r="E129" s="12">
        <v>5350</v>
      </c>
      <c r="F129" s="18" t="s">
        <v>417</v>
      </c>
      <c r="G129" s="20" t="s">
        <v>423</v>
      </c>
    </row>
    <row r="130" spans="1:7">
      <c r="A130" s="21">
        <v>87</v>
      </c>
      <c r="B130" s="17" t="s">
        <v>316</v>
      </c>
      <c r="C130" s="49" t="s">
        <v>14</v>
      </c>
      <c r="D130" s="16">
        <v>17000</v>
      </c>
      <c r="E130" s="12">
        <v>17000</v>
      </c>
      <c r="F130" s="18" t="s">
        <v>418</v>
      </c>
      <c r="G130" s="20" t="s">
        <v>423</v>
      </c>
    </row>
    <row r="131" spans="1:7" ht="23.25" customHeight="1">
      <c r="A131" s="21">
        <v>88</v>
      </c>
      <c r="B131" s="18" t="s">
        <v>437</v>
      </c>
      <c r="C131" s="14" t="s">
        <v>114</v>
      </c>
      <c r="D131" s="12">
        <v>1980</v>
      </c>
      <c r="E131" s="16">
        <v>1980</v>
      </c>
      <c r="F131" s="18" t="s">
        <v>436</v>
      </c>
      <c r="G131" s="20" t="s">
        <v>464</v>
      </c>
    </row>
    <row r="132" spans="1:7">
      <c r="A132" s="21">
        <v>89</v>
      </c>
      <c r="B132" s="18" t="s">
        <v>445</v>
      </c>
      <c r="C132" s="14" t="s">
        <v>14</v>
      </c>
      <c r="D132" s="12">
        <v>5880</v>
      </c>
      <c r="E132" s="16">
        <v>5880</v>
      </c>
      <c r="F132" s="18" t="s">
        <v>444</v>
      </c>
      <c r="G132" s="20" t="s">
        <v>464</v>
      </c>
    </row>
    <row r="133" spans="1:7">
      <c r="A133" s="21">
        <v>90</v>
      </c>
      <c r="B133" s="18" t="s">
        <v>447</v>
      </c>
      <c r="C133" s="14" t="s">
        <v>114</v>
      </c>
      <c r="D133" s="12">
        <v>7700</v>
      </c>
      <c r="E133" s="16">
        <v>7700</v>
      </c>
      <c r="F133" s="18" t="s">
        <v>446</v>
      </c>
      <c r="G133" s="20" t="s">
        <v>464</v>
      </c>
    </row>
    <row r="134" spans="1:7">
      <c r="A134" s="21">
        <v>91</v>
      </c>
      <c r="B134" s="18" t="s">
        <v>453</v>
      </c>
      <c r="C134" s="14" t="s">
        <v>115</v>
      </c>
      <c r="D134" s="19">
        <v>19320</v>
      </c>
      <c r="E134" s="16">
        <f>SUM(D134*2)</f>
        <v>38640</v>
      </c>
      <c r="F134" s="18" t="s">
        <v>452</v>
      </c>
      <c r="G134" s="20" t="s">
        <v>464</v>
      </c>
    </row>
    <row r="135" spans="1:7">
      <c r="A135" s="21">
        <v>92</v>
      </c>
      <c r="B135" s="57" t="s">
        <v>602</v>
      </c>
      <c r="C135" s="14" t="s">
        <v>465</v>
      </c>
      <c r="D135" s="12">
        <v>31000</v>
      </c>
      <c r="E135" s="16">
        <f>SUM(D135*2)</f>
        <v>62000</v>
      </c>
      <c r="F135" s="18" t="s">
        <v>462</v>
      </c>
      <c r="G135" s="20" t="s">
        <v>464</v>
      </c>
    </row>
    <row r="136" spans="1:7">
      <c r="A136" s="21">
        <v>93</v>
      </c>
      <c r="B136" s="85" t="s">
        <v>463</v>
      </c>
      <c r="C136" s="21" t="s">
        <v>114</v>
      </c>
      <c r="D136" s="12">
        <v>10500</v>
      </c>
      <c r="E136" s="16">
        <v>10500</v>
      </c>
      <c r="F136" s="25" t="s">
        <v>76</v>
      </c>
      <c r="G136" s="20" t="s">
        <v>464</v>
      </c>
    </row>
    <row r="137" spans="1:7">
      <c r="A137" s="21">
        <v>94</v>
      </c>
      <c r="B137" s="86" t="s">
        <v>469</v>
      </c>
      <c r="C137" s="87" t="s">
        <v>465</v>
      </c>
      <c r="D137" s="88">
        <v>2200</v>
      </c>
      <c r="E137" s="16">
        <v>4400</v>
      </c>
      <c r="F137" s="86" t="s">
        <v>468</v>
      </c>
      <c r="G137" s="20" t="s">
        <v>499</v>
      </c>
    </row>
    <row r="138" spans="1:7">
      <c r="A138" s="21">
        <v>95</v>
      </c>
      <c r="B138" s="89" t="s">
        <v>471</v>
      </c>
      <c r="C138" s="49" t="s">
        <v>194</v>
      </c>
      <c r="D138" s="54">
        <v>2250</v>
      </c>
      <c r="E138" s="16">
        <v>2250</v>
      </c>
      <c r="F138" s="89" t="s">
        <v>470</v>
      </c>
      <c r="G138" s="20" t="s">
        <v>499</v>
      </c>
    </row>
    <row r="139" spans="1:7">
      <c r="A139" s="21">
        <v>96</v>
      </c>
      <c r="B139" s="89" t="s">
        <v>469</v>
      </c>
      <c r="C139" s="49" t="s">
        <v>194</v>
      </c>
      <c r="D139" s="54">
        <v>2600</v>
      </c>
      <c r="E139" s="16">
        <v>2600</v>
      </c>
      <c r="F139" s="89" t="s">
        <v>472</v>
      </c>
      <c r="G139" s="20" t="s">
        <v>499</v>
      </c>
    </row>
    <row r="140" spans="1:7">
      <c r="A140" s="21">
        <v>97</v>
      </c>
      <c r="B140" s="90" t="s">
        <v>476</v>
      </c>
      <c r="C140" s="87" t="s">
        <v>485</v>
      </c>
      <c r="D140" s="88">
        <v>3200</v>
      </c>
      <c r="E140" s="16">
        <f>SUM(D140*3)</f>
        <v>9600</v>
      </c>
      <c r="F140" s="91" t="s">
        <v>475</v>
      </c>
      <c r="G140" s="20" t="s">
        <v>499</v>
      </c>
    </row>
    <row r="141" spans="1:7">
      <c r="A141" s="21">
        <v>98</v>
      </c>
      <c r="B141" s="57" t="s">
        <v>497</v>
      </c>
      <c r="C141" s="49" t="s">
        <v>14</v>
      </c>
      <c r="D141" s="16">
        <v>45000</v>
      </c>
      <c r="E141" s="16">
        <v>45000</v>
      </c>
      <c r="F141" s="18" t="s">
        <v>498</v>
      </c>
      <c r="G141" s="20" t="s">
        <v>500</v>
      </c>
    </row>
    <row r="142" spans="1:7">
      <c r="A142" s="21">
        <v>99</v>
      </c>
      <c r="B142" s="17" t="s">
        <v>514</v>
      </c>
      <c r="C142" s="58" t="s">
        <v>194</v>
      </c>
      <c r="D142" s="16">
        <v>3000</v>
      </c>
      <c r="E142" s="16">
        <v>3000</v>
      </c>
      <c r="F142" s="18" t="s">
        <v>515</v>
      </c>
      <c r="G142" s="20" t="s">
        <v>554</v>
      </c>
    </row>
    <row r="143" spans="1:7">
      <c r="A143" s="21">
        <v>100</v>
      </c>
      <c r="B143" s="17" t="s">
        <v>522</v>
      </c>
      <c r="C143" s="49" t="s">
        <v>194</v>
      </c>
      <c r="D143" s="16">
        <v>3500</v>
      </c>
      <c r="E143" s="12">
        <v>3500</v>
      </c>
      <c r="F143" s="18" t="s">
        <v>523</v>
      </c>
      <c r="G143" s="20" t="s">
        <v>554</v>
      </c>
    </row>
    <row r="144" spans="1:7">
      <c r="A144" s="21">
        <v>101</v>
      </c>
      <c r="B144" s="17" t="s">
        <v>561</v>
      </c>
      <c r="C144" s="58" t="s">
        <v>118</v>
      </c>
      <c r="D144" s="63">
        <v>31559.65</v>
      </c>
      <c r="E144" s="13">
        <v>31559.65</v>
      </c>
      <c r="F144" s="18" t="s">
        <v>562</v>
      </c>
      <c r="G144" s="20" t="s">
        <v>570</v>
      </c>
    </row>
    <row r="145" spans="1:7">
      <c r="A145" s="21">
        <v>102</v>
      </c>
      <c r="B145" s="17" t="s">
        <v>573</v>
      </c>
      <c r="C145" s="49" t="s">
        <v>555</v>
      </c>
      <c r="D145" s="16">
        <v>3500</v>
      </c>
      <c r="E145" s="16">
        <v>7000</v>
      </c>
      <c r="F145" s="18" t="s">
        <v>574</v>
      </c>
      <c r="G145" s="20" t="s">
        <v>581</v>
      </c>
    </row>
    <row r="146" spans="1:7">
      <c r="A146" s="21">
        <v>103</v>
      </c>
      <c r="B146" s="17" t="s">
        <v>575</v>
      </c>
      <c r="C146" s="49" t="s">
        <v>14</v>
      </c>
      <c r="D146" s="45">
        <v>28900</v>
      </c>
      <c r="E146" s="16">
        <v>28900</v>
      </c>
      <c r="F146" s="18" t="s">
        <v>576</v>
      </c>
      <c r="G146" s="20" t="s">
        <v>581</v>
      </c>
    </row>
    <row r="147" spans="1:7">
      <c r="A147" s="21">
        <v>104</v>
      </c>
      <c r="B147" s="17" t="s">
        <v>469</v>
      </c>
      <c r="C147" s="49" t="s">
        <v>194</v>
      </c>
      <c r="D147" s="63">
        <v>3100</v>
      </c>
      <c r="E147" s="12">
        <v>3100</v>
      </c>
      <c r="F147" s="18" t="s">
        <v>582</v>
      </c>
      <c r="G147" s="20" t="s">
        <v>583</v>
      </c>
    </row>
    <row r="148" spans="1:7">
      <c r="A148" s="21">
        <v>105</v>
      </c>
      <c r="B148" s="57" t="s">
        <v>586</v>
      </c>
      <c r="C148" s="49" t="s">
        <v>14</v>
      </c>
      <c r="D148" s="16">
        <v>3700</v>
      </c>
      <c r="E148" s="16">
        <v>3700</v>
      </c>
      <c r="F148" s="46" t="s">
        <v>587</v>
      </c>
      <c r="G148" s="20" t="s">
        <v>591</v>
      </c>
    </row>
    <row r="149" spans="1:7">
      <c r="A149" s="21">
        <v>106</v>
      </c>
      <c r="B149" s="57" t="s">
        <v>588</v>
      </c>
      <c r="C149" s="49" t="s">
        <v>324</v>
      </c>
      <c r="D149" s="16">
        <v>4238.5200000000004</v>
      </c>
      <c r="E149" s="12">
        <f>SUM(D149*15)</f>
        <v>63577.8</v>
      </c>
      <c r="F149" s="46" t="s">
        <v>589</v>
      </c>
      <c r="G149" s="20" t="s">
        <v>591</v>
      </c>
    </row>
    <row r="150" spans="1:7">
      <c r="A150" s="21">
        <v>107</v>
      </c>
      <c r="B150" s="57" t="s">
        <v>504</v>
      </c>
      <c r="C150" s="49" t="s">
        <v>14</v>
      </c>
      <c r="D150" s="16">
        <v>10140</v>
      </c>
      <c r="E150" s="12">
        <v>10140</v>
      </c>
      <c r="F150" s="46" t="s">
        <v>590</v>
      </c>
      <c r="G150" s="20" t="s">
        <v>591</v>
      </c>
    </row>
    <row r="151" spans="1:7">
      <c r="A151" s="21"/>
      <c r="B151" s="71" t="s">
        <v>12</v>
      </c>
      <c r="C151" s="21"/>
      <c r="D151" s="25"/>
      <c r="E151" s="68">
        <f>SUM(E123:E150)</f>
        <v>12995646.250000002</v>
      </c>
      <c r="F151" s="25"/>
    </row>
    <row r="153" spans="1:7">
      <c r="C153" s="24" t="s">
        <v>7</v>
      </c>
      <c r="D153" s="92" t="s">
        <v>8</v>
      </c>
      <c r="E153" s="92"/>
      <c r="F153" s="20" t="s">
        <v>9</v>
      </c>
    </row>
    <row r="154" spans="1:7">
      <c r="B154" s="20" t="s">
        <v>15</v>
      </c>
      <c r="D154" s="92" t="s">
        <v>21</v>
      </c>
      <c r="E154" s="92"/>
    </row>
    <row r="155" spans="1:7">
      <c r="C155" s="24" t="s">
        <v>7</v>
      </c>
      <c r="D155" s="92" t="s">
        <v>8</v>
      </c>
      <c r="E155" s="92"/>
      <c r="F155" s="20" t="s">
        <v>10</v>
      </c>
    </row>
    <row r="156" spans="1:7">
      <c r="D156" s="92" t="s">
        <v>22</v>
      </c>
      <c r="E156" s="92"/>
    </row>
    <row r="157" spans="1:7">
      <c r="C157" s="24" t="s">
        <v>7</v>
      </c>
      <c r="D157" s="92" t="s">
        <v>8</v>
      </c>
      <c r="E157" s="92"/>
      <c r="F157" s="20" t="s">
        <v>11</v>
      </c>
    </row>
    <row r="158" spans="1:7">
      <c r="D158" s="92" t="s">
        <v>23</v>
      </c>
      <c r="E158" s="92"/>
    </row>
  </sheetData>
  <mergeCells count="48">
    <mergeCell ref="A119:F119"/>
    <mergeCell ref="A120:F120"/>
    <mergeCell ref="A121:A122"/>
    <mergeCell ref="B121:B122"/>
    <mergeCell ref="C121:E121"/>
    <mergeCell ref="F121:F122"/>
    <mergeCell ref="D39:E39"/>
    <mergeCell ref="A1:F1"/>
    <mergeCell ref="A2:F2"/>
    <mergeCell ref="A3:A4"/>
    <mergeCell ref="B3:B4"/>
    <mergeCell ref="C3:E3"/>
    <mergeCell ref="F3:F4"/>
    <mergeCell ref="D34:E34"/>
    <mergeCell ref="D35:E35"/>
    <mergeCell ref="D36:E36"/>
    <mergeCell ref="D37:E37"/>
    <mergeCell ref="D38:E38"/>
    <mergeCell ref="A40:F40"/>
    <mergeCell ref="A41:F41"/>
    <mergeCell ref="A42:A43"/>
    <mergeCell ref="B42:B43"/>
    <mergeCell ref="C42:E42"/>
    <mergeCell ref="F42:F43"/>
    <mergeCell ref="D118:E118"/>
    <mergeCell ref="D113:E113"/>
    <mergeCell ref="D114:E114"/>
    <mergeCell ref="D115:E115"/>
    <mergeCell ref="D116:E116"/>
    <mergeCell ref="D117:E117"/>
    <mergeCell ref="D158:E158"/>
    <mergeCell ref="D153:E153"/>
    <mergeCell ref="D154:E154"/>
    <mergeCell ref="D155:E155"/>
    <mergeCell ref="D156:E156"/>
    <mergeCell ref="D157:E157"/>
    <mergeCell ref="D73:E73"/>
    <mergeCell ref="D74:E74"/>
    <mergeCell ref="D75:E75"/>
    <mergeCell ref="D76:E76"/>
    <mergeCell ref="D77:E77"/>
    <mergeCell ref="D78:E78"/>
    <mergeCell ref="A79:F79"/>
    <mergeCell ref="A80:F80"/>
    <mergeCell ref="A81:A82"/>
    <mergeCell ref="B81:B82"/>
    <mergeCell ref="C81:E81"/>
    <mergeCell ref="F81:F82"/>
  </mergeCells>
  <phoneticPr fontId="6" type="noConversion"/>
  <printOptions horizontalCentered="1"/>
  <pageMargins left="0.19685039370078741" right="0.19685039370078741" top="0.59055118110236227" bottom="0.19685039370078741" header="0" footer="0"/>
  <pageSetup paperSize="9" scale="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3E08-96F9-46EF-820D-E98321CF46E2}">
  <sheetPr>
    <tabColor rgb="FF92D050"/>
  </sheetPr>
  <dimension ref="A1:G279"/>
  <sheetViews>
    <sheetView zoomScaleNormal="100" workbookViewId="0">
      <selection activeCell="J9" sqref="J9"/>
    </sheetView>
  </sheetViews>
  <sheetFormatPr defaultRowHeight="24"/>
  <cols>
    <col min="1" max="1" width="6.5703125" style="24" customWidth="1"/>
    <col min="2" max="2" width="42" style="20" customWidth="1"/>
    <col min="3" max="3" width="8.42578125" style="20" customWidth="1"/>
    <col min="4" max="4" width="14.42578125" style="20" customWidth="1"/>
    <col min="5" max="5" width="15.85546875" style="20" customWidth="1"/>
    <col min="6" max="6" width="30.7109375" style="20" customWidth="1"/>
    <col min="7" max="7" width="18.42578125" style="20" customWidth="1"/>
    <col min="8" max="16384" width="9.140625" style="20"/>
  </cols>
  <sheetData>
    <row r="1" spans="1:7">
      <c r="A1" s="93" t="s">
        <v>0</v>
      </c>
      <c r="B1" s="93"/>
      <c r="C1" s="93"/>
      <c r="D1" s="93"/>
      <c r="E1" s="93"/>
      <c r="F1" s="93"/>
    </row>
    <row r="2" spans="1:7">
      <c r="A2" s="94" t="s">
        <v>19</v>
      </c>
      <c r="B2" s="94"/>
      <c r="C2" s="94"/>
      <c r="D2" s="94"/>
      <c r="E2" s="94"/>
      <c r="F2" s="94"/>
    </row>
    <row r="3" spans="1:7">
      <c r="A3" s="95" t="s">
        <v>6</v>
      </c>
      <c r="B3" s="96" t="s">
        <v>1</v>
      </c>
      <c r="C3" s="97" t="s">
        <v>2</v>
      </c>
      <c r="D3" s="97"/>
      <c r="E3" s="97"/>
      <c r="F3" s="98" t="s">
        <v>5</v>
      </c>
    </row>
    <row r="4" spans="1:7" s="24" customFormat="1">
      <c r="A4" s="96"/>
      <c r="B4" s="96"/>
      <c r="C4" s="22" t="s">
        <v>3</v>
      </c>
      <c r="D4" s="23" t="s">
        <v>13</v>
      </c>
      <c r="E4" s="22" t="s">
        <v>4</v>
      </c>
      <c r="F4" s="98"/>
    </row>
    <row r="5" spans="1:7">
      <c r="A5" s="21">
        <v>1</v>
      </c>
      <c r="B5" s="17" t="s">
        <v>85</v>
      </c>
      <c r="C5" s="14" t="s">
        <v>114</v>
      </c>
      <c r="D5" s="16">
        <v>1400</v>
      </c>
      <c r="E5" s="16">
        <v>1400</v>
      </c>
      <c r="F5" s="18" t="s">
        <v>88</v>
      </c>
      <c r="G5" s="20" t="s">
        <v>111</v>
      </c>
    </row>
    <row r="6" spans="1:7">
      <c r="A6" s="21">
        <v>2</v>
      </c>
      <c r="B6" s="17" t="s">
        <v>86</v>
      </c>
      <c r="C6" s="14" t="s">
        <v>14</v>
      </c>
      <c r="D6" s="16">
        <v>2400</v>
      </c>
      <c r="E6" s="16">
        <v>2400</v>
      </c>
      <c r="F6" s="18" t="s">
        <v>89</v>
      </c>
      <c r="G6" s="20" t="s">
        <v>111</v>
      </c>
    </row>
    <row r="7" spans="1:7">
      <c r="A7" s="21">
        <v>3</v>
      </c>
      <c r="B7" s="17" t="s">
        <v>87</v>
      </c>
      <c r="C7" s="14" t="s">
        <v>14</v>
      </c>
      <c r="D7" s="16">
        <v>3400</v>
      </c>
      <c r="E7" s="16">
        <v>3400</v>
      </c>
      <c r="F7" s="18" t="s">
        <v>90</v>
      </c>
      <c r="G7" s="20" t="s">
        <v>111</v>
      </c>
    </row>
    <row r="8" spans="1:7">
      <c r="A8" s="21">
        <v>4</v>
      </c>
      <c r="B8" s="18" t="s">
        <v>92</v>
      </c>
      <c r="C8" s="14" t="s">
        <v>14</v>
      </c>
      <c r="D8" s="16">
        <v>3990</v>
      </c>
      <c r="E8" s="16">
        <v>3990</v>
      </c>
      <c r="F8" s="18" t="s">
        <v>91</v>
      </c>
      <c r="G8" s="20" t="s">
        <v>111</v>
      </c>
    </row>
    <row r="9" spans="1:7">
      <c r="A9" s="21">
        <v>5</v>
      </c>
      <c r="B9" s="17" t="s">
        <v>95</v>
      </c>
      <c r="C9" s="14" t="s">
        <v>116</v>
      </c>
      <c r="D9" s="16">
        <v>1333.33</v>
      </c>
      <c r="E9" s="16">
        <f>SUM(D9*6)</f>
        <v>7999.98</v>
      </c>
      <c r="F9" s="18" t="s">
        <v>93</v>
      </c>
      <c r="G9" s="20" t="s">
        <v>111</v>
      </c>
    </row>
    <row r="10" spans="1:7">
      <c r="A10" s="21">
        <v>6</v>
      </c>
      <c r="B10" s="17" t="s">
        <v>96</v>
      </c>
      <c r="C10" s="14" t="s">
        <v>117</v>
      </c>
      <c r="D10" s="16">
        <v>1020</v>
      </c>
      <c r="E10" s="16">
        <f>SUM(D10*10)</f>
        <v>10200</v>
      </c>
      <c r="F10" s="18" t="s">
        <v>94</v>
      </c>
      <c r="G10" s="20" t="s">
        <v>111</v>
      </c>
    </row>
    <row r="11" spans="1:7">
      <c r="A11" s="21">
        <v>7</v>
      </c>
      <c r="B11" s="17" t="s">
        <v>98</v>
      </c>
      <c r="C11" s="14" t="s">
        <v>113</v>
      </c>
      <c r="D11" s="16">
        <v>1284</v>
      </c>
      <c r="E11" s="16">
        <f>SUM(D11*5)</f>
        <v>6420</v>
      </c>
      <c r="F11" s="18" t="s">
        <v>97</v>
      </c>
      <c r="G11" s="20" t="s">
        <v>111</v>
      </c>
    </row>
    <row r="12" spans="1:7">
      <c r="A12" s="21">
        <v>8</v>
      </c>
      <c r="B12" s="17" t="s">
        <v>99</v>
      </c>
      <c r="C12" s="14" t="s">
        <v>113</v>
      </c>
      <c r="D12" s="16">
        <v>841.5</v>
      </c>
      <c r="E12" s="16">
        <f>SUM(D12*5)</f>
        <v>4207.5</v>
      </c>
      <c r="F12" s="18" t="s">
        <v>97</v>
      </c>
      <c r="G12" s="20" t="s">
        <v>111</v>
      </c>
    </row>
    <row r="13" spans="1:7">
      <c r="A13" s="21">
        <v>9</v>
      </c>
      <c r="B13" s="17" t="s">
        <v>86</v>
      </c>
      <c r="C13" s="14" t="s">
        <v>14</v>
      </c>
      <c r="D13" s="16">
        <v>1450</v>
      </c>
      <c r="E13" s="16">
        <v>1450</v>
      </c>
      <c r="F13" s="18" t="s">
        <v>100</v>
      </c>
      <c r="G13" s="20" t="s">
        <v>111</v>
      </c>
    </row>
    <row r="14" spans="1:7">
      <c r="A14" s="21">
        <v>10</v>
      </c>
      <c r="B14" s="17" t="s">
        <v>102</v>
      </c>
      <c r="C14" s="14" t="s">
        <v>118</v>
      </c>
      <c r="D14" s="16">
        <v>2990</v>
      </c>
      <c r="E14" s="16">
        <v>2990</v>
      </c>
      <c r="F14" s="18" t="s">
        <v>101</v>
      </c>
      <c r="G14" s="20" t="s">
        <v>111</v>
      </c>
    </row>
    <row r="15" spans="1:7">
      <c r="A15" s="21">
        <v>11</v>
      </c>
      <c r="B15" s="17" t="s">
        <v>104</v>
      </c>
      <c r="C15" s="14" t="s">
        <v>14</v>
      </c>
      <c r="D15" s="16">
        <v>1990</v>
      </c>
      <c r="E15" s="16">
        <v>1990</v>
      </c>
      <c r="F15" s="18" t="s">
        <v>103</v>
      </c>
      <c r="G15" s="20" t="s">
        <v>111</v>
      </c>
    </row>
    <row r="16" spans="1:7">
      <c r="A16" s="21">
        <v>12</v>
      </c>
      <c r="B16" s="17" t="s">
        <v>108</v>
      </c>
      <c r="C16" s="14" t="s">
        <v>119</v>
      </c>
      <c r="D16" s="16">
        <v>1350</v>
      </c>
      <c r="E16" s="16">
        <f>SUM(D16*17)</f>
        <v>22950</v>
      </c>
      <c r="F16" s="18" t="s">
        <v>105</v>
      </c>
      <c r="G16" s="20" t="s">
        <v>111</v>
      </c>
    </row>
    <row r="17" spans="1:7">
      <c r="A17" s="21">
        <v>13</v>
      </c>
      <c r="B17" s="17" t="s">
        <v>109</v>
      </c>
      <c r="C17" s="14" t="s">
        <v>120</v>
      </c>
      <c r="D17" s="16">
        <v>230</v>
      </c>
      <c r="E17" s="16">
        <f>SUM(D17*50)</f>
        <v>11500</v>
      </c>
      <c r="F17" s="18" t="s">
        <v>106</v>
      </c>
      <c r="G17" s="20" t="s">
        <v>111</v>
      </c>
    </row>
    <row r="18" spans="1:7">
      <c r="A18" s="21">
        <v>14</v>
      </c>
      <c r="B18" s="17" t="s">
        <v>110</v>
      </c>
      <c r="C18" s="14" t="s">
        <v>121</v>
      </c>
      <c r="D18" s="16">
        <v>760</v>
      </c>
      <c r="E18" s="16">
        <f>SUM(D18*20)</f>
        <v>15200</v>
      </c>
      <c r="F18" s="18" t="s">
        <v>107</v>
      </c>
      <c r="G18" s="20" t="s">
        <v>111</v>
      </c>
    </row>
    <row r="19" spans="1:7">
      <c r="A19" s="21">
        <v>15</v>
      </c>
      <c r="B19" s="17" t="s">
        <v>123</v>
      </c>
      <c r="C19" s="14" t="s">
        <v>188</v>
      </c>
      <c r="D19" s="16">
        <v>9990</v>
      </c>
      <c r="E19" s="16">
        <f>SUM(D19*20)</f>
        <v>199800</v>
      </c>
      <c r="F19" s="65" t="s">
        <v>122</v>
      </c>
      <c r="G19" s="20" t="s">
        <v>111</v>
      </c>
    </row>
    <row r="20" spans="1:7">
      <c r="A20" s="21">
        <v>16</v>
      </c>
      <c r="B20" s="32" t="s">
        <v>127</v>
      </c>
      <c r="C20" s="15" t="s">
        <v>189</v>
      </c>
      <c r="D20" s="33">
        <v>34970</v>
      </c>
      <c r="E20" s="16">
        <v>349700</v>
      </c>
      <c r="F20" s="64" t="s">
        <v>124</v>
      </c>
      <c r="G20" s="20" t="s">
        <v>111</v>
      </c>
    </row>
    <row r="21" spans="1:7">
      <c r="A21" s="21">
        <v>17</v>
      </c>
      <c r="B21" s="17" t="s">
        <v>128</v>
      </c>
      <c r="C21" s="14" t="s">
        <v>188</v>
      </c>
      <c r="D21" s="16">
        <v>14980</v>
      </c>
      <c r="E21" s="16">
        <f>SUM(D21*20)</f>
        <v>299600</v>
      </c>
      <c r="F21" s="65" t="s">
        <v>125</v>
      </c>
      <c r="G21" s="20" t="s">
        <v>111</v>
      </c>
    </row>
    <row r="22" spans="1:7">
      <c r="A22" s="21">
        <v>18</v>
      </c>
      <c r="B22" s="17" t="s">
        <v>129</v>
      </c>
      <c r="C22" s="14" t="s">
        <v>190</v>
      </c>
      <c r="D22" s="16">
        <v>57950</v>
      </c>
      <c r="E22" s="16">
        <f>SUM(D22*9)</f>
        <v>521550</v>
      </c>
      <c r="F22" s="65" t="s">
        <v>126</v>
      </c>
      <c r="G22" s="20" t="s">
        <v>111</v>
      </c>
    </row>
    <row r="23" spans="1:7">
      <c r="A23" s="21">
        <v>19</v>
      </c>
      <c r="B23" s="32" t="s">
        <v>132</v>
      </c>
      <c r="C23" s="15" t="s">
        <v>191</v>
      </c>
      <c r="D23" s="33">
        <v>57950</v>
      </c>
      <c r="E23" s="16">
        <v>579500</v>
      </c>
      <c r="F23" s="64" t="s">
        <v>130</v>
      </c>
      <c r="G23" s="20" t="s">
        <v>111</v>
      </c>
    </row>
    <row r="24" spans="1:7">
      <c r="A24" s="21">
        <v>20</v>
      </c>
      <c r="B24" s="17" t="s">
        <v>133</v>
      </c>
      <c r="C24" s="34" t="s">
        <v>190</v>
      </c>
      <c r="D24" s="16">
        <v>57950</v>
      </c>
      <c r="E24" s="16">
        <f>SUM(D24*9)</f>
        <v>521550</v>
      </c>
      <c r="F24" s="65" t="s">
        <v>131</v>
      </c>
      <c r="G24" s="20" t="s">
        <v>111</v>
      </c>
    </row>
    <row r="25" spans="1:7">
      <c r="A25" s="21">
        <v>21</v>
      </c>
      <c r="B25" s="18" t="s">
        <v>137</v>
      </c>
      <c r="C25" s="14" t="s">
        <v>188</v>
      </c>
      <c r="D25" s="16">
        <v>7918</v>
      </c>
      <c r="E25" s="16">
        <f>SUM(D25*20)</f>
        <v>158360</v>
      </c>
      <c r="F25" s="65" t="s">
        <v>134</v>
      </c>
      <c r="G25" s="20" t="s">
        <v>111</v>
      </c>
    </row>
    <row r="26" spans="1:7">
      <c r="A26" s="21">
        <v>22</v>
      </c>
      <c r="B26" s="18" t="s">
        <v>138</v>
      </c>
      <c r="C26" s="14" t="s">
        <v>29</v>
      </c>
      <c r="D26" s="16">
        <v>186700</v>
      </c>
      <c r="E26" s="16">
        <v>186700</v>
      </c>
      <c r="F26" s="18" t="s">
        <v>135</v>
      </c>
      <c r="G26" s="20" t="s">
        <v>111</v>
      </c>
    </row>
    <row r="27" spans="1:7">
      <c r="A27" s="21">
        <v>23</v>
      </c>
      <c r="B27" s="18" t="s">
        <v>139</v>
      </c>
      <c r="C27" s="14" t="s">
        <v>30</v>
      </c>
      <c r="D27" s="16">
        <v>65000</v>
      </c>
      <c r="E27" s="16">
        <f>SUM(D27*2)</f>
        <v>130000</v>
      </c>
      <c r="F27" s="65" t="s">
        <v>136</v>
      </c>
      <c r="G27" s="20" t="s">
        <v>111</v>
      </c>
    </row>
    <row r="28" spans="1:7">
      <c r="A28" s="21">
        <v>24</v>
      </c>
      <c r="B28" s="17" t="s">
        <v>192</v>
      </c>
      <c r="C28" s="14" t="s">
        <v>30</v>
      </c>
      <c r="D28" s="16">
        <v>14780</v>
      </c>
      <c r="E28" s="16">
        <f>SUM(D28*2)</f>
        <v>29560</v>
      </c>
      <c r="F28" s="65" t="s">
        <v>140</v>
      </c>
      <c r="G28" s="20" t="s">
        <v>111</v>
      </c>
    </row>
    <row r="29" spans="1:7">
      <c r="A29" s="21">
        <v>25</v>
      </c>
      <c r="B29" s="17" t="s">
        <v>145</v>
      </c>
      <c r="C29" s="14" t="s">
        <v>29</v>
      </c>
      <c r="D29" s="16">
        <v>149500</v>
      </c>
      <c r="E29" s="16">
        <v>149500</v>
      </c>
      <c r="F29" s="18" t="s">
        <v>141</v>
      </c>
      <c r="G29" s="20" t="s">
        <v>111</v>
      </c>
    </row>
    <row r="30" spans="1:7">
      <c r="A30" s="21"/>
      <c r="B30" s="71" t="s">
        <v>17</v>
      </c>
      <c r="C30" s="25"/>
      <c r="D30" s="25"/>
      <c r="E30" s="69">
        <f>SUM(E5:E29)</f>
        <v>3221917.48</v>
      </c>
      <c r="F30" s="25"/>
    </row>
    <row r="32" spans="1:7">
      <c r="C32" s="27" t="s">
        <v>7</v>
      </c>
      <c r="D32" s="92" t="s">
        <v>8</v>
      </c>
      <c r="E32" s="92"/>
      <c r="F32" s="20" t="s">
        <v>9</v>
      </c>
    </row>
    <row r="33" spans="1:7">
      <c r="D33" s="92" t="s">
        <v>21</v>
      </c>
      <c r="E33" s="92"/>
    </row>
    <row r="34" spans="1:7" ht="33" customHeight="1">
      <c r="C34" s="27" t="s">
        <v>7</v>
      </c>
      <c r="D34" s="92" t="s">
        <v>8</v>
      </c>
      <c r="E34" s="92"/>
      <c r="F34" s="20" t="s">
        <v>10</v>
      </c>
    </row>
    <row r="35" spans="1:7">
      <c r="D35" s="92" t="s">
        <v>22</v>
      </c>
      <c r="E35" s="92"/>
    </row>
    <row r="36" spans="1:7" ht="33.75" customHeight="1">
      <c r="C36" s="27" t="s">
        <v>7</v>
      </c>
      <c r="D36" s="92" t="s">
        <v>8</v>
      </c>
      <c r="E36" s="92"/>
      <c r="F36" s="20" t="s">
        <v>11</v>
      </c>
    </row>
    <row r="37" spans="1:7">
      <c r="D37" s="92" t="s">
        <v>23</v>
      </c>
      <c r="E37" s="92"/>
    </row>
    <row r="38" spans="1:7">
      <c r="A38" s="93" t="s">
        <v>0</v>
      </c>
      <c r="B38" s="93"/>
      <c r="C38" s="93"/>
      <c r="D38" s="93"/>
      <c r="E38" s="93"/>
      <c r="F38" s="93"/>
    </row>
    <row r="39" spans="1:7">
      <c r="A39" s="94" t="s">
        <v>19</v>
      </c>
      <c r="B39" s="94"/>
      <c r="C39" s="94"/>
      <c r="D39" s="94"/>
      <c r="E39" s="94"/>
      <c r="F39" s="94"/>
    </row>
    <row r="40" spans="1:7">
      <c r="A40" s="95" t="s">
        <v>6</v>
      </c>
      <c r="B40" s="96" t="s">
        <v>1</v>
      </c>
      <c r="C40" s="97" t="s">
        <v>2</v>
      </c>
      <c r="D40" s="97"/>
      <c r="E40" s="97"/>
      <c r="F40" s="98" t="s">
        <v>5</v>
      </c>
    </row>
    <row r="41" spans="1:7">
      <c r="A41" s="96"/>
      <c r="B41" s="96"/>
      <c r="C41" s="22" t="s">
        <v>3</v>
      </c>
      <c r="D41" s="23" t="s">
        <v>13</v>
      </c>
      <c r="E41" s="22" t="s">
        <v>4</v>
      </c>
      <c r="F41" s="98"/>
    </row>
    <row r="42" spans="1:7">
      <c r="A42" s="21"/>
      <c r="B42" s="72" t="s">
        <v>16</v>
      </c>
      <c r="C42" s="14"/>
      <c r="D42" s="12"/>
      <c r="E42" s="70">
        <f>SUM(E30)</f>
        <v>3221917.48</v>
      </c>
      <c r="F42" s="25"/>
    </row>
    <row r="43" spans="1:7">
      <c r="A43" s="21">
        <v>26</v>
      </c>
      <c r="B43" s="17" t="s">
        <v>146</v>
      </c>
      <c r="C43" s="14" t="s">
        <v>29</v>
      </c>
      <c r="D43" s="16">
        <v>249500</v>
      </c>
      <c r="E43" s="16">
        <v>249500</v>
      </c>
      <c r="F43" s="18" t="s">
        <v>142</v>
      </c>
      <c r="G43" s="20" t="s">
        <v>111</v>
      </c>
    </row>
    <row r="44" spans="1:7">
      <c r="A44" s="21">
        <v>27</v>
      </c>
      <c r="B44" s="17" t="s">
        <v>147</v>
      </c>
      <c r="C44" s="14" t="s">
        <v>14</v>
      </c>
      <c r="D44" s="16">
        <v>6200</v>
      </c>
      <c r="E44" s="16">
        <v>6200</v>
      </c>
      <c r="F44" s="18" t="s">
        <v>143</v>
      </c>
      <c r="G44" s="20" t="s">
        <v>111</v>
      </c>
    </row>
    <row r="45" spans="1:7">
      <c r="A45" s="21">
        <v>28</v>
      </c>
      <c r="B45" s="17" t="s">
        <v>148</v>
      </c>
      <c r="C45" s="14" t="s">
        <v>193</v>
      </c>
      <c r="D45" s="16">
        <v>20000</v>
      </c>
      <c r="E45" s="16">
        <f>SUM(D45*5)</f>
        <v>100000</v>
      </c>
      <c r="F45" s="18" t="s">
        <v>144</v>
      </c>
      <c r="G45" s="20" t="s">
        <v>111</v>
      </c>
    </row>
    <row r="46" spans="1:7">
      <c r="A46" s="21">
        <v>29</v>
      </c>
      <c r="B46" s="18" t="s">
        <v>150</v>
      </c>
      <c r="C46" s="14" t="s">
        <v>30</v>
      </c>
      <c r="D46" s="16">
        <v>79850</v>
      </c>
      <c r="E46" s="16">
        <f>SUM(D46*2)</f>
        <v>159700</v>
      </c>
      <c r="F46" s="65" t="s">
        <v>149</v>
      </c>
      <c r="G46" s="20" t="s">
        <v>111</v>
      </c>
    </row>
    <row r="47" spans="1:7">
      <c r="A47" s="21">
        <v>30</v>
      </c>
      <c r="B47" s="17" t="s">
        <v>70</v>
      </c>
      <c r="C47" s="14" t="s">
        <v>29</v>
      </c>
      <c r="D47" s="16">
        <v>33000</v>
      </c>
      <c r="E47" s="16">
        <v>33000</v>
      </c>
      <c r="F47" s="18" t="s">
        <v>151</v>
      </c>
      <c r="G47" s="20" t="s">
        <v>111</v>
      </c>
    </row>
    <row r="48" spans="1:7">
      <c r="A48" s="21">
        <v>31</v>
      </c>
      <c r="B48" s="17" t="s">
        <v>154</v>
      </c>
      <c r="C48" s="14" t="s">
        <v>118</v>
      </c>
      <c r="D48" s="16">
        <v>8500</v>
      </c>
      <c r="E48" s="16">
        <v>8500</v>
      </c>
      <c r="F48" s="18" t="s">
        <v>152</v>
      </c>
      <c r="G48" s="20" t="s">
        <v>111</v>
      </c>
    </row>
    <row r="49" spans="1:7">
      <c r="A49" s="21">
        <v>32</v>
      </c>
      <c r="B49" s="17" t="s">
        <v>155</v>
      </c>
      <c r="C49" s="14" t="s">
        <v>14</v>
      </c>
      <c r="D49" s="16">
        <v>22000</v>
      </c>
      <c r="E49" s="16">
        <v>22000</v>
      </c>
      <c r="F49" s="18" t="s">
        <v>153</v>
      </c>
      <c r="G49" s="20" t="s">
        <v>111</v>
      </c>
    </row>
    <row r="50" spans="1:7">
      <c r="A50" s="21">
        <v>33</v>
      </c>
      <c r="B50" s="17" t="s">
        <v>160</v>
      </c>
      <c r="C50" s="14" t="s">
        <v>14</v>
      </c>
      <c r="D50" s="16">
        <v>13589</v>
      </c>
      <c r="E50" s="16">
        <v>13589</v>
      </c>
      <c r="F50" s="18" t="s">
        <v>156</v>
      </c>
      <c r="G50" s="20" t="s">
        <v>111</v>
      </c>
    </row>
    <row r="51" spans="1:7">
      <c r="A51" s="21">
        <v>34</v>
      </c>
      <c r="B51" s="17" t="s">
        <v>161</v>
      </c>
      <c r="C51" s="14" t="s">
        <v>193</v>
      </c>
      <c r="D51" s="16">
        <v>14970</v>
      </c>
      <c r="E51" s="16">
        <f>SUM(D51*5)</f>
        <v>74850</v>
      </c>
      <c r="F51" s="18" t="s">
        <v>157</v>
      </c>
      <c r="G51" s="20" t="s">
        <v>111</v>
      </c>
    </row>
    <row r="52" spans="1:7">
      <c r="A52" s="21">
        <v>35</v>
      </c>
      <c r="B52" s="17" t="s">
        <v>162</v>
      </c>
      <c r="C52" s="14" t="s">
        <v>35</v>
      </c>
      <c r="D52" s="16">
        <v>44900</v>
      </c>
      <c r="E52" s="16">
        <f>SUM(D52*2)</f>
        <v>89800</v>
      </c>
      <c r="F52" s="18" t="s">
        <v>158</v>
      </c>
      <c r="G52" s="20" t="s">
        <v>111</v>
      </c>
    </row>
    <row r="53" spans="1:7">
      <c r="A53" s="21">
        <v>36</v>
      </c>
      <c r="B53" s="18" t="s">
        <v>163</v>
      </c>
      <c r="C53" s="14" t="s">
        <v>14</v>
      </c>
      <c r="D53" s="16">
        <v>22500</v>
      </c>
      <c r="E53" s="16">
        <v>22500</v>
      </c>
      <c r="F53" s="18" t="s">
        <v>159</v>
      </c>
      <c r="G53" s="20" t="s">
        <v>111</v>
      </c>
    </row>
    <row r="54" spans="1:7">
      <c r="A54" s="21">
        <v>37</v>
      </c>
      <c r="B54" s="17" t="s">
        <v>165</v>
      </c>
      <c r="C54" s="14" t="s">
        <v>114</v>
      </c>
      <c r="D54" s="16">
        <v>6990</v>
      </c>
      <c r="E54" s="16">
        <v>6990</v>
      </c>
      <c r="F54" s="18" t="s">
        <v>164</v>
      </c>
      <c r="G54" s="20" t="s">
        <v>111</v>
      </c>
    </row>
    <row r="55" spans="1:7">
      <c r="A55" s="21">
        <v>38</v>
      </c>
      <c r="B55" s="17" t="s">
        <v>170</v>
      </c>
      <c r="C55" s="14" t="s">
        <v>35</v>
      </c>
      <c r="D55" s="16">
        <v>10250</v>
      </c>
      <c r="E55" s="16">
        <f>SUM(D55*2)</f>
        <v>20500</v>
      </c>
      <c r="F55" s="18" t="s">
        <v>166</v>
      </c>
      <c r="G55" s="20" t="s">
        <v>111</v>
      </c>
    </row>
    <row r="56" spans="1:7">
      <c r="A56" s="21">
        <v>39</v>
      </c>
      <c r="B56" s="17" t="s">
        <v>171</v>
      </c>
      <c r="C56" s="14" t="s">
        <v>29</v>
      </c>
      <c r="D56" s="16">
        <v>37000</v>
      </c>
      <c r="E56" s="31">
        <v>37000</v>
      </c>
      <c r="F56" s="18" t="s">
        <v>167</v>
      </c>
      <c r="G56" s="20" t="s">
        <v>111</v>
      </c>
    </row>
    <row r="57" spans="1:7">
      <c r="A57" s="21">
        <v>40</v>
      </c>
      <c r="B57" s="17" t="s">
        <v>172</v>
      </c>
      <c r="C57" s="14" t="s">
        <v>14</v>
      </c>
      <c r="D57" s="16">
        <v>43870</v>
      </c>
      <c r="E57" s="31">
        <v>43870</v>
      </c>
      <c r="F57" s="18" t="s">
        <v>168</v>
      </c>
      <c r="G57" s="20" t="s">
        <v>111</v>
      </c>
    </row>
    <row r="58" spans="1:7">
      <c r="A58" s="21">
        <v>41</v>
      </c>
      <c r="B58" s="17" t="s">
        <v>173</v>
      </c>
      <c r="C58" s="14" t="s">
        <v>14</v>
      </c>
      <c r="D58" s="16">
        <v>50290</v>
      </c>
      <c r="E58" s="31">
        <v>50290</v>
      </c>
      <c r="F58" s="18" t="s">
        <v>169</v>
      </c>
      <c r="G58" s="20" t="s">
        <v>111</v>
      </c>
    </row>
    <row r="59" spans="1:7">
      <c r="A59" s="21">
        <v>42</v>
      </c>
      <c r="B59" s="17" t="s">
        <v>176</v>
      </c>
      <c r="C59" s="14" t="s">
        <v>117</v>
      </c>
      <c r="D59" s="16">
        <v>8185.5</v>
      </c>
      <c r="E59" s="31">
        <f>SUM(D59*10)</f>
        <v>81855</v>
      </c>
      <c r="F59" s="18" t="s">
        <v>174</v>
      </c>
      <c r="G59" s="20" t="s">
        <v>111</v>
      </c>
    </row>
    <row r="60" spans="1:7">
      <c r="A60" s="21">
        <v>43</v>
      </c>
      <c r="B60" s="17" t="s">
        <v>177</v>
      </c>
      <c r="C60" s="14" t="s">
        <v>29</v>
      </c>
      <c r="D60" s="16">
        <v>29000</v>
      </c>
      <c r="E60" s="31">
        <v>29000</v>
      </c>
      <c r="F60" s="18" t="s">
        <v>175</v>
      </c>
      <c r="G60" s="20" t="s">
        <v>111</v>
      </c>
    </row>
    <row r="61" spans="1:7">
      <c r="A61" s="21">
        <v>44</v>
      </c>
      <c r="B61" s="17" t="s">
        <v>180</v>
      </c>
      <c r="C61" s="14" t="s">
        <v>29</v>
      </c>
      <c r="D61" s="16">
        <v>7383</v>
      </c>
      <c r="E61" s="31">
        <v>7383</v>
      </c>
      <c r="F61" s="18" t="s">
        <v>178</v>
      </c>
      <c r="G61" s="20" t="s">
        <v>111</v>
      </c>
    </row>
    <row r="62" spans="1:7">
      <c r="A62" s="21">
        <v>45</v>
      </c>
      <c r="B62" s="17" t="s">
        <v>181</v>
      </c>
      <c r="C62" s="14" t="s">
        <v>29</v>
      </c>
      <c r="D62" s="16">
        <v>44960</v>
      </c>
      <c r="E62" s="31">
        <v>44960</v>
      </c>
      <c r="F62" s="18" t="s">
        <v>179</v>
      </c>
      <c r="G62" s="20" t="s">
        <v>111</v>
      </c>
    </row>
    <row r="63" spans="1:7">
      <c r="A63" s="21">
        <v>46</v>
      </c>
      <c r="B63" s="17" t="s">
        <v>185</v>
      </c>
      <c r="C63" s="14" t="s">
        <v>194</v>
      </c>
      <c r="D63" s="16">
        <v>44800</v>
      </c>
      <c r="E63" s="16">
        <v>44800</v>
      </c>
      <c r="F63" s="18" t="s">
        <v>182</v>
      </c>
      <c r="G63" s="20" t="s">
        <v>111</v>
      </c>
    </row>
    <row r="64" spans="1:7">
      <c r="A64" s="21">
        <v>47</v>
      </c>
      <c r="B64" s="17" t="s">
        <v>186</v>
      </c>
      <c r="C64" s="14" t="s">
        <v>14</v>
      </c>
      <c r="D64" s="16">
        <v>25000</v>
      </c>
      <c r="E64" s="16">
        <v>25000</v>
      </c>
      <c r="F64" s="18" t="s">
        <v>183</v>
      </c>
      <c r="G64" s="20" t="s">
        <v>111</v>
      </c>
    </row>
    <row r="65" spans="1:7">
      <c r="A65" s="21">
        <v>48</v>
      </c>
      <c r="B65" s="17" t="s">
        <v>187</v>
      </c>
      <c r="C65" s="14" t="s">
        <v>114</v>
      </c>
      <c r="D65" s="16">
        <v>14990</v>
      </c>
      <c r="E65" s="16">
        <v>14990</v>
      </c>
      <c r="F65" s="18" t="s">
        <v>184</v>
      </c>
      <c r="G65" s="20" t="s">
        <v>111</v>
      </c>
    </row>
    <row r="66" spans="1:7">
      <c r="A66" s="21">
        <v>49</v>
      </c>
      <c r="B66" s="17" t="s">
        <v>215</v>
      </c>
      <c r="C66" s="14" t="s">
        <v>29</v>
      </c>
      <c r="D66" s="16">
        <v>121300</v>
      </c>
      <c r="E66" s="12">
        <v>121300</v>
      </c>
      <c r="F66" s="18" t="s">
        <v>220</v>
      </c>
      <c r="G66" s="20" t="s">
        <v>251</v>
      </c>
    </row>
    <row r="67" spans="1:7">
      <c r="A67" s="21">
        <v>50</v>
      </c>
      <c r="B67" s="17" t="s">
        <v>216</v>
      </c>
      <c r="C67" s="14" t="s">
        <v>113</v>
      </c>
      <c r="D67" s="16">
        <v>89880</v>
      </c>
      <c r="E67" s="12">
        <f>SUM(D67*5)</f>
        <v>449400</v>
      </c>
      <c r="F67" s="65" t="s">
        <v>221</v>
      </c>
      <c r="G67" s="20" t="s">
        <v>251</v>
      </c>
    </row>
    <row r="68" spans="1:7">
      <c r="A68" s="21"/>
      <c r="B68" s="71" t="s">
        <v>17</v>
      </c>
      <c r="C68" s="25"/>
      <c r="D68" s="25"/>
      <c r="E68" s="69">
        <f>SUM(E42:E67)</f>
        <v>4978894.4800000004</v>
      </c>
      <c r="F68" s="25"/>
    </row>
    <row r="70" spans="1:7">
      <c r="C70" s="27" t="s">
        <v>7</v>
      </c>
      <c r="D70" s="92" t="s">
        <v>8</v>
      </c>
      <c r="E70" s="92"/>
      <c r="F70" s="20" t="s">
        <v>9</v>
      </c>
    </row>
    <row r="71" spans="1:7">
      <c r="D71" s="92" t="s">
        <v>21</v>
      </c>
      <c r="E71" s="92"/>
    </row>
    <row r="72" spans="1:7">
      <c r="C72" s="27" t="s">
        <v>7</v>
      </c>
      <c r="D72" s="92" t="s">
        <v>8</v>
      </c>
      <c r="E72" s="92"/>
      <c r="F72" s="20" t="s">
        <v>10</v>
      </c>
    </row>
    <row r="73" spans="1:7">
      <c r="D73" s="92" t="s">
        <v>22</v>
      </c>
      <c r="E73" s="92"/>
    </row>
    <row r="74" spans="1:7">
      <c r="C74" s="27" t="s">
        <v>7</v>
      </c>
      <c r="D74" s="92" t="s">
        <v>8</v>
      </c>
      <c r="E74" s="92"/>
      <c r="F74" s="20" t="s">
        <v>11</v>
      </c>
    </row>
    <row r="75" spans="1:7">
      <c r="D75" s="92" t="s">
        <v>23</v>
      </c>
      <c r="E75" s="92"/>
    </row>
    <row r="76" spans="1:7">
      <c r="A76" s="93" t="s">
        <v>0</v>
      </c>
      <c r="B76" s="93"/>
      <c r="C76" s="93"/>
      <c r="D76" s="93"/>
      <c r="E76" s="93"/>
      <c r="F76" s="93"/>
    </row>
    <row r="77" spans="1:7">
      <c r="A77" s="94" t="s">
        <v>19</v>
      </c>
      <c r="B77" s="94"/>
      <c r="C77" s="94"/>
      <c r="D77" s="94"/>
      <c r="E77" s="94"/>
      <c r="F77" s="94"/>
    </row>
    <row r="78" spans="1:7">
      <c r="A78" s="95" t="s">
        <v>6</v>
      </c>
      <c r="B78" s="96" t="s">
        <v>1</v>
      </c>
      <c r="C78" s="97" t="s">
        <v>2</v>
      </c>
      <c r="D78" s="97"/>
      <c r="E78" s="97"/>
      <c r="F78" s="98" t="s">
        <v>5</v>
      </c>
    </row>
    <row r="79" spans="1:7">
      <c r="A79" s="96"/>
      <c r="B79" s="96"/>
      <c r="C79" s="22" t="s">
        <v>3</v>
      </c>
      <c r="D79" s="23" t="s">
        <v>13</v>
      </c>
      <c r="E79" s="22" t="s">
        <v>4</v>
      </c>
      <c r="F79" s="98"/>
    </row>
    <row r="80" spans="1:7">
      <c r="A80" s="21"/>
      <c r="B80" s="72" t="s">
        <v>16</v>
      </c>
      <c r="C80" s="14"/>
      <c r="D80" s="12"/>
      <c r="E80" s="70">
        <f>SUM(E68)</f>
        <v>4978894.4800000004</v>
      </c>
      <c r="F80" s="25"/>
    </row>
    <row r="81" spans="1:7">
      <c r="A81" s="21">
        <v>51</v>
      </c>
      <c r="B81" s="17" t="s">
        <v>217</v>
      </c>
      <c r="C81" s="14" t="s">
        <v>113</v>
      </c>
      <c r="D81" s="16">
        <v>34882</v>
      </c>
      <c r="E81" s="12">
        <f>SUM(D81*5)</f>
        <v>174410</v>
      </c>
      <c r="F81" s="65" t="s">
        <v>222</v>
      </c>
      <c r="G81" s="20" t="s">
        <v>251</v>
      </c>
    </row>
    <row r="82" spans="1:7">
      <c r="A82" s="21">
        <v>52</v>
      </c>
      <c r="B82" s="17" t="s">
        <v>223</v>
      </c>
      <c r="C82" s="14" t="s">
        <v>14</v>
      </c>
      <c r="D82" s="16">
        <v>499690</v>
      </c>
      <c r="E82" s="13">
        <v>499690</v>
      </c>
      <c r="F82" s="18" t="s">
        <v>224</v>
      </c>
      <c r="G82" s="20" t="s">
        <v>251</v>
      </c>
    </row>
    <row r="83" spans="1:7">
      <c r="A83" s="21">
        <v>53</v>
      </c>
      <c r="B83" s="17" t="s">
        <v>227</v>
      </c>
      <c r="C83" s="14" t="s">
        <v>193</v>
      </c>
      <c r="D83" s="16">
        <v>92234</v>
      </c>
      <c r="E83" s="31">
        <f>SUM(D83*5)</f>
        <v>461170</v>
      </c>
      <c r="F83" s="66" t="s">
        <v>229</v>
      </c>
      <c r="G83" s="20" t="s">
        <v>251</v>
      </c>
    </row>
    <row r="84" spans="1:7">
      <c r="A84" s="21">
        <v>54</v>
      </c>
      <c r="B84" s="17" t="s">
        <v>228</v>
      </c>
      <c r="C84" s="14" t="s">
        <v>193</v>
      </c>
      <c r="D84" s="16">
        <v>59706</v>
      </c>
      <c r="E84" s="31">
        <f>SUM(D84*5)</f>
        <v>298530</v>
      </c>
      <c r="F84" s="66" t="s">
        <v>230</v>
      </c>
      <c r="G84" s="20" t="s">
        <v>251</v>
      </c>
    </row>
    <row r="85" spans="1:7">
      <c r="A85" s="21">
        <v>55</v>
      </c>
      <c r="B85" s="17" t="s">
        <v>249</v>
      </c>
      <c r="C85" s="40" t="s">
        <v>29</v>
      </c>
      <c r="D85" s="36">
        <v>131182</v>
      </c>
      <c r="E85" s="12">
        <v>131182</v>
      </c>
      <c r="F85" s="18" t="s">
        <v>250</v>
      </c>
      <c r="G85" s="20" t="s">
        <v>251</v>
      </c>
    </row>
    <row r="86" spans="1:7">
      <c r="A86" s="21">
        <v>56</v>
      </c>
      <c r="B86" s="17" t="s">
        <v>272</v>
      </c>
      <c r="C86" s="42" t="s">
        <v>14</v>
      </c>
      <c r="D86" s="16">
        <v>22900</v>
      </c>
      <c r="E86" s="19">
        <v>22900</v>
      </c>
      <c r="F86" s="18" t="s">
        <v>273</v>
      </c>
      <c r="G86" s="20" t="s">
        <v>264</v>
      </c>
    </row>
    <row r="87" spans="1:7">
      <c r="A87" s="21">
        <v>57</v>
      </c>
      <c r="B87" s="17" t="s">
        <v>296</v>
      </c>
      <c r="C87" s="14" t="s">
        <v>326</v>
      </c>
      <c r="D87" s="45">
        <v>400</v>
      </c>
      <c r="E87" s="12">
        <f>SUM(D87*30)</f>
        <v>12000</v>
      </c>
      <c r="F87" s="17" t="s">
        <v>297</v>
      </c>
      <c r="G87" s="20" t="s">
        <v>318</v>
      </c>
    </row>
    <row r="88" spans="1:7">
      <c r="A88" s="21">
        <v>58</v>
      </c>
      <c r="B88" s="18" t="s">
        <v>327</v>
      </c>
      <c r="C88" s="14" t="s">
        <v>285</v>
      </c>
      <c r="D88" s="12">
        <v>2500</v>
      </c>
      <c r="E88" s="31">
        <f>SUM(D88*4)</f>
        <v>10000</v>
      </c>
      <c r="F88" s="65" t="s">
        <v>328</v>
      </c>
      <c r="G88" s="20" t="s">
        <v>369</v>
      </c>
    </row>
    <row r="89" spans="1:7">
      <c r="A89" s="21">
        <v>59</v>
      </c>
      <c r="B89" s="18" t="s">
        <v>329</v>
      </c>
      <c r="C89" s="14" t="s">
        <v>121</v>
      </c>
      <c r="D89" s="12">
        <v>2600</v>
      </c>
      <c r="E89" s="31">
        <f>SUM(D89*20)</f>
        <v>52000</v>
      </c>
      <c r="F89" s="65" t="s">
        <v>330</v>
      </c>
      <c r="G89" s="20" t="s">
        <v>369</v>
      </c>
    </row>
    <row r="90" spans="1:7">
      <c r="A90" s="21">
        <v>60</v>
      </c>
      <c r="B90" s="18" t="s">
        <v>331</v>
      </c>
      <c r="C90" s="14" t="s">
        <v>121</v>
      </c>
      <c r="D90" s="12">
        <v>1200</v>
      </c>
      <c r="E90" s="31">
        <f>SUM(D90*20)</f>
        <v>24000</v>
      </c>
      <c r="F90" s="65" t="s">
        <v>332</v>
      </c>
      <c r="G90" s="20" t="s">
        <v>369</v>
      </c>
    </row>
    <row r="91" spans="1:7">
      <c r="A91" s="21">
        <v>61</v>
      </c>
      <c r="B91" s="18" t="s">
        <v>327</v>
      </c>
      <c r="C91" s="14" t="s">
        <v>35</v>
      </c>
      <c r="D91" s="12">
        <v>2500</v>
      </c>
      <c r="E91" s="31">
        <f>SUM(D91*2)</f>
        <v>5000</v>
      </c>
      <c r="F91" s="65" t="s">
        <v>333</v>
      </c>
      <c r="G91" s="20" t="s">
        <v>369</v>
      </c>
    </row>
    <row r="92" spans="1:7">
      <c r="A92" s="21">
        <v>62</v>
      </c>
      <c r="B92" s="18" t="s">
        <v>329</v>
      </c>
      <c r="C92" s="14" t="s">
        <v>117</v>
      </c>
      <c r="D92" s="12">
        <v>2500</v>
      </c>
      <c r="E92" s="12">
        <f>SUM(D92*10)</f>
        <v>25000</v>
      </c>
      <c r="F92" s="65" t="s">
        <v>334</v>
      </c>
      <c r="G92" s="20" t="s">
        <v>369</v>
      </c>
    </row>
    <row r="93" spans="1:7">
      <c r="A93" s="21">
        <v>63</v>
      </c>
      <c r="B93" s="18" t="s">
        <v>331</v>
      </c>
      <c r="C93" s="14" t="s">
        <v>121</v>
      </c>
      <c r="D93" s="12">
        <v>1200</v>
      </c>
      <c r="E93" s="12">
        <f>SUM(D93*20)</f>
        <v>24000</v>
      </c>
      <c r="F93" s="65" t="s">
        <v>335</v>
      </c>
      <c r="G93" s="20" t="s">
        <v>369</v>
      </c>
    </row>
    <row r="94" spans="1:7">
      <c r="A94" s="21">
        <v>64</v>
      </c>
      <c r="B94" s="18" t="s">
        <v>327</v>
      </c>
      <c r="C94" s="14" t="s">
        <v>35</v>
      </c>
      <c r="D94" s="12">
        <v>2500</v>
      </c>
      <c r="E94" s="12">
        <f>SUM(D94*2)</f>
        <v>5000</v>
      </c>
      <c r="F94" s="65" t="s">
        <v>336</v>
      </c>
      <c r="G94" s="20" t="s">
        <v>369</v>
      </c>
    </row>
    <row r="95" spans="1:7">
      <c r="A95" s="21">
        <v>65</v>
      </c>
      <c r="B95" s="18" t="s">
        <v>329</v>
      </c>
      <c r="C95" s="14" t="s">
        <v>385</v>
      </c>
      <c r="D95" s="12">
        <v>2500</v>
      </c>
      <c r="E95" s="12">
        <f>SUM(D95*5)</f>
        <v>12500</v>
      </c>
      <c r="F95" s="65" t="s">
        <v>337</v>
      </c>
      <c r="G95" s="20" t="s">
        <v>369</v>
      </c>
    </row>
    <row r="96" spans="1:7">
      <c r="A96" s="21">
        <v>66</v>
      </c>
      <c r="B96" s="18" t="s">
        <v>331</v>
      </c>
      <c r="C96" s="14" t="s">
        <v>385</v>
      </c>
      <c r="D96" s="12">
        <v>1200</v>
      </c>
      <c r="E96" s="12">
        <f>SUM(D96*5)</f>
        <v>6000</v>
      </c>
      <c r="F96" s="65" t="s">
        <v>338</v>
      </c>
      <c r="G96" s="20" t="s">
        <v>369</v>
      </c>
    </row>
    <row r="97" spans="1:7">
      <c r="A97" s="21">
        <v>67</v>
      </c>
      <c r="B97" s="18" t="s">
        <v>339</v>
      </c>
      <c r="C97" s="14" t="s">
        <v>26</v>
      </c>
      <c r="D97" s="12">
        <v>1100</v>
      </c>
      <c r="E97" s="12">
        <f>SUM(D97*3)</f>
        <v>3300</v>
      </c>
      <c r="F97" s="18" t="s">
        <v>340</v>
      </c>
      <c r="G97" s="20" t="s">
        <v>369</v>
      </c>
    </row>
    <row r="98" spans="1:7">
      <c r="A98" s="21">
        <v>68</v>
      </c>
      <c r="B98" s="46" t="s">
        <v>96</v>
      </c>
      <c r="C98" s="14" t="s">
        <v>276</v>
      </c>
      <c r="D98" s="19">
        <v>1200</v>
      </c>
      <c r="E98" s="12">
        <f>SUM(D98*6)</f>
        <v>7200</v>
      </c>
      <c r="F98" s="18" t="s">
        <v>341</v>
      </c>
      <c r="G98" s="20" t="s">
        <v>369</v>
      </c>
    </row>
    <row r="99" spans="1:7">
      <c r="A99" s="21">
        <v>69</v>
      </c>
      <c r="B99" s="18" t="s">
        <v>342</v>
      </c>
      <c r="C99" s="14" t="s">
        <v>118</v>
      </c>
      <c r="D99" s="12">
        <v>695.5</v>
      </c>
      <c r="E99" s="19">
        <v>695.5</v>
      </c>
      <c r="F99" s="18" t="s">
        <v>343</v>
      </c>
      <c r="G99" s="20" t="s">
        <v>369</v>
      </c>
    </row>
    <row r="100" spans="1:7">
      <c r="A100" s="21">
        <v>70</v>
      </c>
      <c r="B100" s="18" t="s">
        <v>344</v>
      </c>
      <c r="C100" s="14" t="s">
        <v>14</v>
      </c>
      <c r="D100" s="12">
        <v>3600</v>
      </c>
      <c r="E100" s="19">
        <v>3600</v>
      </c>
      <c r="F100" s="18" t="s">
        <v>345</v>
      </c>
      <c r="G100" s="20" t="s">
        <v>369</v>
      </c>
    </row>
    <row r="101" spans="1:7">
      <c r="A101" s="21">
        <v>71</v>
      </c>
      <c r="B101" s="18" t="s">
        <v>346</v>
      </c>
      <c r="C101" s="14" t="s">
        <v>114</v>
      </c>
      <c r="D101" s="12">
        <v>1006.25</v>
      </c>
      <c r="E101" s="12">
        <v>1006.25</v>
      </c>
      <c r="F101" s="18" t="s">
        <v>347</v>
      </c>
      <c r="G101" s="20" t="s">
        <v>369</v>
      </c>
    </row>
    <row r="102" spans="1:7">
      <c r="A102" s="21">
        <v>72</v>
      </c>
      <c r="B102" s="29" t="s">
        <v>348</v>
      </c>
      <c r="C102" s="30" t="s">
        <v>386</v>
      </c>
      <c r="D102" s="12">
        <v>400</v>
      </c>
      <c r="E102" s="12">
        <f>SUM(D102*160)</f>
        <v>64000</v>
      </c>
      <c r="F102" s="29" t="s">
        <v>349</v>
      </c>
      <c r="G102" s="20" t="s">
        <v>369</v>
      </c>
    </row>
    <row r="103" spans="1:7">
      <c r="A103" s="21">
        <v>73</v>
      </c>
      <c r="B103" s="18" t="s">
        <v>350</v>
      </c>
      <c r="C103" s="14" t="s">
        <v>115</v>
      </c>
      <c r="D103" s="12">
        <v>35000</v>
      </c>
      <c r="E103" s="12">
        <f>SUM(D103*2)</f>
        <v>70000</v>
      </c>
      <c r="F103" s="18" t="s">
        <v>351</v>
      </c>
      <c r="G103" s="20" t="s">
        <v>369</v>
      </c>
    </row>
    <row r="104" spans="1:7">
      <c r="A104" s="21">
        <v>74</v>
      </c>
      <c r="B104" s="18" t="s">
        <v>350</v>
      </c>
      <c r="C104" s="14" t="s">
        <v>191</v>
      </c>
      <c r="D104" s="12">
        <v>34500</v>
      </c>
      <c r="E104" s="31">
        <f>SUM(D104*10)</f>
        <v>345000</v>
      </c>
      <c r="F104" s="65" t="s">
        <v>352</v>
      </c>
      <c r="G104" s="20" t="s">
        <v>369</v>
      </c>
    </row>
    <row r="105" spans="1:7">
      <c r="A105" s="21">
        <v>75</v>
      </c>
      <c r="B105" s="18" t="s">
        <v>350</v>
      </c>
      <c r="C105" s="14" t="s">
        <v>113</v>
      </c>
      <c r="D105" s="12">
        <v>38900</v>
      </c>
      <c r="E105" s="12">
        <f>SUM(D105*5)</f>
        <v>194500</v>
      </c>
      <c r="F105" s="65" t="s">
        <v>353</v>
      </c>
      <c r="G105" s="20" t="s">
        <v>369</v>
      </c>
    </row>
    <row r="106" spans="1:7">
      <c r="A106" s="21"/>
      <c r="B106" s="71" t="s">
        <v>17</v>
      </c>
      <c r="C106" s="25"/>
      <c r="D106" s="25"/>
      <c r="E106" s="69">
        <f>SUM(E80:E105)</f>
        <v>7431578.2300000004</v>
      </c>
      <c r="F106" s="25"/>
    </row>
    <row r="108" spans="1:7">
      <c r="C108" s="27" t="s">
        <v>7</v>
      </c>
      <c r="D108" s="92" t="s">
        <v>8</v>
      </c>
      <c r="E108" s="92"/>
      <c r="F108" s="20" t="s">
        <v>9</v>
      </c>
    </row>
    <row r="109" spans="1:7">
      <c r="D109" s="92" t="s">
        <v>21</v>
      </c>
      <c r="E109" s="92"/>
    </row>
    <row r="110" spans="1:7">
      <c r="C110" s="27" t="s">
        <v>7</v>
      </c>
      <c r="D110" s="92" t="s">
        <v>8</v>
      </c>
      <c r="E110" s="92"/>
      <c r="F110" s="20" t="s">
        <v>10</v>
      </c>
    </row>
    <row r="111" spans="1:7">
      <c r="D111" s="92" t="s">
        <v>22</v>
      </c>
      <c r="E111" s="92"/>
    </row>
    <row r="112" spans="1:7">
      <c r="C112" s="27" t="s">
        <v>7</v>
      </c>
      <c r="D112" s="92" t="s">
        <v>8</v>
      </c>
      <c r="E112" s="92"/>
      <c r="F112" s="20" t="s">
        <v>11</v>
      </c>
    </row>
    <row r="113" spans="1:7">
      <c r="D113" s="92" t="s">
        <v>23</v>
      </c>
      <c r="E113" s="92"/>
    </row>
    <row r="114" spans="1:7">
      <c r="A114" s="93" t="s">
        <v>0</v>
      </c>
      <c r="B114" s="93"/>
      <c r="C114" s="93"/>
      <c r="D114" s="93"/>
      <c r="E114" s="93"/>
      <c r="F114" s="93"/>
    </row>
    <row r="115" spans="1:7">
      <c r="A115" s="94" t="s">
        <v>19</v>
      </c>
      <c r="B115" s="94"/>
      <c r="C115" s="94"/>
      <c r="D115" s="94"/>
      <c r="E115" s="94"/>
      <c r="F115" s="94"/>
    </row>
    <row r="116" spans="1:7">
      <c r="A116" s="95" t="s">
        <v>6</v>
      </c>
      <c r="B116" s="96" t="s">
        <v>1</v>
      </c>
      <c r="C116" s="97" t="s">
        <v>2</v>
      </c>
      <c r="D116" s="97"/>
      <c r="E116" s="97"/>
      <c r="F116" s="98" t="s">
        <v>5</v>
      </c>
    </row>
    <row r="117" spans="1:7">
      <c r="A117" s="96"/>
      <c r="B117" s="96"/>
      <c r="C117" s="22" t="s">
        <v>3</v>
      </c>
      <c r="D117" s="23" t="s">
        <v>13</v>
      </c>
      <c r="E117" s="22" t="s">
        <v>4</v>
      </c>
      <c r="F117" s="98"/>
    </row>
    <row r="118" spans="1:7">
      <c r="A118" s="21"/>
      <c r="B118" s="72" t="s">
        <v>16</v>
      </c>
      <c r="C118" s="14"/>
      <c r="D118" s="12"/>
      <c r="E118" s="70">
        <f>SUM(E106)</f>
        <v>7431578.2300000004</v>
      </c>
      <c r="F118" s="25"/>
    </row>
    <row r="119" spans="1:7">
      <c r="A119" s="21">
        <v>76</v>
      </c>
      <c r="B119" s="18" t="s">
        <v>350</v>
      </c>
      <c r="C119" s="14" t="s">
        <v>387</v>
      </c>
      <c r="D119" s="12">
        <v>24285.71</v>
      </c>
      <c r="E119" s="12">
        <f>SUM(D119*21)</f>
        <v>509999.91</v>
      </c>
      <c r="F119" s="65" t="s">
        <v>354</v>
      </c>
      <c r="G119" s="20" t="s">
        <v>369</v>
      </c>
    </row>
    <row r="120" spans="1:7">
      <c r="A120" s="21">
        <v>77</v>
      </c>
      <c r="B120" s="18" t="s">
        <v>350</v>
      </c>
      <c r="C120" s="14" t="s">
        <v>323</v>
      </c>
      <c r="D120" s="12">
        <v>11862.85</v>
      </c>
      <c r="E120" s="13">
        <f>SUM(D120*7)</f>
        <v>83039.95</v>
      </c>
      <c r="F120" s="65" t="s">
        <v>355</v>
      </c>
      <c r="G120" s="20" t="s">
        <v>369</v>
      </c>
    </row>
    <row r="121" spans="1:7">
      <c r="A121" s="21">
        <v>78</v>
      </c>
      <c r="B121" s="18" t="s">
        <v>350</v>
      </c>
      <c r="C121" s="14" t="s">
        <v>323</v>
      </c>
      <c r="D121" s="12">
        <v>15500</v>
      </c>
      <c r="E121" s="16">
        <f>SUM(D121*7)</f>
        <v>108500</v>
      </c>
      <c r="F121" s="65" t="s">
        <v>356</v>
      </c>
      <c r="G121" s="20" t="s">
        <v>369</v>
      </c>
    </row>
    <row r="122" spans="1:7">
      <c r="A122" s="21">
        <v>79</v>
      </c>
      <c r="B122" s="18" t="s">
        <v>350</v>
      </c>
      <c r="C122" s="14" t="s">
        <v>113</v>
      </c>
      <c r="D122" s="12">
        <v>16000</v>
      </c>
      <c r="E122" s="16">
        <f>SUM(D122*5)</f>
        <v>80000</v>
      </c>
      <c r="F122" s="65" t="s">
        <v>357</v>
      </c>
      <c r="G122" s="20" t="s">
        <v>369</v>
      </c>
    </row>
    <row r="123" spans="1:7">
      <c r="A123" s="21">
        <v>80</v>
      </c>
      <c r="B123" s="18" t="s">
        <v>350</v>
      </c>
      <c r="C123" s="14" t="s">
        <v>286</v>
      </c>
      <c r="D123" s="12">
        <v>16000</v>
      </c>
      <c r="E123" s="16">
        <f>SUM(D123*4)</f>
        <v>64000</v>
      </c>
      <c r="F123" s="18" t="s">
        <v>358</v>
      </c>
      <c r="G123" s="20" t="s">
        <v>369</v>
      </c>
    </row>
    <row r="124" spans="1:7">
      <c r="A124" s="21">
        <v>81</v>
      </c>
      <c r="B124" s="18" t="s">
        <v>350</v>
      </c>
      <c r="C124" s="14" t="s">
        <v>286</v>
      </c>
      <c r="D124" s="12">
        <v>16000</v>
      </c>
      <c r="E124" s="16">
        <f>SUM(D124*4)</f>
        <v>64000</v>
      </c>
      <c r="F124" s="18" t="s">
        <v>359</v>
      </c>
      <c r="G124" s="20" t="s">
        <v>369</v>
      </c>
    </row>
    <row r="125" spans="1:7">
      <c r="A125" s="21">
        <v>82</v>
      </c>
      <c r="B125" s="18" t="s">
        <v>360</v>
      </c>
      <c r="C125" s="14" t="s">
        <v>14</v>
      </c>
      <c r="D125" s="47">
        <v>40700</v>
      </c>
      <c r="E125" s="16">
        <v>40700</v>
      </c>
      <c r="F125" s="18" t="s">
        <v>361</v>
      </c>
      <c r="G125" s="20" t="s">
        <v>369</v>
      </c>
    </row>
    <row r="126" spans="1:7">
      <c r="A126" s="21">
        <v>83</v>
      </c>
      <c r="B126" s="18" t="s">
        <v>350</v>
      </c>
      <c r="C126" s="14" t="s">
        <v>191</v>
      </c>
      <c r="D126" s="12">
        <v>11730</v>
      </c>
      <c r="E126" s="16">
        <f>SUM(D126*10)</f>
        <v>117300</v>
      </c>
      <c r="F126" s="18" t="s">
        <v>362</v>
      </c>
      <c r="G126" s="20" t="s">
        <v>369</v>
      </c>
    </row>
    <row r="127" spans="1:7">
      <c r="A127" s="21">
        <v>84</v>
      </c>
      <c r="B127" s="18" t="s">
        <v>350</v>
      </c>
      <c r="C127" s="14" t="s">
        <v>191</v>
      </c>
      <c r="D127" s="12">
        <v>11730</v>
      </c>
      <c r="E127" s="16">
        <f>SUM(D127*10)</f>
        <v>117300</v>
      </c>
      <c r="F127" s="18" t="s">
        <v>363</v>
      </c>
      <c r="G127" s="20" t="s">
        <v>369</v>
      </c>
    </row>
    <row r="128" spans="1:7">
      <c r="A128" s="21">
        <v>85</v>
      </c>
      <c r="B128" s="18" t="s">
        <v>364</v>
      </c>
      <c r="C128" s="14" t="s">
        <v>388</v>
      </c>
      <c r="D128" s="12">
        <v>14000</v>
      </c>
      <c r="E128" s="16">
        <f>SUM(D128*49)</f>
        <v>686000</v>
      </c>
      <c r="F128" s="18" t="s">
        <v>365</v>
      </c>
      <c r="G128" s="20" t="s">
        <v>369</v>
      </c>
    </row>
    <row r="129" spans="1:7">
      <c r="A129" s="21">
        <v>86</v>
      </c>
      <c r="B129" s="18" t="s">
        <v>350</v>
      </c>
      <c r="C129" s="14" t="s">
        <v>388</v>
      </c>
      <c r="D129" s="12">
        <v>13979.59</v>
      </c>
      <c r="E129" s="12">
        <f>SUM(D129*49)</f>
        <v>684999.91</v>
      </c>
      <c r="F129" s="18" t="s">
        <v>366</v>
      </c>
      <c r="G129" s="20" t="s">
        <v>369</v>
      </c>
    </row>
    <row r="130" spans="1:7">
      <c r="A130" s="21">
        <v>87</v>
      </c>
      <c r="B130" s="18" t="s">
        <v>367</v>
      </c>
      <c r="C130" s="14" t="s">
        <v>286</v>
      </c>
      <c r="D130" s="12">
        <v>32000</v>
      </c>
      <c r="E130" s="12">
        <f>SUM(D130*4)</f>
        <v>128000</v>
      </c>
      <c r="F130" s="18" t="s">
        <v>368</v>
      </c>
      <c r="G130" s="20" t="s">
        <v>369</v>
      </c>
    </row>
    <row r="131" spans="1:7">
      <c r="A131" s="21">
        <v>88</v>
      </c>
      <c r="B131" s="48" t="s">
        <v>370</v>
      </c>
      <c r="C131" s="49" t="s">
        <v>14</v>
      </c>
      <c r="D131" s="12">
        <v>2500</v>
      </c>
      <c r="E131" s="12">
        <v>2500</v>
      </c>
      <c r="F131" s="50" t="s">
        <v>371</v>
      </c>
      <c r="G131" s="20" t="s">
        <v>384</v>
      </c>
    </row>
    <row r="132" spans="1:7">
      <c r="A132" s="21">
        <v>89</v>
      </c>
      <c r="B132" s="48" t="s">
        <v>307</v>
      </c>
      <c r="C132" s="49" t="s">
        <v>14</v>
      </c>
      <c r="D132" s="12">
        <v>8600</v>
      </c>
      <c r="E132" s="12">
        <v>8600</v>
      </c>
      <c r="F132" s="50" t="s">
        <v>374</v>
      </c>
      <c r="G132" s="20" t="s">
        <v>384</v>
      </c>
    </row>
    <row r="133" spans="1:7">
      <c r="A133" s="21">
        <v>90</v>
      </c>
      <c r="B133" s="48" t="s">
        <v>372</v>
      </c>
      <c r="C133" s="49" t="s">
        <v>14</v>
      </c>
      <c r="D133" s="12">
        <v>8600</v>
      </c>
      <c r="E133" s="12">
        <v>8600</v>
      </c>
      <c r="F133" s="50" t="s">
        <v>375</v>
      </c>
      <c r="G133" s="20" t="s">
        <v>384</v>
      </c>
    </row>
    <row r="134" spans="1:7">
      <c r="A134" s="21">
        <v>91</v>
      </c>
      <c r="B134" s="48" t="s">
        <v>373</v>
      </c>
      <c r="C134" s="49" t="s">
        <v>14</v>
      </c>
      <c r="D134" s="12">
        <v>8000</v>
      </c>
      <c r="E134" s="19">
        <v>8000</v>
      </c>
      <c r="F134" s="50" t="s">
        <v>376</v>
      </c>
      <c r="G134" s="20" t="s">
        <v>384</v>
      </c>
    </row>
    <row r="135" spans="1:7">
      <c r="A135" s="21">
        <v>92</v>
      </c>
      <c r="B135" s="50" t="s">
        <v>165</v>
      </c>
      <c r="C135" s="49" t="s">
        <v>114</v>
      </c>
      <c r="D135" s="19">
        <v>11900</v>
      </c>
      <c r="E135" s="20">
        <v>11900</v>
      </c>
      <c r="F135" s="50" t="s">
        <v>377</v>
      </c>
      <c r="G135" s="20" t="s">
        <v>384</v>
      </c>
    </row>
    <row r="136" spans="1:7">
      <c r="A136" s="21">
        <v>93</v>
      </c>
      <c r="B136" s="50" t="s">
        <v>165</v>
      </c>
      <c r="C136" s="49" t="s">
        <v>114</v>
      </c>
      <c r="D136" s="19">
        <v>6900</v>
      </c>
      <c r="E136" s="19">
        <v>6900</v>
      </c>
      <c r="F136" s="50" t="s">
        <v>164</v>
      </c>
      <c r="G136" s="20" t="s">
        <v>384</v>
      </c>
    </row>
    <row r="137" spans="1:7">
      <c r="A137" s="21">
        <v>94</v>
      </c>
      <c r="B137" s="50" t="s">
        <v>378</v>
      </c>
      <c r="C137" s="49" t="s">
        <v>14</v>
      </c>
      <c r="D137" s="19">
        <v>6120</v>
      </c>
      <c r="E137" s="19">
        <v>6120</v>
      </c>
      <c r="F137" s="50" t="s">
        <v>379</v>
      </c>
      <c r="G137" s="20" t="s">
        <v>384</v>
      </c>
    </row>
    <row r="138" spans="1:7">
      <c r="A138" s="21">
        <v>95</v>
      </c>
      <c r="B138" s="50" t="s">
        <v>380</v>
      </c>
      <c r="C138" s="49" t="s">
        <v>115</v>
      </c>
      <c r="D138" s="19">
        <v>17300</v>
      </c>
      <c r="E138" s="12">
        <v>34600</v>
      </c>
      <c r="F138" s="50" t="s">
        <v>381</v>
      </c>
      <c r="G138" s="20" t="s">
        <v>384</v>
      </c>
    </row>
    <row r="139" spans="1:7">
      <c r="A139" s="21">
        <v>96</v>
      </c>
      <c r="B139" s="17" t="s">
        <v>382</v>
      </c>
      <c r="C139" s="49" t="s">
        <v>14</v>
      </c>
      <c r="D139" s="12">
        <v>5350</v>
      </c>
      <c r="E139" s="12">
        <v>5350</v>
      </c>
      <c r="F139" s="18" t="s">
        <v>383</v>
      </c>
      <c r="G139" s="20" t="s">
        <v>384</v>
      </c>
    </row>
    <row r="140" spans="1:7">
      <c r="A140" s="21">
        <v>97</v>
      </c>
      <c r="B140" s="51" t="s">
        <v>392</v>
      </c>
      <c r="C140" s="49" t="s">
        <v>114</v>
      </c>
      <c r="D140" s="45">
        <v>1150</v>
      </c>
      <c r="E140" s="12">
        <v>1150</v>
      </c>
      <c r="F140" s="51" t="s">
        <v>393</v>
      </c>
      <c r="G140" s="20" t="s">
        <v>401</v>
      </c>
    </row>
    <row r="141" spans="1:7">
      <c r="A141" s="21">
        <v>98</v>
      </c>
      <c r="B141" s="50" t="s">
        <v>394</v>
      </c>
      <c r="C141" s="49" t="s">
        <v>14</v>
      </c>
      <c r="D141" s="45">
        <v>2590</v>
      </c>
      <c r="E141" s="12">
        <v>2590</v>
      </c>
      <c r="F141" s="50" t="s">
        <v>395</v>
      </c>
      <c r="G141" s="20" t="s">
        <v>401</v>
      </c>
    </row>
    <row r="142" spans="1:7">
      <c r="A142" s="21">
        <v>99</v>
      </c>
      <c r="B142" s="51" t="s">
        <v>360</v>
      </c>
      <c r="C142" s="49" t="s">
        <v>14</v>
      </c>
      <c r="D142" s="45">
        <v>19088.8</v>
      </c>
      <c r="E142" s="13">
        <v>19088.8</v>
      </c>
      <c r="F142" s="51" t="s">
        <v>396</v>
      </c>
      <c r="G142" s="20" t="s">
        <v>401</v>
      </c>
    </row>
    <row r="143" spans="1:7">
      <c r="A143" s="21">
        <v>100</v>
      </c>
      <c r="B143" s="52" t="s">
        <v>397</v>
      </c>
      <c r="C143" s="49" t="s">
        <v>115</v>
      </c>
      <c r="D143" s="53">
        <v>22649</v>
      </c>
      <c r="E143" s="16">
        <v>45298</v>
      </c>
      <c r="F143" s="52" t="s">
        <v>398</v>
      </c>
      <c r="G143" s="20" t="s">
        <v>401</v>
      </c>
    </row>
    <row r="144" spans="1:7">
      <c r="A144" s="21"/>
      <c r="B144" s="71" t="s">
        <v>17</v>
      </c>
      <c r="C144" s="25"/>
      <c r="D144" s="25"/>
      <c r="E144" s="69">
        <f>SUM(E118:E143)</f>
        <v>10276114.800000001</v>
      </c>
      <c r="F144" s="25"/>
    </row>
    <row r="146" spans="1:7">
      <c r="C146" s="27" t="s">
        <v>7</v>
      </c>
      <c r="D146" s="92" t="s">
        <v>8</v>
      </c>
      <c r="E146" s="92"/>
      <c r="F146" s="20" t="s">
        <v>9</v>
      </c>
    </row>
    <row r="147" spans="1:7">
      <c r="D147" s="92" t="s">
        <v>21</v>
      </c>
      <c r="E147" s="92"/>
    </row>
    <row r="148" spans="1:7">
      <c r="C148" s="27" t="s">
        <v>7</v>
      </c>
      <c r="D148" s="92" t="s">
        <v>8</v>
      </c>
      <c r="E148" s="92"/>
      <c r="F148" s="20" t="s">
        <v>10</v>
      </c>
    </row>
    <row r="149" spans="1:7">
      <c r="D149" s="92" t="s">
        <v>22</v>
      </c>
      <c r="E149" s="92"/>
    </row>
    <row r="150" spans="1:7">
      <c r="C150" s="27" t="s">
        <v>7</v>
      </c>
      <c r="D150" s="92" t="s">
        <v>8</v>
      </c>
      <c r="E150" s="92"/>
      <c r="F150" s="20" t="s">
        <v>11</v>
      </c>
    </row>
    <row r="151" spans="1:7">
      <c r="D151" s="92" t="s">
        <v>23</v>
      </c>
      <c r="E151" s="92"/>
    </row>
    <row r="152" spans="1:7">
      <c r="A152" s="93" t="s">
        <v>0</v>
      </c>
      <c r="B152" s="93"/>
      <c r="C152" s="93"/>
      <c r="D152" s="93"/>
      <c r="E152" s="93"/>
      <c r="F152" s="93"/>
    </row>
    <row r="153" spans="1:7">
      <c r="A153" s="94" t="s">
        <v>19</v>
      </c>
      <c r="B153" s="94"/>
      <c r="C153" s="94"/>
      <c r="D153" s="94"/>
      <c r="E153" s="94"/>
      <c r="F153" s="94"/>
    </row>
    <row r="154" spans="1:7">
      <c r="A154" s="95" t="s">
        <v>6</v>
      </c>
      <c r="B154" s="96" t="s">
        <v>1</v>
      </c>
      <c r="C154" s="97" t="s">
        <v>2</v>
      </c>
      <c r="D154" s="97"/>
      <c r="E154" s="97"/>
      <c r="F154" s="98" t="s">
        <v>5</v>
      </c>
    </row>
    <row r="155" spans="1:7">
      <c r="A155" s="96"/>
      <c r="B155" s="96"/>
      <c r="C155" s="22" t="s">
        <v>3</v>
      </c>
      <c r="D155" s="23" t="s">
        <v>13</v>
      </c>
      <c r="E155" s="22" t="s">
        <v>4</v>
      </c>
      <c r="F155" s="98"/>
    </row>
    <row r="156" spans="1:7">
      <c r="A156" s="21"/>
      <c r="B156" s="72" t="s">
        <v>16</v>
      </c>
      <c r="C156" s="14"/>
      <c r="D156" s="12"/>
      <c r="E156" s="70">
        <f>SUM(E144)</f>
        <v>10276114.800000001</v>
      </c>
      <c r="F156" s="25"/>
    </row>
    <row r="157" spans="1:7">
      <c r="A157" s="21">
        <v>101</v>
      </c>
      <c r="B157" s="50" t="s">
        <v>399</v>
      </c>
      <c r="C157" s="49" t="s">
        <v>115</v>
      </c>
      <c r="D157" s="45">
        <v>7337</v>
      </c>
      <c r="E157" s="16">
        <v>14674</v>
      </c>
      <c r="F157" s="50" t="s">
        <v>400</v>
      </c>
      <c r="G157" s="20" t="s">
        <v>401</v>
      </c>
    </row>
    <row r="158" spans="1:7">
      <c r="A158" s="21">
        <v>102</v>
      </c>
      <c r="B158" s="17" t="s">
        <v>410</v>
      </c>
      <c r="C158" s="49" t="s">
        <v>424</v>
      </c>
      <c r="D158" s="16">
        <v>500</v>
      </c>
      <c r="E158" s="16">
        <v>3000</v>
      </c>
      <c r="F158" s="18" t="s">
        <v>412</v>
      </c>
      <c r="G158" s="20" t="s">
        <v>423</v>
      </c>
    </row>
    <row r="159" spans="1:7">
      <c r="A159" s="21">
        <v>103</v>
      </c>
      <c r="B159" s="17" t="s">
        <v>411</v>
      </c>
      <c r="C159" s="49" t="s">
        <v>425</v>
      </c>
      <c r="D159" s="16">
        <v>600</v>
      </c>
      <c r="E159" s="16">
        <v>600</v>
      </c>
      <c r="F159" s="18" t="s">
        <v>413</v>
      </c>
      <c r="G159" s="20" t="s">
        <v>423</v>
      </c>
    </row>
    <row r="160" spans="1:7">
      <c r="A160" s="21">
        <v>104</v>
      </c>
      <c r="B160" s="17" t="s">
        <v>414</v>
      </c>
      <c r="C160" s="49" t="s">
        <v>425</v>
      </c>
      <c r="D160" s="16">
        <v>500</v>
      </c>
      <c r="E160" s="12">
        <v>500</v>
      </c>
      <c r="F160" s="18" t="s">
        <v>413</v>
      </c>
      <c r="G160" s="20" t="s">
        <v>423</v>
      </c>
    </row>
    <row r="161" spans="1:7">
      <c r="A161" s="21">
        <v>105</v>
      </c>
      <c r="B161" s="17" t="s">
        <v>415</v>
      </c>
      <c r="C161" s="49" t="s">
        <v>425</v>
      </c>
      <c r="D161" s="45">
        <v>500</v>
      </c>
      <c r="E161" s="12">
        <v>500</v>
      </c>
      <c r="F161" s="18" t="s">
        <v>413</v>
      </c>
      <c r="G161" s="20" t="s">
        <v>423</v>
      </c>
    </row>
    <row r="162" spans="1:7">
      <c r="A162" s="21">
        <v>106</v>
      </c>
      <c r="B162" s="17" t="s">
        <v>416</v>
      </c>
      <c r="C162" s="49" t="s">
        <v>425</v>
      </c>
      <c r="D162" s="16">
        <v>400</v>
      </c>
      <c r="E162" s="12">
        <v>400</v>
      </c>
      <c r="F162" s="18" t="s">
        <v>413</v>
      </c>
      <c r="G162" s="20" t="s">
        <v>423</v>
      </c>
    </row>
    <row r="163" spans="1:7">
      <c r="A163" s="21">
        <v>107</v>
      </c>
      <c r="B163" s="55" t="s">
        <v>419</v>
      </c>
      <c r="C163" s="49" t="s">
        <v>118</v>
      </c>
      <c r="D163" s="45">
        <v>5900</v>
      </c>
      <c r="E163" s="19">
        <v>5900</v>
      </c>
      <c r="F163" s="56" t="s">
        <v>420</v>
      </c>
      <c r="G163" s="20" t="s">
        <v>423</v>
      </c>
    </row>
    <row r="164" spans="1:7">
      <c r="A164" s="21">
        <v>108</v>
      </c>
      <c r="B164" s="18" t="s">
        <v>427</v>
      </c>
      <c r="C164" s="14" t="s">
        <v>29</v>
      </c>
      <c r="D164" s="19">
        <v>3500</v>
      </c>
      <c r="E164" s="25">
        <v>3500</v>
      </c>
      <c r="F164" s="18" t="s">
        <v>426</v>
      </c>
      <c r="G164" s="20" t="s">
        <v>464</v>
      </c>
    </row>
    <row r="165" spans="1:7">
      <c r="A165" s="21">
        <v>109</v>
      </c>
      <c r="B165" s="18" t="s">
        <v>429</v>
      </c>
      <c r="C165" s="14" t="s">
        <v>29</v>
      </c>
      <c r="D165" s="19">
        <v>1100</v>
      </c>
      <c r="E165" s="19">
        <v>1100</v>
      </c>
      <c r="F165" s="18" t="s">
        <v>428</v>
      </c>
      <c r="G165" s="20" t="s">
        <v>464</v>
      </c>
    </row>
    <row r="166" spans="1:7">
      <c r="A166" s="21">
        <v>110</v>
      </c>
      <c r="B166" s="18" t="s">
        <v>431</v>
      </c>
      <c r="C166" s="14" t="s">
        <v>466</v>
      </c>
      <c r="D166" s="19">
        <v>1100</v>
      </c>
      <c r="E166" s="12">
        <f>SUM(D166*36)</f>
        <v>39600</v>
      </c>
      <c r="F166" s="18" t="s">
        <v>430</v>
      </c>
      <c r="G166" s="20" t="s">
        <v>464</v>
      </c>
    </row>
    <row r="167" spans="1:7">
      <c r="A167" s="21">
        <v>111</v>
      </c>
      <c r="B167" s="17" t="s">
        <v>433</v>
      </c>
      <c r="C167" s="14" t="s">
        <v>14</v>
      </c>
      <c r="D167" s="12">
        <v>2920</v>
      </c>
      <c r="E167" s="12">
        <v>2920</v>
      </c>
      <c r="F167" s="18" t="s">
        <v>432</v>
      </c>
      <c r="G167" s="20" t="s">
        <v>464</v>
      </c>
    </row>
    <row r="168" spans="1:7">
      <c r="A168" s="21">
        <v>112</v>
      </c>
      <c r="B168" s="18" t="s">
        <v>435</v>
      </c>
      <c r="C168" s="14" t="s">
        <v>14</v>
      </c>
      <c r="D168" s="19">
        <v>4534</v>
      </c>
      <c r="E168" s="12">
        <v>4534</v>
      </c>
      <c r="F168" s="18" t="s">
        <v>434</v>
      </c>
      <c r="G168" s="20" t="s">
        <v>464</v>
      </c>
    </row>
    <row r="169" spans="1:7">
      <c r="A169" s="21">
        <v>113</v>
      </c>
      <c r="B169" s="57" t="s">
        <v>439</v>
      </c>
      <c r="C169" s="14" t="s">
        <v>115</v>
      </c>
      <c r="D169" s="12">
        <v>2000</v>
      </c>
      <c r="E169" s="31">
        <v>4000</v>
      </c>
      <c r="F169" s="18" t="s">
        <v>438</v>
      </c>
      <c r="G169" s="20" t="s">
        <v>464</v>
      </c>
    </row>
    <row r="170" spans="1:7">
      <c r="A170" s="21">
        <v>114</v>
      </c>
      <c r="B170" s="17" t="s">
        <v>441</v>
      </c>
      <c r="C170" s="58" t="s">
        <v>467</v>
      </c>
      <c r="D170" s="19">
        <v>10561</v>
      </c>
      <c r="E170" s="12">
        <v>10561</v>
      </c>
      <c r="F170" s="18" t="s">
        <v>440</v>
      </c>
      <c r="G170" s="20" t="s">
        <v>464</v>
      </c>
    </row>
    <row r="171" spans="1:7">
      <c r="A171" s="21">
        <v>115</v>
      </c>
      <c r="B171" s="17" t="s">
        <v>443</v>
      </c>
      <c r="C171" s="14" t="s">
        <v>14</v>
      </c>
      <c r="D171" s="19">
        <v>11535.6</v>
      </c>
      <c r="E171" s="12">
        <v>11536.6</v>
      </c>
      <c r="F171" s="18" t="s">
        <v>442</v>
      </c>
      <c r="G171" s="20" t="s">
        <v>464</v>
      </c>
    </row>
    <row r="172" spans="1:7">
      <c r="A172" s="21">
        <v>116</v>
      </c>
      <c r="B172" s="18" t="s">
        <v>449</v>
      </c>
      <c r="C172" s="14" t="s">
        <v>114</v>
      </c>
      <c r="D172" s="12">
        <v>7420</v>
      </c>
      <c r="E172" s="13">
        <v>7420</v>
      </c>
      <c r="F172" s="18" t="s">
        <v>448</v>
      </c>
      <c r="G172" s="20" t="s">
        <v>464</v>
      </c>
    </row>
    <row r="173" spans="1:7">
      <c r="A173" s="21">
        <v>117</v>
      </c>
      <c r="B173" s="18" t="s">
        <v>451</v>
      </c>
      <c r="C173" s="14" t="s">
        <v>14</v>
      </c>
      <c r="D173" s="19">
        <v>11490</v>
      </c>
      <c r="E173" s="16">
        <v>11490</v>
      </c>
      <c r="F173" s="18" t="s">
        <v>450</v>
      </c>
      <c r="G173" s="20" t="s">
        <v>464</v>
      </c>
    </row>
    <row r="174" spans="1:7">
      <c r="A174" s="21">
        <v>118</v>
      </c>
      <c r="B174" s="18" t="s">
        <v>455</v>
      </c>
      <c r="C174" s="14" t="s">
        <v>29</v>
      </c>
      <c r="D174" s="19">
        <v>6500</v>
      </c>
      <c r="E174" s="16">
        <v>6500</v>
      </c>
      <c r="F174" s="18" t="s">
        <v>454</v>
      </c>
      <c r="G174" s="20" t="s">
        <v>464</v>
      </c>
    </row>
    <row r="175" spans="1:7">
      <c r="A175" s="21">
        <v>119</v>
      </c>
      <c r="B175" s="57" t="s">
        <v>457</v>
      </c>
      <c r="C175" s="14" t="s">
        <v>14</v>
      </c>
      <c r="D175" s="12">
        <v>17909.32</v>
      </c>
      <c r="E175" s="16">
        <v>17909.32</v>
      </c>
      <c r="F175" s="18" t="s">
        <v>456</v>
      </c>
      <c r="G175" s="20" t="s">
        <v>464</v>
      </c>
    </row>
    <row r="176" spans="1:7">
      <c r="A176" s="21">
        <v>120</v>
      </c>
      <c r="B176" s="57" t="s">
        <v>459</v>
      </c>
      <c r="C176" s="14" t="s">
        <v>114</v>
      </c>
      <c r="D176" s="12">
        <v>7900</v>
      </c>
      <c r="E176" s="16">
        <v>7900</v>
      </c>
      <c r="F176" s="18" t="s">
        <v>458</v>
      </c>
      <c r="G176" s="20" t="s">
        <v>464</v>
      </c>
    </row>
    <row r="177" spans="1:7">
      <c r="A177" s="21">
        <v>121</v>
      </c>
      <c r="B177" s="57" t="s">
        <v>461</v>
      </c>
      <c r="C177" s="14" t="s">
        <v>29</v>
      </c>
      <c r="D177" s="12">
        <v>12000</v>
      </c>
      <c r="E177" s="16">
        <v>12000</v>
      </c>
      <c r="F177" s="18" t="s">
        <v>460</v>
      </c>
      <c r="G177" s="20" t="s">
        <v>464</v>
      </c>
    </row>
    <row r="178" spans="1:7">
      <c r="A178" s="21">
        <v>122</v>
      </c>
      <c r="B178" s="48" t="s">
        <v>474</v>
      </c>
      <c r="C178" s="49" t="s">
        <v>29</v>
      </c>
      <c r="D178" s="54">
        <v>1700</v>
      </c>
      <c r="E178" s="16">
        <v>1700</v>
      </c>
      <c r="F178" s="50" t="s">
        <v>473</v>
      </c>
      <c r="G178" s="20" t="s">
        <v>499</v>
      </c>
    </row>
    <row r="179" spans="1:7">
      <c r="A179" s="21">
        <v>123</v>
      </c>
      <c r="B179" s="48" t="s">
        <v>478</v>
      </c>
      <c r="C179" s="49" t="s">
        <v>114</v>
      </c>
      <c r="D179" s="54">
        <v>1100</v>
      </c>
      <c r="E179" s="16">
        <v>1100</v>
      </c>
      <c r="F179" s="50" t="s">
        <v>477</v>
      </c>
      <c r="G179" s="20" t="s">
        <v>499</v>
      </c>
    </row>
    <row r="180" spans="1:7">
      <c r="A180" s="21">
        <v>124</v>
      </c>
      <c r="B180" s="48" t="s">
        <v>308</v>
      </c>
      <c r="C180" s="49" t="s">
        <v>14</v>
      </c>
      <c r="D180" s="54">
        <v>24000</v>
      </c>
      <c r="E180" s="16">
        <v>24000</v>
      </c>
      <c r="F180" s="50" t="s">
        <v>479</v>
      </c>
      <c r="G180" s="20" t="s">
        <v>499</v>
      </c>
    </row>
    <row r="181" spans="1:7">
      <c r="A181" s="21">
        <v>125</v>
      </c>
      <c r="B181" s="52" t="s">
        <v>480</v>
      </c>
      <c r="C181" s="49" t="s">
        <v>14</v>
      </c>
      <c r="D181" s="59">
        <v>7000</v>
      </c>
      <c r="E181" s="12">
        <v>7000</v>
      </c>
      <c r="F181" s="52" t="s">
        <v>481</v>
      </c>
      <c r="G181" s="20" t="s">
        <v>499</v>
      </c>
    </row>
    <row r="182" spans="1:7">
      <c r="A182" s="21"/>
      <c r="B182" s="71" t="s">
        <v>17</v>
      </c>
      <c r="C182" s="25"/>
      <c r="D182" s="25"/>
      <c r="E182" s="69">
        <f>SUM(E156:E181)</f>
        <v>10476459.720000001</v>
      </c>
      <c r="F182" s="25"/>
    </row>
    <row r="184" spans="1:7">
      <c r="C184" s="27" t="s">
        <v>7</v>
      </c>
      <c r="D184" s="92" t="s">
        <v>8</v>
      </c>
      <c r="E184" s="92"/>
      <c r="F184" s="20" t="s">
        <v>9</v>
      </c>
    </row>
    <row r="185" spans="1:7">
      <c r="D185" s="92" t="s">
        <v>21</v>
      </c>
      <c r="E185" s="92"/>
    </row>
    <row r="186" spans="1:7">
      <c r="C186" s="27" t="s">
        <v>7</v>
      </c>
      <c r="D186" s="92" t="s">
        <v>8</v>
      </c>
      <c r="E186" s="92"/>
      <c r="F186" s="20" t="s">
        <v>10</v>
      </c>
    </row>
    <row r="187" spans="1:7">
      <c r="D187" s="92" t="s">
        <v>22</v>
      </c>
      <c r="E187" s="92"/>
    </row>
    <row r="188" spans="1:7">
      <c r="C188" s="27" t="s">
        <v>7</v>
      </c>
      <c r="D188" s="92" t="s">
        <v>8</v>
      </c>
      <c r="E188" s="92"/>
      <c r="F188" s="20" t="s">
        <v>11</v>
      </c>
    </row>
    <row r="189" spans="1:7">
      <c r="D189" s="92" t="s">
        <v>23</v>
      </c>
      <c r="E189" s="92"/>
    </row>
    <row r="190" spans="1:7">
      <c r="A190" s="93" t="s">
        <v>0</v>
      </c>
      <c r="B190" s="93"/>
      <c r="C190" s="93"/>
      <c r="D190" s="93"/>
      <c r="E190" s="93"/>
      <c r="F190" s="93"/>
    </row>
    <row r="191" spans="1:7">
      <c r="A191" s="94" t="s">
        <v>19</v>
      </c>
      <c r="B191" s="94"/>
      <c r="C191" s="94"/>
      <c r="D191" s="94"/>
      <c r="E191" s="94"/>
      <c r="F191" s="94"/>
    </row>
    <row r="192" spans="1:7">
      <c r="A192" s="95" t="s">
        <v>6</v>
      </c>
      <c r="B192" s="96" t="s">
        <v>1</v>
      </c>
      <c r="C192" s="97" t="s">
        <v>2</v>
      </c>
      <c r="D192" s="97"/>
      <c r="E192" s="97"/>
      <c r="F192" s="98" t="s">
        <v>5</v>
      </c>
    </row>
    <row r="193" spans="1:7">
      <c r="A193" s="96"/>
      <c r="B193" s="96"/>
      <c r="C193" s="22" t="s">
        <v>3</v>
      </c>
      <c r="D193" s="23" t="s">
        <v>13</v>
      </c>
      <c r="E193" s="22" t="s">
        <v>4</v>
      </c>
      <c r="F193" s="98"/>
    </row>
    <row r="194" spans="1:7">
      <c r="A194" s="21"/>
      <c r="B194" s="72" t="s">
        <v>16</v>
      </c>
      <c r="C194" s="14"/>
      <c r="D194" s="12"/>
      <c r="E194" s="70">
        <f>SUM(E182)</f>
        <v>10476459.720000001</v>
      </c>
      <c r="F194" s="25"/>
    </row>
    <row r="195" spans="1:7">
      <c r="A195" s="21">
        <v>126</v>
      </c>
      <c r="B195" s="48" t="s">
        <v>308</v>
      </c>
      <c r="C195" s="49" t="s">
        <v>14</v>
      </c>
      <c r="D195" s="54">
        <v>17300</v>
      </c>
      <c r="E195" s="12">
        <v>17300</v>
      </c>
      <c r="F195" s="50" t="s">
        <v>482</v>
      </c>
      <c r="G195" s="20" t="s">
        <v>499</v>
      </c>
    </row>
    <row r="196" spans="1:7">
      <c r="A196" s="21">
        <v>127</v>
      </c>
      <c r="B196" s="48" t="s">
        <v>483</v>
      </c>
      <c r="C196" s="49" t="s">
        <v>14</v>
      </c>
      <c r="D196" s="54">
        <v>9800</v>
      </c>
      <c r="E196" s="12">
        <v>9800</v>
      </c>
      <c r="F196" s="50" t="s">
        <v>484</v>
      </c>
      <c r="G196" s="20" t="s">
        <v>499</v>
      </c>
    </row>
    <row r="197" spans="1:7">
      <c r="A197" s="21">
        <v>128</v>
      </c>
      <c r="B197" s="17" t="s">
        <v>486</v>
      </c>
      <c r="C197" s="49" t="s">
        <v>114</v>
      </c>
      <c r="D197" s="47">
        <v>1100</v>
      </c>
      <c r="E197" s="12">
        <v>1100</v>
      </c>
      <c r="F197" s="18" t="s">
        <v>487</v>
      </c>
      <c r="G197" s="20" t="s">
        <v>500</v>
      </c>
    </row>
    <row r="198" spans="1:7">
      <c r="A198" s="21">
        <v>129</v>
      </c>
      <c r="B198" s="50" t="s">
        <v>394</v>
      </c>
      <c r="C198" s="49" t="s">
        <v>14</v>
      </c>
      <c r="D198" s="45">
        <v>2590</v>
      </c>
      <c r="E198" s="12">
        <v>2590</v>
      </c>
      <c r="F198" s="50" t="s">
        <v>488</v>
      </c>
      <c r="G198" s="20" t="s">
        <v>500</v>
      </c>
    </row>
    <row r="199" spans="1:7">
      <c r="A199" s="21">
        <v>130</v>
      </c>
      <c r="B199" s="17" t="s">
        <v>489</v>
      </c>
      <c r="C199" s="49" t="s">
        <v>114</v>
      </c>
      <c r="D199" s="16">
        <v>5950</v>
      </c>
      <c r="E199" s="19">
        <v>5950</v>
      </c>
      <c r="F199" s="18" t="s">
        <v>491</v>
      </c>
      <c r="G199" s="20" t="s">
        <v>500</v>
      </c>
    </row>
    <row r="200" spans="1:7">
      <c r="A200" s="21">
        <v>131</v>
      </c>
      <c r="B200" s="17" t="s">
        <v>490</v>
      </c>
      <c r="C200" s="49" t="s">
        <v>14</v>
      </c>
      <c r="D200" s="47">
        <v>12000</v>
      </c>
      <c r="E200" s="19">
        <v>12000</v>
      </c>
      <c r="F200" s="18" t="s">
        <v>492</v>
      </c>
      <c r="G200" s="20" t="s">
        <v>500</v>
      </c>
    </row>
    <row r="201" spans="1:7">
      <c r="A201" s="21">
        <v>132</v>
      </c>
      <c r="B201" s="17" t="s">
        <v>493</v>
      </c>
      <c r="C201" s="49" t="s">
        <v>14</v>
      </c>
      <c r="D201" s="47">
        <v>21000</v>
      </c>
      <c r="E201" s="19">
        <v>21000</v>
      </c>
      <c r="F201" s="18" t="s">
        <v>494</v>
      </c>
      <c r="G201" s="20" t="s">
        <v>500</v>
      </c>
    </row>
    <row r="202" spans="1:7">
      <c r="A202" s="21">
        <v>133</v>
      </c>
      <c r="B202" s="57" t="s">
        <v>495</v>
      </c>
      <c r="C202" s="49" t="s">
        <v>194</v>
      </c>
      <c r="D202" s="16">
        <v>49000</v>
      </c>
      <c r="E202" s="19">
        <v>49000</v>
      </c>
      <c r="F202" s="18" t="s">
        <v>496</v>
      </c>
      <c r="G202" s="20" t="s">
        <v>500</v>
      </c>
    </row>
    <row r="203" spans="1:7">
      <c r="A203" s="21">
        <v>134</v>
      </c>
      <c r="B203" s="56" t="s">
        <v>501</v>
      </c>
      <c r="C203" s="60" t="s">
        <v>14</v>
      </c>
      <c r="D203" s="61">
        <v>22000</v>
      </c>
      <c r="E203" s="12">
        <v>22000</v>
      </c>
      <c r="F203" s="56" t="s">
        <v>502</v>
      </c>
      <c r="G203" s="20" t="s">
        <v>503</v>
      </c>
    </row>
    <row r="204" spans="1:7">
      <c r="A204" s="21">
        <v>135</v>
      </c>
      <c r="B204" s="17" t="s">
        <v>504</v>
      </c>
      <c r="C204" s="58" t="s">
        <v>14</v>
      </c>
      <c r="D204" s="16">
        <v>10140</v>
      </c>
      <c r="E204" s="12">
        <v>10140</v>
      </c>
      <c r="F204" s="18" t="s">
        <v>505</v>
      </c>
      <c r="G204" s="20" t="s">
        <v>506</v>
      </c>
    </row>
    <row r="205" spans="1:7">
      <c r="A205" s="21">
        <v>136</v>
      </c>
      <c r="B205" s="17" t="s">
        <v>507</v>
      </c>
      <c r="C205" s="58" t="s">
        <v>29</v>
      </c>
      <c r="D205" s="62">
        <v>33000</v>
      </c>
      <c r="E205" s="12">
        <v>33000</v>
      </c>
      <c r="F205" s="18" t="s">
        <v>508</v>
      </c>
      <c r="G205" s="20" t="s">
        <v>510</v>
      </c>
    </row>
    <row r="206" spans="1:7">
      <c r="A206" s="21">
        <v>137</v>
      </c>
      <c r="B206" s="17" t="s">
        <v>316</v>
      </c>
      <c r="C206" s="58" t="s">
        <v>14</v>
      </c>
      <c r="D206" s="16">
        <v>17000</v>
      </c>
      <c r="E206" s="31">
        <v>17000</v>
      </c>
      <c r="F206" s="18" t="s">
        <v>509</v>
      </c>
      <c r="G206" s="20" t="s">
        <v>510</v>
      </c>
    </row>
    <row r="207" spans="1:7">
      <c r="A207" s="21">
        <v>138</v>
      </c>
      <c r="B207" s="46" t="s">
        <v>308</v>
      </c>
      <c r="C207" s="58" t="s">
        <v>14</v>
      </c>
      <c r="D207" s="54">
        <v>33000</v>
      </c>
      <c r="E207" s="12">
        <v>33000</v>
      </c>
      <c r="F207" s="18" t="s">
        <v>511</v>
      </c>
      <c r="G207" s="20" t="s">
        <v>513</v>
      </c>
    </row>
    <row r="208" spans="1:7">
      <c r="A208" s="21">
        <v>139</v>
      </c>
      <c r="B208" s="46" t="s">
        <v>459</v>
      </c>
      <c r="C208" s="58" t="s">
        <v>114</v>
      </c>
      <c r="D208" s="54">
        <v>7900</v>
      </c>
      <c r="E208" s="12">
        <v>7900</v>
      </c>
      <c r="F208" s="18" t="s">
        <v>458</v>
      </c>
      <c r="G208" s="20" t="s">
        <v>513</v>
      </c>
    </row>
    <row r="209" spans="1:7">
      <c r="A209" s="21">
        <v>140</v>
      </c>
      <c r="B209" s="17" t="s">
        <v>316</v>
      </c>
      <c r="C209" s="58" t="s">
        <v>14</v>
      </c>
      <c r="D209" s="16">
        <v>17000</v>
      </c>
      <c r="E209" s="13">
        <v>17000</v>
      </c>
      <c r="F209" s="18" t="s">
        <v>512</v>
      </c>
      <c r="G209" s="20" t="s">
        <v>513</v>
      </c>
    </row>
    <row r="210" spans="1:7">
      <c r="A210" s="21">
        <v>141</v>
      </c>
      <c r="B210" s="17" t="s">
        <v>516</v>
      </c>
      <c r="C210" s="58" t="s">
        <v>14</v>
      </c>
      <c r="D210" s="16">
        <v>2650</v>
      </c>
      <c r="E210" s="16">
        <v>2650</v>
      </c>
      <c r="F210" s="18" t="s">
        <v>517</v>
      </c>
      <c r="G210" s="20" t="s">
        <v>554</v>
      </c>
    </row>
    <row r="211" spans="1:7">
      <c r="A211" s="21">
        <v>142</v>
      </c>
      <c r="B211" s="46" t="s">
        <v>518</v>
      </c>
      <c r="C211" s="58" t="s">
        <v>555</v>
      </c>
      <c r="D211" s="45">
        <v>4050</v>
      </c>
      <c r="E211" s="12">
        <f>SUM(D211*2)</f>
        <v>8100</v>
      </c>
      <c r="F211" s="18" t="s">
        <v>519</v>
      </c>
      <c r="G211" s="20" t="s">
        <v>554</v>
      </c>
    </row>
    <row r="212" spans="1:7">
      <c r="A212" s="21">
        <v>143</v>
      </c>
      <c r="B212" s="17" t="s">
        <v>520</v>
      </c>
      <c r="C212" s="49" t="s">
        <v>114</v>
      </c>
      <c r="D212" s="16">
        <v>1100</v>
      </c>
      <c r="E212" s="12">
        <v>1100</v>
      </c>
      <c r="F212" s="18" t="s">
        <v>521</v>
      </c>
      <c r="G212" s="20" t="s">
        <v>554</v>
      </c>
    </row>
    <row r="213" spans="1:7">
      <c r="A213" s="21">
        <v>144</v>
      </c>
      <c r="B213" s="17" t="s">
        <v>524</v>
      </c>
      <c r="C213" s="49" t="s">
        <v>114</v>
      </c>
      <c r="D213" s="16">
        <v>3750</v>
      </c>
      <c r="E213" s="16">
        <v>3750</v>
      </c>
      <c r="F213" s="18" t="s">
        <v>525</v>
      </c>
      <c r="G213" s="20" t="s">
        <v>554</v>
      </c>
    </row>
    <row r="214" spans="1:7">
      <c r="A214" s="21">
        <v>145</v>
      </c>
      <c r="B214" s="17" t="s">
        <v>526</v>
      </c>
      <c r="C214" s="58" t="s">
        <v>35</v>
      </c>
      <c r="D214" s="16">
        <v>858</v>
      </c>
      <c r="E214" s="16">
        <f>SUM(D214*2)</f>
        <v>1716</v>
      </c>
      <c r="F214" s="18" t="s">
        <v>527</v>
      </c>
      <c r="G214" s="20" t="s">
        <v>554</v>
      </c>
    </row>
    <row r="215" spans="1:7">
      <c r="A215" s="21">
        <v>146</v>
      </c>
      <c r="B215" s="17" t="s">
        <v>528</v>
      </c>
      <c r="C215" s="58" t="s">
        <v>385</v>
      </c>
      <c r="D215" s="16">
        <v>3250</v>
      </c>
      <c r="E215" s="16">
        <f>SUM(D215*5)</f>
        <v>16250</v>
      </c>
      <c r="F215" s="18" t="s">
        <v>529</v>
      </c>
      <c r="G215" s="20" t="s">
        <v>554</v>
      </c>
    </row>
    <row r="216" spans="1:7">
      <c r="A216" s="21">
        <v>147</v>
      </c>
      <c r="B216" s="17" t="s">
        <v>530</v>
      </c>
      <c r="C216" s="58" t="s">
        <v>14</v>
      </c>
      <c r="D216" s="16">
        <v>8500</v>
      </c>
      <c r="E216" s="16">
        <v>8500</v>
      </c>
      <c r="F216" s="18" t="s">
        <v>531</v>
      </c>
      <c r="G216" s="20" t="s">
        <v>554</v>
      </c>
    </row>
    <row r="217" spans="1:7">
      <c r="A217" s="21">
        <v>148</v>
      </c>
      <c r="B217" s="17" t="s">
        <v>532</v>
      </c>
      <c r="C217" s="58" t="s">
        <v>14</v>
      </c>
      <c r="D217" s="16">
        <v>9000</v>
      </c>
      <c r="E217" s="16">
        <v>9000</v>
      </c>
      <c r="F217" s="18" t="s">
        <v>533</v>
      </c>
      <c r="G217" s="20" t="s">
        <v>554</v>
      </c>
    </row>
    <row r="218" spans="1:7">
      <c r="A218" s="21">
        <v>149</v>
      </c>
      <c r="B218" s="18" t="s">
        <v>534</v>
      </c>
      <c r="C218" s="58" t="s">
        <v>26</v>
      </c>
      <c r="D218" s="16">
        <v>9400</v>
      </c>
      <c r="E218" s="12">
        <f>SUM(D218*3)</f>
        <v>28200</v>
      </c>
      <c r="F218" s="18" t="s">
        <v>535</v>
      </c>
      <c r="G218" s="20" t="s">
        <v>554</v>
      </c>
    </row>
    <row r="219" spans="1:7">
      <c r="A219" s="21">
        <v>150</v>
      </c>
      <c r="B219" s="18" t="s">
        <v>534</v>
      </c>
      <c r="C219" s="58" t="s">
        <v>286</v>
      </c>
      <c r="D219" s="16">
        <v>7650</v>
      </c>
      <c r="E219" s="12">
        <f>SUM(D219*4)</f>
        <v>30600</v>
      </c>
      <c r="F219" s="18" t="s">
        <v>536</v>
      </c>
      <c r="G219" s="20" t="s">
        <v>554</v>
      </c>
    </row>
    <row r="220" spans="1:7">
      <c r="A220" s="21"/>
      <c r="B220" s="71" t="s">
        <v>17</v>
      </c>
      <c r="C220" s="25"/>
      <c r="D220" s="25"/>
      <c r="E220" s="69">
        <f>SUM(E194:E219)</f>
        <v>10845105.720000001</v>
      </c>
      <c r="F220" s="25"/>
    </row>
    <row r="222" spans="1:7">
      <c r="C222" s="27" t="s">
        <v>7</v>
      </c>
      <c r="D222" s="92" t="s">
        <v>8</v>
      </c>
      <c r="E222" s="92"/>
      <c r="F222" s="20" t="s">
        <v>9</v>
      </c>
    </row>
    <row r="223" spans="1:7">
      <c r="D223" s="92" t="s">
        <v>21</v>
      </c>
      <c r="E223" s="92"/>
    </row>
    <row r="224" spans="1:7">
      <c r="C224" s="27" t="s">
        <v>7</v>
      </c>
      <c r="D224" s="92" t="s">
        <v>8</v>
      </c>
      <c r="E224" s="92"/>
      <c r="F224" s="20" t="s">
        <v>10</v>
      </c>
    </row>
    <row r="225" spans="1:7">
      <c r="D225" s="92" t="s">
        <v>22</v>
      </c>
      <c r="E225" s="92"/>
    </row>
    <row r="226" spans="1:7">
      <c r="C226" s="27" t="s">
        <v>7</v>
      </c>
      <c r="D226" s="92" t="s">
        <v>8</v>
      </c>
      <c r="E226" s="92"/>
      <c r="F226" s="20" t="s">
        <v>11</v>
      </c>
    </row>
    <row r="227" spans="1:7">
      <c r="D227" s="92" t="s">
        <v>23</v>
      </c>
      <c r="E227" s="92"/>
    </row>
    <row r="228" spans="1:7">
      <c r="A228" s="93" t="s">
        <v>0</v>
      </c>
      <c r="B228" s="93"/>
      <c r="C228" s="93"/>
      <c r="D228" s="93"/>
      <c r="E228" s="93"/>
      <c r="F228" s="93"/>
    </row>
    <row r="229" spans="1:7">
      <c r="A229" s="94" t="s">
        <v>19</v>
      </c>
      <c r="B229" s="94"/>
      <c r="C229" s="94"/>
      <c r="D229" s="94"/>
      <c r="E229" s="94"/>
      <c r="F229" s="94"/>
    </row>
    <row r="230" spans="1:7">
      <c r="A230" s="95" t="s">
        <v>6</v>
      </c>
      <c r="B230" s="96" t="s">
        <v>1</v>
      </c>
      <c r="C230" s="97" t="s">
        <v>2</v>
      </c>
      <c r="D230" s="97"/>
      <c r="E230" s="97"/>
      <c r="F230" s="98" t="s">
        <v>5</v>
      </c>
    </row>
    <row r="231" spans="1:7">
      <c r="A231" s="96"/>
      <c r="B231" s="96"/>
      <c r="C231" s="22" t="s">
        <v>3</v>
      </c>
      <c r="D231" s="23" t="s">
        <v>13</v>
      </c>
      <c r="E231" s="22" t="s">
        <v>4</v>
      </c>
      <c r="F231" s="98"/>
    </row>
    <row r="232" spans="1:7">
      <c r="A232" s="21"/>
      <c r="B232" s="72" t="s">
        <v>16</v>
      </c>
      <c r="C232" s="14"/>
      <c r="D232" s="12"/>
      <c r="E232" s="70">
        <f>SUM(E220)</f>
        <v>10845105.720000001</v>
      </c>
      <c r="F232" s="25"/>
    </row>
    <row r="233" spans="1:7">
      <c r="A233" s="21">
        <v>151</v>
      </c>
      <c r="B233" s="17" t="s">
        <v>537</v>
      </c>
      <c r="C233" s="58" t="s">
        <v>14</v>
      </c>
      <c r="D233" s="16">
        <v>15500</v>
      </c>
      <c r="E233" s="12">
        <v>15500</v>
      </c>
      <c r="F233" s="18" t="s">
        <v>538</v>
      </c>
      <c r="G233" s="20" t="s">
        <v>554</v>
      </c>
    </row>
    <row r="234" spans="1:7">
      <c r="A234" s="21">
        <v>152</v>
      </c>
      <c r="B234" s="17" t="s">
        <v>539</v>
      </c>
      <c r="C234" s="58" t="s">
        <v>14</v>
      </c>
      <c r="D234" s="16">
        <v>5990</v>
      </c>
      <c r="E234" s="12">
        <v>5990</v>
      </c>
      <c r="F234" s="18" t="s">
        <v>540</v>
      </c>
      <c r="G234" s="20" t="s">
        <v>554</v>
      </c>
    </row>
    <row r="235" spans="1:7">
      <c r="A235" s="21">
        <v>153</v>
      </c>
      <c r="B235" s="17" t="s">
        <v>308</v>
      </c>
      <c r="C235" s="58" t="s">
        <v>276</v>
      </c>
      <c r="D235" s="16">
        <v>20000</v>
      </c>
      <c r="E235" s="12">
        <f>SUM(D235*6)</f>
        <v>120000</v>
      </c>
      <c r="F235" s="18" t="s">
        <v>541</v>
      </c>
      <c r="G235" s="20" t="s">
        <v>554</v>
      </c>
    </row>
    <row r="236" spans="1:7">
      <c r="A236" s="21">
        <v>154</v>
      </c>
      <c r="B236" s="17" t="s">
        <v>542</v>
      </c>
      <c r="C236" s="49" t="s">
        <v>556</v>
      </c>
      <c r="D236" s="16">
        <v>16700</v>
      </c>
      <c r="E236" s="12">
        <f>SUM(D236*28)</f>
        <v>467600</v>
      </c>
      <c r="F236" s="18" t="s">
        <v>543</v>
      </c>
      <c r="G236" s="20" t="s">
        <v>554</v>
      </c>
    </row>
    <row r="237" spans="1:7">
      <c r="A237" s="21">
        <v>155</v>
      </c>
      <c r="B237" s="17" t="s">
        <v>316</v>
      </c>
      <c r="C237" s="49" t="s">
        <v>188</v>
      </c>
      <c r="D237" s="36">
        <v>18495</v>
      </c>
      <c r="E237" s="12">
        <f>SUM(D237*20)</f>
        <v>369900</v>
      </c>
      <c r="F237" s="18" t="s">
        <v>544</v>
      </c>
      <c r="G237" s="20" t="s">
        <v>554</v>
      </c>
    </row>
    <row r="238" spans="1:7">
      <c r="A238" s="21">
        <v>156</v>
      </c>
      <c r="B238" s="17" t="s">
        <v>316</v>
      </c>
      <c r="C238" s="49" t="s">
        <v>14</v>
      </c>
      <c r="D238" s="16">
        <v>17000</v>
      </c>
      <c r="E238" s="19">
        <v>17000</v>
      </c>
      <c r="F238" s="18" t="s">
        <v>545</v>
      </c>
      <c r="G238" s="20" t="s">
        <v>554</v>
      </c>
    </row>
    <row r="239" spans="1:7">
      <c r="A239" s="21">
        <v>157</v>
      </c>
      <c r="B239" s="17" t="s">
        <v>316</v>
      </c>
      <c r="C239" s="49" t="s">
        <v>191</v>
      </c>
      <c r="D239" s="16">
        <v>19400</v>
      </c>
      <c r="E239" s="19">
        <f>SUM(D239*10)</f>
        <v>194000</v>
      </c>
      <c r="F239" s="18" t="s">
        <v>546</v>
      </c>
      <c r="G239" s="20" t="s">
        <v>554</v>
      </c>
    </row>
    <row r="240" spans="1:7">
      <c r="A240" s="21">
        <v>158</v>
      </c>
      <c r="B240" s="17" t="s">
        <v>185</v>
      </c>
      <c r="C240" s="58" t="s">
        <v>194</v>
      </c>
      <c r="D240" s="16">
        <v>71050</v>
      </c>
      <c r="E240" s="12">
        <v>71050</v>
      </c>
      <c r="F240" s="18" t="s">
        <v>548</v>
      </c>
      <c r="G240" s="20" t="s">
        <v>554</v>
      </c>
    </row>
    <row r="241" spans="1:7">
      <c r="A241" s="21">
        <v>159</v>
      </c>
      <c r="B241" s="17" t="s">
        <v>547</v>
      </c>
      <c r="C241" s="58" t="s">
        <v>14</v>
      </c>
      <c r="D241" s="16">
        <v>52000</v>
      </c>
      <c r="E241" s="12">
        <v>52000</v>
      </c>
      <c r="F241" s="18" t="s">
        <v>549</v>
      </c>
      <c r="G241" s="20" t="s">
        <v>554</v>
      </c>
    </row>
    <row r="242" spans="1:7">
      <c r="A242" s="21">
        <v>160</v>
      </c>
      <c r="B242" s="17" t="s">
        <v>550</v>
      </c>
      <c r="C242" s="58" t="s">
        <v>323</v>
      </c>
      <c r="D242" s="16">
        <v>18150</v>
      </c>
      <c r="E242" s="12">
        <f>SUM(D242*7)</f>
        <v>127050</v>
      </c>
      <c r="F242" s="18" t="s">
        <v>552</v>
      </c>
      <c r="G242" s="20" t="s">
        <v>554</v>
      </c>
    </row>
    <row r="243" spans="1:7">
      <c r="A243" s="21">
        <v>161</v>
      </c>
      <c r="B243" s="17" t="s">
        <v>551</v>
      </c>
      <c r="C243" s="58" t="s">
        <v>14</v>
      </c>
      <c r="D243" s="16">
        <v>24880</v>
      </c>
      <c r="E243" s="31">
        <v>24880</v>
      </c>
      <c r="F243" s="18" t="s">
        <v>553</v>
      </c>
      <c r="G243" s="20" t="s">
        <v>554</v>
      </c>
    </row>
    <row r="244" spans="1:7">
      <c r="A244" s="21">
        <v>162</v>
      </c>
      <c r="B244" s="18" t="s">
        <v>557</v>
      </c>
      <c r="C244" s="49" t="s">
        <v>194</v>
      </c>
      <c r="D244" s="63">
        <v>340</v>
      </c>
      <c r="E244" s="12">
        <v>340</v>
      </c>
      <c r="F244" s="18" t="s">
        <v>558</v>
      </c>
      <c r="G244" s="20" t="s">
        <v>572</v>
      </c>
    </row>
    <row r="245" spans="1:7">
      <c r="A245" s="21">
        <v>163</v>
      </c>
      <c r="B245" s="17" t="s">
        <v>559</v>
      </c>
      <c r="C245" s="58" t="s">
        <v>35</v>
      </c>
      <c r="D245" s="63">
        <v>6500</v>
      </c>
      <c r="E245" s="12">
        <f>SUM(D245*2)</f>
        <v>13000</v>
      </c>
      <c r="F245" s="65" t="s">
        <v>560</v>
      </c>
      <c r="G245" s="20" t="s">
        <v>572</v>
      </c>
    </row>
    <row r="246" spans="1:7">
      <c r="A246" s="21">
        <v>164</v>
      </c>
      <c r="B246" s="18" t="s">
        <v>563</v>
      </c>
      <c r="C246" s="58" t="s">
        <v>14</v>
      </c>
      <c r="D246" s="63">
        <v>8290</v>
      </c>
      <c r="E246" s="16">
        <v>8290</v>
      </c>
      <c r="F246" s="18" t="s">
        <v>564</v>
      </c>
      <c r="G246" s="20" t="s">
        <v>572</v>
      </c>
    </row>
    <row r="247" spans="1:7">
      <c r="A247" s="21">
        <v>165</v>
      </c>
      <c r="B247" s="18" t="s">
        <v>565</v>
      </c>
      <c r="C247" s="58" t="s">
        <v>571</v>
      </c>
      <c r="D247" s="16">
        <v>15750</v>
      </c>
      <c r="E247" s="16">
        <f>SUM(D247*12)</f>
        <v>189000</v>
      </c>
      <c r="F247" s="18" t="s">
        <v>567</v>
      </c>
      <c r="G247" s="20" t="s">
        <v>572</v>
      </c>
    </row>
    <row r="248" spans="1:7">
      <c r="A248" s="21">
        <v>166</v>
      </c>
      <c r="B248" s="18" t="s">
        <v>566</v>
      </c>
      <c r="C248" s="58" t="s">
        <v>14</v>
      </c>
      <c r="D248" s="16">
        <v>5350</v>
      </c>
      <c r="E248" s="16">
        <v>5350</v>
      </c>
      <c r="F248" s="18" t="s">
        <v>568</v>
      </c>
      <c r="G248" s="20" t="s">
        <v>572</v>
      </c>
    </row>
    <row r="249" spans="1:7">
      <c r="A249" s="21">
        <v>167</v>
      </c>
      <c r="B249" s="17" t="s">
        <v>316</v>
      </c>
      <c r="C249" s="58" t="s">
        <v>14</v>
      </c>
      <c r="D249" s="16">
        <v>17000</v>
      </c>
      <c r="E249" s="16">
        <v>17000</v>
      </c>
      <c r="F249" s="18" t="s">
        <v>569</v>
      </c>
      <c r="G249" s="20" t="s">
        <v>572</v>
      </c>
    </row>
    <row r="250" spans="1:7">
      <c r="A250" s="21">
        <v>168</v>
      </c>
      <c r="B250" s="17" t="s">
        <v>577</v>
      </c>
      <c r="C250" s="49" t="s">
        <v>35</v>
      </c>
      <c r="D250" s="16">
        <v>450</v>
      </c>
      <c r="E250" s="16">
        <v>900</v>
      </c>
      <c r="F250" s="18" t="s">
        <v>578</v>
      </c>
      <c r="G250" s="20" t="s">
        <v>581</v>
      </c>
    </row>
    <row r="251" spans="1:7">
      <c r="A251" s="21">
        <v>169</v>
      </c>
      <c r="B251" s="17" t="s">
        <v>580</v>
      </c>
      <c r="C251" s="49" t="s">
        <v>114</v>
      </c>
      <c r="D251" s="16">
        <v>26500</v>
      </c>
      <c r="E251" s="16">
        <v>26500</v>
      </c>
      <c r="F251" s="18" t="s">
        <v>579</v>
      </c>
      <c r="G251" s="20" t="s">
        <v>581</v>
      </c>
    </row>
    <row r="252" spans="1:7">
      <c r="A252" s="21">
        <v>170</v>
      </c>
      <c r="B252" s="46" t="s">
        <v>311</v>
      </c>
      <c r="C252" s="49" t="s">
        <v>14</v>
      </c>
      <c r="D252" s="62">
        <v>5500</v>
      </c>
      <c r="E252" s="16">
        <v>5500</v>
      </c>
      <c r="F252" s="18" t="s">
        <v>584</v>
      </c>
      <c r="G252" s="20" t="s">
        <v>583</v>
      </c>
    </row>
    <row r="253" spans="1:7">
      <c r="A253" s="21">
        <v>171</v>
      </c>
      <c r="B253" s="46" t="s">
        <v>311</v>
      </c>
      <c r="C253" s="49" t="s">
        <v>14</v>
      </c>
      <c r="D253" s="62">
        <v>5296.5</v>
      </c>
      <c r="E253" s="16">
        <v>5296.5</v>
      </c>
      <c r="F253" s="18" t="s">
        <v>585</v>
      </c>
      <c r="G253" s="20" t="s">
        <v>583</v>
      </c>
    </row>
    <row r="254" spans="1:7">
      <c r="A254" s="21">
        <v>172</v>
      </c>
      <c r="B254" s="57" t="s">
        <v>316</v>
      </c>
      <c r="C254" s="14" t="s">
        <v>14</v>
      </c>
      <c r="D254" s="16">
        <v>17000</v>
      </c>
      <c r="E254" s="12">
        <v>17000</v>
      </c>
      <c r="F254" s="46" t="s">
        <v>592</v>
      </c>
      <c r="G254" s="20" t="s">
        <v>593</v>
      </c>
    </row>
    <row r="255" spans="1:7">
      <c r="A255" s="21">
        <v>173</v>
      </c>
      <c r="B255" s="51" t="s">
        <v>594</v>
      </c>
      <c r="C255" s="49" t="s">
        <v>114</v>
      </c>
      <c r="D255" s="45">
        <v>900</v>
      </c>
      <c r="E255" s="12">
        <v>900</v>
      </c>
      <c r="F255" s="51" t="s">
        <v>595</v>
      </c>
      <c r="G255" s="20" t="s">
        <v>600</v>
      </c>
    </row>
    <row r="256" spans="1:7">
      <c r="A256" s="21">
        <v>174</v>
      </c>
      <c r="B256" s="51" t="s">
        <v>596</v>
      </c>
      <c r="C256" s="49" t="s">
        <v>114</v>
      </c>
      <c r="D256" s="45">
        <v>1100</v>
      </c>
      <c r="E256" s="12">
        <v>1100</v>
      </c>
      <c r="F256" s="51" t="s">
        <v>597</v>
      </c>
      <c r="G256" s="20" t="s">
        <v>600</v>
      </c>
    </row>
    <row r="257" spans="1:7">
      <c r="A257" s="21">
        <v>175</v>
      </c>
      <c r="B257" s="51" t="s">
        <v>596</v>
      </c>
      <c r="C257" s="49" t="s">
        <v>35</v>
      </c>
      <c r="D257" s="45">
        <v>1150</v>
      </c>
      <c r="E257" s="19">
        <v>2300</v>
      </c>
      <c r="F257" s="51" t="s">
        <v>598</v>
      </c>
      <c r="G257" s="20" t="s">
        <v>600</v>
      </c>
    </row>
    <row r="258" spans="1:7">
      <c r="A258" s="21"/>
      <c r="B258" s="71" t="s">
        <v>17</v>
      </c>
      <c r="C258" s="25"/>
      <c r="D258" s="25"/>
      <c r="E258" s="69">
        <f>SUM(E232:E257)</f>
        <v>12602552.220000001</v>
      </c>
      <c r="F258" s="25"/>
    </row>
    <row r="260" spans="1:7">
      <c r="C260" s="27" t="s">
        <v>7</v>
      </c>
      <c r="D260" s="92" t="s">
        <v>8</v>
      </c>
      <c r="E260" s="92"/>
      <c r="F260" s="20" t="s">
        <v>9</v>
      </c>
    </row>
    <row r="261" spans="1:7">
      <c r="D261" s="92" t="s">
        <v>21</v>
      </c>
      <c r="E261" s="92"/>
    </row>
    <row r="262" spans="1:7">
      <c r="C262" s="27" t="s">
        <v>7</v>
      </c>
      <c r="D262" s="92" t="s">
        <v>8</v>
      </c>
      <c r="E262" s="92"/>
      <c r="F262" s="20" t="s">
        <v>10</v>
      </c>
    </row>
    <row r="263" spans="1:7">
      <c r="D263" s="92" t="s">
        <v>22</v>
      </c>
      <c r="E263" s="92"/>
    </row>
    <row r="264" spans="1:7">
      <c r="C264" s="27" t="s">
        <v>7</v>
      </c>
      <c r="D264" s="92" t="s">
        <v>8</v>
      </c>
      <c r="E264" s="92"/>
      <c r="F264" s="20" t="s">
        <v>11</v>
      </c>
    </row>
    <row r="265" spans="1:7">
      <c r="D265" s="92" t="s">
        <v>23</v>
      </c>
      <c r="E265" s="92"/>
    </row>
    <row r="266" spans="1:7">
      <c r="A266" s="93" t="s">
        <v>0</v>
      </c>
      <c r="B266" s="93"/>
      <c r="C266" s="93"/>
      <c r="D266" s="93"/>
      <c r="E266" s="93"/>
      <c r="F266" s="93"/>
    </row>
    <row r="267" spans="1:7">
      <c r="A267" s="94" t="s">
        <v>19</v>
      </c>
      <c r="B267" s="94"/>
      <c r="C267" s="94"/>
      <c r="D267" s="94"/>
      <c r="E267" s="94"/>
      <c r="F267" s="94"/>
    </row>
    <row r="268" spans="1:7">
      <c r="A268" s="95" t="s">
        <v>6</v>
      </c>
      <c r="B268" s="96" t="s">
        <v>1</v>
      </c>
      <c r="C268" s="97" t="s">
        <v>2</v>
      </c>
      <c r="D268" s="97"/>
      <c r="E268" s="97"/>
      <c r="F268" s="98" t="s">
        <v>5</v>
      </c>
    </row>
    <row r="269" spans="1:7">
      <c r="A269" s="96"/>
      <c r="B269" s="96"/>
      <c r="C269" s="22" t="s">
        <v>3</v>
      </c>
      <c r="D269" s="23" t="s">
        <v>13</v>
      </c>
      <c r="E269" s="22" t="s">
        <v>4</v>
      </c>
      <c r="F269" s="98"/>
    </row>
    <row r="270" spans="1:7">
      <c r="A270" s="21"/>
      <c r="B270" s="72" t="s">
        <v>16</v>
      </c>
      <c r="C270" s="14"/>
      <c r="D270" s="12"/>
      <c r="E270" s="70">
        <f>SUM(E258)</f>
        <v>12602552.220000001</v>
      </c>
      <c r="F270" s="25"/>
    </row>
    <row r="271" spans="1:7">
      <c r="A271" s="21">
        <v>176</v>
      </c>
      <c r="B271" s="17" t="s">
        <v>316</v>
      </c>
      <c r="C271" s="49" t="s">
        <v>14</v>
      </c>
      <c r="D271" s="16">
        <v>17000</v>
      </c>
      <c r="E271" s="19">
        <v>17000</v>
      </c>
      <c r="F271" s="18" t="s">
        <v>599</v>
      </c>
      <c r="G271" s="20" t="s">
        <v>600</v>
      </c>
    </row>
    <row r="272" spans="1:7">
      <c r="A272" s="21"/>
      <c r="B272" s="71" t="s">
        <v>12</v>
      </c>
      <c r="C272" s="25"/>
      <c r="D272" s="25"/>
      <c r="E272" s="69">
        <f>SUM(E270:E271)</f>
        <v>12619552.220000001</v>
      </c>
      <c r="F272" s="25"/>
    </row>
    <row r="274" spans="3:6">
      <c r="C274" s="27" t="s">
        <v>7</v>
      </c>
      <c r="D274" s="92" t="s">
        <v>8</v>
      </c>
      <c r="E274" s="92"/>
      <c r="F274" s="20" t="s">
        <v>9</v>
      </c>
    </row>
    <row r="275" spans="3:6">
      <c r="D275" s="92" t="s">
        <v>21</v>
      </c>
      <c r="E275" s="92"/>
    </row>
    <row r="276" spans="3:6">
      <c r="C276" s="27" t="s">
        <v>7</v>
      </c>
      <c r="D276" s="92" t="s">
        <v>8</v>
      </c>
      <c r="E276" s="92"/>
      <c r="F276" s="20" t="s">
        <v>10</v>
      </c>
    </row>
    <row r="277" spans="3:6">
      <c r="D277" s="92" t="s">
        <v>22</v>
      </c>
      <c r="E277" s="92"/>
    </row>
    <row r="278" spans="3:6">
      <c r="C278" s="27" t="s">
        <v>7</v>
      </c>
      <c r="D278" s="92" t="s">
        <v>8</v>
      </c>
      <c r="E278" s="92"/>
      <c r="F278" s="20" t="s">
        <v>11</v>
      </c>
    </row>
    <row r="279" spans="3:6">
      <c r="D279" s="92" t="s">
        <v>23</v>
      </c>
      <c r="E279" s="92"/>
    </row>
  </sheetData>
  <mergeCells count="96">
    <mergeCell ref="D265:E265"/>
    <mergeCell ref="A266:F266"/>
    <mergeCell ref="A267:F267"/>
    <mergeCell ref="A268:A269"/>
    <mergeCell ref="B268:B269"/>
    <mergeCell ref="C268:E268"/>
    <mergeCell ref="F268:F269"/>
    <mergeCell ref="D279:E279"/>
    <mergeCell ref="D274:E274"/>
    <mergeCell ref="D275:E275"/>
    <mergeCell ref="D276:E276"/>
    <mergeCell ref="D277:E277"/>
    <mergeCell ref="D278:E278"/>
    <mergeCell ref="D227:E227"/>
    <mergeCell ref="A228:F228"/>
    <mergeCell ref="A229:F229"/>
    <mergeCell ref="A230:A231"/>
    <mergeCell ref="B230:B231"/>
    <mergeCell ref="C230:E230"/>
    <mergeCell ref="F230:F231"/>
    <mergeCell ref="D260:E260"/>
    <mergeCell ref="D261:E261"/>
    <mergeCell ref="D262:E262"/>
    <mergeCell ref="D263:E263"/>
    <mergeCell ref="D264:E264"/>
    <mergeCell ref="D189:E189"/>
    <mergeCell ref="A190:F190"/>
    <mergeCell ref="A191:F191"/>
    <mergeCell ref="A192:A193"/>
    <mergeCell ref="B192:B193"/>
    <mergeCell ref="C192:E192"/>
    <mergeCell ref="F192:F193"/>
    <mergeCell ref="D222:E222"/>
    <mergeCell ref="D223:E223"/>
    <mergeCell ref="D224:E224"/>
    <mergeCell ref="D225:E225"/>
    <mergeCell ref="D226:E226"/>
    <mergeCell ref="D151:E151"/>
    <mergeCell ref="A152:F152"/>
    <mergeCell ref="A153:F153"/>
    <mergeCell ref="A154:A155"/>
    <mergeCell ref="B154:B155"/>
    <mergeCell ref="C154:E154"/>
    <mergeCell ref="F154:F155"/>
    <mergeCell ref="D184:E184"/>
    <mergeCell ref="D185:E185"/>
    <mergeCell ref="D186:E186"/>
    <mergeCell ref="D187:E187"/>
    <mergeCell ref="D188:E188"/>
    <mergeCell ref="D146:E146"/>
    <mergeCell ref="D147:E147"/>
    <mergeCell ref="D148:E148"/>
    <mergeCell ref="D149:E149"/>
    <mergeCell ref="D150:E150"/>
    <mergeCell ref="A114:F114"/>
    <mergeCell ref="A115:F115"/>
    <mergeCell ref="A116:A117"/>
    <mergeCell ref="B116:B117"/>
    <mergeCell ref="C116:E116"/>
    <mergeCell ref="F116:F117"/>
    <mergeCell ref="D37:E37"/>
    <mergeCell ref="A1:F1"/>
    <mergeCell ref="A2:F2"/>
    <mergeCell ref="A3:A4"/>
    <mergeCell ref="B3:B4"/>
    <mergeCell ref="C3:E3"/>
    <mergeCell ref="F3:F4"/>
    <mergeCell ref="D32:E32"/>
    <mergeCell ref="D33:E33"/>
    <mergeCell ref="D34:E34"/>
    <mergeCell ref="D35:E35"/>
    <mergeCell ref="D36:E36"/>
    <mergeCell ref="A78:A79"/>
    <mergeCell ref="B78:B79"/>
    <mergeCell ref="C78:E78"/>
    <mergeCell ref="F78:F79"/>
    <mergeCell ref="A38:F38"/>
    <mergeCell ref="A39:F39"/>
    <mergeCell ref="A40:A41"/>
    <mergeCell ref="B40:B41"/>
    <mergeCell ref="C40:E40"/>
    <mergeCell ref="F40:F41"/>
    <mergeCell ref="D70:E70"/>
    <mergeCell ref="D71:E71"/>
    <mergeCell ref="D72:E72"/>
    <mergeCell ref="D73:E73"/>
    <mergeCell ref="D74:E74"/>
    <mergeCell ref="D75:E75"/>
    <mergeCell ref="A76:F76"/>
    <mergeCell ref="A77:F77"/>
    <mergeCell ref="D113:E113"/>
    <mergeCell ref="D108:E108"/>
    <mergeCell ref="D109:E109"/>
    <mergeCell ref="D110:E110"/>
    <mergeCell ref="D111:E111"/>
    <mergeCell ref="D112:E112"/>
  </mergeCells>
  <printOptions horizontalCentered="1"/>
  <pageMargins left="0.19685039370078741" right="0.19685039370078741" top="0.59055118110236227" bottom="0.59055118110236227" header="0" footer="0"/>
  <pageSetup paperSize="9" scale="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5CD7-72B1-4E89-B05E-A08F5FAFC581}">
  <dimension ref="A1:F37"/>
  <sheetViews>
    <sheetView workbookViewId="0">
      <selection activeCell="J15" sqref="J15"/>
    </sheetView>
  </sheetViews>
  <sheetFormatPr defaultRowHeight="24"/>
  <cols>
    <col min="1" max="1" width="6.5703125" style="2" customWidth="1"/>
    <col min="2" max="2" width="40.140625" style="1" customWidth="1"/>
    <col min="3" max="3" width="12.42578125" style="1" customWidth="1"/>
    <col min="4" max="4" width="14.85546875" style="1" customWidth="1"/>
    <col min="5" max="5" width="19" style="1" customWidth="1"/>
    <col min="6" max="6" width="25.42578125" style="1" customWidth="1"/>
    <col min="7" max="16384" width="9.140625" style="1"/>
  </cols>
  <sheetData>
    <row r="1" spans="1:6">
      <c r="A1" s="103" t="s">
        <v>0</v>
      </c>
      <c r="B1" s="103"/>
      <c r="C1" s="103"/>
      <c r="D1" s="103"/>
      <c r="E1" s="103"/>
      <c r="F1" s="103"/>
    </row>
    <row r="2" spans="1:6">
      <c r="A2" s="104" t="s">
        <v>18</v>
      </c>
      <c r="B2" s="104"/>
      <c r="C2" s="104"/>
      <c r="D2" s="104"/>
      <c r="E2" s="104"/>
      <c r="F2" s="104"/>
    </row>
    <row r="3" spans="1:6">
      <c r="A3" s="100" t="s">
        <v>6</v>
      </c>
      <c r="B3" s="101" t="s">
        <v>1</v>
      </c>
      <c r="C3" s="99" t="s">
        <v>2</v>
      </c>
      <c r="D3" s="99"/>
      <c r="E3" s="99"/>
      <c r="F3" s="102" t="s">
        <v>5</v>
      </c>
    </row>
    <row r="4" spans="1:6" s="2" customFormat="1">
      <c r="A4" s="101"/>
      <c r="B4" s="101"/>
      <c r="C4" s="3" t="s">
        <v>3</v>
      </c>
      <c r="D4" s="4" t="s">
        <v>13</v>
      </c>
      <c r="E4" s="3" t="s">
        <v>4</v>
      </c>
      <c r="F4" s="102"/>
    </row>
    <row r="5" spans="1:6">
      <c r="A5" s="7">
        <v>1</v>
      </c>
      <c r="B5" s="7" t="s">
        <v>601</v>
      </c>
      <c r="C5" s="5"/>
      <c r="D5" s="5"/>
      <c r="E5" s="5"/>
      <c r="F5" s="5"/>
    </row>
    <row r="6" spans="1:6">
      <c r="A6" s="7">
        <v>2</v>
      </c>
      <c r="B6" s="5"/>
      <c r="C6" s="5"/>
      <c r="D6" s="5"/>
      <c r="E6" s="5"/>
      <c r="F6" s="5"/>
    </row>
    <row r="7" spans="1:6">
      <c r="A7" s="7">
        <v>3</v>
      </c>
      <c r="B7" s="5"/>
      <c r="C7" s="5"/>
      <c r="D7" s="5"/>
      <c r="E7" s="5"/>
      <c r="F7" s="5"/>
    </row>
    <row r="8" spans="1:6">
      <c r="A8" s="7">
        <v>4</v>
      </c>
      <c r="B8" s="5"/>
      <c r="C8" s="5"/>
      <c r="D8" s="5"/>
      <c r="E8" s="5"/>
      <c r="F8" s="5"/>
    </row>
    <row r="9" spans="1:6">
      <c r="A9" s="7">
        <v>5</v>
      </c>
      <c r="B9" s="5"/>
      <c r="C9" s="5"/>
      <c r="D9" s="5"/>
      <c r="E9" s="5"/>
      <c r="F9" s="5"/>
    </row>
    <row r="10" spans="1:6">
      <c r="A10" s="7">
        <v>6</v>
      </c>
      <c r="B10" s="5"/>
      <c r="C10" s="5"/>
      <c r="D10" s="5"/>
      <c r="E10" s="5"/>
      <c r="F10" s="5"/>
    </row>
    <row r="11" spans="1:6">
      <c r="A11" s="7">
        <v>7</v>
      </c>
      <c r="B11" s="5"/>
      <c r="C11" s="5"/>
      <c r="D11" s="5"/>
      <c r="E11" s="5"/>
      <c r="F11" s="5"/>
    </row>
    <row r="12" spans="1:6">
      <c r="A12" s="7">
        <v>8</v>
      </c>
      <c r="B12" s="5"/>
      <c r="C12" s="5"/>
      <c r="D12" s="5"/>
      <c r="E12" s="5"/>
      <c r="F12" s="5"/>
    </row>
    <row r="13" spans="1:6">
      <c r="A13" s="7">
        <v>9</v>
      </c>
      <c r="B13" s="5"/>
      <c r="C13" s="5"/>
      <c r="D13" s="5"/>
      <c r="E13" s="5"/>
      <c r="F13" s="5"/>
    </row>
    <row r="14" spans="1:6">
      <c r="A14" s="7">
        <v>10</v>
      </c>
      <c r="B14" s="5"/>
      <c r="C14" s="5"/>
      <c r="D14" s="5"/>
      <c r="E14" s="5"/>
      <c r="F14" s="5"/>
    </row>
    <row r="15" spans="1:6">
      <c r="A15" s="7">
        <v>11</v>
      </c>
      <c r="B15" s="5"/>
      <c r="C15" s="5"/>
      <c r="D15" s="5"/>
      <c r="E15" s="5"/>
      <c r="F15" s="5"/>
    </row>
    <row r="16" spans="1:6">
      <c r="A16" s="7">
        <v>12</v>
      </c>
      <c r="B16" s="5"/>
      <c r="C16" s="5"/>
      <c r="D16" s="5"/>
      <c r="E16" s="5"/>
      <c r="F16" s="5"/>
    </row>
    <row r="17" spans="1:6">
      <c r="A17" s="7">
        <v>13</v>
      </c>
      <c r="B17" s="5"/>
      <c r="C17" s="5"/>
      <c r="D17" s="5"/>
      <c r="E17" s="5"/>
      <c r="F17" s="5"/>
    </row>
    <row r="18" spans="1:6">
      <c r="A18" s="7">
        <v>14</v>
      </c>
      <c r="B18" s="5"/>
      <c r="C18" s="5"/>
      <c r="D18" s="5"/>
      <c r="E18" s="5"/>
      <c r="F18" s="5"/>
    </row>
    <row r="19" spans="1:6">
      <c r="A19" s="7">
        <v>15</v>
      </c>
      <c r="B19" s="5"/>
      <c r="C19" s="5"/>
      <c r="D19" s="5"/>
      <c r="E19" s="5"/>
      <c r="F19" s="5"/>
    </row>
    <row r="20" spans="1:6">
      <c r="A20" s="7">
        <v>16</v>
      </c>
      <c r="B20" s="5"/>
      <c r="C20" s="5"/>
      <c r="D20" s="5"/>
      <c r="E20" s="5"/>
      <c r="F20" s="5"/>
    </row>
    <row r="21" spans="1:6">
      <c r="A21" s="7">
        <v>17</v>
      </c>
      <c r="B21" s="5"/>
      <c r="C21" s="5"/>
      <c r="D21" s="5"/>
      <c r="E21" s="5"/>
      <c r="F21" s="5"/>
    </row>
    <row r="22" spans="1:6">
      <c r="A22" s="7">
        <v>18</v>
      </c>
      <c r="B22" s="5"/>
      <c r="C22" s="5"/>
      <c r="D22" s="5"/>
      <c r="E22" s="5"/>
      <c r="F22" s="5"/>
    </row>
    <row r="23" spans="1:6">
      <c r="A23" s="7">
        <v>19</v>
      </c>
      <c r="B23" s="5"/>
      <c r="C23" s="5"/>
      <c r="D23" s="5"/>
      <c r="E23" s="5"/>
      <c r="F23" s="5"/>
    </row>
    <row r="24" spans="1:6">
      <c r="A24" s="7">
        <v>20</v>
      </c>
      <c r="B24" s="5"/>
      <c r="C24" s="5"/>
      <c r="D24" s="5"/>
      <c r="E24" s="5"/>
      <c r="F24" s="5"/>
    </row>
    <row r="25" spans="1:6">
      <c r="A25" s="7">
        <v>21</v>
      </c>
      <c r="B25" s="5"/>
      <c r="C25" s="5"/>
      <c r="D25" s="5"/>
      <c r="E25" s="5"/>
      <c r="F25" s="5"/>
    </row>
    <row r="26" spans="1:6">
      <c r="A26" s="7">
        <v>22</v>
      </c>
      <c r="B26" s="5"/>
      <c r="C26" s="5"/>
      <c r="D26" s="5"/>
      <c r="E26" s="5"/>
      <c r="F26" s="5"/>
    </row>
    <row r="27" spans="1:6">
      <c r="A27" s="7">
        <v>23</v>
      </c>
      <c r="B27" s="5"/>
      <c r="C27" s="5"/>
      <c r="D27" s="5"/>
      <c r="E27" s="5"/>
      <c r="F27" s="5"/>
    </row>
    <row r="28" spans="1:6">
      <c r="A28" s="7">
        <v>24</v>
      </c>
      <c r="B28" s="5"/>
      <c r="C28" s="5"/>
      <c r="D28" s="5"/>
      <c r="E28" s="5"/>
      <c r="F28" s="5"/>
    </row>
    <row r="29" spans="1:6">
      <c r="A29" s="7">
        <v>25</v>
      </c>
      <c r="B29" s="5"/>
      <c r="C29" s="5"/>
      <c r="D29" s="5"/>
      <c r="E29" s="5"/>
      <c r="F29" s="5"/>
    </row>
    <row r="30" spans="1:6">
      <c r="A30" s="7"/>
      <c r="B30" s="8" t="s">
        <v>12</v>
      </c>
      <c r="C30" s="5"/>
      <c r="D30" s="5"/>
      <c r="E30" s="9"/>
      <c r="F30" s="5"/>
    </row>
    <row r="32" spans="1:6">
      <c r="C32" s="6" t="s">
        <v>7</v>
      </c>
      <c r="D32" s="105" t="s">
        <v>8</v>
      </c>
      <c r="E32" s="105"/>
      <c r="F32" s="1" t="s">
        <v>9</v>
      </c>
    </row>
    <row r="33" spans="3:6">
      <c r="D33" s="105" t="s">
        <v>21</v>
      </c>
      <c r="E33" s="105"/>
    </row>
    <row r="34" spans="3:6" ht="33" customHeight="1">
      <c r="C34" s="6" t="s">
        <v>7</v>
      </c>
      <c r="D34" s="105" t="s">
        <v>8</v>
      </c>
      <c r="E34" s="105"/>
      <c r="F34" s="1" t="s">
        <v>10</v>
      </c>
    </row>
    <row r="35" spans="3:6">
      <c r="D35" s="105" t="s">
        <v>22</v>
      </c>
      <c r="E35" s="105"/>
    </row>
    <row r="36" spans="3:6" ht="33.75" customHeight="1">
      <c r="C36" s="6" t="s">
        <v>7</v>
      </c>
      <c r="D36" s="105" t="s">
        <v>8</v>
      </c>
      <c r="E36" s="105"/>
      <c r="F36" s="1" t="s">
        <v>11</v>
      </c>
    </row>
    <row r="37" spans="3:6">
      <c r="D37" s="105" t="s">
        <v>23</v>
      </c>
      <c r="E37" s="105"/>
    </row>
  </sheetData>
  <mergeCells count="12">
    <mergeCell ref="D32:E32"/>
    <mergeCell ref="D33:E33"/>
    <mergeCell ref="D34:E34"/>
    <mergeCell ref="D36:E36"/>
    <mergeCell ref="D37:E37"/>
    <mergeCell ref="D35:E35"/>
    <mergeCell ref="C3:E3"/>
    <mergeCell ref="A3:A4"/>
    <mergeCell ref="B3:B4"/>
    <mergeCell ref="F3:F4"/>
    <mergeCell ref="A1:F1"/>
    <mergeCell ref="A2:F2"/>
  </mergeCells>
  <printOptions horizontalCentered="1"/>
  <pageMargins left="0.19685039370078741" right="0.19685039370078741" top="0.59055118110236227" bottom="0.59055118110236227" header="0" footer="0"/>
  <pageSetup paperSize="9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ขาย</vt:lpstr>
      <vt:lpstr>ทำลายซาก</vt:lpstr>
      <vt:lpstr>แปรสภาพ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Pasdoo</cp:lastModifiedBy>
  <cp:lastPrinted>2023-03-10T06:21:38Z</cp:lastPrinted>
  <dcterms:created xsi:type="dcterms:W3CDTF">2022-06-16T06:46:33Z</dcterms:created>
  <dcterms:modified xsi:type="dcterms:W3CDTF">2023-03-10T06:22:24Z</dcterms:modified>
</cp:coreProperties>
</file>