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A2FDBCAF-D81C-4BDA-BD12-1C0C25AC153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ไฟฟ้ากำลัง" sheetId="31" r:id="rId1"/>
  </sheets>
  <definedNames>
    <definedName name="_xlnm.Print_Titles" localSheetId="0">แผนกช่างไฟฟ้ากำลัง!$1:$4</definedName>
  </definedNames>
  <calcPr calcId="191029"/>
</workbook>
</file>

<file path=xl/calcChain.xml><?xml version="1.0" encoding="utf-8"?>
<calcChain xmlns="http://schemas.openxmlformats.org/spreadsheetml/2006/main">
  <c r="H30" i="31" l="1"/>
  <c r="H29" i="31"/>
  <c r="H28" i="31"/>
  <c r="H27" i="31"/>
  <c r="H26" i="31"/>
  <c r="H25" i="31"/>
  <c r="H24" i="31"/>
  <c r="H23" i="31"/>
  <c r="H15" i="31"/>
  <c r="H22" i="31" l="1"/>
  <c r="H21" i="31"/>
  <c r="H5" i="31" l="1"/>
  <c r="H6" i="31"/>
  <c r="H7" i="31"/>
  <c r="H8" i="31"/>
  <c r="H9" i="31"/>
  <c r="H10" i="31"/>
  <c r="H11" i="31"/>
  <c r="H12" i="31"/>
  <c r="H13" i="31"/>
  <c r="H14" i="31"/>
  <c r="H16" i="31"/>
  <c r="H17" i="31"/>
  <c r="H18" i="31"/>
  <c r="H19" i="31"/>
  <c r="H20" i="31"/>
</calcChain>
</file>

<file path=xl/sharedStrings.xml><?xml version="1.0" encoding="utf-8"?>
<sst xmlns="http://schemas.openxmlformats.org/spreadsheetml/2006/main" count="101" uniqueCount="73">
  <si>
    <t>รายการ ขนาด ลักษณะ</t>
  </si>
  <si>
    <t>จำนวน</t>
  </si>
  <si>
    <t>หมายเหตุ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</si>
  <si>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</si>
  <si>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</si>
  <si>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</si>
  <si>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</si>
  <si>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</si>
  <si>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ออสซิลโลสโคป 2 เส้นภาพขนาด 20</t>
  </si>
  <si>
    <t>6625-003-0012/391-001-391-010</t>
  </si>
  <si>
    <t>เพาเวอร์ซัพพลาย 0 -50 โวลท์</t>
  </si>
  <si>
    <t>6625-003-0011/391-001-391-005</t>
  </si>
  <si>
    <t xml:space="preserve">เพาเวอร์ซัพพลาย </t>
  </si>
  <si>
    <t>6150-003-0003/391-001-391-004</t>
  </si>
  <si>
    <t>แหล่งจ่ายไฟกระแสตรงชนิดควบคุมปรับค่าได้</t>
  </si>
  <si>
    <t>6150-003-0002/391-001-391-024</t>
  </si>
  <si>
    <t>เครื่องจ่ายไฟกระแสตรงแรงเคลื่อนต่ำ</t>
  </si>
  <si>
    <t>6150-003-0001/391-001-391-025</t>
  </si>
  <si>
    <t>เครื่องจ่ายไฟกระแสตรงปรับค่าได้</t>
  </si>
  <si>
    <t>5990-006-0003/401-001-401-010</t>
  </si>
  <si>
    <t>6110-010-0001/411-001</t>
  </si>
  <si>
    <t>ตู้ควบคุมระบบไฟฟ้า</t>
  </si>
  <si>
    <t>4110-007-0001/411-001</t>
  </si>
  <si>
    <t>ชุดฝึกตู้แช่</t>
  </si>
  <si>
    <t>4120-002-0001/411-001</t>
  </si>
  <si>
    <t>ชุดเครื่องมือทดสอบเครื่องเย็นและปรับอากาศ</t>
  </si>
  <si>
    <t>4130-009-0001/411-001</t>
  </si>
  <si>
    <t>อุปกรณ์การสอนสาธิตเครื่องเย็น</t>
  </si>
  <si>
    <t>4110-008-0001411-001</t>
  </si>
  <si>
    <t>ชุดฝึกเครื่องเย็น</t>
  </si>
  <si>
    <t>4310-001-0001/451-001</t>
  </si>
  <si>
    <t>เครื่องทำสูญญากาศเติมถ่ายและฟื้นฟูสภาพน้ำยา</t>
  </si>
  <si>
    <t>4130-009-0001/451-001</t>
  </si>
  <si>
    <t>ชุดสาธิตเครื่องเย็นและปรับอากาศ</t>
  </si>
  <si>
    <t>4330-001-0001/452-001</t>
  </si>
  <si>
    <t>เครื่องแว๊คคั่ม</t>
  </si>
  <si>
    <t>7110-002-0006/462-002-462-016</t>
  </si>
  <si>
    <t>ตู้กระจก  2  บานเลื่อน</t>
  </si>
  <si>
    <t>7110-002-0006/462-002-462-051</t>
  </si>
  <si>
    <t>7110-001-0003/512-004</t>
  </si>
  <si>
    <t>โต๊ะเหล็ก 5 ฟุต  TC - 3060  BESTER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</si>
  <si>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</si>
  <si>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</si>
  <si>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</si>
  <si>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</si>
  <si>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</si>
  <si>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</si>
  <si>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</si>
  <si>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เครื่องพิมพ์เลเซอร์</t>
  </si>
  <si>
    <t>7440-010-0002/642-009(13)</t>
  </si>
  <si>
    <t>2539</t>
  </si>
  <si>
    <t>2540</t>
  </si>
  <si>
    <t>2546</t>
  </si>
  <si>
    <t>2551</t>
  </si>
  <si>
    <t>บัญชีรายการ แผนกวิชาช่างไฟฟ้ากำลัง คงเหลือ</t>
  </si>
  <si>
    <t>.............................................</t>
  </si>
  <si>
    <t>เก้าอี้สแตนเลสหัวกลม</t>
  </si>
  <si>
    <t>7110-006-0005/652-011-020 (100)</t>
  </si>
  <si>
    <t>7730-003-0003/662-001(3)</t>
  </si>
  <si>
    <t>โทรทัศน์ LED พร้อมขาตั้งแบบล้อลาก ขนาด 65 นิ้ว</t>
  </si>
  <si>
    <t>(นายคัคเนศวร์ โกมลศรี)</t>
  </si>
  <si>
    <t xml:space="preserve">3413 - 003 - 0001 / 672 - 001 </t>
  </si>
  <si>
    <t>สว่านกระแทกไร้สายไร้แปรงถ่าน 13 มม. 20V รุ่น SBD715D2KA- B1 แบตเตอรี่2.0 AN 2ก้อน</t>
  </si>
  <si>
    <t xml:space="preserve">บกศ. </t>
  </si>
  <si>
    <t xml:space="preserve">3414 - 001 - 0001 / 672 - 001 </t>
  </si>
  <si>
    <t>แท่นตัดไฟเบอร์ 14 นิ้ว 2200W รุ่น SSC22V - B1</t>
  </si>
  <si>
    <t xml:space="preserve">3450 - 003 - 0001 / 672 - 001 </t>
  </si>
  <si>
    <t>เครื่องเจียรไร้สาย 4 นิ้ว 20V รุ่น SCG400M2 K -B1 แบตเตอรี่ 4.0 AN</t>
  </si>
  <si>
    <t>6640 - 024 - 0004 / 672 - 001</t>
  </si>
  <si>
    <t>ปืนเป่าลมร้อน 2000Wรุ่น STEL 670 - B - เครื่อง</t>
  </si>
  <si>
    <t>สว่านกระแทก 13 มม. 650W รุ่น GSB13RE</t>
  </si>
  <si>
    <t xml:space="preserve">3413 - 003 - 0001 / 672-002 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</si>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</sst>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5" xfId="1" applyFont="1" applyBorder="1"/>
    <xf numFmtId="43" fontId="7" fillId="0" borderId="1" xfId="1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8" fillId="0" borderId="1" xfId="6" applyFont="1" applyBorder="1"/>
    <xf numFmtId="43" fontId="7" fillId="0" borderId="1" xfId="1" applyFont="1" applyBorder="1" applyAlignment="1"/>
    <xf numFmtId="49" fontId="7" fillId="0" borderId="1" xfId="13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15" fontId="7" fillId="0" borderId="1" xfId="7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43" fontId="7" fillId="0" borderId="4" xfId="1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43" fontId="7" fillId="0" borderId="7" xfId="1" applyFont="1" applyBorder="1"/>
    <xf numFmtId="49" fontId="9" fillId="2" borderId="1" xfId="0" applyNumberFormat="1" applyFont="1" applyFill="1" applyBorder="1"/>
    <xf numFmtId="0" fontId="7" fillId="2" borderId="4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805297</xdr:colOff>
      <xdr:row>0</xdr:row>
      <xdr:rowOff>125557</xdr:rowOff>
    </xdr:from>
    <xdr:to>
      <xdr:col>8</xdr:col>
      <xdr:colOff>424297</xdr:colOff>
      <xdr:row>1</xdr:row>
      <xdr:rowOff>112568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40388" y="125557"/>
          <a:ext cx="1350818" cy="290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36"/>
  <sheetViews>
    <sheetView tabSelected="1" topLeftCell="A25" zoomScale="90" zoomScaleNormal="90" workbookViewId="0">
      <selection activeCell="D39" sqref="D39"/>
    </sheetView>
  </sheetViews>
  <sheetFormatPr defaultColWidth="9" defaultRowHeight="24"/>
  <cols>
    <col min="1" max="1" width="5.7109375" style="1" customWidth="1"/>
    <col min="2" max="2" width="10.7109375" style="1" customWidth="1"/>
    <col min="3" max="3" width="33.5703125" style="1" customWidth="1"/>
    <col min="4" max="4" width="39.140625" style="1" customWidth="1"/>
    <col min="5" max="5" width="6.7109375" style="1" customWidth="1"/>
    <col min="6" max="6" width="6.42578125" style="1" customWidth="1"/>
    <col min="7" max="7" width="13" style="1" customWidth="1"/>
    <col min="8" max="8" width="14.28515625" style="1" customWidth="1"/>
    <col min="9" max="9" width="9" style="6" customWidth="1"/>
    <col min="10" max="10" width="14.28515625" style="1" customWidth="1"/>
    <col min="11" max="16384" width="9" style="1"/>
  </cols>
  <sheetData>
    <row r="1" spans="1:11">
      <c r="A1" s="41" t="s">
        <v>7</v>
      </c>
      <c r="B1" s="41"/>
      <c r="C1" s="41"/>
      <c r="D1" s="41"/>
      <c r="E1" s="41"/>
      <c r="F1" s="41"/>
      <c r="G1" s="41"/>
      <c r="H1" s="41"/>
      <c r="I1" s="41"/>
      <c r="J1" s="6"/>
    </row>
    <row r="2" spans="1:11">
      <c r="A2" s="42" t="s">
        <v>54</v>
      </c>
      <c r="B2" s="42"/>
      <c r="C2" s="42"/>
      <c r="D2" s="42"/>
      <c r="E2" s="42"/>
      <c r="F2" s="42"/>
      <c r="G2" s="42"/>
      <c r="H2" s="42"/>
      <c r="I2" s="42"/>
      <c r="J2" s="8"/>
    </row>
    <row r="3" spans="1:11">
      <c r="A3" s="43" t="s">
        <v>72</v>
      </c>
      <c r="B3" s="43"/>
      <c r="C3" s="43"/>
      <c r="D3" s="43"/>
      <c r="E3" s="43"/>
      <c r="F3" s="43"/>
      <c r="G3" s="43"/>
      <c r="H3" s="43"/>
      <c r="I3" s="43"/>
      <c r="J3" s="6"/>
    </row>
    <row r="4" spans="1:11" ht="45.75" customHeight="1">
      <c r="A4" s="11" t="s">
        <v>42</v>
      </c>
      <c r="B4" s="11" t="s">
        <v>45</v>
      </c>
      <c r="C4" s="11" t="s">
        <v>46</v>
      </c>
      <c r="D4" s="12" t="s">
        <v>0</v>
      </c>
      <c r="E4" s="11" t="s">
        <v>43</v>
      </c>
      <c r="F4" s="12" t="s">
        <v>1</v>
      </c>
      <c r="G4" s="11" t="s">
        <v>44</v>
      </c>
      <c r="H4" s="11" t="s">
        <v>47</v>
      </c>
      <c r="I4" s="11" t="s">
        <v>2</v>
      </c>
    </row>
    <row r="5" spans="1:11">
      <c r="A5" s="13">
        <v>1</v>
      </c>
      <c r="B5" s="14" t="s">
        <v>50</v>
      </c>
      <c r="C5" s="15" t="s">
        <v>9</v>
      </c>
      <c r="D5" s="15" t="s">
        <v>10</v>
      </c>
      <c r="E5" s="17" t="s">
        <v>3</v>
      </c>
      <c r="F5" s="18">
        <v>10</v>
      </c>
      <c r="G5" s="19">
        <v>4470</v>
      </c>
      <c r="H5" s="20">
        <f t="shared" ref="H5:H20" si="0">SUM(F5*G5)</f>
        <v>44700</v>
      </c>
      <c r="I5" s="21"/>
    </row>
    <row r="6" spans="1:11">
      <c r="A6" s="13">
        <v>2</v>
      </c>
      <c r="B6" s="14" t="s">
        <v>50</v>
      </c>
      <c r="C6" s="15" t="s">
        <v>11</v>
      </c>
      <c r="D6" s="15" t="s">
        <v>12</v>
      </c>
      <c r="E6" s="17" t="s">
        <v>3</v>
      </c>
      <c r="F6" s="18">
        <v>5</v>
      </c>
      <c r="G6" s="19">
        <v>6940</v>
      </c>
      <c r="H6" s="20">
        <f t="shared" si="0"/>
        <v>34700</v>
      </c>
      <c r="I6" s="21"/>
    </row>
    <row r="7" spans="1:11">
      <c r="A7" s="13">
        <v>3</v>
      </c>
      <c r="B7" s="14" t="s">
        <v>50</v>
      </c>
      <c r="C7" s="15" t="s">
        <v>13</v>
      </c>
      <c r="D7" s="16" t="s">
        <v>14</v>
      </c>
      <c r="E7" s="17" t="s">
        <v>3</v>
      </c>
      <c r="F7" s="18">
        <v>4</v>
      </c>
      <c r="G7" s="19">
        <v>5925</v>
      </c>
      <c r="H7" s="20">
        <f t="shared" si="0"/>
        <v>23700</v>
      </c>
      <c r="I7" s="21"/>
      <c r="J7" s="3"/>
      <c r="K7" s="2"/>
    </row>
    <row r="8" spans="1:11">
      <c r="A8" s="13">
        <v>4</v>
      </c>
      <c r="B8" s="14" t="s">
        <v>50</v>
      </c>
      <c r="C8" s="15" t="s">
        <v>15</v>
      </c>
      <c r="D8" s="16" t="s">
        <v>16</v>
      </c>
      <c r="E8" s="17" t="s">
        <v>3</v>
      </c>
      <c r="F8" s="18">
        <v>24</v>
      </c>
      <c r="G8" s="19">
        <v>4487.5</v>
      </c>
      <c r="H8" s="20">
        <f t="shared" si="0"/>
        <v>107700</v>
      </c>
      <c r="I8" s="21"/>
      <c r="J8" s="3"/>
      <c r="K8" s="2"/>
    </row>
    <row r="9" spans="1:11">
      <c r="A9" s="13">
        <v>5</v>
      </c>
      <c r="B9" s="14" t="s">
        <v>50</v>
      </c>
      <c r="C9" s="15" t="s">
        <v>17</v>
      </c>
      <c r="D9" s="16" t="s">
        <v>18</v>
      </c>
      <c r="E9" s="17" t="s">
        <v>3</v>
      </c>
      <c r="F9" s="18">
        <v>25</v>
      </c>
      <c r="G9" s="19">
        <v>2992</v>
      </c>
      <c r="H9" s="20">
        <f t="shared" si="0"/>
        <v>74800</v>
      </c>
      <c r="I9" s="21"/>
      <c r="J9" s="3"/>
      <c r="K9" s="2"/>
    </row>
    <row r="10" spans="1:11">
      <c r="A10" s="13">
        <v>6</v>
      </c>
      <c r="B10" s="14" t="s">
        <v>51</v>
      </c>
      <c r="C10" s="15" t="s">
        <v>19</v>
      </c>
      <c r="D10" s="16" t="s">
        <v>8</v>
      </c>
      <c r="E10" s="17" t="s">
        <v>3</v>
      </c>
      <c r="F10" s="18">
        <v>10</v>
      </c>
      <c r="G10" s="19">
        <v>23861</v>
      </c>
      <c r="H10" s="20">
        <f t="shared" si="0"/>
        <v>238610</v>
      </c>
      <c r="I10" s="22"/>
      <c r="K10" s="2"/>
    </row>
    <row r="11" spans="1:11">
      <c r="A11" s="13">
        <v>7</v>
      </c>
      <c r="B11" s="22">
        <v>2541</v>
      </c>
      <c r="C11" s="23" t="s">
        <v>20</v>
      </c>
      <c r="D11" s="16" t="s">
        <v>21</v>
      </c>
      <c r="E11" s="22" t="s">
        <v>3</v>
      </c>
      <c r="F11" s="18">
        <v>1</v>
      </c>
      <c r="G11" s="19">
        <v>99000</v>
      </c>
      <c r="H11" s="20">
        <f t="shared" si="0"/>
        <v>99000</v>
      </c>
      <c r="I11" s="22"/>
    </row>
    <row r="12" spans="1:11">
      <c r="A12" s="13">
        <v>8</v>
      </c>
      <c r="B12" s="22">
        <v>2541</v>
      </c>
      <c r="C12" s="23" t="s">
        <v>22</v>
      </c>
      <c r="D12" s="16" t="s">
        <v>23</v>
      </c>
      <c r="E12" s="22" t="s">
        <v>3</v>
      </c>
      <c r="F12" s="18">
        <v>1</v>
      </c>
      <c r="G12" s="19">
        <v>29920</v>
      </c>
      <c r="H12" s="20">
        <f t="shared" si="0"/>
        <v>29920</v>
      </c>
      <c r="I12" s="22"/>
    </row>
    <row r="13" spans="1:11">
      <c r="A13" s="13">
        <v>9</v>
      </c>
      <c r="B13" s="22">
        <v>2541</v>
      </c>
      <c r="C13" s="15" t="s">
        <v>24</v>
      </c>
      <c r="D13" s="16" t="s">
        <v>25</v>
      </c>
      <c r="E13" s="22" t="s">
        <v>3</v>
      </c>
      <c r="F13" s="18">
        <v>1</v>
      </c>
      <c r="G13" s="19">
        <v>179960</v>
      </c>
      <c r="H13" s="20">
        <f t="shared" si="0"/>
        <v>179960</v>
      </c>
      <c r="I13" s="22"/>
    </row>
    <row r="14" spans="1:11">
      <c r="A14" s="13">
        <v>10</v>
      </c>
      <c r="B14" s="22">
        <v>2541</v>
      </c>
      <c r="C14" s="23" t="s">
        <v>26</v>
      </c>
      <c r="D14" s="16" t="s">
        <v>27</v>
      </c>
      <c r="E14" s="22" t="s">
        <v>3</v>
      </c>
      <c r="F14" s="18">
        <v>1</v>
      </c>
      <c r="G14" s="19">
        <v>49940</v>
      </c>
      <c r="H14" s="20">
        <f>SUM(F14*G14)</f>
        <v>49940</v>
      </c>
      <c r="I14" s="22"/>
    </row>
    <row r="15" spans="1:11">
      <c r="A15" s="13">
        <v>11</v>
      </c>
      <c r="B15" s="22">
        <v>2541</v>
      </c>
      <c r="C15" s="15" t="s">
        <v>28</v>
      </c>
      <c r="D15" s="16" t="s">
        <v>29</v>
      </c>
      <c r="E15" s="22" t="s">
        <v>3</v>
      </c>
      <c r="F15" s="18">
        <v>1</v>
      </c>
      <c r="G15" s="19">
        <v>119900</v>
      </c>
      <c r="H15" s="20">
        <f t="shared" ref="H15" si="1">SUM(F15*G15)</f>
        <v>119900</v>
      </c>
      <c r="I15" s="22"/>
    </row>
    <row r="16" spans="1:11">
      <c r="A16" s="13">
        <v>12</v>
      </c>
      <c r="B16" s="13">
        <v>2545</v>
      </c>
      <c r="C16" s="15" t="s">
        <v>30</v>
      </c>
      <c r="D16" s="24" t="s">
        <v>31</v>
      </c>
      <c r="E16" s="22" t="s">
        <v>3</v>
      </c>
      <c r="F16" s="18">
        <v>1</v>
      </c>
      <c r="G16" s="25">
        <v>219350</v>
      </c>
      <c r="H16" s="20">
        <f t="shared" si="0"/>
        <v>219350</v>
      </c>
      <c r="I16" s="21"/>
      <c r="J16" s="5"/>
    </row>
    <row r="17" spans="1:10">
      <c r="A17" s="13">
        <v>13</v>
      </c>
      <c r="B17" s="13">
        <v>2545</v>
      </c>
      <c r="C17" s="15" t="s">
        <v>32</v>
      </c>
      <c r="D17" s="16" t="s">
        <v>33</v>
      </c>
      <c r="E17" s="22" t="s">
        <v>3</v>
      </c>
      <c r="F17" s="18">
        <v>1</v>
      </c>
      <c r="G17" s="25">
        <v>119305</v>
      </c>
      <c r="H17" s="20">
        <f t="shared" si="0"/>
        <v>119305</v>
      </c>
      <c r="I17" s="21"/>
      <c r="J17" s="5"/>
    </row>
    <row r="18" spans="1:10">
      <c r="A18" s="13">
        <v>14</v>
      </c>
      <c r="B18" s="13">
        <v>2545</v>
      </c>
      <c r="C18" s="15" t="s">
        <v>34</v>
      </c>
      <c r="D18" s="16" t="s">
        <v>35</v>
      </c>
      <c r="E18" s="22" t="s">
        <v>3</v>
      </c>
      <c r="F18" s="18">
        <v>1</v>
      </c>
      <c r="G18" s="25">
        <v>4900</v>
      </c>
      <c r="H18" s="20">
        <f t="shared" si="0"/>
        <v>4900</v>
      </c>
      <c r="I18" s="21"/>
    </row>
    <row r="19" spans="1:10">
      <c r="A19" s="13">
        <v>15</v>
      </c>
      <c r="B19" s="26" t="s">
        <v>52</v>
      </c>
      <c r="C19" s="15" t="s">
        <v>36</v>
      </c>
      <c r="D19" s="16" t="s">
        <v>37</v>
      </c>
      <c r="E19" s="22" t="s">
        <v>3</v>
      </c>
      <c r="F19" s="18">
        <v>15</v>
      </c>
      <c r="G19" s="25">
        <v>2490</v>
      </c>
      <c r="H19" s="20">
        <f t="shared" si="0"/>
        <v>37350</v>
      </c>
      <c r="I19" s="21"/>
    </row>
    <row r="20" spans="1:10">
      <c r="A20" s="13">
        <v>16</v>
      </c>
      <c r="B20" s="26" t="s">
        <v>52</v>
      </c>
      <c r="C20" s="15" t="s">
        <v>38</v>
      </c>
      <c r="D20" s="16" t="s">
        <v>37</v>
      </c>
      <c r="E20" s="22" t="s">
        <v>3</v>
      </c>
      <c r="F20" s="18">
        <v>10</v>
      </c>
      <c r="G20" s="25">
        <v>2490</v>
      </c>
      <c r="H20" s="20">
        <f t="shared" si="0"/>
        <v>24900</v>
      </c>
      <c r="I20" s="21"/>
    </row>
    <row r="21" spans="1:10">
      <c r="A21" s="13">
        <v>17</v>
      </c>
      <c r="B21" s="27" t="s">
        <v>53</v>
      </c>
      <c r="C21" s="15" t="s">
        <v>39</v>
      </c>
      <c r="D21" s="16" t="s">
        <v>40</v>
      </c>
      <c r="E21" s="22" t="s">
        <v>3</v>
      </c>
      <c r="F21" s="18">
        <v>1</v>
      </c>
      <c r="G21" s="25">
        <v>5684.5</v>
      </c>
      <c r="H21" s="20">
        <f t="shared" ref="H21:H25" si="2">SUM(F21*G21)</f>
        <v>5684.5</v>
      </c>
      <c r="I21" s="21"/>
    </row>
    <row r="22" spans="1:10">
      <c r="A22" s="13">
        <v>18</v>
      </c>
      <c r="B22" s="28">
        <v>23536</v>
      </c>
      <c r="C22" s="15" t="s">
        <v>49</v>
      </c>
      <c r="D22" s="16" t="s">
        <v>48</v>
      </c>
      <c r="E22" s="22" t="s">
        <v>4</v>
      </c>
      <c r="F22" s="18">
        <v>1</v>
      </c>
      <c r="G22" s="25">
        <v>2690</v>
      </c>
      <c r="H22" s="20">
        <f t="shared" si="2"/>
        <v>2690</v>
      </c>
      <c r="I22" s="21"/>
    </row>
    <row r="23" spans="1:10">
      <c r="A23" s="13">
        <v>19</v>
      </c>
      <c r="B23" s="29">
        <v>23983</v>
      </c>
      <c r="C23" s="30" t="s">
        <v>57</v>
      </c>
      <c r="D23" s="31" t="s">
        <v>56</v>
      </c>
      <c r="E23" s="32" t="s">
        <v>4</v>
      </c>
      <c r="F23" s="33">
        <v>10</v>
      </c>
      <c r="G23" s="34">
        <v>550</v>
      </c>
      <c r="H23" s="20">
        <f t="shared" si="2"/>
        <v>5500</v>
      </c>
      <c r="I23" s="35"/>
    </row>
    <row r="24" spans="1:10">
      <c r="A24" s="13">
        <v>20</v>
      </c>
      <c r="B24" s="29">
        <v>243417</v>
      </c>
      <c r="C24" s="30" t="s">
        <v>58</v>
      </c>
      <c r="D24" s="39" t="s">
        <v>59</v>
      </c>
      <c r="E24" s="32" t="s">
        <v>4</v>
      </c>
      <c r="F24" s="33">
        <v>3</v>
      </c>
      <c r="G24" s="34">
        <v>30000</v>
      </c>
      <c r="H24" s="38">
        <f t="shared" si="2"/>
        <v>90000</v>
      </c>
      <c r="I24" s="35"/>
    </row>
    <row r="25" spans="1:10">
      <c r="A25" s="13">
        <v>21</v>
      </c>
      <c r="B25" s="29">
        <v>24442</v>
      </c>
      <c r="C25" s="30" t="s">
        <v>61</v>
      </c>
      <c r="D25" s="39" t="s">
        <v>62</v>
      </c>
      <c r="E25" s="40" t="s">
        <v>63</v>
      </c>
      <c r="F25" s="33">
        <v>1</v>
      </c>
      <c r="G25" s="34">
        <v>6290</v>
      </c>
      <c r="H25" s="38">
        <f t="shared" si="2"/>
        <v>6290</v>
      </c>
      <c r="I25" s="35"/>
    </row>
    <row r="26" spans="1:10">
      <c r="A26" s="13">
        <v>22</v>
      </c>
      <c r="B26" s="29">
        <v>24442</v>
      </c>
      <c r="C26" s="30" t="s">
        <v>64</v>
      </c>
      <c r="D26" s="39" t="s">
        <v>65</v>
      </c>
      <c r="E26" s="40" t="s">
        <v>63</v>
      </c>
      <c r="F26" s="33">
        <v>1</v>
      </c>
      <c r="G26" s="34">
        <v>4290</v>
      </c>
      <c r="H26" s="38">
        <f>SUM(G26*F26)</f>
        <v>4290</v>
      </c>
      <c r="I26" s="35"/>
    </row>
    <row r="27" spans="1:10">
      <c r="A27" s="13">
        <v>23</v>
      </c>
      <c r="B27" s="29">
        <v>24442</v>
      </c>
      <c r="C27" s="30" t="s">
        <v>66</v>
      </c>
      <c r="D27" s="39" t="s">
        <v>67</v>
      </c>
      <c r="E27" s="40" t="s">
        <v>63</v>
      </c>
      <c r="F27" s="33">
        <v>1</v>
      </c>
      <c r="G27" s="34">
        <v>6190</v>
      </c>
      <c r="H27" s="38">
        <f>SUM(G27*F27)</f>
        <v>6190</v>
      </c>
      <c r="I27" s="35"/>
    </row>
    <row r="28" spans="1:10">
      <c r="A28" s="13">
        <v>24</v>
      </c>
      <c r="B28" s="29">
        <v>24442</v>
      </c>
      <c r="C28" s="30" t="s">
        <v>68</v>
      </c>
      <c r="D28" s="39" t="s">
        <v>69</v>
      </c>
      <c r="E28" s="40" t="s">
        <v>63</v>
      </c>
      <c r="F28" s="33">
        <v>1</v>
      </c>
      <c r="G28" s="34">
        <v>1050</v>
      </c>
      <c r="H28" s="38">
        <f>SUM(G28*F28)</f>
        <v>1050</v>
      </c>
      <c r="I28" s="35"/>
    </row>
    <row r="29" spans="1:10">
      <c r="A29" s="13">
        <v>25</v>
      </c>
      <c r="B29" s="29">
        <v>24442</v>
      </c>
      <c r="C29" s="30" t="s">
        <v>71</v>
      </c>
      <c r="D29" s="39" t="s">
        <v>70</v>
      </c>
      <c r="E29" s="40" t="s">
        <v>4</v>
      </c>
      <c r="F29" s="33">
        <v>1</v>
      </c>
      <c r="G29" s="34">
        <v>2750</v>
      </c>
      <c r="H29" s="38">
        <f>SUM(G29*F29)</f>
        <v>2750</v>
      </c>
      <c r="I29" s="35"/>
    </row>
    <row r="30" spans="1:10">
      <c r="A30" s="44" t="s">
        <v>6</v>
      </c>
      <c r="B30" s="45"/>
      <c r="C30" s="45"/>
      <c r="D30" s="45"/>
      <c r="E30" s="46"/>
      <c r="F30" s="17"/>
      <c r="G30" s="36" t="s">
        <v>41</v>
      </c>
      <c r="H30" s="37">
        <f>SUM(H5:H29)</f>
        <v>1533179.5</v>
      </c>
      <c r="I30" s="10"/>
    </row>
    <row r="31" spans="1:10">
      <c r="A31" s="7"/>
      <c r="B31" s="7"/>
      <c r="C31" s="7"/>
      <c r="D31" s="7"/>
      <c r="E31" s="7"/>
      <c r="F31" s="9"/>
      <c r="G31" s="4"/>
      <c r="H31" s="4"/>
    </row>
    <row r="32" spans="1:10">
      <c r="F32" s="9"/>
    </row>
    <row r="33" spans="6:10">
      <c r="F33" s="47" t="s">
        <v>55</v>
      </c>
      <c r="G33" s="47"/>
      <c r="H33" s="47"/>
      <c r="I33" s="47"/>
      <c r="J33" s="6"/>
    </row>
    <row r="34" spans="6:10">
      <c r="F34" s="41" t="s">
        <v>60</v>
      </c>
      <c r="G34" s="41"/>
      <c r="H34" s="41"/>
      <c r="I34" s="41"/>
      <c r="J34" s="6"/>
    </row>
    <row r="35" spans="6:10">
      <c r="F35" s="41" t="s">
        <v>5</v>
      </c>
      <c r="G35" s="41"/>
      <c r="H35" s="41"/>
      <c r="I35" s="41"/>
      <c r="J35" s="6"/>
    </row>
    <row r="36" spans="6:10">
      <c r="F36" s="6"/>
      <c r="G36" s="6"/>
      <c r="H36" s="6"/>
      <c r="J36" s="6"/>
    </row>
  </sheetData>
  <mergeCells count="7">
    <mergeCell ref="F35:I35"/>
    <mergeCell ref="A1:I1"/>
    <mergeCell ref="A2:I2"/>
    <mergeCell ref="A3:I3"/>
    <mergeCell ref="A30:E30"/>
    <mergeCell ref="F33:I33"/>
    <mergeCell ref="F34:I34"/>
  </mergeCells>
  <printOptions horizontalCentered="1"/>
  <pageMargins left="0.19685039370078741" right="0" top="0.59055118110236227" bottom="0.19685039370078741" header="0" footer="0"/>
  <pageSetup paperSize="9" scale="7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แผนกช่างไฟฟ้ากำลัง</vt:lpstr>
      <vt:lpstr>แผนกช่างไฟฟ้ากำลัง!Print_Titles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2024-06-11T09:31:31Z</cp:lastPrinted>
  <dcterms:created xsi:type="dcterms:W3CDTF">2017-11-14T01:32:33Z</dcterms:created>
  <dcterms:modified xsi:type="dcterms:W3CDTF">2024-06-11T09:32:38Z</dcterms:modified>
</cp:coreProperties>
</file>