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682400D7-22BC-4B3A-A390-D30551C89BA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สามัญสัมพันธ์" sheetId="31" r:id="rId1"/>
  </sheets>
  <definedNames>
    <definedName name="_xlnm.Print_Titles" localSheetId="0">แผนกสามัญสัมพันธ์!$1:$4</definedName>
  </definedNames>
  <calcPr calcId="191029"/>
</workbook>
</file>

<file path=xl/calcChain.xml><?xml version="1.0" encoding="utf-8"?>
<calcChain xmlns="http://schemas.openxmlformats.org/spreadsheetml/2006/main">
  <c r="H33" i="31" l="1"/>
  <c r="H32" i="31"/>
  <c r="H14" i="31"/>
  <c r="H5" i="31"/>
  <c r="H6" i="31"/>
  <c r="H7" i="31"/>
  <c r="H8" i="31"/>
  <c r="H10" i="31"/>
  <c r="H9" i="31"/>
  <c r="H11" i="31"/>
  <c r="H12" i="31"/>
  <c r="H13" i="31"/>
</calcChain>
</file>

<file path=xl/sharedStrings.xml><?xml version="1.0" encoding="utf-8"?>
<sst xmlns="http://schemas.openxmlformats.org/spreadsheetml/2006/main" count="71" uniqueCount="58">
  <si>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</si>
  <si>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</si>
  <si>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</si>
  <si>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</si>
  <si>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</si>
  <si>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</si>
  <si>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</si>
  <si>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</si>
  <si>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</si>
  <si>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</si>
  <si>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</si>
  <si>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</si>
  <si>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</si>
  <si>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</si>
  <si>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</si>
  <si>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</si>
  <si>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แผนกวิชาสามัญสัมพันธ์ คงเหลือ</t>
  </si>
  <si>
    <t>7810-002-0001/481-001</t>
  </si>
  <si>
    <t>แป้นบาสพลาสติกทึบพร้อมห่วงตาข่าย</t>
  </si>
  <si>
    <t>7110-002-0007/482-003</t>
  </si>
  <si>
    <t>ตู้บานเลื่อนทึบ 4 ฟุต</t>
  </si>
  <si>
    <t>7110-002-0006/482-065-482-066</t>
  </si>
  <si>
    <t>ตู้บานเลื่อนกระจก  4 ฟุต</t>
  </si>
  <si>
    <t>7110-002-0006/501-015-016</t>
  </si>
  <si>
    <t>7110-002-0006/531-031-033</t>
  </si>
  <si>
    <t>ตู้เหล็ก  2 บานเลื่อน  กระจก</t>
  </si>
  <si>
    <t>7730-003-0002/501-025-026</t>
  </si>
  <si>
    <t>TV29W  LG</t>
  </si>
  <si>
    <t>7125-002-0002/531-002-007</t>
  </si>
  <si>
    <t>ตู้บานเลื่อนกระจกสูง</t>
  </si>
  <si>
    <t>7110-002-0006/531-031</t>
  </si>
  <si>
    <t>ตู้บานเลื่อนกระจก 4 ฟุต</t>
  </si>
  <si>
    <t>8350-001-0001/531-022-028</t>
  </si>
  <si>
    <t>ผ้าม่านพร้อมอุปกรณ์และติดตั้ง</t>
  </si>
  <si>
    <t>7440-010-0001/581-001</t>
  </si>
  <si>
    <t>2550</t>
  </si>
  <si>
    <t>(นางวีนัส  สุวรรณ)</t>
  </si>
  <si>
    <t xml:space="preserve">ชุดปฏิบัติการทางภาษา </t>
  </si>
  <si>
    <t>1. ระบบการเรียนการสอนมัลติมิเดีย สำหรับผู้สอน</t>
  </si>
  <si>
    <t>1.1 ระบบควบคุมการปฏิบัติการสำหรับผู้สอน</t>
  </si>
  <si>
    <t>1.2 ชุดหูฟังพร้อมไมโครโฟนสำหรับผู้สอน</t>
  </si>
  <si>
    <t>2. ระบบจัดการบริหารข้อสอบ</t>
  </si>
  <si>
    <t>3. ระบบการเรียนการสอนมัลติมิเดีย สำหรับผู้เรียน</t>
  </si>
  <si>
    <t>31. โปรแกรมชุดปฏิบัติการสำหรับผู้เรียน</t>
  </si>
  <si>
    <t>3.2 ชุดหูฟังพร้อมไมโครโฟนสำหนับผู้เรียน</t>
  </si>
  <si>
    <t>4. เครื่องคอมพิวเตอร์สำหรับผู้สอนและผู้เรียน</t>
  </si>
  <si>
    <t>5. โต๊ะวางเครื่องคอมพิวเตอร์สำหรับผู้เรียนพร้อมเก้าอี้</t>
  </si>
  <si>
    <t>6. โต๊ะวางเครื่องคอมพิวเตอร์สำหรับผู้สอนพร้อมเก้าอี้</t>
  </si>
  <si>
    <t>7. เครื่องมัลติมิเดียโปรเจ๊คเตอร์ขนาดไม่น้อยกว่า 3000 ANSI</t>
  </si>
  <si>
    <t>8. จอรับภาพชนิดแขวนมือดึงขนาดไม่น้อยกว่า 100 นิ้ว</t>
  </si>
  <si>
    <t>9. ชุดเครื่องเสียงสำหรับห้องเรียน</t>
  </si>
  <si>
    <t>10. ลำโพงสำหรับห้องเรียน</t>
  </si>
  <si>
    <t>11. อุปกรณ์กระจายสัญญาณ</t>
  </si>
  <si>
    <t>12. ตู้เก็บอุปกรณ์กระจายสัญญาณ (Rack 6U)</t>
  </si>
  <si>
    <t>13. ระบบไฟฟ้าและระบบเครือข่าย</t>
  </si>
  <si>
    <t>4140-001-0001/662-001(28)</t>
  </si>
  <si>
    <t xml:space="preserve">พัดลมเพดาน 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</si>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</sst>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16"/>
      <color theme="1"/>
      <name val="Calibri"/>
      <family val="2"/>
      <charset val="222"/>
      <scheme val="minor"/>
    </font>
    <font>
      <b/>
      <sz val="14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43" fontId="9" fillId="0" borderId="6" xfId="1" applyFont="1" applyBorder="1"/>
    <xf numFmtId="43" fontId="9" fillId="0" borderId="1" xfId="12" applyFont="1" applyBorder="1" applyAlignment="1">
      <alignment horizontal="center"/>
    </xf>
    <xf numFmtId="43" fontId="9" fillId="0" borderId="1" xfId="1" applyFont="1" applyBorder="1"/>
    <xf numFmtId="0" fontId="9" fillId="0" borderId="1" xfId="6" applyFont="1" applyBorder="1" applyAlignment="1">
      <alignment horizontal="left"/>
    </xf>
    <xf numFmtId="0" fontId="9" fillId="0" borderId="1" xfId="6" applyFont="1" applyBorder="1"/>
    <xf numFmtId="49" fontId="9" fillId="0" borderId="1" xfId="0" applyNumberFormat="1" applyFont="1" applyBorder="1" applyAlignment="1">
      <alignment horizontal="center"/>
    </xf>
    <xf numFmtId="0" fontId="9" fillId="0" borderId="1" xfId="8" applyFont="1" applyBorder="1" applyAlignment="1">
      <alignment horizontal="left"/>
    </xf>
    <xf numFmtId="0" fontId="9" fillId="0" borderId="1" xfId="8" applyFont="1" applyBorder="1"/>
    <xf numFmtId="15" fontId="9" fillId="2" borderId="1" xfId="0" applyNumberFormat="1" applyFont="1" applyFill="1" applyBorder="1" applyAlignment="1">
      <alignment horizontal="center"/>
    </xf>
    <xf numFmtId="0" fontId="9" fillId="2" borderId="1" xfId="6" applyFont="1" applyFill="1" applyBorder="1" applyAlignment="1">
      <alignment horizontal="left"/>
    </xf>
    <xf numFmtId="0" fontId="9" fillId="2" borderId="1" xfId="6" applyFont="1" applyFill="1" applyBorder="1"/>
    <xf numFmtId="0" fontId="9" fillId="2" borderId="2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9" fillId="2" borderId="1" xfId="6" applyFont="1" applyFill="1" applyBorder="1" applyAlignment="1">
      <alignment horizontal="left" indent="1"/>
    </xf>
    <xf numFmtId="0" fontId="9" fillId="2" borderId="1" xfId="5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left"/>
    </xf>
    <xf numFmtId="0" fontId="11" fillId="2" borderId="1" xfId="6" applyFont="1" applyFill="1" applyBorder="1" applyAlignment="1">
      <alignment horizontal="left"/>
    </xf>
    <xf numFmtId="0" fontId="9" fillId="2" borderId="5" xfId="6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43" fontId="8" fillId="0" borderId="1" xfId="0" applyNumberFormat="1" applyFont="1" applyBorder="1"/>
    <xf numFmtId="43" fontId="8" fillId="0" borderId="4" xfId="0" applyNumberFormat="1" applyFont="1" applyBorder="1"/>
    <xf numFmtId="43" fontId="9" fillId="0" borderId="4" xfId="12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39075" y="142875"/>
          <a:ext cx="1438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39"/>
  <sheetViews>
    <sheetView tabSelected="1" zoomScaleNormal="100" workbookViewId="0">
      <selection activeCell="A3" sqref="A3:I3"/>
    </sheetView>
  </sheetViews>
  <sheetFormatPr defaultColWidth="9" defaultRowHeight="24"/>
  <cols>
    <col min="1" max="1" width="5.42578125" style="1" customWidth="1"/>
    <col min="2" max="2" width="10.85546875" style="1" customWidth="1"/>
    <col min="3" max="3" width="32" style="1" customWidth="1"/>
    <col min="4" max="4" width="44.28515625" style="1" customWidth="1"/>
    <col min="5" max="5" width="6.7109375" style="1" customWidth="1"/>
    <col min="6" max="6" width="6.28515625" style="1" customWidth="1"/>
    <col min="7" max="7" width="12.85546875" style="1" customWidth="1"/>
    <col min="8" max="8" width="14.7109375" style="1" customWidth="1"/>
    <col min="9" max="9" width="10.5703125" style="6" customWidth="1"/>
    <col min="10" max="10" width="14.28515625" style="1" customWidth="1"/>
    <col min="11" max="16384" width="9" style="1"/>
  </cols>
  <sheetData>
    <row r="1" spans="1:11">
      <c r="A1" s="38" t="s">
        <v>8</v>
      </c>
      <c r="B1" s="38"/>
      <c r="C1" s="38"/>
      <c r="D1" s="38"/>
      <c r="E1" s="38"/>
      <c r="F1" s="38"/>
      <c r="G1" s="38"/>
      <c r="H1" s="38"/>
      <c r="I1" s="38"/>
      <c r="J1" s="6"/>
    </row>
    <row r="2" spans="1:11">
      <c r="A2" s="39" t="s">
        <v>16</v>
      </c>
      <c r="B2" s="39"/>
      <c r="C2" s="39"/>
      <c r="D2" s="39"/>
      <c r="E2" s="39"/>
      <c r="F2" s="39"/>
      <c r="G2" s="39"/>
      <c r="H2" s="39"/>
      <c r="I2" s="39"/>
      <c r="J2" s="8"/>
    </row>
    <row r="3" spans="1:11">
      <c r="A3" s="40" t="s">
        <v>57</v>
      </c>
      <c r="B3" s="40"/>
      <c r="C3" s="40"/>
      <c r="D3" s="40"/>
      <c r="E3" s="40"/>
      <c r="F3" s="40"/>
      <c r="G3" s="40"/>
      <c r="H3" s="40"/>
      <c r="I3" s="40"/>
      <c r="J3" s="6"/>
    </row>
    <row r="4" spans="1:11" ht="45.75" customHeight="1">
      <c r="A4" s="10" t="s">
        <v>10</v>
      </c>
      <c r="B4" s="10" t="s">
        <v>13</v>
      </c>
      <c r="C4" s="10" t="s">
        <v>14</v>
      </c>
      <c r="D4" s="11" t="s">
        <v>0</v>
      </c>
      <c r="E4" s="10" t="s">
        <v>11</v>
      </c>
      <c r="F4" s="11" t="s">
        <v>1</v>
      </c>
      <c r="G4" s="10" t="s">
        <v>12</v>
      </c>
      <c r="H4" s="10" t="s">
        <v>15</v>
      </c>
      <c r="I4" s="10" t="s">
        <v>2</v>
      </c>
    </row>
    <row r="5" spans="1:11">
      <c r="A5" s="12">
        <v>1</v>
      </c>
      <c r="B5" s="12">
        <v>2548</v>
      </c>
      <c r="C5" s="17" t="s">
        <v>17</v>
      </c>
      <c r="D5" s="18" t="s">
        <v>18</v>
      </c>
      <c r="E5" s="13" t="s">
        <v>3</v>
      </c>
      <c r="F5" s="13">
        <v>1</v>
      </c>
      <c r="G5" s="16">
        <v>22000</v>
      </c>
      <c r="H5" s="14">
        <f t="shared" ref="H5:H32" si="0">SUM(F5*G5)</f>
        <v>22000</v>
      </c>
      <c r="I5" s="15"/>
      <c r="J5" s="3"/>
    </row>
    <row r="6" spans="1:11">
      <c r="A6" s="12">
        <v>2</v>
      </c>
      <c r="B6" s="12">
        <v>2548</v>
      </c>
      <c r="C6" s="17" t="s">
        <v>19</v>
      </c>
      <c r="D6" s="18" t="s">
        <v>20</v>
      </c>
      <c r="E6" s="13" t="s">
        <v>4</v>
      </c>
      <c r="F6" s="13">
        <v>1</v>
      </c>
      <c r="G6" s="16">
        <v>3350</v>
      </c>
      <c r="H6" s="14">
        <f t="shared" si="0"/>
        <v>3350</v>
      </c>
      <c r="I6" s="15"/>
      <c r="J6" s="3"/>
    </row>
    <row r="7" spans="1:11">
      <c r="A7" s="12">
        <v>3</v>
      </c>
      <c r="B7" s="12">
        <v>2548</v>
      </c>
      <c r="C7" s="17" t="s">
        <v>21</v>
      </c>
      <c r="D7" s="18" t="s">
        <v>22</v>
      </c>
      <c r="E7" s="13" t="s">
        <v>4</v>
      </c>
      <c r="F7" s="13">
        <v>2</v>
      </c>
      <c r="G7" s="16">
        <v>3350</v>
      </c>
      <c r="H7" s="14">
        <f t="shared" si="0"/>
        <v>6700</v>
      </c>
      <c r="I7" s="15"/>
      <c r="J7" s="5"/>
    </row>
    <row r="8" spans="1:11">
      <c r="A8" s="12">
        <v>4</v>
      </c>
      <c r="B8" s="19" t="s">
        <v>35</v>
      </c>
      <c r="C8" s="17" t="s">
        <v>23</v>
      </c>
      <c r="D8" s="18" t="s">
        <v>22</v>
      </c>
      <c r="E8" s="13" t="s">
        <v>3</v>
      </c>
      <c r="F8" s="13">
        <v>2</v>
      </c>
      <c r="G8" s="16">
        <v>2685.25</v>
      </c>
      <c r="H8" s="14">
        <f t="shared" si="0"/>
        <v>5370.5</v>
      </c>
      <c r="I8" s="15"/>
    </row>
    <row r="9" spans="1:11">
      <c r="A9" s="12">
        <v>5</v>
      </c>
      <c r="B9" s="19" t="s">
        <v>35</v>
      </c>
      <c r="C9" s="20" t="s">
        <v>26</v>
      </c>
      <c r="D9" s="21" t="s">
        <v>27</v>
      </c>
      <c r="E9" s="13" t="s">
        <v>3</v>
      </c>
      <c r="F9" s="13">
        <v>2</v>
      </c>
      <c r="G9" s="16">
        <v>8500</v>
      </c>
      <c r="H9" s="14">
        <f>SUM(F9*G9)</f>
        <v>17000</v>
      </c>
      <c r="I9" s="15"/>
    </row>
    <row r="10" spans="1:11">
      <c r="A10" s="12">
        <v>6</v>
      </c>
      <c r="B10" s="12">
        <v>2553</v>
      </c>
      <c r="C10" s="17" t="s">
        <v>24</v>
      </c>
      <c r="D10" s="18" t="s">
        <v>25</v>
      </c>
      <c r="E10" s="13" t="s">
        <v>3</v>
      </c>
      <c r="F10" s="13">
        <v>3</v>
      </c>
      <c r="G10" s="16">
        <v>3000</v>
      </c>
      <c r="H10" s="14">
        <f t="shared" si="0"/>
        <v>9000</v>
      </c>
      <c r="I10" s="15"/>
    </row>
    <row r="11" spans="1:11">
      <c r="A11" s="12">
        <v>7</v>
      </c>
      <c r="B11" s="12">
        <v>2553</v>
      </c>
      <c r="C11" s="20" t="s">
        <v>28</v>
      </c>
      <c r="D11" s="21" t="s">
        <v>29</v>
      </c>
      <c r="E11" s="13" t="s">
        <v>3</v>
      </c>
      <c r="F11" s="13">
        <v>6</v>
      </c>
      <c r="G11" s="16">
        <v>4450</v>
      </c>
      <c r="H11" s="14">
        <f t="shared" si="0"/>
        <v>26700</v>
      </c>
      <c r="I11" s="12"/>
      <c r="K11" s="2"/>
    </row>
    <row r="12" spans="1:11">
      <c r="A12" s="12">
        <v>8</v>
      </c>
      <c r="B12" s="12">
        <v>2553</v>
      </c>
      <c r="C12" s="20" t="s">
        <v>30</v>
      </c>
      <c r="D12" s="21" t="s">
        <v>31</v>
      </c>
      <c r="E12" s="13" t="s">
        <v>3</v>
      </c>
      <c r="F12" s="13">
        <v>1</v>
      </c>
      <c r="G12" s="16">
        <v>3000</v>
      </c>
      <c r="H12" s="14">
        <f t="shared" si="0"/>
        <v>3000</v>
      </c>
      <c r="I12" s="12"/>
      <c r="K12" s="2"/>
    </row>
    <row r="13" spans="1:11">
      <c r="A13" s="12">
        <v>9</v>
      </c>
      <c r="B13" s="12">
        <v>2553</v>
      </c>
      <c r="C13" s="20" t="s">
        <v>32</v>
      </c>
      <c r="D13" s="21" t="s">
        <v>33</v>
      </c>
      <c r="E13" s="13" t="s">
        <v>3</v>
      </c>
      <c r="F13" s="13">
        <v>7</v>
      </c>
      <c r="G13" s="16">
        <v>3350</v>
      </c>
      <c r="H13" s="14">
        <f t="shared" si="0"/>
        <v>23450</v>
      </c>
      <c r="I13" s="12"/>
      <c r="K13" s="2"/>
    </row>
    <row r="14" spans="1:11">
      <c r="A14" s="12">
        <v>10</v>
      </c>
      <c r="B14" s="22">
        <v>21274</v>
      </c>
      <c r="C14" s="23" t="s">
        <v>34</v>
      </c>
      <c r="D14" s="24" t="s">
        <v>37</v>
      </c>
      <c r="E14" s="25" t="s">
        <v>3</v>
      </c>
      <c r="F14" s="26">
        <v>1</v>
      </c>
      <c r="G14" s="16">
        <v>899700</v>
      </c>
      <c r="H14" s="14">
        <f t="shared" si="0"/>
        <v>899700</v>
      </c>
      <c r="I14" s="12"/>
      <c r="K14" s="2"/>
    </row>
    <row r="15" spans="1:11">
      <c r="A15" s="12"/>
      <c r="B15" s="22"/>
      <c r="C15" s="23"/>
      <c r="D15" s="24" t="s">
        <v>38</v>
      </c>
      <c r="E15" s="25"/>
      <c r="F15" s="26"/>
      <c r="G15" s="16"/>
      <c r="H15" s="14"/>
      <c r="I15" s="12"/>
      <c r="K15" s="2"/>
    </row>
    <row r="16" spans="1:11">
      <c r="A16" s="27"/>
      <c r="B16" s="27"/>
      <c r="C16" s="28"/>
      <c r="D16" s="29" t="s">
        <v>39</v>
      </c>
      <c r="E16" s="27"/>
      <c r="F16" s="30">
        <v>1</v>
      </c>
      <c r="G16" s="16"/>
      <c r="H16" s="14"/>
      <c r="I16" s="12"/>
      <c r="K16" s="2"/>
    </row>
    <row r="17" spans="1:11">
      <c r="A17" s="27"/>
      <c r="B17" s="27"/>
      <c r="C17" s="28"/>
      <c r="D17" s="29" t="s">
        <v>40</v>
      </c>
      <c r="E17" s="27"/>
      <c r="F17" s="30">
        <v>1</v>
      </c>
      <c r="G17" s="16"/>
      <c r="H17" s="14"/>
      <c r="I17" s="12"/>
      <c r="K17" s="2"/>
    </row>
    <row r="18" spans="1:11">
      <c r="A18" s="27"/>
      <c r="B18" s="27"/>
      <c r="C18" s="28"/>
      <c r="D18" s="24" t="s">
        <v>41</v>
      </c>
      <c r="E18" s="27"/>
      <c r="F18" s="30">
        <v>1</v>
      </c>
      <c r="G18" s="16"/>
      <c r="H18" s="14"/>
      <c r="I18" s="12"/>
      <c r="K18" s="2"/>
    </row>
    <row r="19" spans="1:11">
      <c r="A19" s="27"/>
      <c r="B19" s="27"/>
      <c r="C19" s="28"/>
      <c r="D19" s="24" t="s">
        <v>42</v>
      </c>
      <c r="E19" s="27"/>
      <c r="F19" s="30" t="s">
        <v>9</v>
      </c>
      <c r="G19" s="16"/>
      <c r="H19" s="14"/>
      <c r="I19" s="12"/>
    </row>
    <row r="20" spans="1:11">
      <c r="A20" s="27"/>
      <c r="B20" s="27"/>
      <c r="C20" s="28"/>
      <c r="D20" s="29" t="s">
        <v>43</v>
      </c>
      <c r="E20" s="27"/>
      <c r="F20" s="30">
        <v>20</v>
      </c>
      <c r="G20" s="16"/>
      <c r="H20" s="14"/>
      <c r="I20" s="12"/>
    </row>
    <row r="21" spans="1:11">
      <c r="A21" s="27"/>
      <c r="B21" s="27"/>
      <c r="C21" s="28"/>
      <c r="D21" s="29" t="s">
        <v>44</v>
      </c>
      <c r="E21" s="27" t="s">
        <v>9</v>
      </c>
      <c r="F21" s="30">
        <v>20</v>
      </c>
      <c r="G21" s="16"/>
      <c r="H21" s="14"/>
      <c r="I21" s="12"/>
    </row>
    <row r="22" spans="1:11">
      <c r="A22" s="27"/>
      <c r="B22" s="27"/>
      <c r="C22" s="28"/>
      <c r="D22" s="31" t="s">
        <v>45</v>
      </c>
      <c r="E22" s="27"/>
      <c r="F22" s="30">
        <v>21</v>
      </c>
      <c r="G22" s="16"/>
      <c r="H22" s="14"/>
      <c r="I22" s="12"/>
    </row>
    <row r="23" spans="1:11">
      <c r="A23" s="27"/>
      <c r="B23" s="27"/>
      <c r="C23" s="28"/>
      <c r="D23" s="23" t="s">
        <v>46</v>
      </c>
      <c r="E23" s="27"/>
      <c r="F23" s="30">
        <v>20</v>
      </c>
      <c r="G23" s="14"/>
      <c r="H23" s="14"/>
      <c r="I23" s="12"/>
    </row>
    <row r="24" spans="1:11">
      <c r="A24" s="27"/>
      <c r="B24" s="27"/>
      <c r="C24" s="28"/>
      <c r="D24" s="31" t="s">
        <v>47</v>
      </c>
      <c r="E24" s="27"/>
      <c r="F24" s="30">
        <v>1</v>
      </c>
      <c r="G24" s="16"/>
      <c r="H24" s="14"/>
      <c r="I24" s="12"/>
    </row>
    <row r="25" spans="1:11">
      <c r="A25" s="27"/>
      <c r="B25" s="27"/>
      <c r="C25" s="28"/>
      <c r="D25" s="32" t="s">
        <v>48</v>
      </c>
      <c r="E25" s="27"/>
      <c r="F25" s="30">
        <v>1</v>
      </c>
      <c r="G25" s="16"/>
      <c r="H25" s="14"/>
      <c r="I25" s="12"/>
    </row>
    <row r="26" spans="1:11">
      <c r="A26" s="27"/>
      <c r="B26" s="27"/>
      <c r="C26" s="28"/>
      <c r="D26" s="23" t="s">
        <v>49</v>
      </c>
      <c r="E26" s="27"/>
      <c r="F26" s="30">
        <v>1</v>
      </c>
      <c r="G26" s="16"/>
      <c r="H26" s="14"/>
      <c r="I26" s="12"/>
    </row>
    <row r="27" spans="1:11">
      <c r="A27" s="27"/>
      <c r="B27" s="27"/>
      <c r="C27" s="28"/>
      <c r="D27" s="33" t="s">
        <v>50</v>
      </c>
      <c r="E27" s="27"/>
      <c r="F27" s="26">
        <v>1</v>
      </c>
      <c r="G27" s="16"/>
      <c r="H27" s="14"/>
      <c r="I27" s="12"/>
    </row>
    <row r="28" spans="1:11">
      <c r="A28" s="27"/>
      <c r="B28" s="27"/>
      <c r="C28" s="28"/>
      <c r="D28" s="23" t="s">
        <v>51</v>
      </c>
      <c r="E28" s="27"/>
      <c r="F28" s="26">
        <v>2</v>
      </c>
      <c r="G28" s="16"/>
      <c r="H28" s="14"/>
      <c r="I28" s="12"/>
    </row>
    <row r="29" spans="1:11">
      <c r="A29" s="27"/>
      <c r="B29" s="27"/>
      <c r="C29" s="28"/>
      <c r="D29" s="23" t="s">
        <v>52</v>
      </c>
      <c r="E29" s="27"/>
      <c r="F29" s="26">
        <v>1</v>
      </c>
      <c r="G29" s="16"/>
      <c r="H29" s="14"/>
      <c r="I29" s="12"/>
    </row>
    <row r="30" spans="1:11">
      <c r="A30" s="27"/>
      <c r="B30" s="27"/>
      <c r="C30" s="28"/>
      <c r="D30" s="23" t="s">
        <v>53</v>
      </c>
      <c r="E30" s="27"/>
      <c r="F30" s="26">
        <v>1</v>
      </c>
      <c r="G30" s="16"/>
      <c r="H30" s="14"/>
      <c r="I30" s="12"/>
    </row>
    <row r="31" spans="1:11">
      <c r="A31" s="27"/>
      <c r="B31" s="27"/>
      <c r="C31" s="28"/>
      <c r="D31" s="23" t="s">
        <v>54</v>
      </c>
      <c r="E31" s="27"/>
      <c r="F31" s="26">
        <v>1</v>
      </c>
      <c r="G31" s="16"/>
      <c r="H31" s="14"/>
      <c r="I31" s="15"/>
      <c r="J31" s="3"/>
    </row>
    <row r="32" spans="1:11">
      <c r="A32" s="12">
        <v>11</v>
      </c>
      <c r="B32" s="22">
        <v>243419</v>
      </c>
      <c r="C32" s="23" t="s">
        <v>55</v>
      </c>
      <c r="D32" s="23" t="s">
        <v>56</v>
      </c>
      <c r="E32" s="13" t="s">
        <v>4</v>
      </c>
      <c r="F32" s="26">
        <v>28</v>
      </c>
      <c r="G32" s="16">
        <v>1760</v>
      </c>
      <c r="H32" s="14">
        <f t="shared" si="0"/>
        <v>49280</v>
      </c>
      <c r="I32" s="37"/>
      <c r="J32" s="3"/>
    </row>
    <row r="33" spans="1:10">
      <c r="A33" s="41" t="s">
        <v>7</v>
      </c>
      <c r="B33" s="42"/>
      <c r="C33" s="42"/>
      <c r="D33" s="42"/>
      <c r="E33" s="43"/>
      <c r="F33" s="13"/>
      <c r="G33" s="35" t="s">
        <v>9</v>
      </c>
      <c r="H33" s="36">
        <f>SUM(H5:H32)</f>
        <v>1065550.5</v>
      </c>
      <c r="I33" s="34"/>
    </row>
    <row r="34" spans="1:10">
      <c r="A34" s="7"/>
      <c r="B34" s="7"/>
      <c r="C34" s="7"/>
      <c r="D34" s="7"/>
      <c r="E34" s="7"/>
      <c r="F34" s="9"/>
      <c r="G34" s="4"/>
      <c r="H34" s="4"/>
    </row>
    <row r="35" spans="1:10">
      <c r="F35" s="9"/>
    </row>
    <row r="36" spans="1:10">
      <c r="F36" s="44" t="s">
        <v>5</v>
      </c>
      <c r="G36" s="44"/>
      <c r="H36" s="44"/>
      <c r="I36" s="44"/>
      <c r="J36" s="6"/>
    </row>
    <row r="37" spans="1:10">
      <c r="F37" s="38" t="s">
        <v>36</v>
      </c>
      <c r="G37" s="38"/>
      <c r="H37" s="38"/>
      <c r="I37" s="38"/>
      <c r="J37" s="6"/>
    </row>
    <row r="38" spans="1:10">
      <c r="F38" s="38" t="s">
        <v>6</v>
      </c>
      <c r="G38" s="38"/>
      <c r="H38" s="38"/>
      <c r="I38" s="38"/>
      <c r="J38" s="6"/>
    </row>
    <row r="39" spans="1:10">
      <c r="F39" s="6"/>
      <c r="G39" s="6"/>
      <c r="H39" s="6"/>
      <c r="J39" s="6"/>
    </row>
  </sheetData>
  <mergeCells count="7">
    <mergeCell ref="F38:I38"/>
    <mergeCell ref="A1:I1"/>
    <mergeCell ref="A2:I2"/>
    <mergeCell ref="A3:I3"/>
    <mergeCell ref="A33:E33"/>
    <mergeCell ref="F36:I36"/>
    <mergeCell ref="F37:I37"/>
  </mergeCells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แผนกสามัญสัมพันธ์</vt:lpstr>
      <vt:lpstr>แผนกสามัญสัมพันธ์!Print_Titles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2024-06-11T10:10:24Z</cp:lastPrinted>
  <dcterms:created xsi:type="dcterms:W3CDTF">2017-11-14T01:32:33Z</dcterms:created>
  <dcterms:modified xsi:type="dcterms:W3CDTF">2024-06-11T10:10:39Z</dcterms:modified>
</cp:coreProperties>
</file>