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รายการครุภัณ์คงเหลือ ปี 67\ครุภัณฑ์คงเหลือ 66\แผนก\"/>
    </mc:Choice>
  </mc:AlternateContent>
  <xr:revisionPtr revIDLastSave="0" documentId="13_ncr:1_{63253049-4B87-4AD5-ADE7-E46B5F486E57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แผนกช่างกลโรงงาน" sheetId="32" r:id="rId1"/>
  </sheets>
  <definedNames>
    <definedName name="_xlnm.Print_Titles" localSheetId="0">แผนกช่างกลโรงงาน!$1:$4</definedName>
  </definedNames>
  <calcPr calcId="191029"/>
</workbook>
</file>

<file path=xl/calcChain.xml><?xml version="1.0" encoding="utf-8"?>
<calcChain xmlns="http://schemas.openxmlformats.org/spreadsheetml/2006/main">
  <c r="H16" i="32" l="1"/>
  <c r="H15" i="32"/>
  <c r="H14" i="32"/>
  <c r="H12" i="32"/>
  <c r="H11" i="32"/>
  <c r="H13" i="32"/>
  <c r="H10" i="32"/>
  <c r="H5" i="32" l="1"/>
  <c r="H6" i="32"/>
  <c r="H7" i="32"/>
  <c r="H8" i="32"/>
  <c r="H9" i="32"/>
</calcChain>
</file>

<file path=xl/sharedStrings.xml><?xml version="1.0" encoding="utf-8"?>
<sst xmlns="http://schemas.openxmlformats.org/spreadsheetml/2006/main" count="51" uniqueCount="42">
  <si>
    <t>รายการ ขนาด ลักษณะ</t>
  </si>
  <si>
    <t>จำนวน</t>
  </si>
  <si>
    <t>หมายเหตุ</t>
  </si>
  <si>
    <t>งปม.</t>
  </si>
  <si>
    <t>บกศ.</t>
  </si>
  <si>
    <t>....................................................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</si>
  <si>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</si>
  <si>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</si>
  <si>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</si>
  <si>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</si>
  <si>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</si>
  <si>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</si>
  <si>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</si>
  <si>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</si>
  <si>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</si>
  <si>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แผนกวิชาช่างกลโรงงาน คงเหลือ</t>
  </si>
  <si>
    <t>(นายประภาส  นามโคตร)</t>
  </si>
  <si>
    <t>3416-001-0002/551-001-002</t>
  </si>
  <si>
    <t>เครื่องกลึงขนาดยันศูนย์เหนือแท่น 165 มม.</t>
  </si>
  <si>
    <t>3416-001-0001/601-001(6)</t>
  </si>
  <si>
    <t>เครื่องกลึงยันศูนย์เหนือแท่น 150 มม.</t>
  </si>
  <si>
    <t>5210-0004-0001/622-001</t>
  </si>
  <si>
    <t>เวอร์เนียไฮเกจ</t>
  </si>
  <si>
    <t>6105-010-0001/632-001</t>
  </si>
  <si>
    <t xml:space="preserve">UPS เครื่องสำรองไฟ </t>
  </si>
  <si>
    <t>5210-004-0001/632-001</t>
  </si>
  <si>
    <t xml:space="preserve">Dial Height gavge </t>
  </si>
  <si>
    <t>2555</t>
  </si>
  <si>
    <t>2562</t>
  </si>
  <si>
    <t>เครื่องตัดไฟเบอร์ 14 นิ้ว</t>
  </si>
  <si>
    <t>เลื่อยฉลุไฟฟ้า</t>
  </si>
  <si>
    <t>สว่านไฟฟ้า ขนาด 10 มม.</t>
  </si>
  <si>
    <t>เลื่อยวงเดือน 7 นิ้ว</t>
  </si>
  <si>
    <t>5110-013-0001/641-001</t>
  </si>
  <si>
    <t>3210-003-0002/641-001</t>
  </si>
  <si>
    <t>5130-007-0004/641-001</t>
  </si>
  <si>
    <t>3210-003-0001/641-001</t>
  </si>
  <si>
    <t>3417-001-0003/651-001</t>
  </si>
  <si>
    <t>เครื่องกัด CNC พร้อม CAD/CAM Sofware
5 axis เมนูภาษาไทยและภาษาอังกฤษ</t>
  </si>
  <si>
    <t>7440-001-0001/662-006-010</t>
  </si>
  <si>
    <t>เครื่องคอมพิวเตอร์ PC</t>
  </si>
  <si>
    <t>ประจำปี 2566  ณ วันที่ 30 กันยายน 2566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</si>
</sst>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0"/>
      <name val="Arial"/>
      <family val="2"/>
    </font>
    <font>
      <b/>
      <sz val="16"/>
      <name val="TH SarabunPSK"/>
      <family val="2"/>
      <charset val="222"/>
    </font>
    <font>
      <sz val="16"/>
      <name val="TH SarabunPSK"/>
      <family val="2"/>
      <charset val="222"/>
    </font>
    <font>
      <b/>
      <sz val="16"/>
      <name val="TH SarabunIT๙"/>
      <family val="2"/>
      <charset val="222"/>
    </font>
    <font>
      <b/>
      <sz val="16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4">
    <xf numFmtId="0" fontId="0" fillId="0" borderId="0" xfId="0"/>
    <xf numFmtId="0" fontId="5" fillId="0" borderId="0" xfId="0" applyFont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0" xfId="0" applyFont="1" applyAlignment="1">
      <alignment horizontal="left"/>
    </xf>
    <xf numFmtId="0" fontId="5" fillId="0" borderId="3" xfId="2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6" applyFont="1" applyBorder="1" applyAlignment="1">
      <alignment horizontal="left"/>
    </xf>
    <xf numFmtId="0" fontId="4" fillId="0" borderId="1" xfId="6" applyFont="1" applyBorder="1"/>
    <xf numFmtId="0" fontId="4" fillId="0" borderId="1" xfId="2" applyFont="1" applyBorder="1" applyAlignment="1">
      <alignment horizontal="center"/>
    </xf>
    <xf numFmtId="0" fontId="4" fillId="0" borderId="1" xfId="6" applyFont="1" applyBorder="1" applyAlignment="1">
      <alignment horizontal="center"/>
    </xf>
    <xf numFmtId="43" fontId="4" fillId="0" borderId="1" xfId="1" applyFont="1" applyBorder="1"/>
    <xf numFmtId="43" fontId="4" fillId="0" borderId="1" xfId="1" applyFont="1" applyFill="1" applyBorder="1"/>
    <xf numFmtId="43" fontId="4" fillId="0" borderId="1" xfId="12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/>
    </xf>
    <xf numFmtId="0" fontId="4" fillId="0" borderId="2" xfId="6" applyFont="1" applyBorder="1" applyAlignment="1">
      <alignment horizontal="left"/>
    </xf>
    <xf numFmtId="15" fontId="4" fillId="0" borderId="1" xfId="0" applyNumberFormat="1" applyFont="1" applyBorder="1" applyAlignment="1">
      <alignment horizontal="center"/>
    </xf>
    <xf numFmtId="0" fontId="6" fillId="0" borderId="1" xfId="0" applyFont="1" applyBorder="1"/>
    <xf numFmtId="15" fontId="4" fillId="0" borderId="1" xfId="0" applyNumberFormat="1" applyFont="1" applyBorder="1" applyAlignment="1">
      <alignment horizontal="center" vertical="top"/>
    </xf>
    <xf numFmtId="0" fontId="4" fillId="0" borderId="1" xfId="6" applyFont="1" applyBorder="1" applyAlignment="1">
      <alignment horizontal="left" vertical="top"/>
    </xf>
    <xf numFmtId="0" fontId="4" fillId="0" borderId="1" xfId="6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/>
    </xf>
    <xf numFmtId="0" fontId="4" fillId="0" borderId="1" xfId="6" applyFont="1" applyBorder="1" applyAlignment="1">
      <alignment horizontal="center" vertical="top"/>
    </xf>
    <xf numFmtId="43" fontId="4" fillId="0" borderId="1" xfId="1" applyFont="1" applyFill="1" applyBorder="1" applyAlignment="1">
      <alignment vertical="top"/>
    </xf>
    <xf numFmtId="43" fontId="7" fillId="0" borderId="1" xfId="0" applyNumberFormat="1" applyFont="1" applyBorder="1"/>
    <xf numFmtId="0" fontId="4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9" applyFont="1" applyAlignment="1">
      <alignment horizontal="center" vertical="center"/>
    </xf>
    <xf numFmtId="0" fontId="4" fillId="0" borderId="4" xfId="0" applyFont="1" applyBorder="1" applyAlignment="1" applyProtection="1">
      <alignment horizontal="center"/>
      <protection locked="0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257176</xdr:colOff>
      <xdr:row>0</xdr:row>
      <xdr:rowOff>123825</xdr:rowOff>
    </xdr:from>
    <xdr:to>
      <xdr:col>8</xdr:col>
      <xdr:colOff>647701</xdr:colOff>
      <xdr:row>1</xdr:row>
      <xdr:rowOff>142875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534276" y="123825"/>
          <a:ext cx="13906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I20"/>
  <sheetViews>
    <sheetView tabSelected="1" topLeftCell="A10" zoomScaleNormal="100" workbookViewId="0">
      <selection activeCell="A3" sqref="A3:I3"/>
    </sheetView>
  </sheetViews>
  <sheetFormatPr defaultColWidth="9" defaultRowHeight="24"/>
  <cols>
    <col min="1" max="1" width="5.42578125" style="1" customWidth="1"/>
    <col min="2" max="2" width="11.28515625" style="1" customWidth="1"/>
    <col min="3" max="3" width="27.7109375" style="1" customWidth="1"/>
    <col min="4" max="4" width="36.42578125" style="4" customWidth="1"/>
    <col min="5" max="5" width="6.85546875" style="1" customWidth="1"/>
    <col min="6" max="6" width="6" style="1" customWidth="1"/>
    <col min="7" max="7" width="14.28515625" style="1" customWidth="1"/>
    <col min="8" max="8" width="15.5703125" style="1" customWidth="1"/>
    <col min="9" max="9" width="11.28515625" style="6" customWidth="1"/>
    <col min="10" max="16384" width="9" style="1"/>
  </cols>
  <sheetData>
    <row r="1" spans="1:9">
      <c r="A1" s="31" t="s">
        <v>8</v>
      </c>
      <c r="B1" s="31"/>
      <c r="C1" s="31"/>
      <c r="D1" s="31"/>
      <c r="E1" s="31"/>
      <c r="F1" s="31"/>
      <c r="G1" s="31"/>
      <c r="H1" s="31"/>
      <c r="I1" s="31"/>
    </row>
    <row r="2" spans="1:9">
      <c r="A2" s="32" t="s">
        <v>15</v>
      </c>
      <c r="B2" s="32"/>
      <c r="C2" s="32"/>
      <c r="D2" s="32"/>
      <c r="E2" s="32"/>
      <c r="F2" s="32"/>
      <c r="G2" s="32"/>
      <c r="H2" s="32"/>
      <c r="I2" s="32"/>
    </row>
    <row r="3" spans="1:9">
      <c r="A3" s="33" t="s">
        <v>41</v>
      </c>
      <c r="B3" s="33"/>
      <c r="C3" s="33"/>
      <c r="D3" s="33"/>
      <c r="E3" s="33"/>
      <c r="F3" s="33"/>
      <c r="G3" s="33"/>
      <c r="H3" s="33"/>
      <c r="I3" s="33"/>
    </row>
    <row r="4" spans="1:9" ht="46.5" customHeight="1">
      <c r="A4" s="7" t="s">
        <v>9</v>
      </c>
      <c r="B4" s="7" t="s">
        <v>12</v>
      </c>
      <c r="C4" s="7" t="s">
        <v>13</v>
      </c>
      <c r="D4" s="8" t="s">
        <v>0</v>
      </c>
      <c r="E4" s="7" t="s">
        <v>10</v>
      </c>
      <c r="F4" s="8" t="s">
        <v>1</v>
      </c>
      <c r="G4" s="7" t="s">
        <v>11</v>
      </c>
      <c r="H4" s="7" t="s">
        <v>14</v>
      </c>
      <c r="I4" s="7" t="s">
        <v>2</v>
      </c>
    </row>
    <row r="5" spans="1:9">
      <c r="A5" s="2">
        <v>1</v>
      </c>
      <c r="B5" s="17" t="s">
        <v>27</v>
      </c>
      <c r="C5" s="18" t="s">
        <v>17</v>
      </c>
      <c r="D5" s="10" t="s">
        <v>18</v>
      </c>
      <c r="E5" s="11" t="s">
        <v>3</v>
      </c>
      <c r="F5" s="12">
        <v>2</v>
      </c>
      <c r="G5" s="13">
        <v>294800</v>
      </c>
      <c r="H5" s="14">
        <f t="shared" ref="H5:H15" si="0">SUM(F5*G5)</f>
        <v>589600</v>
      </c>
      <c r="I5" s="15"/>
    </row>
    <row r="6" spans="1:9">
      <c r="A6" s="16">
        <v>2</v>
      </c>
      <c r="B6" s="19">
        <v>21953</v>
      </c>
      <c r="C6" s="18" t="s">
        <v>19</v>
      </c>
      <c r="D6" s="10" t="s">
        <v>20</v>
      </c>
      <c r="E6" s="11" t="s">
        <v>3</v>
      </c>
      <c r="F6" s="12">
        <v>6</v>
      </c>
      <c r="G6" s="13">
        <v>2395000</v>
      </c>
      <c r="H6" s="14">
        <f t="shared" si="0"/>
        <v>14370000</v>
      </c>
      <c r="I6" s="15"/>
    </row>
    <row r="7" spans="1:9">
      <c r="A7" s="2">
        <v>3</v>
      </c>
      <c r="B7" s="17" t="s">
        <v>28</v>
      </c>
      <c r="C7" s="18" t="s">
        <v>21</v>
      </c>
      <c r="D7" s="10" t="s">
        <v>22</v>
      </c>
      <c r="E7" s="11" t="s">
        <v>4</v>
      </c>
      <c r="F7" s="12">
        <v>1</v>
      </c>
      <c r="G7" s="13">
        <v>3500</v>
      </c>
      <c r="H7" s="14">
        <f t="shared" si="0"/>
        <v>3500</v>
      </c>
      <c r="I7" s="15"/>
    </row>
    <row r="8" spans="1:9">
      <c r="A8" s="2">
        <v>4</v>
      </c>
      <c r="B8" s="19">
        <v>22956</v>
      </c>
      <c r="C8" s="18" t="s">
        <v>23</v>
      </c>
      <c r="D8" s="20" t="s">
        <v>24</v>
      </c>
      <c r="E8" s="11" t="s">
        <v>4</v>
      </c>
      <c r="F8" s="12">
        <v>1</v>
      </c>
      <c r="G8" s="13">
        <v>2900</v>
      </c>
      <c r="H8" s="14">
        <f t="shared" si="0"/>
        <v>2900</v>
      </c>
      <c r="I8" s="15"/>
    </row>
    <row r="9" spans="1:9">
      <c r="A9" s="16">
        <v>5</v>
      </c>
      <c r="B9" s="19">
        <v>22986</v>
      </c>
      <c r="C9" s="9" t="s">
        <v>25</v>
      </c>
      <c r="D9" s="20" t="s">
        <v>26</v>
      </c>
      <c r="E9" s="11" t="s">
        <v>4</v>
      </c>
      <c r="F9" s="12">
        <v>1</v>
      </c>
      <c r="G9" s="13">
        <v>12260</v>
      </c>
      <c r="H9" s="14">
        <f t="shared" si="0"/>
        <v>12260</v>
      </c>
      <c r="I9" s="15"/>
    </row>
    <row r="10" spans="1:9">
      <c r="A10" s="2">
        <v>6</v>
      </c>
      <c r="B10" s="19">
        <v>23650</v>
      </c>
      <c r="C10" s="9" t="s">
        <v>33</v>
      </c>
      <c r="D10" s="9" t="s">
        <v>29</v>
      </c>
      <c r="E10" s="2" t="s">
        <v>3</v>
      </c>
      <c r="F10" s="12">
        <v>1</v>
      </c>
      <c r="G10" s="14">
        <v>4700</v>
      </c>
      <c r="H10" s="14">
        <f t="shared" si="0"/>
        <v>4700</v>
      </c>
      <c r="I10" s="15"/>
    </row>
    <row r="11" spans="1:9">
      <c r="A11" s="2">
        <v>7</v>
      </c>
      <c r="B11" s="19">
        <v>23650</v>
      </c>
      <c r="C11" s="9" t="s">
        <v>35</v>
      </c>
      <c r="D11" s="9" t="s">
        <v>31</v>
      </c>
      <c r="E11" s="2" t="s">
        <v>3</v>
      </c>
      <c r="F11" s="12">
        <v>1</v>
      </c>
      <c r="G11" s="14">
        <v>2500</v>
      </c>
      <c r="H11" s="14">
        <f>SUM(F11*G11)</f>
        <v>2500</v>
      </c>
      <c r="I11" s="15"/>
    </row>
    <row r="12" spans="1:9">
      <c r="A12" s="16">
        <v>8</v>
      </c>
      <c r="B12" s="19">
        <v>23650</v>
      </c>
      <c r="C12" s="9" t="s">
        <v>36</v>
      </c>
      <c r="D12" s="9" t="s">
        <v>32</v>
      </c>
      <c r="E12" s="2" t="s">
        <v>3</v>
      </c>
      <c r="F12" s="12">
        <v>1</v>
      </c>
      <c r="G12" s="14">
        <v>3400</v>
      </c>
      <c r="H12" s="14">
        <f>SUM(F12*G12)</f>
        <v>3400</v>
      </c>
      <c r="I12" s="2"/>
    </row>
    <row r="13" spans="1:9">
      <c r="A13" s="2">
        <v>9</v>
      </c>
      <c r="B13" s="19">
        <v>23650</v>
      </c>
      <c r="C13" s="9" t="s">
        <v>34</v>
      </c>
      <c r="D13" s="9" t="s">
        <v>30</v>
      </c>
      <c r="E13" s="2" t="s">
        <v>3</v>
      </c>
      <c r="F13" s="12">
        <v>1</v>
      </c>
      <c r="G13" s="14">
        <v>2900</v>
      </c>
      <c r="H13" s="14">
        <f t="shared" si="0"/>
        <v>2900</v>
      </c>
      <c r="I13" s="15"/>
    </row>
    <row r="14" spans="1:9" ht="72">
      <c r="A14" s="2">
        <v>10</v>
      </c>
      <c r="B14" s="21">
        <v>23923</v>
      </c>
      <c r="C14" s="22" t="s">
        <v>37</v>
      </c>
      <c r="D14" s="23" t="s">
        <v>38</v>
      </c>
      <c r="E14" s="24" t="s">
        <v>3</v>
      </c>
      <c r="F14" s="25">
        <v>1</v>
      </c>
      <c r="G14" s="26">
        <v>1486658</v>
      </c>
      <c r="H14" s="26">
        <f t="shared" si="0"/>
        <v>1486658</v>
      </c>
      <c r="I14" s="15"/>
    </row>
    <row r="15" spans="1:9">
      <c r="A15" s="2">
        <v>11</v>
      </c>
      <c r="B15" s="21">
        <v>243417</v>
      </c>
      <c r="C15" s="22" t="s">
        <v>39</v>
      </c>
      <c r="D15" s="23" t="s">
        <v>40</v>
      </c>
      <c r="E15" s="24" t="s">
        <v>4</v>
      </c>
      <c r="F15" s="25">
        <v>5</v>
      </c>
      <c r="G15" s="26">
        <v>20000</v>
      </c>
      <c r="H15" s="26">
        <f t="shared" si="0"/>
        <v>100000</v>
      </c>
      <c r="I15" s="15"/>
    </row>
    <row r="16" spans="1:9">
      <c r="A16" s="28" t="s">
        <v>7</v>
      </c>
      <c r="B16" s="28"/>
      <c r="C16" s="28"/>
      <c r="D16" s="28"/>
      <c r="E16" s="28"/>
      <c r="F16" s="28"/>
      <c r="G16" s="28"/>
      <c r="H16" s="27">
        <f>SUM(H5:H15)</f>
        <v>16578418</v>
      </c>
      <c r="I16" s="3"/>
    </row>
    <row r="17" spans="6:9" ht="42" customHeight="1">
      <c r="F17" s="5"/>
    </row>
    <row r="18" spans="6:9">
      <c r="F18" s="30" t="s">
        <v>5</v>
      </c>
      <c r="G18" s="30"/>
      <c r="H18" s="30"/>
      <c r="I18" s="30"/>
    </row>
    <row r="19" spans="6:9">
      <c r="F19" s="29" t="s">
        <v>16</v>
      </c>
      <c r="G19" s="29"/>
      <c r="H19" s="29"/>
      <c r="I19" s="29"/>
    </row>
    <row r="20" spans="6:9">
      <c r="F20" s="29" t="s">
        <v>6</v>
      </c>
      <c r="G20" s="29"/>
      <c r="H20" s="29"/>
      <c r="I20" s="29"/>
    </row>
  </sheetData>
  <mergeCells count="7">
    <mergeCell ref="A16:G16"/>
    <mergeCell ref="F20:I20"/>
    <mergeCell ref="F19:I19"/>
    <mergeCell ref="F18:I18"/>
    <mergeCell ref="A1:I1"/>
    <mergeCell ref="A2:I2"/>
    <mergeCell ref="A3:I3"/>
  </mergeCells>
  <printOptions horizontalCentered="1"/>
  <pageMargins left="0.19685039370078741" right="0" top="0.59055118110236227" bottom="0.19685039370078741" header="0" footer="0"/>
  <pageSetup paperSize="9" scale="7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แผนกช่างกลโรงงาน</vt:lpstr>
      <vt:lpstr>แผนกช่างกลโรงงาน!Print_Titles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2024-06-11T09:34:45Z</cp:lastPrinted>
  <dcterms:created xsi:type="dcterms:W3CDTF">2017-11-14T01:32:33Z</dcterms:created>
  <dcterms:modified xsi:type="dcterms:W3CDTF">2024-06-11T09:35:53Z</dcterms:modified>
</cp:coreProperties>
</file>