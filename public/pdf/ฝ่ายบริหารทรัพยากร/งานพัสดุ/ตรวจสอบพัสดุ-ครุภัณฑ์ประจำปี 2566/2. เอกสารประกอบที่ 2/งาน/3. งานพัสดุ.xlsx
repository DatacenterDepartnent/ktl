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B30F6247-1C91-4205-A3B0-5346E180C57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</workbook>
</file>

<file path=xl/calcChain.xml><?xml version="1.0" encoding="utf-8"?>
<calcChain xmlns="http://schemas.openxmlformats.org/spreadsheetml/2006/main">
  <c r="H29" i="43" l="1"/>
  <c r="H28" i="43"/>
  <c r="H25" i="43"/>
  <c r="H24" i="43"/>
  <c r="H22" i="43" l="1"/>
  <c r="H21" i="43"/>
  <c r="H20" i="43"/>
  <c r="H5" i="43" l="1"/>
  <c r="H6" i="43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3" i="43"/>
</calcChain>
</file>

<file path=xl/sharedStrings.xml><?xml version="1.0" encoding="utf-8"?>
<sst xmlns="http://schemas.openxmlformats.org/spreadsheetml/2006/main" count="88" uniqueCount="65">
  <si>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</si>
  <si>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</si>
  <si>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</si>
  <si>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</si>
  <si>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7125-002-0002/391-003</t>
  </si>
  <si>
    <t>2310-004-0001/391-001</t>
  </si>
  <si>
    <t>7125-002-0002/401-015</t>
  </si>
  <si>
    <t>7110-002-0006/401-007-401-010</t>
  </si>
  <si>
    <t>7110-002-0002/403-003-403-004</t>
  </si>
  <si>
    <t>2320-004-0001/401-001</t>
  </si>
  <si>
    <t>2320-008-0001/493-001</t>
  </si>
  <si>
    <t>7110-002-0005/502-012</t>
  </si>
  <si>
    <t>7125-002-0002/502-007-008</t>
  </si>
  <si>
    <t>7110-002-0006/502-086-087</t>
  </si>
  <si>
    <t>ตู้เหล็ก 4  ลิ้นชัก</t>
  </si>
  <si>
    <t>รถยนต์โดยสาร 12 ที่นั่ง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</si>
  <si>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</si>
  <si>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</si>
  <si>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</si>
  <si>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</si>
  <si>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รถยนต์ปิคอัพ สีแดง</t>
  </si>
  <si>
    <t>ตู้เหล็ก 2 บานเปิด</t>
  </si>
  <si>
    <t>งปม.</t>
  </si>
  <si>
    <t>บกศ.</t>
  </si>
  <si>
    <t>7110-006-0008/512-001</t>
  </si>
  <si>
    <t>7110-007-0001/531-001</t>
  </si>
  <si>
    <t>เก้าอี้สำนักงาน CA 333A TAIYO</t>
  </si>
  <si>
    <t>โต๊ะคอมพิวเตอร์60*100*75</t>
  </si>
  <si>
    <t>เบาะนั้งพร้อมขา</t>
  </si>
  <si>
    <t>เครื่องคอมพิวเตอร์ ALL IN ONE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</si>
  <si>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</si>
  <si>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</si>
  <si>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</si>
  <si>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</si>
  <si>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</si>
  <si>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</si>
  <si>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</si>
  <si>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</si>
  <si>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</si>
  <si>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</si>
  <si>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7110-002-0003/622-001(3)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</si>
  <si>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</si>
  <si>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</si>
  <si>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</si>
  <si>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</si>
  <si>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</si>
  <si>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</si>
  <si>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</si>
  <si>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</si>
  <si>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งานพัสดุ คงเหลือ</t>
  </si>
  <si>
    <t>5805-001-0004/641-001</t>
  </si>
  <si>
    <t>โทรศัพท์มือถือ ซัมซุง</t>
  </si>
  <si>
    <t>7440-001-0001/591-001-002(2)</t>
  </si>
  <si>
    <t>2559</t>
  </si>
  <si>
    <t>7730-003-0001/662-001</t>
  </si>
  <si>
    <t>TV LED TOUCH SCREEN ALL IN ONE PC 86 นิ้ว</t>
  </si>
  <si>
    <t>7440-010-0001/662-001</t>
  </si>
  <si>
    <t>printer Epson L3216</t>
  </si>
  <si>
    <t>7440-010-0002/662-004</t>
  </si>
  <si>
    <t>เครื่องปริ้นเตอร์ Brother DCD-T720DW แบบสี</t>
  </si>
  <si>
    <t>(นายทรงพร พรหมโสภา)</t>
  </si>
  <si>
    <t xml:space="preserve">7110 - 006 - 0014 / 676 - 001(30) </t>
  </si>
  <si>
    <t>เก้าอี้สำนักงาน</t>
  </si>
  <si>
    <t>จรส.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</si>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</sst>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2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3" fillId="0" borderId="1" xfId="5" applyFont="1" applyBorder="1" applyAlignment="1">
      <alignment horizontal="center"/>
    </xf>
    <xf numFmtId="43" fontId="3" fillId="0" borderId="1" xfId="5" applyNumberFormat="1" applyFont="1" applyBorder="1"/>
    <xf numFmtId="4" fontId="3" fillId="0" borderId="1" xfId="5" applyNumberFormat="1" applyFont="1" applyBorder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/>
    <xf numFmtId="43" fontId="8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8" fillId="2" borderId="1" xfId="1" applyFont="1" applyFill="1" applyBorder="1" applyAlignment="1">
      <alignment horizontal="center"/>
    </xf>
    <xf numFmtId="4" fontId="4" fillId="0" borderId="0" xfId="0" applyNumberFormat="1" applyFont="1"/>
    <xf numFmtId="4" fontId="7" fillId="0" borderId="1" xfId="5" applyNumberFormat="1" applyFont="1" applyBorder="1"/>
    <xf numFmtId="49" fontId="8" fillId="2" borderId="1" xfId="0" applyNumberFormat="1" applyFont="1" applyFill="1" applyBorder="1"/>
    <xf numFmtId="43" fontId="9" fillId="2" borderId="1" xfId="1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3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36"/>
  <sheetViews>
    <sheetView tabSelected="1" topLeftCell="A19" workbookViewId="0">
      <selection activeCell="D30" sqref="D30"/>
    </sheetView>
  </sheetViews>
  <sheetFormatPr defaultColWidth="9.140625" defaultRowHeight="24"/>
  <cols>
    <col min="1" max="1" width="5.5703125" style="1" customWidth="1"/>
    <col min="2" max="2" width="11.42578125" style="1" customWidth="1"/>
    <col min="3" max="3" width="31.140625" style="1" customWidth="1"/>
    <col min="4" max="4" width="38.85546875" style="1" customWidth="1"/>
    <col min="5" max="5" width="7.140625" style="1" customWidth="1"/>
    <col min="6" max="6" width="6.42578125" style="1" customWidth="1"/>
    <col min="7" max="7" width="12.42578125" style="1" customWidth="1"/>
    <col min="8" max="8" width="14.28515625" style="1" customWidth="1"/>
    <col min="9" max="9" width="11" style="1" customWidth="1"/>
    <col min="10" max="16384" width="9.140625" style="1"/>
  </cols>
  <sheetData>
    <row r="1" spans="1:9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9">
      <c r="A2" s="29" t="s">
        <v>49</v>
      </c>
      <c r="B2" s="29"/>
      <c r="C2" s="29"/>
      <c r="D2" s="29"/>
      <c r="E2" s="29"/>
      <c r="F2" s="29"/>
      <c r="G2" s="29"/>
      <c r="H2" s="29"/>
      <c r="I2" s="29"/>
    </row>
    <row r="3" spans="1:9">
      <c r="A3" s="30" t="s">
        <v>64</v>
      </c>
      <c r="B3" s="30"/>
      <c r="C3" s="30"/>
      <c r="D3" s="30"/>
      <c r="E3" s="30"/>
      <c r="F3" s="30"/>
      <c r="G3" s="30"/>
      <c r="H3" s="30"/>
      <c r="I3" s="30"/>
    </row>
    <row r="4" spans="1:9" ht="42" customHeight="1">
      <c r="A4" s="6" t="s">
        <v>42</v>
      </c>
      <c r="B4" s="6" t="s">
        <v>45</v>
      </c>
      <c r="C4" s="6" t="s">
        <v>46</v>
      </c>
      <c r="D4" s="7" t="s">
        <v>0</v>
      </c>
      <c r="E4" s="6" t="s">
        <v>43</v>
      </c>
      <c r="F4" s="7" t="s">
        <v>1</v>
      </c>
      <c r="G4" s="6" t="s">
        <v>44</v>
      </c>
      <c r="H4" s="6" t="s">
        <v>48</v>
      </c>
      <c r="I4" s="7" t="s">
        <v>2</v>
      </c>
    </row>
    <row r="5" spans="1:9">
      <c r="A5" s="8">
        <v>1</v>
      </c>
      <c r="B5" s="8">
        <v>2539</v>
      </c>
      <c r="C5" s="9" t="s">
        <v>4</v>
      </c>
      <c r="D5" s="10" t="s">
        <v>14</v>
      </c>
      <c r="E5" s="11" t="s">
        <v>22</v>
      </c>
      <c r="F5" s="12">
        <v>1</v>
      </c>
      <c r="G5" s="13">
        <v>2300</v>
      </c>
      <c r="H5" s="13">
        <f t="shared" ref="H5:H25" si="0">SUM(F5*G5)</f>
        <v>2300</v>
      </c>
      <c r="I5" s="14"/>
    </row>
    <row r="6" spans="1:9">
      <c r="A6" s="8">
        <v>2</v>
      </c>
      <c r="B6" s="15">
        <v>14422</v>
      </c>
      <c r="C6" s="9" t="s">
        <v>5</v>
      </c>
      <c r="D6" s="10" t="s">
        <v>15</v>
      </c>
      <c r="E6" s="11" t="s">
        <v>22</v>
      </c>
      <c r="F6" s="12">
        <v>1</v>
      </c>
      <c r="G6" s="13">
        <v>589000</v>
      </c>
      <c r="H6" s="13">
        <f t="shared" si="0"/>
        <v>589000</v>
      </c>
      <c r="I6" s="14"/>
    </row>
    <row r="7" spans="1:9">
      <c r="A7" s="8">
        <v>3</v>
      </c>
      <c r="B7" s="8">
        <v>2540</v>
      </c>
      <c r="C7" s="9" t="s">
        <v>6</v>
      </c>
      <c r="D7" s="10" t="s">
        <v>16</v>
      </c>
      <c r="E7" s="11" t="s">
        <v>22</v>
      </c>
      <c r="F7" s="12">
        <v>1</v>
      </c>
      <c r="G7" s="13">
        <v>2300</v>
      </c>
      <c r="H7" s="13">
        <f t="shared" si="0"/>
        <v>2300</v>
      </c>
      <c r="I7" s="14"/>
    </row>
    <row r="8" spans="1:9">
      <c r="A8" s="8">
        <v>4</v>
      </c>
      <c r="B8" s="8">
        <v>2540</v>
      </c>
      <c r="C8" s="9" t="s">
        <v>7</v>
      </c>
      <c r="D8" s="10" t="s">
        <v>17</v>
      </c>
      <c r="E8" s="11" t="s">
        <v>22</v>
      </c>
      <c r="F8" s="12">
        <v>4</v>
      </c>
      <c r="G8" s="13">
        <v>2250</v>
      </c>
      <c r="H8" s="13">
        <f t="shared" si="0"/>
        <v>9000</v>
      </c>
      <c r="I8" s="14"/>
    </row>
    <row r="9" spans="1:9">
      <c r="A9" s="8">
        <v>5</v>
      </c>
      <c r="B9" s="8">
        <v>2540</v>
      </c>
      <c r="C9" s="9" t="s">
        <v>8</v>
      </c>
      <c r="D9" s="10" t="s">
        <v>18</v>
      </c>
      <c r="E9" s="11" t="s">
        <v>41</v>
      </c>
      <c r="F9" s="12">
        <v>2</v>
      </c>
      <c r="G9" s="13">
        <v>2300</v>
      </c>
      <c r="H9" s="13">
        <f t="shared" si="0"/>
        <v>4600</v>
      </c>
      <c r="I9" s="14"/>
    </row>
    <row r="10" spans="1:9">
      <c r="A10" s="8">
        <v>6</v>
      </c>
      <c r="B10" s="15">
        <v>14618</v>
      </c>
      <c r="C10" s="9" t="s">
        <v>9</v>
      </c>
      <c r="D10" s="10" t="s">
        <v>19</v>
      </c>
      <c r="E10" s="11" t="s">
        <v>22</v>
      </c>
      <c r="F10" s="12">
        <v>1</v>
      </c>
      <c r="G10" s="13">
        <v>700000</v>
      </c>
      <c r="H10" s="13">
        <f t="shared" si="0"/>
        <v>700000</v>
      </c>
      <c r="I10" s="14"/>
    </row>
    <row r="11" spans="1:9">
      <c r="A11" s="8">
        <v>7</v>
      </c>
      <c r="B11" s="15">
        <v>17845</v>
      </c>
      <c r="C11" s="9" t="s">
        <v>10</v>
      </c>
      <c r="D11" s="9" t="s">
        <v>20</v>
      </c>
      <c r="E11" s="11" t="s">
        <v>41</v>
      </c>
      <c r="F11" s="12">
        <v>1</v>
      </c>
      <c r="G11" s="16">
        <v>250000</v>
      </c>
      <c r="H11" s="13">
        <f t="shared" si="0"/>
        <v>250000</v>
      </c>
      <c r="I11" s="14"/>
    </row>
    <row r="12" spans="1:9">
      <c r="A12" s="8">
        <v>8</v>
      </c>
      <c r="B12" s="8">
        <v>2550</v>
      </c>
      <c r="C12" s="9" t="s">
        <v>11</v>
      </c>
      <c r="D12" s="9" t="s">
        <v>21</v>
      </c>
      <c r="E12" s="8" t="s">
        <v>23</v>
      </c>
      <c r="F12" s="12">
        <v>1</v>
      </c>
      <c r="G12" s="16">
        <v>3000</v>
      </c>
      <c r="H12" s="13">
        <f t="shared" si="0"/>
        <v>3000</v>
      </c>
      <c r="I12" s="14"/>
    </row>
    <row r="13" spans="1:9">
      <c r="A13" s="8">
        <v>9</v>
      </c>
      <c r="B13" s="8">
        <v>2550</v>
      </c>
      <c r="C13" s="9" t="s">
        <v>12</v>
      </c>
      <c r="D13" s="10" t="s">
        <v>16</v>
      </c>
      <c r="E13" s="8" t="s">
        <v>23</v>
      </c>
      <c r="F13" s="12">
        <v>2</v>
      </c>
      <c r="G13" s="13">
        <v>3100</v>
      </c>
      <c r="H13" s="13">
        <f t="shared" si="0"/>
        <v>6200</v>
      </c>
      <c r="I13" s="14"/>
    </row>
    <row r="14" spans="1:9">
      <c r="A14" s="8">
        <v>10</v>
      </c>
      <c r="B14" s="8">
        <v>2550</v>
      </c>
      <c r="C14" s="9" t="s">
        <v>13</v>
      </c>
      <c r="D14" s="10" t="s">
        <v>17</v>
      </c>
      <c r="E14" s="8" t="s">
        <v>23</v>
      </c>
      <c r="F14" s="12">
        <v>2</v>
      </c>
      <c r="G14" s="13">
        <v>2800</v>
      </c>
      <c r="H14" s="13">
        <f t="shared" si="0"/>
        <v>5600</v>
      </c>
      <c r="I14" s="14"/>
    </row>
    <row r="15" spans="1:9">
      <c r="A15" s="8">
        <v>11</v>
      </c>
      <c r="B15" s="8">
        <v>2551</v>
      </c>
      <c r="C15" s="9" t="s">
        <v>24</v>
      </c>
      <c r="D15" s="9" t="s">
        <v>26</v>
      </c>
      <c r="E15" s="11" t="s">
        <v>23</v>
      </c>
      <c r="F15" s="12">
        <v>1</v>
      </c>
      <c r="G15" s="16">
        <v>2765.75</v>
      </c>
      <c r="H15" s="13">
        <f t="shared" si="0"/>
        <v>2765.75</v>
      </c>
      <c r="I15" s="16"/>
    </row>
    <row r="16" spans="1:9">
      <c r="A16" s="8">
        <v>12</v>
      </c>
      <c r="B16" s="8">
        <v>2553</v>
      </c>
      <c r="C16" s="9" t="s">
        <v>25</v>
      </c>
      <c r="D16" s="9" t="s">
        <v>27</v>
      </c>
      <c r="E16" s="11" t="s">
        <v>22</v>
      </c>
      <c r="F16" s="12">
        <v>1</v>
      </c>
      <c r="G16" s="16">
        <v>900</v>
      </c>
      <c r="H16" s="13">
        <f t="shared" si="0"/>
        <v>900</v>
      </c>
      <c r="I16" s="16"/>
    </row>
    <row r="17" spans="1:15">
      <c r="A17" s="8">
        <v>13</v>
      </c>
      <c r="B17" s="17" t="s">
        <v>53</v>
      </c>
      <c r="C17" s="18" t="s">
        <v>52</v>
      </c>
      <c r="D17" s="19" t="s">
        <v>29</v>
      </c>
      <c r="E17" s="20" t="s">
        <v>22</v>
      </c>
      <c r="F17" s="21">
        <v>2</v>
      </c>
      <c r="G17" s="22">
        <v>17900</v>
      </c>
      <c r="H17" s="13">
        <f t="shared" si="0"/>
        <v>35800</v>
      </c>
      <c r="I17" s="23"/>
    </row>
    <row r="18" spans="1:15">
      <c r="A18" s="8">
        <v>14</v>
      </c>
      <c r="B18" s="15">
        <v>21927</v>
      </c>
      <c r="C18" s="18"/>
      <c r="D18" s="19" t="s">
        <v>28</v>
      </c>
      <c r="E18" s="20" t="s">
        <v>23</v>
      </c>
      <c r="F18" s="21">
        <v>1</v>
      </c>
      <c r="G18" s="22">
        <v>6450</v>
      </c>
      <c r="H18" s="13">
        <f t="shared" si="0"/>
        <v>6450</v>
      </c>
      <c r="I18" s="23"/>
    </row>
    <row r="19" spans="1:15">
      <c r="A19" s="8">
        <v>15</v>
      </c>
      <c r="B19" s="15">
        <v>22649</v>
      </c>
      <c r="C19" s="18" t="s">
        <v>34</v>
      </c>
      <c r="D19" s="19" t="s">
        <v>32</v>
      </c>
      <c r="E19" s="20" t="s">
        <v>23</v>
      </c>
      <c r="F19" s="21">
        <v>3</v>
      </c>
      <c r="G19" s="22">
        <v>2990</v>
      </c>
      <c r="H19" s="13">
        <f t="shared" si="0"/>
        <v>8970</v>
      </c>
      <c r="I19" s="23"/>
    </row>
    <row r="20" spans="1:15">
      <c r="A20" s="8">
        <v>16</v>
      </c>
      <c r="B20" s="15">
        <v>22830</v>
      </c>
      <c r="C20" s="18" t="s">
        <v>40</v>
      </c>
      <c r="D20" s="19" t="s">
        <v>33</v>
      </c>
      <c r="E20" s="20" t="s">
        <v>23</v>
      </c>
      <c r="F20" s="21">
        <v>3</v>
      </c>
      <c r="G20" s="22">
        <v>2550</v>
      </c>
      <c r="H20" s="13">
        <f t="shared" ref="H20:H22" si="1">SUM(F20*G20)</f>
        <v>7650</v>
      </c>
      <c r="I20" s="23"/>
    </row>
    <row r="21" spans="1:15">
      <c r="A21" s="8">
        <v>17</v>
      </c>
      <c r="B21" s="15">
        <v>22830</v>
      </c>
      <c r="C21" s="18" t="s">
        <v>35</v>
      </c>
      <c r="D21" s="19" t="s">
        <v>14</v>
      </c>
      <c r="E21" s="20" t="s">
        <v>23</v>
      </c>
      <c r="F21" s="21">
        <v>3</v>
      </c>
      <c r="G21" s="22">
        <v>3650</v>
      </c>
      <c r="H21" s="13">
        <f t="shared" si="1"/>
        <v>10950</v>
      </c>
      <c r="I21" s="23"/>
    </row>
    <row r="22" spans="1:15">
      <c r="A22" s="8">
        <v>18</v>
      </c>
      <c r="B22" s="15">
        <v>22887</v>
      </c>
      <c r="C22" s="18" t="s">
        <v>36</v>
      </c>
      <c r="D22" s="19" t="s">
        <v>37</v>
      </c>
      <c r="E22" s="20" t="s">
        <v>23</v>
      </c>
      <c r="F22" s="21">
        <v>1</v>
      </c>
      <c r="G22" s="22">
        <v>6311</v>
      </c>
      <c r="H22" s="13">
        <f t="shared" si="1"/>
        <v>6311</v>
      </c>
      <c r="I22" s="23"/>
    </row>
    <row r="23" spans="1:15">
      <c r="A23" s="8">
        <v>19</v>
      </c>
      <c r="B23" s="15">
        <v>22887</v>
      </c>
      <c r="C23" s="18" t="s">
        <v>38</v>
      </c>
      <c r="D23" s="19" t="s">
        <v>39</v>
      </c>
      <c r="E23" s="20" t="s">
        <v>23</v>
      </c>
      <c r="F23" s="21">
        <v>1</v>
      </c>
      <c r="G23" s="22">
        <v>5490</v>
      </c>
      <c r="H23" s="13">
        <f t="shared" si="0"/>
        <v>5490</v>
      </c>
      <c r="I23" s="23"/>
    </row>
    <row r="24" spans="1:15">
      <c r="A24" s="8">
        <v>20</v>
      </c>
      <c r="B24" s="15">
        <v>23418</v>
      </c>
      <c r="C24" s="18" t="s">
        <v>50</v>
      </c>
      <c r="D24" s="19" t="s">
        <v>51</v>
      </c>
      <c r="E24" s="20" t="s">
        <v>22</v>
      </c>
      <c r="F24" s="21">
        <v>1</v>
      </c>
      <c r="G24" s="22">
        <v>4990</v>
      </c>
      <c r="H24" s="13">
        <f t="shared" si="0"/>
        <v>4990</v>
      </c>
      <c r="I24" s="23"/>
    </row>
    <row r="25" spans="1:15">
      <c r="A25" s="8">
        <v>21</v>
      </c>
      <c r="B25" s="15">
        <v>24091</v>
      </c>
      <c r="C25" s="18" t="s">
        <v>54</v>
      </c>
      <c r="D25" s="26" t="s">
        <v>55</v>
      </c>
      <c r="E25" s="20" t="s">
        <v>23</v>
      </c>
      <c r="F25" s="21">
        <v>1</v>
      </c>
      <c r="G25" s="22">
        <v>150000</v>
      </c>
      <c r="H25" s="13">
        <f t="shared" si="0"/>
        <v>150000</v>
      </c>
      <c r="I25" s="27"/>
    </row>
    <row r="26" spans="1:15">
      <c r="A26" s="8">
        <v>22</v>
      </c>
      <c r="B26" s="15">
        <v>24158</v>
      </c>
      <c r="C26" s="18" t="s">
        <v>56</v>
      </c>
      <c r="D26" s="19" t="s">
        <v>57</v>
      </c>
      <c r="E26" s="20" t="s">
        <v>23</v>
      </c>
      <c r="F26" s="21">
        <v>1</v>
      </c>
      <c r="G26" s="22">
        <v>6550</v>
      </c>
      <c r="H26" s="13">
        <v>6550</v>
      </c>
      <c r="I26" s="23"/>
    </row>
    <row r="27" spans="1:15">
      <c r="A27" s="8">
        <v>23</v>
      </c>
      <c r="B27" s="15">
        <v>24270</v>
      </c>
      <c r="C27" s="18" t="s">
        <v>58</v>
      </c>
      <c r="D27" s="26" t="s">
        <v>59</v>
      </c>
      <c r="E27" s="20" t="s">
        <v>23</v>
      </c>
      <c r="F27" s="21">
        <v>1</v>
      </c>
      <c r="G27" s="22">
        <v>8000</v>
      </c>
      <c r="H27" s="13">
        <v>8000</v>
      </c>
      <c r="I27" s="23"/>
    </row>
    <row r="28" spans="1:15">
      <c r="A28" s="8">
        <v>24</v>
      </c>
      <c r="B28" s="15">
        <v>24500</v>
      </c>
      <c r="C28" s="18" t="s">
        <v>61</v>
      </c>
      <c r="D28" s="26" t="s">
        <v>62</v>
      </c>
      <c r="E28" s="28" t="s">
        <v>63</v>
      </c>
      <c r="F28" s="21">
        <v>30</v>
      </c>
      <c r="G28" s="22">
        <v>1900</v>
      </c>
      <c r="H28" s="13">
        <f>SUM(G28*F28)</f>
        <v>57000</v>
      </c>
      <c r="I28" s="23"/>
    </row>
    <row r="29" spans="1:15">
      <c r="A29" s="31" t="s">
        <v>47</v>
      </c>
      <c r="B29" s="32"/>
      <c r="C29" s="32"/>
      <c r="D29" s="32"/>
      <c r="E29" s="33"/>
      <c r="F29" s="3"/>
      <c r="G29" s="4"/>
      <c r="H29" s="25">
        <f>SUM(H5:H28)</f>
        <v>1883826.75</v>
      </c>
      <c r="I29" s="2"/>
    </row>
    <row r="30" spans="1:15">
      <c r="B30" s="5"/>
    </row>
    <row r="31" spans="1:15">
      <c r="B31" s="5"/>
      <c r="O31" s="24"/>
    </row>
    <row r="32" spans="1:15">
      <c r="B32" s="5"/>
      <c r="G32" s="29" t="s">
        <v>31</v>
      </c>
      <c r="H32" s="29"/>
      <c r="I32" s="29"/>
    </row>
    <row r="33" spans="2:9">
      <c r="B33" s="5"/>
      <c r="G33" s="29" t="s">
        <v>60</v>
      </c>
      <c r="H33" s="29"/>
      <c r="I33" s="29"/>
    </row>
    <row r="34" spans="2:9">
      <c r="B34" s="5"/>
      <c r="G34" s="29" t="s">
        <v>30</v>
      </c>
      <c r="H34" s="29"/>
      <c r="I34" s="29"/>
    </row>
    <row r="35" spans="2:9">
      <c r="B35" s="5"/>
    </row>
    <row r="36" spans="2:9">
      <c r="B36" s="5"/>
    </row>
  </sheetData>
  <mergeCells count="7">
    <mergeCell ref="G33:I33"/>
    <mergeCell ref="G34:I34"/>
    <mergeCell ref="A1:I1"/>
    <mergeCell ref="A2:I2"/>
    <mergeCell ref="A3:I3"/>
    <mergeCell ref="A29:E29"/>
    <mergeCell ref="G32:I32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2024-03-27T01:50:15Z</cp:lastPrinted>
  <dcterms:created xsi:type="dcterms:W3CDTF">2017-11-14T01:32:33Z</dcterms:created>
  <dcterms:modified xsi:type="dcterms:W3CDTF">2024-06-11T08:10:13Z</dcterms:modified>
</cp:coreProperties>
</file>