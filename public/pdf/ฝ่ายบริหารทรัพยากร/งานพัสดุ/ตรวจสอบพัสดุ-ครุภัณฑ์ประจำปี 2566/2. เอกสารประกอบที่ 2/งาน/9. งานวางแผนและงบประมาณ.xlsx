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รายการครุภัณ์คงเหลือ ปี 67\ครุภัณฑ์คงเหลือ 66\งาน\"/>
    </mc:Choice>
  </mc:AlternateContent>
  <xr:revisionPtr revIDLastSave="0" documentId="13_ncr:1_{9560B899-9809-4339-8F07-25655AE88A27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วางแผน" sheetId="17" r:id="rId1"/>
  </sheets>
  <calcPr calcId="191029"/>
</workbook>
</file>

<file path=xl/calcChain.xml><?xml version="1.0" encoding="utf-8"?>
<calcChain xmlns="http://schemas.openxmlformats.org/spreadsheetml/2006/main">
  <c r="H18" i="17" l="1"/>
  <c r="H17" i="17"/>
  <c r="H16" i="17"/>
  <c r="H15" i="17"/>
  <c r="H14" i="17"/>
  <c r="H13" i="17"/>
  <c r="H6" i="17" l="1"/>
  <c r="H7" i="17"/>
  <c r="H8" i="17"/>
  <c r="H9" i="17"/>
  <c r="H10" i="17"/>
  <c r="H11" i="17"/>
  <c r="H12" i="17"/>
  <c r="H5" i="17"/>
</calcChain>
</file>

<file path=xl/sharedStrings.xml><?xml version="1.0" encoding="utf-8"?>
<sst xmlns="http://schemas.openxmlformats.org/spreadsheetml/2006/main" count="58" uniqueCount="45">
  <si>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</si>
  <si>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</si>
  <si>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</si>
  <si>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</si>
  <si>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</si>
  <si>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บกศ.</t>
  </si>
  <si>
    <t>ตู้เหล็ก 2  บานเลื่อน</t>
  </si>
  <si>
    <t>ตู้เหล็ก 2 บานเลื่อน</t>
  </si>
  <si>
    <t>....................................................</t>
  </si>
  <si>
    <t>หัวหน้าหน่วยจ่าย/หน่วยเบิก</t>
  </si>
  <si>
    <t>7110-002-0006/401-004-005</t>
  </si>
  <si>
    <t>7110-007-0001/452-001</t>
  </si>
  <si>
    <t>7110-002-0006/502-085</t>
  </si>
  <si>
    <t>7110-002-0005/502-011</t>
  </si>
  <si>
    <t>7110-007-0002/502-002</t>
  </si>
  <si>
    <t>7110-006-0007/512-001</t>
  </si>
  <si>
    <t>7110-002-0002/531-005</t>
  </si>
  <si>
    <t>4120-001-0001/582-001</t>
  </si>
  <si>
    <t>โต๊ะคอมพิวเตอร์ + เก้าอี้</t>
  </si>
  <si>
    <t>ตู้เหล็ก 2  บานเปิด</t>
  </si>
  <si>
    <t>เก้าอี้สำนักงาน  S -35  หนัง</t>
  </si>
  <si>
    <t>ตู้เอกสาร  15  ลิ้นชัก</t>
  </si>
  <si>
    <t>เครื่องปรับอากาศ 12,000 บีซียู</t>
  </si>
  <si>
    <t>รวมเป็นเงิน</t>
  </si>
  <si>
    <t>7430-003-0001/632-002</t>
  </si>
  <si>
    <t>เครื่องปรื้นเตอร์ brother DCP-T510W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</si>
  <si>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</si>
  <si>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</si>
  <si>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</si>
  <si>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</si>
  <si>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</si>
  <si>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</si>
  <si>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งานวางแผนและงบประมาณ คงเหลือ</t>
  </si>
  <si>
    <t>2550</t>
  </si>
  <si>
    <t xml:space="preserve"> 8 มิ.ย.64</t>
  </si>
  <si>
    <t xml:space="preserve"> 8 ก.ค.63</t>
  </si>
  <si>
    <t>7440-010-0002/642-006(13)</t>
  </si>
  <si>
    <t>เครื่องพิมพ์เลเซอร์</t>
  </si>
  <si>
    <t>7440-001-0002/652-001</t>
  </si>
  <si>
    <t>เครื่องคอมพิวเตอร์ All In One</t>
  </si>
  <si>
    <t>(นางศิริรัตน์ คำเพราะ)</t>
  </si>
  <si>
    <t>7110-006-0002/662-001(2)</t>
  </si>
  <si>
    <t>เก้าอี้สำนักงาน พนักพิงเบาะผ้า</t>
  </si>
  <si>
    <t>7110-006-0007/662-001(3)</t>
  </si>
  <si>
    <t>ประจำปี 2566  ณ วันที่ 30 กันยายน 2566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</si>
</sst>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4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6" xfId="6" applyFont="1" applyBorder="1" applyAlignment="1">
      <alignment horizontal="left" vertical="center"/>
    </xf>
    <xf numFmtId="0" fontId="6" fillId="0" borderId="7" xfId="6" applyFont="1" applyBorder="1" applyAlignment="1">
      <alignment horizontal="left" vertical="center"/>
    </xf>
    <xf numFmtId="0" fontId="6" fillId="0" borderId="1" xfId="2" applyFont="1" applyBorder="1" applyAlignment="1">
      <alignment horizontal="center"/>
    </xf>
    <xf numFmtId="43" fontId="6" fillId="0" borderId="8" xfId="1" applyFont="1" applyBorder="1" applyAlignment="1">
      <alignment horizontal="center"/>
    </xf>
    <xf numFmtId="0" fontId="6" fillId="0" borderId="5" xfId="6" applyFont="1" applyBorder="1" applyAlignment="1">
      <alignment horizontal="left"/>
    </xf>
    <xf numFmtId="0" fontId="6" fillId="0" borderId="5" xfId="6" applyFont="1" applyBorder="1"/>
    <xf numFmtId="43" fontId="6" fillId="0" borderId="9" xfId="1" applyFont="1" applyBorder="1"/>
    <xf numFmtId="0" fontId="6" fillId="0" borderId="1" xfId="6" applyFont="1" applyBorder="1" applyAlignment="1">
      <alignment horizontal="left"/>
    </xf>
    <xf numFmtId="49" fontId="6" fillId="0" borderId="1" xfId="0" applyNumberFormat="1" applyFont="1" applyBorder="1" applyAlignment="1">
      <alignment horizontal="center"/>
    </xf>
    <xf numFmtId="43" fontId="6" fillId="0" borderId="9" xfId="1" applyFont="1" applyBorder="1" applyAlignment="1">
      <alignment horizontal="center"/>
    </xf>
    <xf numFmtId="0" fontId="6" fillId="0" borderId="1" xfId="6" applyFont="1" applyBorder="1"/>
    <xf numFmtId="43" fontId="6" fillId="0" borderId="2" xfId="1" applyFont="1" applyBorder="1"/>
    <xf numFmtId="43" fontId="6" fillId="0" borderId="1" xfId="1" applyFont="1" applyBorder="1"/>
    <xf numFmtId="43" fontId="6" fillId="0" borderId="1" xfId="1" applyFont="1" applyBorder="1" applyAlignment="1">
      <alignment horizontal="center"/>
    </xf>
    <xf numFmtId="15" fontId="5" fillId="0" borderId="1" xfId="0" applyNumberFormat="1" applyFont="1" applyBorder="1" applyAlignment="1">
      <alignment horizontal="center"/>
    </xf>
    <xf numFmtId="0" fontId="5" fillId="0" borderId="1" xfId="0" applyFont="1" applyBorder="1"/>
    <xf numFmtId="43" fontId="5" fillId="0" borderId="2" xfId="0" applyNumberFormat="1" applyFont="1" applyBorder="1"/>
    <xf numFmtId="43" fontId="5" fillId="0" borderId="1" xfId="0" applyNumberFormat="1" applyFont="1" applyBorder="1"/>
    <xf numFmtId="0" fontId="5" fillId="0" borderId="4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7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809625</xdr:colOff>
      <xdr:row>0</xdr:row>
      <xdr:rowOff>142875</xdr:rowOff>
    </xdr:from>
    <xdr:to>
      <xdr:col>8</xdr:col>
      <xdr:colOff>609600</xdr:colOff>
      <xdr:row>1</xdr:row>
      <xdr:rowOff>133350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 txBox="1"/>
      </xdr:nvSpPr>
      <xdr:spPr>
        <a:xfrm>
          <a:off x="8448675" y="142875"/>
          <a:ext cx="17145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93300"/>
  </sheetPr>
  <dimension ref="A1:J23"/>
  <sheetViews>
    <sheetView tabSelected="1" topLeftCell="A13" zoomScaleNormal="100" workbookViewId="0">
      <selection activeCell="A3" sqref="A3:I3"/>
    </sheetView>
  </sheetViews>
  <sheetFormatPr defaultColWidth="9" defaultRowHeight="24"/>
  <cols>
    <col min="1" max="1" width="5.42578125" style="1" customWidth="1"/>
    <col min="2" max="2" width="12.28515625" style="3" customWidth="1"/>
    <col min="3" max="3" width="28.5703125" style="1" customWidth="1"/>
    <col min="4" max="4" width="40" style="1" customWidth="1"/>
    <col min="5" max="5" width="7" style="1" customWidth="1"/>
    <col min="6" max="6" width="6.28515625" style="1" customWidth="1"/>
    <col min="7" max="7" width="12.140625" style="1" customWidth="1"/>
    <col min="8" max="8" width="13" style="1" customWidth="1"/>
    <col min="9" max="9" width="9.7109375" style="1" customWidth="1"/>
    <col min="10" max="10" width="16.140625" style="1" customWidth="1"/>
    <col min="11" max="16384" width="9" style="1"/>
  </cols>
  <sheetData>
    <row r="1" spans="1:10" ht="26.25" customHeight="1">
      <c r="A1" s="29" t="s">
        <v>3</v>
      </c>
      <c r="B1" s="29"/>
      <c r="C1" s="29"/>
      <c r="D1" s="29"/>
      <c r="E1" s="29"/>
      <c r="F1" s="29"/>
      <c r="G1" s="29"/>
      <c r="H1" s="29"/>
      <c r="I1" s="29"/>
    </row>
    <row r="2" spans="1:10" ht="26.25" customHeight="1">
      <c r="A2" s="29" t="s">
        <v>32</v>
      </c>
      <c r="B2" s="29"/>
      <c r="C2" s="29"/>
      <c r="D2" s="29"/>
      <c r="E2" s="29"/>
      <c r="F2" s="29"/>
      <c r="G2" s="29"/>
      <c r="H2" s="29"/>
      <c r="I2" s="29"/>
    </row>
    <row r="3" spans="1:10" ht="26.25" customHeight="1">
      <c r="A3" s="33" t="s">
        <v>44</v>
      </c>
      <c r="B3" s="33"/>
      <c r="C3" s="33"/>
      <c r="D3" s="33"/>
      <c r="E3" s="33"/>
      <c r="F3" s="33"/>
      <c r="G3" s="33"/>
      <c r="H3" s="33"/>
      <c r="I3" s="33"/>
    </row>
    <row r="4" spans="1:10" ht="44.25" customHeight="1">
      <c r="A4" s="6" t="s">
        <v>26</v>
      </c>
      <c r="B4" s="6" t="s">
        <v>29</v>
      </c>
      <c r="C4" s="6" t="s">
        <v>30</v>
      </c>
      <c r="D4" s="7" t="s">
        <v>0</v>
      </c>
      <c r="E4" s="6" t="s">
        <v>27</v>
      </c>
      <c r="F4" s="7" t="s">
        <v>1</v>
      </c>
      <c r="G4" s="6" t="s">
        <v>28</v>
      </c>
      <c r="H4" s="6" t="s">
        <v>31</v>
      </c>
      <c r="I4" s="7" t="s">
        <v>2</v>
      </c>
      <c r="J4" s="2"/>
    </row>
    <row r="5" spans="1:10">
      <c r="A5" s="8">
        <v>1</v>
      </c>
      <c r="B5" s="8">
        <v>2540</v>
      </c>
      <c r="C5" s="9" t="s">
        <v>10</v>
      </c>
      <c r="D5" s="10" t="s">
        <v>6</v>
      </c>
      <c r="E5" s="11" t="s">
        <v>4</v>
      </c>
      <c r="F5" s="11">
        <v>2</v>
      </c>
      <c r="G5" s="12">
        <v>2250</v>
      </c>
      <c r="H5" s="12">
        <f>SUM(F5*G5)</f>
        <v>4500</v>
      </c>
      <c r="I5" s="8"/>
    </row>
    <row r="6" spans="1:10">
      <c r="A6" s="8">
        <v>2</v>
      </c>
      <c r="B6" s="8">
        <v>2545</v>
      </c>
      <c r="C6" s="13" t="s">
        <v>11</v>
      </c>
      <c r="D6" s="14" t="s">
        <v>18</v>
      </c>
      <c r="E6" s="11" t="s">
        <v>5</v>
      </c>
      <c r="F6" s="11">
        <v>1</v>
      </c>
      <c r="G6" s="15">
        <v>3100</v>
      </c>
      <c r="H6" s="12">
        <f t="shared" ref="H6:H12" si="0">SUM(F6*G6)</f>
        <v>3100</v>
      </c>
      <c r="I6" s="8"/>
    </row>
    <row r="7" spans="1:10">
      <c r="A7" s="8">
        <v>3</v>
      </c>
      <c r="B7" s="17" t="s">
        <v>33</v>
      </c>
      <c r="C7" s="13" t="s">
        <v>12</v>
      </c>
      <c r="D7" s="13" t="s">
        <v>7</v>
      </c>
      <c r="E7" s="11" t="s">
        <v>5</v>
      </c>
      <c r="F7" s="11">
        <v>1</v>
      </c>
      <c r="G7" s="18">
        <v>2800</v>
      </c>
      <c r="H7" s="12">
        <f t="shared" si="0"/>
        <v>2800</v>
      </c>
      <c r="I7" s="8"/>
    </row>
    <row r="8" spans="1:10">
      <c r="A8" s="8">
        <v>4</v>
      </c>
      <c r="B8" s="8">
        <v>2550</v>
      </c>
      <c r="C8" s="13" t="s">
        <v>13</v>
      </c>
      <c r="D8" s="13" t="s">
        <v>19</v>
      </c>
      <c r="E8" s="11" t="s">
        <v>5</v>
      </c>
      <c r="F8" s="11">
        <v>1</v>
      </c>
      <c r="G8" s="18">
        <v>3000</v>
      </c>
      <c r="H8" s="12">
        <f t="shared" si="0"/>
        <v>3000</v>
      </c>
      <c r="I8" s="8"/>
    </row>
    <row r="9" spans="1:10">
      <c r="A9" s="8">
        <v>5</v>
      </c>
      <c r="B9" s="8">
        <v>2550</v>
      </c>
      <c r="C9" s="13" t="s">
        <v>14</v>
      </c>
      <c r="D9" s="14" t="s">
        <v>18</v>
      </c>
      <c r="E9" s="11" t="s">
        <v>5</v>
      </c>
      <c r="F9" s="11">
        <v>1</v>
      </c>
      <c r="G9" s="15">
        <v>1700</v>
      </c>
      <c r="H9" s="12">
        <f t="shared" si="0"/>
        <v>1700</v>
      </c>
      <c r="I9" s="8"/>
    </row>
    <row r="10" spans="1:10">
      <c r="A10" s="8">
        <v>6</v>
      </c>
      <c r="B10" s="8">
        <v>2551</v>
      </c>
      <c r="C10" s="16" t="s">
        <v>15</v>
      </c>
      <c r="D10" s="19" t="s">
        <v>20</v>
      </c>
      <c r="E10" s="11" t="s">
        <v>5</v>
      </c>
      <c r="F10" s="11">
        <v>1</v>
      </c>
      <c r="G10" s="20">
        <v>1006.25</v>
      </c>
      <c r="H10" s="12">
        <f t="shared" si="0"/>
        <v>1006.25</v>
      </c>
      <c r="I10" s="8"/>
    </row>
    <row r="11" spans="1:10">
      <c r="A11" s="8">
        <v>7</v>
      </c>
      <c r="B11" s="8">
        <v>2553</v>
      </c>
      <c r="C11" s="16" t="s">
        <v>16</v>
      </c>
      <c r="D11" s="19" t="s">
        <v>21</v>
      </c>
      <c r="E11" s="11" t="s">
        <v>4</v>
      </c>
      <c r="F11" s="11">
        <v>1</v>
      </c>
      <c r="G11" s="21">
        <v>3450</v>
      </c>
      <c r="H11" s="12">
        <f t="shared" si="0"/>
        <v>3450</v>
      </c>
      <c r="I11" s="8"/>
    </row>
    <row r="12" spans="1:10">
      <c r="A12" s="8">
        <v>8</v>
      </c>
      <c r="B12" s="8">
        <v>2558</v>
      </c>
      <c r="C12" s="16" t="s">
        <v>17</v>
      </c>
      <c r="D12" s="19" t="s">
        <v>22</v>
      </c>
      <c r="E12" s="11" t="s">
        <v>5</v>
      </c>
      <c r="F12" s="11">
        <v>1</v>
      </c>
      <c r="G12" s="21">
        <v>15700</v>
      </c>
      <c r="H12" s="12">
        <f t="shared" si="0"/>
        <v>15700</v>
      </c>
      <c r="I12" s="8"/>
    </row>
    <row r="13" spans="1:10">
      <c r="A13" s="8">
        <v>9</v>
      </c>
      <c r="B13" s="23" t="s">
        <v>35</v>
      </c>
      <c r="C13" s="16" t="s">
        <v>24</v>
      </c>
      <c r="D13" s="19" t="s">
        <v>25</v>
      </c>
      <c r="E13" s="11" t="s">
        <v>5</v>
      </c>
      <c r="F13" s="11">
        <v>1</v>
      </c>
      <c r="G13" s="21">
        <v>4990</v>
      </c>
      <c r="H13" s="12">
        <f t="shared" ref="H13:H17" si="1">SUM(F13*G13)</f>
        <v>4990</v>
      </c>
      <c r="I13" s="8"/>
    </row>
    <row r="14" spans="1:10">
      <c r="A14" s="8">
        <v>10</v>
      </c>
      <c r="B14" s="23" t="s">
        <v>34</v>
      </c>
      <c r="C14" s="16" t="s">
        <v>36</v>
      </c>
      <c r="D14" s="19" t="s">
        <v>37</v>
      </c>
      <c r="E14" s="11" t="s">
        <v>5</v>
      </c>
      <c r="F14" s="11">
        <v>1</v>
      </c>
      <c r="G14" s="21">
        <v>2690</v>
      </c>
      <c r="H14" s="12">
        <f t="shared" si="1"/>
        <v>2690</v>
      </c>
      <c r="I14" s="8"/>
    </row>
    <row r="15" spans="1:10">
      <c r="A15" s="8">
        <v>11</v>
      </c>
      <c r="B15" s="23">
        <v>23983</v>
      </c>
      <c r="C15" s="16" t="s">
        <v>38</v>
      </c>
      <c r="D15" s="19" t="s">
        <v>39</v>
      </c>
      <c r="E15" s="11" t="s">
        <v>5</v>
      </c>
      <c r="F15" s="11">
        <v>1</v>
      </c>
      <c r="G15" s="20">
        <v>17000</v>
      </c>
      <c r="H15" s="22">
        <f t="shared" si="1"/>
        <v>17000</v>
      </c>
      <c r="I15" s="4"/>
    </row>
    <row r="16" spans="1:10">
      <c r="A16" s="8">
        <v>12</v>
      </c>
      <c r="B16" s="23">
        <v>243391</v>
      </c>
      <c r="C16" s="16" t="s">
        <v>41</v>
      </c>
      <c r="D16" s="19" t="s">
        <v>42</v>
      </c>
      <c r="E16" s="11" t="s">
        <v>5</v>
      </c>
      <c r="F16" s="11">
        <v>2</v>
      </c>
      <c r="G16" s="21">
        <v>1590</v>
      </c>
      <c r="H16" s="22">
        <f t="shared" si="1"/>
        <v>3180</v>
      </c>
      <c r="I16" s="4"/>
    </row>
    <row r="17" spans="1:10">
      <c r="A17" s="8">
        <v>13</v>
      </c>
      <c r="B17" s="23">
        <v>243391</v>
      </c>
      <c r="C17" s="16" t="s">
        <v>43</v>
      </c>
      <c r="D17" s="19" t="s">
        <v>42</v>
      </c>
      <c r="E17" s="11" t="s">
        <v>5</v>
      </c>
      <c r="F17" s="11">
        <v>3</v>
      </c>
      <c r="G17" s="21">
        <v>1545</v>
      </c>
      <c r="H17" s="22">
        <f t="shared" si="1"/>
        <v>4635</v>
      </c>
      <c r="I17" s="4"/>
    </row>
    <row r="18" spans="1:10">
      <c r="A18" s="30" t="s">
        <v>23</v>
      </c>
      <c r="B18" s="31"/>
      <c r="C18" s="31"/>
      <c r="D18" s="31"/>
      <c r="E18" s="32"/>
      <c r="F18" s="24"/>
      <c r="G18" s="25"/>
      <c r="H18" s="26">
        <f>SUM(H5:H17)</f>
        <v>67751.25</v>
      </c>
      <c r="I18" s="27"/>
    </row>
    <row r="19" spans="1:10" ht="37.5" customHeight="1">
      <c r="A19" s="28"/>
      <c r="B19" s="5"/>
      <c r="C19" s="28"/>
      <c r="D19" s="28"/>
      <c r="E19" s="28"/>
      <c r="F19" s="28"/>
      <c r="G19" s="28"/>
      <c r="H19" s="28"/>
      <c r="I19" s="28"/>
    </row>
    <row r="20" spans="1:10">
      <c r="A20" s="28"/>
      <c r="B20" s="5"/>
      <c r="C20" s="28"/>
      <c r="D20" s="28"/>
      <c r="E20" s="28"/>
      <c r="F20" s="29" t="s">
        <v>8</v>
      </c>
      <c r="G20" s="29"/>
      <c r="H20" s="29"/>
      <c r="I20" s="29"/>
      <c r="J20" s="3"/>
    </row>
    <row r="21" spans="1:10">
      <c r="A21" s="28"/>
      <c r="B21" s="5"/>
      <c r="C21" s="28"/>
      <c r="D21" s="28"/>
      <c r="E21" s="28"/>
      <c r="F21" s="29" t="s">
        <v>40</v>
      </c>
      <c r="G21" s="29"/>
      <c r="H21" s="29"/>
      <c r="I21" s="29"/>
      <c r="J21" s="3"/>
    </row>
    <row r="22" spans="1:10">
      <c r="A22" s="28"/>
      <c r="B22" s="5"/>
      <c r="C22" s="28"/>
      <c r="D22" s="28"/>
      <c r="E22" s="28"/>
      <c r="F22" s="29" t="s">
        <v>9</v>
      </c>
      <c r="G22" s="29"/>
      <c r="H22" s="29"/>
      <c r="I22" s="29"/>
      <c r="J22" s="3"/>
    </row>
    <row r="23" spans="1:10">
      <c r="F23" s="3"/>
      <c r="G23" s="3"/>
      <c r="H23" s="3"/>
      <c r="I23" s="3"/>
      <c r="J23" s="3"/>
    </row>
  </sheetData>
  <mergeCells count="7">
    <mergeCell ref="F20:I20"/>
    <mergeCell ref="F21:I21"/>
    <mergeCell ref="F22:I22"/>
    <mergeCell ref="A18:E18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งานวางแผน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2024-06-12T03:38:28Z</cp:lastPrinted>
  <dcterms:created xsi:type="dcterms:W3CDTF">2017-11-14T01:32:33Z</dcterms:created>
  <dcterms:modified xsi:type="dcterms:W3CDTF">2024-06-12T03:38:33Z</dcterms:modified>
</cp:coreProperties>
</file>