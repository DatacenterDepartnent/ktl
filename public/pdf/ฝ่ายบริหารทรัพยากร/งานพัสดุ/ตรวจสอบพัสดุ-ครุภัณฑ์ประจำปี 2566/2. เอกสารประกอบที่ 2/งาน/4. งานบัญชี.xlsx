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55C8538B-0E91-4EB7-B144-74470EA8476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6" r:id="rId1"/>
  </sheets>
  <calcPr calcId="191029"/>
</workbook>
</file>

<file path=xl/calcChain.xml><?xml version="1.0" encoding="utf-8"?>
<calcChain xmlns="http://schemas.openxmlformats.org/spreadsheetml/2006/main">
  <c r="H14" i="6" l="1"/>
  <c r="H6" i="6" l="1"/>
  <c r="H7" i="6"/>
  <c r="H8" i="6"/>
  <c r="H9" i="6"/>
  <c r="H10" i="6"/>
  <c r="H11" i="6"/>
  <c r="H12" i="6"/>
  <c r="H13" i="6"/>
  <c r="H5" i="6"/>
  <c r="H15" i="6" s="1"/>
</calcChain>
</file>

<file path=xl/sharedStrings.xml><?xml version="1.0" encoding="utf-8"?>
<sst xmlns="http://schemas.openxmlformats.org/spreadsheetml/2006/main" count="49" uniqueCount="40">
  <si>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</si>
  <si>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</si>
  <si>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</si>
  <si>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</si>
  <si>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</si>
  <si>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</si>
  <si>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7440-001-0002/582-001</t>
  </si>
  <si>
    <t>FLASH DRIVE 512 MB</t>
  </si>
  <si>
    <t>เครื่องปริ้นเตอร์ HP Laserjet P 1102</t>
  </si>
  <si>
    <t>หัวหน้าหน่วยจ่าย/หน่วยเบิก</t>
  </si>
  <si>
    <t>7110-002-0005/492-009</t>
  </si>
  <si>
    <t>7110-002-0006/492-079</t>
  </si>
  <si>
    <t>7440-009-0001/492-002</t>
  </si>
  <si>
    <t>7110-002-0005/501-017-018</t>
  </si>
  <si>
    <t>7430-008-0003/521-013</t>
  </si>
  <si>
    <t>7430-008-0002/531-018</t>
  </si>
  <si>
    <t>7110-007-0003/531-017</t>
  </si>
  <si>
    <t>ตู้เหล็ก  2  บานเปิด</t>
  </si>
  <si>
    <t>ตู้บานเลื่อนกระจก 4 ฟุต</t>
  </si>
  <si>
    <t>เครื่องปริ้นเตอร์ HP 1006</t>
  </si>
  <si>
    <t>โต๊ะระดับ  3-6</t>
  </si>
  <si>
    <t>เครื่องคอมพิวเตอร์ALL IN ONE</t>
  </si>
  <si>
    <t>(นางสาวสุลัดดา  ยอดกุล)</t>
  </si>
  <si>
    <t>7440-001-0002/632-001</t>
  </si>
  <si>
    <t>เครื่องคอมพิวเตอร์ LENOVO</t>
  </si>
  <si>
    <t>.........................................................</t>
  </si>
  <si>
    <t xml:space="preserve"> 29 มิ.ย.58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</si>
  <si>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</si>
  <si>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</si>
  <si>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</si>
  <si>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</si>
  <si>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</si>
  <si>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</si>
  <si>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</si>
  <si>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12 มิ.ย.63</t>
  </si>
  <si>
    <t>บัญชีรายการ  งานบัญชี คงเหลือ</t>
  </si>
  <si>
    <t>20/02/2023</t>
  </si>
  <si>
    <t>7440-010-0001/662-002</t>
  </si>
  <si>
    <t>printer Epson L3216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</si>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</sst>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43" fontId="3" fillId="0" borderId="0" xfId="5" applyNumberFormat="1" applyFont="1"/>
    <xf numFmtId="43" fontId="4" fillId="0" borderId="0" xfId="1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/>
    <xf numFmtId="43" fontId="8" fillId="0" borderId="1" xfId="1" applyFont="1" applyBorder="1"/>
    <xf numFmtId="43" fontId="8" fillId="0" borderId="1" xfId="6" applyNumberFormat="1" applyFont="1" applyBorder="1"/>
    <xf numFmtId="49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43" fontId="6" fillId="0" borderId="1" xfId="1" applyFont="1" applyBorder="1"/>
    <xf numFmtId="43" fontId="8" fillId="0" borderId="1" xfId="5" applyNumberFormat="1" applyFont="1" applyBorder="1"/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38101</xdr:colOff>
      <xdr:row>0</xdr:row>
      <xdr:rowOff>133350</xdr:rowOff>
    </xdr:from>
    <xdr:to>
      <xdr:col>8</xdr:col>
      <xdr:colOff>733426</xdr:colOff>
      <xdr:row>1</xdr:row>
      <xdr:rowOff>123826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8315326" y="133350"/>
          <a:ext cx="1752600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J21"/>
  <sheetViews>
    <sheetView tabSelected="1" zoomScaleNormal="100" workbookViewId="0">
      <selection activeCell="D16" sqref="D16"/>
    </sheetView>
  </sheetViews>
  <sheetFormatPr defaultColWidth="9" defaultRowHeight="24"/>
  <cols>
    <col min="1" max="1" width="5.5703125" style="1" customWidth="1"/>
    <col min="2" max="2" width="13.85546875" style="1" customWidth="1"/>
    <col min="3" max="3" width="29.28515625" style="1" customWidth="1"/>
    <col min="4" max="4" width="34" style="1" customWidth="1"/>
    <col min="5" max="5" width="6.85546875" style="1" customWidth="1"/>
    <col min="6" max="6" width="7.28515625" style="1" customWidth="1"/>
    <col min="7" max="7" width="11.7109375" style="1" customWidth="1"/>
    <col min="8" max="8" width="13.85546875" style="1" customWidth="1"/>
    <col min="9" max="9" width="11.5703125" style="1" customWidth="1"/>
    <col min="10" max="10" width="20.7109375" style="1" customWidth="1"/>
    <col min="11" max="16384" width="9" style="1"/>
  </cols>
  <sheetData>
    <row r="1" spans="1:10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>
      <c r="A2" s="27" t="s">
        <v>35</v>
      </c>
      <c r="B2" s="27"/>
      <c r="C2" s="27"/>
      <c r="D2" s="27"/>
      <c r="E2" s="27"/>
      <c r="F2" s="27"/>
      <c r="G2" s="27"/>
      <c r="H2" s="27"/>
      <c r="I2" s="27"/>
    </row>
    <row r="3" spans="1:10">
      <c r="A3" s="28" t="s">
        <v>39</v>
      </c>
      <c r="B3" s="28"/>
      <c r="C3" s="28"/>
      <c r="D3" s="28"/>
      <c r="E3" s="28"/>
      <c r="F3" s="28"/>
      <c r="G3" s="28"/>
      <c r="H3" s="28"/>
      <c r="I3" s="28"/>
    </row>
    <row r="4" spans="1:10" s="2" customFormat="1" ht="40.5" customHeight="1">
      <c r="A4" s="8" t="s">
        <v>27</v>
      </c>
      <c r="B4" s="8" t="s">
        <v>30</v>
      </c>
      <c r="C4" s="8" t="s">
        <v>31</v>
      </c>
      <c r="D4" s="9" t="s">
        <v>0</v>
      </c>
      <c r="E4" s="8" t="s">
        <v>28</v>
      </c>
      <c r="F4" s="9" t="s">
        <v>1</v>
      </c>
      <c r="G4" s="8" t="s">
        <v>29</v>
      </c>
      <c r="H4" s="8" t="s">
        <v>33</v>
      </c>
      <c r="I4" s="9" t="s">
        <v>2</v>
      </c>
    </row>
    <row r="5" spans="1:10" s="3" customFormat="1">
      <c r="A5" s="10">
        <v>1</v>
      </c>
      <c r="B5" s="10">
        <v>2549</v>
      </c>
      <c r="C5" s="11" t="s">
        <v>10</v>
      </c>
      <c r="D5" s="12" t="s">
        <v>17</v>
      </c>
      <c r="E5" s="13" t="s">
        <v>5</v>
      </c>
      <c r="F5" s="14">
        <v>1</v>
      </c>
      <c r="G5" s="15">
        <v>3000</v>
      </c>
      <c r="H5" s="15">
        <f>SUM(F5*G5)</f>
        <v>3000</v>
      </c>
      <c r="I5" s="10"/>
      <c r="J5" s="1"/>
    </row>
    <row r="6" spans="1:10" s="3" customFormat="1">
      <c r="A6" s="10">
        <v>2</v>
      </c>
      <c r="B6" s="10">
        <v>2549</v>
      </c>
      <c r="C6" s="11" t="s">
        <v>11</v>
      </c>
      <c r="D6" s="12" t="s">
        <v>18</v>
      </c>
      <c r="E6" s="13" t="s">
        <v>5</v>
      </c>
      <c r="F6" s="14">
        <v>1</v>
      </c>
      <c r="G6" s="15">
        <v>2800</v>
      </c>
      <c r="H6" s="15">
        <f t="shared" ref="H6:H13" si="0">SUM(F6*G6)</f>
        <v>2800</v>
      </c>
      <c r="I6" s="10"/>
      <c r="J6" s="1"/>
    </row>
    <row r="7" spans="1:10" s="3" customFormat="1">
      <c r="A7" s="10">
        <v>3</v>
      </c>
      <c r="B7" s="10">
        <v>2549</v>
      </c>
      <c r="C7" s="11" t="s">
        <v>12</v>
      </c>
      <c r="D7" s="12" t="s">
        <v>7</v>
      </c>
      <c r="E7" s="13" t="s">
        <v>5</v>
      </c>
      <c r="F7" s="14">
        <v>1</v>
      </c>
      <c r="G7" s="15">
        <v>695.5</v>
      </c>
      <c r="H7" s="15">
        <f t="shared" si="0"/>
        <v>695.5</v>
      </c>
      <c r="I7" s="10"/>
      <c r="J7" s="1"/>
    </row>
    <row r="8" spans="1:10" s="3" customFormat="1">
      <c r="A8" s="10">
        <v>4</v>
      </c>
      <c r="B8" s="10">
        <v>2550</v>
      </c>
      <c r="C8" s="11" t="s">
        <v>13</v>
      </c>
      <c r="D8" s="12" t="s">
        <v>17</v>
      </c>
      <c r="E8" s="13" t="s">
        <v>4</v>
      </c>
      <c r="F8" s="14">
        <v>2</v>
      </c>
      <c r="G8" s="15">
        <v>3000</v>
      </c>
      <c r="H8" s="15">
        <f t="shared" si="0"/>
        <v>6000</v>
      </c>
      <c r="I8" s="10"/>
      <c r="J8" s="1"/>
    </row>
    <row r="9" spans="1:10" s="3" customFormat="1">
      <c r="A9" s="10">
        <v>5</v>
      </c>
      <c r="B9" s="10">
        <v>2552</v>
      </c>
      <c r="C9" s="11" t="s">
        <v>14</v>
      </c>
      <c r="D9" s="12" t="s">
        <v>19</v>
      </c>
      <c r="E9" s="13" t="s">
        <v>4</v>
      </c>
      <c r="F9" s="14">
        <v>1</v>
      </c>
      <c r="G9" s="15">
        <v>4900</v>
      </c>
      <c r="H9" s="15">
        <f t="shared" si="0"/>
        <v>4900</v>
      </c>
      <c r="I9" s="10"/>
      <c r="J9" s="1"/>
    </row>
    <row r="10" spans="1:10" s="3" customFormat="1">
      <c r="A10" s="10">
        <v>6</v>
      </c>
      <c r="B10" s="10">
        <v>2553</v>
      </c>
      <c r="C10" s="11" t="s">
        <v>15</v>
      </c>
      <c r="D10" s="12" t="s">
        <v>8</v>
      </c>
      <c r="E10" s="13" t="s">
        <v>4</v>
      </c>
      <c r="F10" s="14">
        <v>1</v>
      </c>
      <c r="G10" s="16">
        <v>3950</v>
      </c>
      <c r="H10" s="15">
        <f t="shared" si="0"/>
        <v>3950</v>
      </c>
      <c r="I10" s="10"/>
      <c r="J10" s="1"/>
    </row>
    <row r="11" spans="1:10" s="3" customFormat="1">
      <c r="A11" s="10">
        <v>7</v>
      </c>
      <c r="B11" s="10">
        <v>2553</v>
      </c>
      <c r="C11" s="11" t="s">
        <v>16</v>
      </c>
      <c r="D11" s="12" t="s">
        <v>20</v>
      </c>
      <c r="E11" s="13" t="s">
        <v>4</v>
      </c>
      <c r="F11" s="14">
        <v>1</v>
      </c>
      <c r="G11" s="17">
        <v>3300</v>
      </c>
      <c r="H11" s="15">
        <f t="shared" si="0"/>
        <v>3300</v>
      </c>
      <c r="I11" s="10"/>
      <c r="J11" s="1"/>
    </row>
    <row r="12" spans="1:10" s="3" customFormat="1">
      <c r="A12" s="10">
        <v>8</v>
      </c>
      <c r="B12" s="18" t="s">
        <v>26</v>
      </c>
      <c r="C12" s="19" t="s">
        <v>6</v>
      </c>
      <c r="D12" s="20" t="s">
        <v>21</v>
      </c>
      <c r="E12" s="13" t="s">
        <v>5</v>
      </c>
      <c r="F12" s="14">
        <v>1</v>
      </c>
      <c r="G12" s="21">
        <v>20000</v>
      </c>
      <c r="H12" s="15">
        <f t="shared" si="0"/>
        <v>20000</v>
      </c>
      <c r="I12" s="10"/>
      <c r="J12" s="1"/>
    </row>
    <row r="13" spans="1:10" s="3" customFormat="1">
      <c r="A13" s="10">
        <v>9</v>
      </c>
      <c r="B13" s="18" t="s">
        <v>34</v>
      </c>
      <c r="C13" s="19" t="s">
        <v>23</v>
      </c>
      <c r="D13" s="20" t="s">
        <v>24</v>
      </c>
      <c r="E13" s="13" t="s">
        <v>5</v>
      </c>
      <c r="F13" s="14">
        <v>1</v>
      </c>
      <c r="G13" s="21">
        <v>16800</v>
      </c>
      <c r="H13" s="15">
        <f t="shared" si="0"/>
        <v>16800</v>
      </c>
      <c r="I13" s="10"/>
      <c r="J13" s="1"/>
    </row>
    <row r="14" spans="1:10" s="3" customFormat="1">
      <c r="A14" s="10">
        <v>10</v>
      </c>
      <c r="B14" s="18" t="s">
        <v>36</v>
      </c>
      <c r="C14" s="19" t="s">
        <v>37</v>
      </c>
      <c r="D14" s="20" t="s">
        <v>38</v>
      </c>
      <c r="E14" s="13" t="s">
        <v>5</v>
      </c>
      <c r="F14" s="14">
        <v>1</v>
      </c>
      <c r="G14" s="21">
        <v>6550</v>
      </c>
      <c r="H14" s="15">
        <f>SUM(F14*G14)</f>
        <v>6550</v>
      </c>
      <c r="I14" s="10"/>
      <c r="J14" s="1"/>
    </row>
    <row r="15" spans="1:10" ht="23.25" customHeight="1">
      <c r="A15" s="24" t="s">
        <v>32</v>
      </c>
      <c r="B15" s="25"/>
      <c r="C15" s="25"/>
      <c r="D15" s="25"/>
      <c r="E15" s="26"/>
      <c r="F15" s="22"/>
      <c r="G15" s="22"/>
      <c r="H15" s="21">
        <f>SUM(H5:H14)</f>
        <v>67995.5</v>
      </c>
      <c r="I15" s="20"/>
    </row>
    <row r="16" spans="1:10">
      <c r="A16" s="7"/>
      <c r="B16" s="7"/>
      <c r="C16" s="7"/>
      <c r="D16" s="7"/>
      <c r="E16" s="7"/>
      <c r="F16" s="4"/>
      <c r="G16" s="4"/>
      <c r="H16" s="5"/>
    </row>
    <row r="17" spans="1:10">
      <c r="A17" s="7"/>
      <c r="B17" s="7"/>
      <c r="C17" s="7"/>
      <c r="D17" s="7"/>
      <c r="E17" s="7"/>
      <c r="F17" s="4"/>
      <c r="G17" s="4"/>
      <c r="H17" s="5"/>
    </row>
    <row r="18" spans="1:10">
      <c r="G18" s="23" t="s">
        <v>25</v>
      </c>
      <c r="H18" s="23"/>
      <c r="I18" s="23"/>
      <c r="J18" s="6"/>
    </row>
    <row r="19" spans="1:10">
      <c r="G19" s="23" t="s">
        <v>22</v>
      </c>
      <c r="H19" s="23"/>
      <c r="I19" s="23"/>
      <c r="J19" s="6"/>
    </row>
    <row r="20" spans="1:10">
      <c r="G20" s="23" t="s">
        <v>9</v>
      </c>
      <c r="H20" s="23"/>
      <c r="I20" s="23"/>
      <c r="J20" s="6"/>
    </row>
    <row r="21" spans="1:10" ht="24" customHeight="1"/>
  </sheetData>
  <mergeCells count="7">
    <mergeCell ref="G19:I19"/>
    <mergeCell ref="G20:I20"/>
    <mergeCell ref="A15:E15"/>
    <mergeCell ref="A1:I1"/>
    <mergeCell ref="A2:I2"/>
    <mergeCell ref="A3:I3"/>
    <mergeCell ref="G18:I18"/>
  </mergeCells>
  <phoneticPr fontId="9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2022-10-07T06:58:40Z</cp:lastPrinted>
  <dcterms:created xsi:type="dcterms:W3CDTF">2017-11-14T01:32:33Z</dcterms:created>
  <dcterms:modified xsi:type="dcterms:W3CDTF">2024-06-11T08:11:52Z</dcterms:modified>
</cp:coreProperties>
</file>