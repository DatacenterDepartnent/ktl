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921C95C1-A6FC-4675-B06F-6B52A056CF23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ริหารงานทั่วไป" sheetId="5" r:id="rId1"/>
  </sheets>
  <calcPr calcId="191029"/>
</workbook>
</file>

<file path=xl/calcChain.xml><?xml version="1.0" encoding="utf-8"?>
<calcChain xmlns="http://schemas.openxmlformats.org/spreadsheetml/2006/main">
  <c r="H6" i="5" l="1"/>
  <c r="H7" i="5"/>
  <c r="H8" i="5"/>
  <c r="H9" i="5"/>
  <c r="H10" i="5"/>
  <c r="H11" i="5"/>
  <c r="H12" i="5"/>
  <c r="H5" i="5"/>
  <c r="H13" i="5" l="1"/>
</calcChain>
</file>

<file path=xl/sharedStrings.xml><?xml version="1.0" encoding="utf-8"?>
<sst xmlns="http://schemas.openxmlformats.org/spreadsheetml/2006/main" count="40" uniqueCount="35">
  <si>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</si>
  <si>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</si>
  <si>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</si>
  <si>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</si>
  <si>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</si>
  <si>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</si>
  <si>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เครื่องสำรองไฟฟ้า</t>
  </si>
  <si>
    <t>7430-003-6001</t>
  </si>
  <si>
    <t>7125-002-0002/391-001</t>
  </si>
  <si>
    <t>7110-002-0006/492-070</t>
  </si>
  <si>
    <t>7110-007-0001/502-010</t>
  </si>
  <si>
    <t>6130-001-0001/531-005</t>
  </si>
  <si>
    <t>7110-002-0002/572-001-002</t>
  </si>
  <si>
    <t>ตู้เหล็ก 4 ลิ้นชัก KINGK0NG</t>
  </si>
  <si>
    <t>ตู้เหล็ก 2 บานเลื่อนกระจก 4 ฟุต</t>
  </si>
  <si>
    <t>โต๊ะวางเครื่องคอม+เก้าอี้</t>
  </si>
  <si>
    <t>ตู้เหล็ก 2 ประตู บานเปิด</t>
  </si>
  <si>
    <t>KYOCERA FS-6025</t>
  </si>
  <si>
    <t>เครื่องคอมพิวเตอร์ตั้งโต๊ะ All-in-one</t>
  </si>
  <si>
    <t>หัวหน้าหน่วยจ่าย/หน่วยเบิก</t>
  </si>
  <si>
    <t>...........................................................</t>
  </si>
  <si>
    <t>744-001-6002</t>
  </si>
  <si>
    <t>7490-014-0001/622-001</t>
  </si>
  <si>
    <t xml:space="preserve">เครื่อง FAX </t>
  </si>
  <si>
    <t xml:space="preserve">งปม. 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</si>
  <si>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</si>
  <si>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</si>
  <si>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</si>
  <si>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</si>
  <si>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</si>
  <si>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</si>
  <si>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</si>
  <si>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งานบริหารงานทั่วไป  คงเหลือ</t>
  </si>
  <si>
    <t>(นางศริญญา ผาแก้ว)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</si>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</sst>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6" applyFont="1" applyBorder="1" applyAlignment="1">
      <alignment horizontal="center" vertical="center"/>
    </xf>
    <xf numFmtId="0" fontId="6" fillId="0" borderId="1" xfId="6" applyFont="1" applyBorder="1" applyAlignment="1">
      <alignment horizontal="left" vertical="center"/>
    </xf>
    <xf numFmtId="0" fontId="6" fillId="0" borderId="1" xfId="2" applyFont="1" applyBorder="1" applyAlignment="1">
      <alignment horizontal="center"/>
    </xf>
    <xf numFmtId="0" fontId="6" fillId="0" borderId="1" xfId="5" applyFont="1" applyBorder="1" applyAlignment="1">
      <alignment horizontal="center"/>
    </xf>
    <xf numFmtId="43" fontId="6" fillId="0" borderId="2" xfId="1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" xfId="6" applyFont="1" applyBorder="1"/>
    <xf numFmtId="43" fontId="6" fillId="0" borderId="2" xfId="6" applyNumberFormat="1" applyFont="1" applyBorder="1"/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43" fontId="6" fillId="0" borderId="1" xfId="1" applyFont="1" applyFill="1" applyBorder="1" applyAlignment="1">
      <alignment horizontal="center"/>
    </xf>
    <xf numFmtId="43" fontId="6" fillId="0" borderId="2" xfId="1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5" xfId="6" applyFont="1" applyBorder="1" applyAlignment="1">
      <alignment horizontal="center"/>
    </xf>
    <xf numFmtId="0" fontId="6" fillId="0" borderId="5" xfId="6" applyFont="1" applyBorder="1"/>
    <xf numFmtId="0" fontId="6" fillId="0" borderId="5" xfId="2" applyFont="1" applyBorder="1" applyAlignment="1">
      <alignment horizontal="center"/>
    </xf>
    <xf numFmtId="0" fontId="6" fillId="0" borderId="5" xfId="5" applyFont="1" applyBorder="1" applyAlignment="1">
      <alignment horizontal="center"/>
    </xf>
    <xf numFmtId="43" fontId="6" fillId="0" borderId="5" xfId="1" applyFont="1" applyBorder="1"/>
    <xf numFmtId="15" fontId="6" fillId="0" borderId="1" xfId="7" applyNumberFormat="1" applyFont="1" applyBorder="1" applyAlignment="1">
      <alignment horizontal="center"/>
    </xf>
    <xf numFmtId="49" fontId="6" fillId="2" borderId="1" xfId="0" applyNumberFormat="1" applyFont="1" applyFill="1" applyBorder="1" applyAlignment="1">
      <alignment horizontal="center" vertical="center"/>
    </xf>
    <xf numFmtId="43" fontId="6" fillId="0" borderId="1" xfId="1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43" fontId="6" fillId="0" borderId="1" xfId="1" applyFont="1" applyBorder="1"/>
    <xf numFmtId="43" fontId="6" fillId="0" borderId="1" xfId="5" applyNumberFormat="1" applyFont="1" applyBorder="1"/>
    <xf numFmtId="43" fontId="6" fillId="0" borderId="4" xfId="5" applyNumberFormat="1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57150</xdr:rowOff>
    </xdr:from>
    <xdr:to>
      <xdr:col>8</xdr:col>
      <xdr:colOff>781050</xdr:colOff>
      <xdr:row>1</xdr:row>
      <xdr:rowOff>76200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0" y="57150"/>
          <a:ext cx="16668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I17"/>
  <sheetViews>
    <sheetView tabSelected="1" zoomScaleNormal="100" workbookViewId="0">
      <selection activeCell="D12" sqref="D12"/>
    </sheetView>
  </sheetViews>
  <sheetFormatPr defaultColWidth="9" defaultRowHeight="24"/>
  <cols>
    <col min="1" max="1" width="5.42578125" style="1" customWidth="1"/>
    <col min="2" max="2" width="11.5703125" style="1" customWidth="1"/>
    <col min="3" max="3" width="29.5703125" style="1" customWidth="1"/>
    <col min="4" max="4" width="33.5703125" style="1" customWidth="1"/>
    <col min="5" max="5" width="8" style="1" customWidth="1"/>
    <col min="6" max="6" width="7.28515625" style="1" customWidth="1"/>
    <col min="7" max="7" width="12.85546875" style="1" customWidth="1"/>
    <col min="8" max="8" width="14.42578125" style="1" customWidth="1"/>
    <col min="9" max="9" width="12.28515625" style="2" customWidth="1"/>
    <col min="10" max="16384" width="9" style="1"/>
  </cols>
  <sheetData>
    <row r="1" spans="1:9">
      <c r="A1" s="35" t="s">
        <v>3</v>
      </c>
      <c r="B1" s="35"/>
      <c r="C1" s="35"/>
      <c r="D1" s="35"/>
      <c r="E1" s="35"/>
      <c r="F1" s="35"/>
      <c r="G1" s="35"/>
      <c r="H1" s="35"/>
      <c r="I1" s="35"/>
    </row>
    <row r="2" spans="1:9">
      <c r="A2" s="35" t="s">
        <v>32</v>
      </c>
      <c r="B2" s="35"/>
      <c r="C2" s="35"/>
      <c r="D2" s="35"/>
      <c r="E2" s="35"/>
      <c r="F2" s="35"/>
      <c r="G2" s="35"/>
      <c r="H2" s="35"/>
      <c r="I2" s="35"/>
    </row>
    <row r="3" spans="1:9">
      <c r="A3" s="36" t="s">
        <v>34</v>
      </c>
      <c r="B3" s="36"/>
      <c r="C3" s="36"/>
      <c r="D3" s="36"/>
      <c r="E3" s="36"/>
      <c r="F3" s="36"/>
      <c r="G3" s="36"/>
      <c r="H3" s="36"/>
      <c r="I3" s="36"/>
    </row>
    <row r="4" spans="1:9" s="3" customFormat="1" ht="43.5" customHeight="1">
      <c r="A4" s="4" t="s">
        <v>25</v>
      </c>
      <c r="B4" s="4" t="s">
        <v>28</v>
      </c>
      <c r="C4" s="4" t="s">
        <v>29</v>
      </c>
      <c r="D4" s="5" t="s">
        <v>0</v>
      </c>
      <c r="E4" s="4" t="s">
        <v>26</v>
      </c>
      <c r="F4" s="5" t="s">
        <v>1</v>
      </c>
      <c r="G4" s="4" t="s">
        <v>27</v>
      </c>
      <c r="H4" s="4" t="s">
        <v>31</v>
      </c>
      <c r="I4" s="5" t="s">
        <v>2</v>
      </c>
    </row>
    <row r="5" spans="1:9">
      <c r="A5" s="6">
        <v>1</v>
      </c>
      <c r="B5" s="6">
        <v>2539</v>
      </c>
      <c r="C5" s="7" t="s">
        <v>8</v>
      </c>
      <c r="D5" s="8" t="s">
        <v>13</v>
      </c>
      <c r="E5" s="9" t="s">
        <v>4</v>
      </c>
      <c r="F5" s="10">
        <v>1</v>
      </c>
      <c r="G5" s="11">
        <v>2300</v>
      </c>
      <c r="H5" s="11">
        <f>SUM(F5*G5)</f>
        <v>2300</v>
      </c>
      <c r="I5" s="6"/>
    </row>
    <row r="6" spans="1:9">
      <c r="A6" s="6">
        <v>2</v>
      </c>
      <c r="B6" s="6">
        <v>2549</v>
      </c>
      <c r="C6" s="12" t="s">
        <v>9</v>
      </c>
      <c r="D6" s="13" t="s">
        <v>14</v>
      </c>
      <c r="E6" s="9" t="s">
        <v>5</v>
      </c>
      <c r="F6" s="10">
        <v>1</v>
      </c>
      <c r="G6" s="14">
        <v>2800</v>
      </c>
      <c r="H6" s="11">
        <f t="shared" ref="H6:H12" si="0">SUM(F6*G6)</f>
        <v>2800</v>
      </c>
      <c r="I6" s="6"/>
    </row>
    <row r="7" spans="1:9">
      <c r="A7" s="6">
        <v>3</v>
      </c>
      <c r="B7" s="6">
        <v>2550</v>
      </c>
      <c r="C7" s="12" t="s">
        <v>10</v>
      </c>
      <c r="D7" s="13" t="s">
        <v>15</v>
      </c>
      <c r="E7" s="9" t="s">
        <v>5</v>
      </c>
      <c r="F7" s="10">
        <v>1</v>
      </c>
      <c r="G7" s="14">
        <v>1700</v>
      </c>
      <c r="H7" s="11">
        <f t="shared" si="0"/>
        <v>1700</v>
      </c>
      <c r="I7" s="6"/>
    </row>
    <row r="8" spans="1:9">
      <c r="A8" s="6">
        <v>4</v>
      </c>
      <c r="B8" s="6">
        <v>2553</v>
      </c>
      <c r="C8" s="15" t="s">
        <v>11</v>
      </c>
      <c r="D8" s="16" t="s">
        <v>6</v>
      </c>
      <c r="E8" s="9" t="s">
        <v>4</v>
      </c>
      <c r="F8" s="10">
        <v>1</v>
      </c>
      <c r="G8" s="17">
        <v>2590</v>
      </c>
      <c r="H8" s="18">
        <f t="shared" si="0"/>
        <v>2590</v>
      </c>
      <c r="I8" s="6"/>
    </row>
    <row r="9" spans="1:9">
      <c r="A9" s="6">
        <v>5</v>
      </c>
      <c r="B9" s="19">
        <v>2557</v>
      </c>
      <c r="C9" s="20" t="s">
        <v>12</v>
      </c>
      <c r="D9" s="21" t="s">
        <v>16</v>
      </c>
      <c r="E9" s="22" t="s">
        <v>5</v>
      </c>
      <c r="F9" s="23">
        <v>2</v>
      </c>
      <c r="G9" s="24">
        <v>5400</v>
      </c>
      <c r="H9" s="11">
        <f t="shared" si="0"/>
        <v>10800</v>
      </c>
      <c r="I9" s="19"/>
    </row>
    <row r="10" spans="1:9">
      <c r="A10" s="6">
        <v>6</v>
      </c>
      <c r="B10" s="25">
        <v>21959</v>
      </c>
      <c r="C10" s="26" t="s">
        <v>7</v>
      </c>
      <c r="D10" s="16" t="s">
        <v>17</v>
      </c>
      <c r="E10" s="9" t="s">
        <v>24</v>
      </c>
      <c r="F10" s="10">
        <v>3</v>
      </c>
      <c r="G10" s="27">
        <v>3900</v>
      </c>
      <c r="H10" s="11">
        <f t="shared" si="0"/>
        <v>11700</v>
      </c>
      <c r="I10" s="6"/>
    </row>
    <row r="11" spans="1:9">
      <c r="A11" s="6">
        <v>7</v>
      </c>
      <c r="B11" s="25">
        <v>22114</v>
      </c>
      <c r="C11" s="7" t="s">
        <v>21</v>
      </c>
      <c r="D11" s="28" t="s">
        <v>18</v>
      </c>
      <c r="E11" s="29" t="s">
        <v>5</v>
      </c>
      <c r="F11" s="10">
        <v>2</v>
      </c>
      <c r="G11" s="27">
        <v>17900</v>
      </c>
      <c r="H11" s="11">
        <f t="shared" si="0"/>
        <v>35800</v>
      </c>
      <c r="I11" s="6"/>
    </row>
    <row r="12" spans="1:9">
      <c r="A12" s="6">
        <v>8</v>
      </c>
      <c r="B12" s="30">
        <v>22899</v>
      </c>
      <c r="C12" s="7" t="s">
        <v>22</v>
      </c>
      <c r="D12" s="13" t="s">
        <v>23</v>
      </c>
      <c r="E12" s="29" t="s">
        <v>5</v>
      </c>
      <c r="F12" s="10">
        <v>1</v>
      </c>
      <c r="G12" s="31">
        <v>9900</v>
      </c>
      <c r="H12" s="11">
        <f t="shared" si="0"/>
        <v>9900</v>
      </c>
      <c r="I12" s="6"/>
    </row>
    <row r="13" spans="1:9" ht="25.5" customHeight="1">
      <c r="A13" s="37" t="s">
        <v>30</v>
      </c>
      <c r="B13" s="38"/>
      <c r="C13" s="38"/>
      <c r="D13" s="38"/>
      <c r="E13" s="39"/>
      <c r="F13" s="32"/>
      <c r="G13" s="33"/>
      <c r="H13" s="11">
        <f>SUM(H5:H12)</f>
        <v>77590</v>
      </c>
      <c r="I13" s="6"/>
    </row>
    <row r="14" spans="1:9" ht="31.5" customHeight="1"/>
    <row r="15" spans="1:9">
      <c r="F15" s="34" t="s">
        <v>20</v>
      </c>
      <c r="G15" s="34"/>
      <c r="H15" s="34"/>
      <c r="I15" s="34"/>
    </row>
    <row r="16" spans="1:9">
      <c r="F16" s="35" t="s">
        <v>33</v>
      </c>
      <c r="G16" s="35"/>
      <c r="H16" s="35"/>
      <c r="I16" s="35"/>
    </row>
    <row r="17" spans="6:9">
      <c r="F17" s="35" t="s">
        <v>19</v>
      </c>
      <c r="G17" s="35"/>
      <c r="H17" s="35"/>
      <c r="I17" s="35"/>
    </row>
  </sheetData>
  <mergeCells count="7">
    <mergeCell ref="F15:I15"/>
    <mergeCell ref="F16:I16"/>
    <mergeCell ref="F17:I17"/>
    <mergeCell ref="A1:I1"/>
    <mergeCell ref="A2:I2"/>
    <mergeCell ref="A3:I3"/>
    <mergeCell ref="A13:E1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งานบริหารงานทั่วไป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2022-10-07T06:56:14Z</cp:lastPrinted>
  <dcterms:created xsi:type="dcterms:W3CDTF">2017-11-14T01:32:33Z</dcterms:created>
  <dcterms:modified xsi:type="dcterms:W3CDTF">2024-06-11T08:09:35Z</dcterms:modified>
</cp:coreProperties>
</file>