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536C0B4B-0647-4B98-8B94-A647634E104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ิทยบริการและห้องสมุด" sheetId="20" r:id="rId1"/>
  </sheets>
  <calcPr calcId="191029"/>
</workbook>
</file>

<file path=xl/calcChain.xml><?xml version="1.0" encoding="utf-8"?>
<calcChain xmlns="http://schemas.openxmlformats.org/spreadsheetml/2006/main">
  <c r="H25" i="20" l="1"/>
  <c r="H6" i="20" l="1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Pasdoo</author>
  </authors>
  <commentList>
    <comment ref="F5" authorId="0" shapeId="0" xr:uid="{555A37DA-56BF-43C4-A28D-23703C08D2DF}">
      <text>
        <r>
          <rPr>
            <b/>
            <sz val="9"/>
            <color indexed="81"/>
            <rFont val="Tahoma"/>
            <family val="2"/>
          </rPr>
          <t>ชำรุด 2 ชุด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<sst xmlns="http://schemas.openxmlformats.org/spreadsheetml/2006/main" count="76" uniqueCount="58">
  <si>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</si>
  <si>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</si>
  <si>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</si>
  <si>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</si>
  <si>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</si>
  <si>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</si>
  <si>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7125-002-0002/391-001</t>
  </si>
  <si>
    <t>....................................................</t>
  </si>
  <si>
    <t>หัวหน้าหน่วยจ่าย/หน่วยเบิก</t>
  </si>
  <si>
    <t>รวมเป็นเงิน</t>
  </si>
  <si>
    <t>7110-002-0005/521-024</t>
  </si>
  <si>
    <t>ตู้ 2 บานเปิด</t>
  </si>
  <si>
    <t>7110-007-0006/391-001-391-008</t>
  </si>
  <si>
    <t>7125-004-0001/391-001-391-004</t>
  </si>
  <si>
    <t>7125-004-0002/391-001-391-004</t>
  </si>
  <si>
    <t>7110-002-0002/391-001-391-002</t>
  </si>
  <si>
    <t>7125-004-0003/391-001-391-002</t>
  </si>
  <si>
    <t>7915-004-0001/391-001</t>
  </si>
  <si>
    <t>7125-004-0005/391-001-391-004</t>
  </si>
  <si>
    <t>7125-004-0006/391-001-391-003</t>
  </si>
  <si>
    <t>7125-004-0005/451-005-451-009</t>
  </si>
  <si>
    <t>7195-006-0002/462-001</t>
  </si>
  <si>
    <t>3440-001-0001/462-001</t>
  </si>
  <si>
    <t>7119-002-0006/472-061-472-063</t>
  </si>
  <si>
    <t>7125-006-0001/482-001</t>
  </si>
  <si>
    <t>7125-006-0002/482-001-004</t>
  </si>
  <si>
    <t>7125-006-0001/492-001-003</t>
  </si>
  <si>
    <t>7110-001-0002/502-001-002</t>
  </si>
  <si>
    <t>7125-004-0009/502-001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</si>
  <si>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</si>
  <si>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</si>
  <si>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</si>
  <si>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ตู้เก็บแบบฟอร์ม 15 ลิ้นชัก</t>
  </si>
  <si>
    <t>ชั้นวางหนังสือ 2 ตอน</t>
  </si>
  <si>
    <t>ตู้เก็บจุลสาร 4 ชั้น</t>
  </si>
  <si>
    <t>เคาน์เตอร์บริการรับส่งหนังสือ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</si>
  <si>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</si>
  <si>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</si>
  <si>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</si>
  <si>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ชั้นวางหนังสือพิมพ์</t>
  </si>
  <si>
    <t>เครื่องอัดหนังสือขนาดใหญ่</t>
  </si>
  <si>
    <t>ตู้กระจก2 บานเลื่อน</t>
  </si>
  <si>
    <t>ชั้นวางหนังสือขนาดใหญ่</t>
  </si>
  <si>
    <t>ชั้นวางหนังสือขนาดกลาง</t>
  </si>
  <si>
    <t>ชั้นวางหนังสือ 1 ด้าน 3 ช่วง</t>
  </si>
  <si>
    <t>ตู้เก็บวรสาร 4 ชั้นแบบไม้</t>
  </si>
  <si>
    <t>ชั้นวางหนังสือ 4 ชั้น แบบไม้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</si>
  <si>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</si>
  <si>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</si>
  <si>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</si>
  <si>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</si>
  <si>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</si>
  <si>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</si>
  <si>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(นายชาตรี  ศรีสะอาด)</t>
  </si>
  <si>
    <t>บัญชีรายการ งานวิทยบริการและห้องสมุด คงเหลือ</t>
  </si>
  <si>
    <t>7440-010-0003/642-001</t>
  </si>
  <si>
    <t>เครื่องพิมพ์แบบหมึกพ่น (Inkjet)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</si>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</sst>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1" xfId="1" applyFont="1" applyBorder="1"/>
    <xf numFmtId="49" fontId="10" fillId="0" borderId="1" xfId="6" applyNumberFormat="1" applyFont="1" applyBorder="1" applyAlignment="1">
      <alignment horizontal="left"/>
    </xf>
    <xf numFmtId="43" fontId="10" fillId="0" borderId="2" xfId="1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0" fontId="10" fillId="0" borderId="5" xfId="6" applyFont="1" applyBorder="1" applyAlignment="1">
      <alignment horizontal="left"/>
    </xf>
    <xf numFmtId="43" fontId="10" fillId="0" borderId="9" xfId="1" applyFont="1" applyBorder="1"/>
    <xf numFmtId="43" fontId="10" fillId="0" borderId="8" xfId="1" applyFont="1" applyBorder="1"/>
    <xf numFmtId="15" fontId="10" fillId="2" borderId="1" xfId="0" applyNumberFormat="1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5" fillId="0" borderId="1" xfId="0" applyFont="1" applyBorder="1"/>
    <xf numFmtId="43" fontId="5" fillId="0" borderId="1" xfId="0" applyNumberFormat="1" applyFont="1" applyBorder="1"/>
    <xf numFmtId="43" fontId="5" fillId="0" borderId="4" xfId="0" applyNumberFormat="1" applyFont="1" applyBorder="1"/>
    <xf numFmtId="0" fontId="5" fillId="0" borderId="0" xfId="0" applyFont="1"/>
    <xf numFmtId="43" fontId="5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0" fontId="9" fillId="2" borderId="1" xfId="6" applyFont="1" applyFill="1" applyBorder="1"/>
    <xf numFmtId="0" fontId="9" fillId="2" borderId="1" xfId="2" applyFont="1" applyFill="1" applyBorder="1" applyAlignment="1">
      <alignment horizontal="center"/>
    </xf>
    <xf numFmtId="43" fontId="9" fillId="2" borderId="2" xfId="1" applyFont="1" applyFill="1" applyBorder="1"/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114300</xdr:rowOff>
    </xdr:from>
    <xdr:to>
      <xdr:col>8</xdr:col>
      <xdr:colOff>476250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7391400" y="114300"/>
          <a:ext cx="1362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66"/>
  </sheetPr>
  <dimension ref="A1:I29"/>
  <sheetViews>
    <sheetView tabSelected="1" topLeftCell="A22" zoomScaleNormal="100" workbookViewId="0">
      <selection activeCell="C28" sqref="C28"/>
    </sheetView>
  </sheetViews>
  <sheetFormatPr defaultColWidth="9" defaultRowHeight="24"/>
  <cols>
    <col min="1" max="1" width="5.28515625" style="1" customWidth="1"/>
    <col min="2" max="2" width="11.85546875" style="3" customWidth="1"/>
    <col min="3" max="3" width="32.5703125" style="1" customWidth="1"/>
    <col min="4" max="4" width="36.28515625" style="1" customWidth="1"/>
    <col min="5" max="5" width="6.5703125" style="1" customWidth="1"/>
    <col min="6" max="6" width="6" style="1" customWidth="1"/>
    <col min="7" max="7" width="11.7109375" style="1" customWidth="1"/>
    <col min="8" max="8" width="13.140625" style="1" customWidth="1"/>
    <col min="9" max="9" width="9.7109375" style="1" customWidth="1"/>
    <col min="10" max="16384" width="9" style="1"/>
  </cols>
  <sheetData>
    <row r="1" spans="1:9">
      <c r="A1" s="31" t="s">
        <v>3</v>
      </c>
      <c r="B1" s="31"/>
      <c r="C1" s="31"/>
      <c r="D1" s="31"/>
      <c r="E1" s="31"/>
      <c r="F1" s="31"/>
      <c r="G1" s="31"/>
      <c r="H1" s="31"/>
      <c r="I1" s="31"/>
    </row>
    <row r="2" spans="1:9">
      <c r="A2" s="31" t="s">
        <v>54</v>
      </c>
      <c r="B2" s="31"/>
      <c r="C2" s="31"/>
      <c r="D2" s="31"/>
      <c r="E2" s="31"/>
      <c r="F2" s="31"/>
      <c r="G2" s="31"/>
      <c r="H2" s="31"/>
      <c r="I2" s="31"/>
    </row>
    <row r="3" spans="1:9">
      <c r="A3" s="32" t="s">
        <v>57</v>
      </c>
      <c r="B3" s="32"/>
      <c r="C3" s="32"/>
      <c r="D3" s="32"/>
      <c r="E3" s="32"/>
      <c r="F3" s="32"/>
      <c r="G3" s="32"/>
      <c r="H3" s="32"/>
      <c r="I3" s="32"/>
    </row>
    <row r="4" spans="1:9" ht="44.25" customHeight="1">
      <c r="A4" s="5" t="s">
        <v>47</v>
      </c>
      <c r="B4" s="5" t="s">
        <v>50</v>
      </c>
      <c r="C4" s="5" t="s">
        <v>51</v>
      </c>
      <c r="D4" s="6" t="s">
        <v>0</v>
      </c>
      <c r="E4" s="5" t="s">
        <v>48</v>
      </c>
      <c r="F4" s="6" t="s">
        <v>1</v>
      </c>
      <c r="G4" s="5" t="s">
        <v>49</v>
      </c>
      <c r="H4" s="5" t="s">
        <v>52</v>
      </c>
      <c r="I4" s="5" t="s">
        <v>2</v>
      </c>
    </row>
    <row r="5" spans="1:9" s="4" customFormat="1">
      <c r="A5" s="26">
        <v>1</v>
      </c>
      <c r="B5" s="26">
        <v>2539</v>
      </c>
      <c r="C5" s="27" t="s">
        <v>12</v>
      </c>
      <c r="D5" s="28" t="s">
        <v>29</v>
      </c>
      <c r="E5" s="29" t="s">
        <v>4</v>
      </c>
      <c r="F5" s="29">
        <v>4</v>
      </c>
      <c r="G5" s="30">
        <v>6500</v>
      </c>
      <c r="H5" s="30">
        <f>SUM(F5*G5)</f>
        <v>26000</v>
      </c>
      <c r="I5" s="26"/>
    </row>
    <row r="6" spans="1:9">
      <c r="A6" s="7">
        <v>2</v>
      </c>
      <c r="B6" s="7">
        <v>2539</v>
      </c>
      <c r="C6" s="8" t="s">
        <v>13</v>
      </c>
      <c r="D6" s="9" t="s">
        <v>30</v>
      </c>
      <c r="E6" s="10" t="s">
        <v>4</v>
      </c>
      <c r="F6" s="10">
        <v>4</v>
      </c>
      <c r="G6" s="11">
        <v>8000</v>
      </c>
      <c r="H6" s="11">
        <f t="shared" ref="H6:H24" si="0">SUM(F6*G6)</f>
        <v>32000</v>
      </c>
      <c r="I6" s="7"/>
    </row>
    <row r="7" spans="1:9">
      <c r="A7" s="26">
        <v>3</v>
      </c>
      <c r="B7" s="7">
        <v>2539</v>
      </c>
      <c r="C7" s="8" t="s">
        <v>14</v>
      </c>
      <c r="D7" s="9" t="s">
        <v>31</v>
      </c>
      <c r="E7" s="10" t="s">
        <v>4</v>
      </c>
      <c r="F7" s="10">
        <v>4</v>
      </c>
      <c r="G7" s="11">
        <v>14800</v>
      </c>
      <c r="H7" s="11">
        <f t="shared" si="0"/>
        <v>59200</v>
      </c>
      <c r="I7" s="7"/>
    </row>
    <row r="8" spans="1:9">
      <c r="A8" s="7">
        <v>4</v>
      </c>
      <c r="B8" s="7">
        <v>2539</v>
      </c>
      <c r="C8" s="8" t="s">
        <v>15</v>
      </c>
      <c r="D8" s="9" t="s">
        <v>32</v>
      </c>
      <c r="E8" s="10" t="s">
        <v>4</v>
      </c>
      <c r="F8" s="10">
        <v>2</v>
      </c>
      <c r="G8" s="11">
        <v>2300</v>
      </c>
      <c r="H8" s="11">
        <f t="shared" si="0"/>
        <v>4600</v>
      </c>
      <c r="I8" s="7"/>
    </row>
    <row r="9" spans="1:9">
      <c r="A9" s="26">
        <v>5</v>
      </c>
      <c r="B9" s="7">
        <v>2539</v>
      </c>
      <c r="C9" s="8" t="s">
        <v>16</v>
      </c>
      <c r="D9" s="9" t="s">
        <v>33</v>
      </c>
      <c r="E9" s="10" t="s">
        <v>4</v>
      </c>
      <c r="F9" s="10">
        <v>2</v>
      </c>
      <c r="G9" s="11">
        <v>15000</v>
      </c>
      <c r="H9" s="11">
        <f t="shared" si="0"/>
        <v>30000</v>
      </c>
      <c r="I9" s="7"/>
    </row>
    <row r="10" spans="1:9">
      <c r="A10" s="7">
        <v>6</v>
      </c>
      <c r="B10" s="7">
        <v>2539</v>
      </c>
      <c r="C10" s="8" t="s">
        <v>6</v>
      </c>
      <c r="D10" s="9" t="s">
        <v>34</v>
      </c>
      <c r="E10" s="10" t="s">
        <v>5</v>
      </c>
      <c r="F10" s="10">
        <v>1</v>
      </c>
      <c r="G10" s="11">
        <v>7500</v>
      </c>
      <c r="H10" s="11">
        <f t="shared" si="0"/>
        <v>7500</v>
      </c>
      <c r="I10" s="7"/>
    </row>
    <row r="11" spans="1:9">
      <c r="A11" s="26">
        <v>7</v>
      </c>
      <c r="B11" s="7">
        <v>2539</v>
      </c>
      <c r="C11" s="8" t="s">
        <v>17</v>
      </c>
      <c r="D11" s="9" t="s">
        <v>35</v>
      </c>
      <c r="E11" s="10" t="s">
        <v>4</v>
      </c>
      <c r="F11" s="10">
        <v>1</v>
      </c>
      <c r="G11" s="11">
        <v>50000</v>
      </c>
      <c r="H11" s="11">
        <f t="shared" si="0"/>
        <v>50000</v>
      </c>
      <c r="I11" s="7"/>
    </row>
    <row r="12" spans="1:9">
      <c r="A12" s="7">
        <v>8</v>
      </c>
      <c r="B12" s="7">
        <v>2539</v>
      </c>
      <c r="C12" s="8" t="s">
        <v>18</v>
      </c>
      <c r="D12" s="8" t="s">
        <v>36</v>
      </c>
      <c r="E12" s="10" t="s">
        <v>4</v>
      </c>
      <c r="F12" s="10">
        <v>4</v>
      </c>
      <c r="G12" s="11">
        <v>8000</v>
      </c>
      <c r="H12" s="11">
        <f t="shared" si="0"/>
        <v>32000</v>
      </c>
      <c r="I12" s="7"/>
    </row>
    <row r="13" spans="1:9">
      <c r="A13" s="26">
        <v>9</v>
      </c>
      <c r="B13" s="7">
        <v>2539</v>
      </c>
      <c r="C13" s="8" t="s">
        <v>19</v>
      </c>
      <c r="D13" s="8" t="s">
        <v>37</v>
      </c>
      <c r="E13" s="10" t="s">
        <v>4</v>
      </c>
      <c r="F13" s="10">
        <v>3</v>
      </c>
      <c r="G13" s="11">
        <v>5000</v>
      </c>
      <c r="H13" s="11">
        <f t="shared" si="0"/>
        <v>15000</v>
      </c>
      <c r="I13" s="7"/>
    </row>
    <row r="14" spans="1:9">
      <c r="A14" s="7">
        <v>10</v>
      </c>
      <c r="B14" s="7">
        <v>2545</v>
      </c>
      <c r="C14" s="8" t="s">
        <v>20</v>
      </c>
      <c r="D14" s="8" t="s">
        <v>38</v>
      </c>
      <c r="E14" s="10" t="s">
        <v>4</v>
      </c>
      <c r="F14" s="10">
        <v>5</v>
      </c>
      <c r="G14" s="11">
        <v>9581.85</v>
      </c>
      <c r="H14" s="11">
        <f t="shared" si="0"/>
        <v>47909.25</v>
      </c>
      <c r="I14" s="7"/>
    </row>
    <row r="15" spans="1:9">
      <c r="A15" s="26">
        <v>11</v>
      </c>
      <c r="B15" s="7">
        <v>2546</v>
      </c>
      <c r="C15" s="8" t="s">
        <v>21</v>
      </c>
      <c r="D15" s="9" t="s">
        <v>39</v>
      </c>
      <c r="E15" s="10" t="s">
        <v>5</v>
      </c>
      <c r="F15" s="10">
        <v>1</v>
      </c>
      <c r="G15" s="12">
        <v>2410.1799999999998</v>
      </c>
      <c r="H15" s="11">
        <f t="shared" si="0"/>
        <v>2410.1799999999998</v>
      </c>
      <c r="I15" s="7"/>
    </row>
    <row r="16" spans="1:9">
      <c r="A16" s="7">
        <v>12</v>
      </c>
      <c r="B16" s="7">
        <v>2546</v>
      </c>
      <c r="C16" s="8" t="s">
        <v>22</v>
      </c>
      <c r="D16" s="13" t="s">
        <v>40</v>
      </c>
      <c r="E16" s="10" t="s">
        <v>4</v>
      </c>
      <c r="F16" s="10">
        <v>1</v>
      </c>
      <c r="G16" s="14">
        <v>7886.97</v>
      </c>
      <c r="H16" s="11">
        <f t="shared" si="0"/>
        <v>7886.97</v>
      </c>
      <c r="I16" s="7"/>
    </row>
    <row r="17" spans="1:9">
      <c r="A17" s="26">
        <v>13</v>
      </c>
      <c r="B17" s="7">
        <v>2547</v>
      </c>
      <c r="C17" s="8" t="s">
        <v>23</v>
      </c>
      <c r="D17" s="8" t="s">
        <v>41</v>
      </c>
      <c r="E17" s="7" t="s">
        <v>5</v>
      </c>
      <c r="F17" s="15">
        <v>3</v>
      </c>
      <c r="G17" s="11">
        <v>2700</v>
      </c>
      <c r="H17" s="11">
        <f t="shared" si="0"/>
        <v>8100</v>
      </c>
      <c r="I17" s="7"/>
    </row>
    <row r="18" spans="1:9">
      <c r="A18" s="7">
        <v>14</v>
      </c>
      <c r="B18" s="7">
        <v>2548</v>
      </c>
      <c r="C18" s="8" t="s">
        <v>24</v>
      </c>
      <c r="D18" s="8" t="s">
        <v>42</v>
      </c>
      <c r="E18" s="7" t="s">
        <v>5</v>
      </c>
      <c r="F18" s="15">
        <v>1</v>
      </c>
      <c r="G18" s="11">
        <v>1450</v>
      </c>
      <c r="H18" s="11">
        <f t="shared" si="0"/>
        <v>1450</v>
      </c>
      <c r="I18" s="7"/>
    </row>
    <row r="19" spans="1:9">
      <c r="A19" s="26">
        <v>15</v>
      </c>
      <c r="B19" s="7">
        <v>2548</v>
      </c>
      <c r="C19" s="8" t="s">
        <v>25</v>
      </c>
      <c r="D19" s="8" t="s">
        <v>43</v>
      </c>
      <c r="E19" s="7" t="s">
        <v>5</v>
      </c>
      <c r="F19" s="15">
        <v>4</v>
      </c>
      <c r="G19" s="11">
        <v>650</v>
      </c>
      <c r="H19" s="11">
        <f t="shared" si="0"/>
        <v>2600</v>
      </c>
      <c r="I19" s="7"/>
    </row>
    <row r="20" spans="1:9">
      <c r="A20" s="7">
        <v>16</v>
      </c>
      <c r="B20" s="7">
        <v>2549</v>
      </c>
      <c r="C20" s="16" t="s">
        <v>26</v>
      </c>
      <c r="D20" s="8" t="s">
        <v>44</v>
      </c>
      <c r="E20" s="7" t="s">
        <v>5</v>
      </c>
      <c r="F20" s="15">
        <v>3</v>
      </c>
      <c r="G20" s="17">
        <v>1800</v>
      </c>
      <c r="H20" s="11">
        <f t="shared" si="0"/>
        <v>5400</v>
      </c>
      <c r="I20" s="7"/>
    </row>
    <row r="21" spans="1:9">
      <c r="A21" s="26">
        <v>17</v>
      </c>
      <c r="B21" s="7">
        <v>2550</v>
      </c>
      <c r="C21" s="8" t="s">
        <v>27</v>
      </c>
      <c r="D21" s="8" t="s">
        <v>45</v>
      </c>
      <c r="E21" s="7" t="s">
        <v>5</v>
      </c>
      <c r="F21" s="15">
        <v>2</v>
      </c>
      <c r="G21" s="11">
        <v>1900</v>
      </c>
      <c r="H21" s="11">
        <f t="shared" si="0"/>
        <v>3800</v>
      </c>
      <c r="I21" s="7"/>
    </row>
    <row r="22" spans="1:9">
      <c r="A22" s="7">
        <v>18</v>
      </c>
      <c r="B22" s="7">
        <v>2550</v>
      </c>
      <c r="C22" s="8" t="s">
        <v>28</v>
      </c>
      <c r="D22" s="8" t="s">
        <v>46</v>
      </c>
      <c r="E22" s="7" t="s">
        <v>5</v>
      </c>
      <c r="F22" s="15">
        <v>1</v>
      </c>
      <c r="G22" s="17">
        <v>1190</v>
      </c>
      <c r="H22" s="11">
        <f t="shared" si="0"/>
        <v>1190</v>
      </c>
      <c r="I22" s="7"/>
    </row>
    <row r="23" spans="1:9">
      <c r="A23" s="26">
        <v>19</v>
      </c>
      <c r="B23" s="19">
        <v>2552</v>
      </c>
      <c r="C23" s="8" t="s">
        <v>10</v>
      </c>
      <c r="D23" s="8" t="s">
        <v>11</v>
      </c>
      <c r="E23" s="20" t="s">
        <v>4</v>
      </c>
      <c r="F23" s="10">
        <v>1</v>
      </c>
      <c r="G23" s="18">
        <v>3200</v>
      </c>
      <c r="H23" s="11">
        <f t="shared" si="0"/>
        <v>3200</v>
      </c>
      <c r="I23" s="7"/>
    </row>
    <row r="24" spans="1:9">
      <c r="A24" s="7">
        <v>20</v>
      </c>
      <c r="B24" s="7">
        <v>2564</v>
      </c>
      <c r="C24" s="8" t="s">
        <v>55</v>
      </c>
      <c r="D24" s="9" t="s">
        <v>56</v>
      </c>
      <c r="E24" s="20" t="s">
        <v>5</v>
      </c>
      <c r="F24" s="10">
        <v>1</v>
      </c>
      <c r="G24" s="12">
        <v>4990</v>
      </c>
      <c r="H24" s="11">
        <f t="shared" si="0"/>
        <v>4990</v>
      </c>
      <c r="I24" s="7"/>
    </row>
    <row r="25" spans="1:9">
      <c r="A25" s="33" t="s">
        <v>9</v>
      </c>
      <c r="B25" s="34"/>
      <c r="C25" s="34"/>
      <c r="D25" s="34"/>
      <c r="E25" s="35"/>
      <c r="F25" s="21"/>
      <c r="G25" s="22"/>
      <c r="H25" s="23">
        <f>SUM(H5:H24)</f>
        <v>345236.39999999997</v>
      </c>
      <c r="I25" s="23"/>
    </row>
    <row r="26" spans="1:9">
      <c r="A26" s="2"/>
      <c r="B26" s="2"/>
      <c r="C26" s="2"/>
      <c r="D26" s="2"/>
      <c r="E26" s="2"/>
      <c r="F26" s="24"/>
      <c r="G26" s="25"/>
      <c r="H26" s="25"/>
      <c r="I26" s="25"/>
    </row>
    <row r="27" spans="1:9">
      <c r="A27" s="24"/>
      <c r="B27" s="2"/>
      <c r="C27" s="24"/>
      <c r="D27" s="24"/>
      <c r="E27" s="24"/>
      <c r="F27" s="36" t="s">
        <v>7</v>
      </c>
      <c r="G27" s="36"/>
      <c r="H27" s="36"/>
      <c r="I27" s="36"/>
    </row>
    <row r="28" spans="1:9">
      <c r="A28" s="24"/>
      <c r="B28" s="2"/>
      <c r="C28" s="24"/>
      <c r="D28" s="24"/>
      <c r="E28" s="24"/>
      <c r="F28" s="31" t="s">
        <v>53</v>
      </c>
      <c r="G28" s="31"/>
      <c r="H28" s="31"/>
      <c r="I28" s="31"/>
    </row>
    <row r="29" spans="1:9">
      <c r="A29" s="24"/>
      <c r="B29" s="2"/>
      <c r="C29" s="24"/>
      <c r="D29" s="24"/>
      <c r="E29" s="24"/>
      <c r="F29" s="31" t="s">
        <v>8</v>
      </c>
      <c r="G29" s="31"/>
      <c r="H29" s="31"/>
      <c r="I29" s="31"/>
    </row>
  </sheetData>
  <mergeCells count="7">
    <mergeCell ref="F28:I28"/>
    <mergeCell ref="F29:I29"/>
    <mergeCell ref="A1:I1"/>
    <mergeCell ref="A2:I2"/>
    <mergeCell ref="A3:I3"/>
    <mergeCell ref="A25:E25"/>
    <mergeCell ref="F27:I27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งานวิทยบริการและห้องสมุด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2024-06-11T09:00:16Z</cp:lastPrinted>
  <dcterms:created xsi:type="dcterms:W3CDTF">2017-11-14T01:32:33Z</dcterms:created>
  <dcterms:modified xsi:type="dcterms:W3CDTF">2024-06-11T09:00:34Z</dcterms:modified>
</cp:coreProperties>
</file>