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/>
  <mc:AlternateContent xmlns:mc="http://schemas.openxmlformats.org/markup-compatibility/2006">
    <mc:Choice Requires="x15">
      <x15ac:absPath xmlns:x15ac="http://schemas.microsoft.com/office/spreadsheetml/2010/11/ac" url="C:\Users\Pasdoo\Documents\Paweena\รายการครุภัณ์คงเหลือ ปี 67\ครุภัณฑ์คงเหลือ 66\งาน\"/>
    </mc:Choice>
  </mc:AlternateContent>
  <xr:revisionPtr revIDLastSave="0" documentId="13_ncr:1_{6EA82FC1-C818-4672-A514-9B0614FBE63C}" xr6:coauthVersionLast="47" xr6:coauthVersionMax="47" xr10:uidLastSave="{00000000-0000-0000-0000-000000000000}"/>
  <bookViews>
    <workbookView xWindow="-120" yWindow="-120" windowWidth="24240" windowHeight="13140" tabRatio="897" xr2:uid="{00000000-000D-0000-FFFF-FFFF00000000}"/>
  </bookViews>
  <sheets>
    <sheet name="งานศูนย์ข้อมูลฯ" sheetId="15" r:id="rId1"/>
  </sheets>
  <calcPr calcId="191029"/>
</workbook>
</file>

<file path=xl/calcChain.xml><?xml version="1.0" encoding="utf-8"?>
<calcChain xmlns="http://schemas.openxmlformats.org/spreadsheetml/2006/main">
  <c r="H19" i="15" l="1"/>
  <c r="H20" i="15"/>
  <c r="H18" i="15"/>
  <c r="H17" i="15"/>
  <c r="H16" i="15"/>
  <c r="H15" i="15"/>
  <c r="H14" i="15"/>
  <c r="H5" i="15" l="1"/>
  <c r="H6" i="15"/>
  <c r="H7" i="15"/>
  <c r="H8" i="15"/>
  <c r="H9" i="15"/>
  <c r="H10" i="15"/>
  <c r="H11" i="15"/>
  <c r="H12" i="15"/>
  <c r="H13" i="15"/>
</calcChain>
</file>

<file path=xl/sharedStrings.xml><?xml version="1.0" encoding="utf-8"?>
<sst xmlns="http://schemas.openxmlformats.org/spreadsheetml/2006/main" count="60" uniqueCount="48">
  <si>
    <t>รายการ ขนาด ลักษณะ</t>
  </si>
  <si>
    <t>จำนวน</t>
  </si>
  <si>
    <t>หมายเหตุ</t>
  </si>
  <si>
    <t>สถานศึกษา วิทยาลัยเทคนิคกันทรลักษ์</t>
  </si>
  <si>
    <t>งปม.</t>
  </si>
  <si>
    <t>บกศ.</t>
  </si>
  <si>
    <t>เครื่องสำรองไฟฟ้า</t>
  </si>
  <si>
    <t>อุดหนุน</t>
  </si>
  <si>
    <t>....................................................</t>
  </si>
  <si>
    <t>หัวหน้าหน่วยจ่าย/หน่วยเบิก</t>
  </si>
  <si>
    <t>7440-001-0001/531-071</t>
  </si>
  <si>
    <t>5850-003-0001/531-001-002</t>
  </si>
  <si>
    <t>7440-010-0011/531-001</t>
  </si>
  <si>
    <t>7110-002-0006/531-030</t>
  </si>
  <si>
    <t>7110-007-0004/531-009</t>
  </si>
  <si>
    <t>7440-010-0016/576-001</t>
  </si>
  <si>
    <t>เครื่องคอมพิวเตอร์แม่ข่าย IBM Server</t>
  </si>
  <si>
    <t>ตู้ Rack ขนาด  9  นิ้ว  แบบแขวน</t>
  </si>
  <si>
    <t>อุปกรณ์จัดเก็บ  Log File</t>
  </si>
  <si>
    <t>ตู้  2บานเลื่อนกระจก</t>
  </si>
  <si>
    <t>โต๊ะเหล็ก  4  ฟุต</t>
  </si>
  <si>
    <t>UPS True online SYNDOME</t>
  </si>
  <si>
    <t>รวมเป็นเงิน</t>
  </si>
  <si>
    <t>4120-001-0001/632-001</t>
  </si>
  <si>
    <t>แอร์ 1200 BTU</t>
  </si>
  <si>
    <t>ลำดับ
ที่</t>
  </si>
  <si>
    <t>ได้มา
โดยวิธี</t>
  </si>
  <si>
    <t>ราคา
หน่วยละ</t>
  </si>
  <si>
    <t>วัน เดือน ปี 
ที่ได้รับ</t>
  </si>
  <si>
    <t xml:space="preserve">หมายเลขประจำ
วัสดุ-ครุภัณฑ์ </t>
  </si>
  <si>
    <t>เป็นเงิน</t>
  </si>
  <si>
    <t>โปรแกรมจัดเก็บ Log File ตามพรบ. คอมพิวเตอร์ พ.ศ.2552</t>
  </si>
  <si>
    <t>7440-009-0006/642-001</t>
  </si>
  <si>
    <t>อุปกรณ์กระจายสัญญาณ (ขนาด 24 ช่อง)</t>
  </si>
  <si>
    <t>7440-001-0013/642-001</t>
  </si>
  <si>
    <t>อุปกรณ์กระจายสัญญาณไร้สาย</t>
  </si>
  <si>
    <t>บัญชีรายการ งานศูนย์ข้อมูลและสารสนเทศ  คงเหลือ</t>
  </si>
  <si>
    <t>6130-001-0001/642-001</t>
  </si>
  <si>
    <t>(นายณัทพงศ์  โยธี)</t>
  </si>
  <si>
    <t>7440-009-0006/662-001(2)</t>
  </si>
  <si>
    <t>7740-009-0013/662-001(8)</t>
  </si>
  <si>
    <t>อุปกรณ์กระจายสัญญาณ ไร้สาย wireless</t>
  </si>
  <si>
    <t xml:space="preserve">7430 - 010 - 0021 / 672 - 001 </t>
  </si>
  <si>
    <t xml:space="preserve">เครื่องพิมแบบพ่นหมึกพร้อมติดตั้งถังหมึกพิมพ์ </t>
  </si>
  <si>
    <t xml:space="preserve">บกศ. </t>
  </si>
  <si>
    <t xml:space="preserve">เครื่องสำรองไฟ ขนาด 1 KVA UPS 1000VA 600Watt </t>
  </si>
  <si>
    <t xml:space="preserve">7440 - 010 - 0002 / 672 - 001 </t>
  </si>
  <si>
    <t>ประจำปี 2566  ณ วันที่ 30 กันยายน 2566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</si>
</sst>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9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4"/>
      <name val="Cordia New"/>
      <family val="2"/>
    </font>
    <font>
      <sz val="16"/>
      <name val="TH SarabunPSK"/>
      <family val="2"/>
    </font>
    <font>
      <sz val="16"/>
      <color theme="1"/>
      <name val="TH SarabunPSK"/>
      <family val="2"/>
    </font>
    <font>
      <sz val="10"/>
      <name val="Arial"/>
      <family val="2"/>
    </font>
    <font>
      <b/>
      <sz val="16"/>
      <color theme="1"/>
      <name val="TH SarabunPSK"/>
      <family val="2"/>
    </font>
    <font>
      <b/>
      <sz val="16"/>
      <name val="TH SarabunPSK"/>
      <family val="2"/>
    </font>
    <font>
      <b/>
      <sz val="14"/>
      <name val="TH SarabunPSK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</cellStyleXfs>
  <cellXfs count="31">
    <xf numFmtId="0" fontId="0" fillId="0" borderId="0" xfId="0"/>
    <xf numFmtId="0" fontId="4" fillId="0" borderId="0" xfId="0" applyFont="1"/>
    <xf numFmtId="0" fontId="6" fillId="0" borderId="0" xfId="0" applyFont="1" applyAlignment="1">
      <alignment horizontal="center" vertical="center"/>
    </xf>
    <xf numFmtId="43" fontId="3" fillId="0" borderId="0" xfId="5" applyNumberFormat="1" applyFont="1"/>
    <xf numFmtId="0" fontId="4" fillId="0" borderId="0" xfId="0" applyFont="1" applyAlignment="1">
      <alignment horizontal="center"/>
    </xf>
    <xf numFmtId="43" fontId="3" fillId="0" borderId="0" xfId="1" applyFont="1" applyBorder="1" applyAlignment="1"/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7" fillId="0" borderId="1" xfId="2" applyFont="1" applyBorder="1" applyAlignment="1">
      <alignment horizontal="center"/>
    </xf>
    <xf numFmtId="0" fontId="7" fillId="0" borderId="1" xfId="5" applyFont="1" applyBorder="1" applyAlignment="1">
      <alignment horizontal="center"/>
    </xf>
    <xf numFmtId="43" fontId="7" fillId="0" borderId="6" xfId="1" applyFont="1" applyBorder="1" applyAlignment="1">
      <alignment horizontal="center"/>
    </xf>
    <xf numFmtId="0" fontId="7" fillId="2" borderId="1" xfId="6" applyFont="1" applyFill="1" applyBorder="1" applyAlignment="1">
      <alignment horizontal="center"/>
    </xf>
    <xf numFmtId="0" fontId="7" fillId="0" borderId="1" xfId="6" applyFont="1" applyBorder="1" applyAlignment="1">
      <alignment horizontal="left" vertical="center"/>
    </xf>
    <xf numFmtId="43" fontId="7" fillId="0" borderId="1" xfId="1" applyFont="1" applyBorder="1" applyAlignment="1">
      <alignment horizontal="center"/>
    </xf>
    <xf numFmtId="49" fontId="7" fillId="0" borderId="1" xfId="8" applyNumberFormat="1" applyFont="1" applyBorder="1" applyAlignment="1">
      <alignment horizontal="left"/>
    </xf>
    <xf numFmtId="15" fontId="7" fillId="0" borderId="1" xfId="7" applyNumberFormat="1" applyFont="1" applyBorder="1" applyAlignment="1">
      <alignment horizontal="center"/>
    </xf>
    <xf numFmtId="49" fontId="7" fillId="0" borderId="1" xfId="0" applyNumberFormat="1" applyFont="1" applyBorder="1" applyAlignment="1">
      <alignment horizontal="left"/>
    </xf>
    <xf numFmtId="49" fontId="8" fillId="0" borderId="1" xfId="8" applyNumberFormat="1" applyFont="1" applyBorder="1" applyAlignment="1">
      <alignment horizontal="left"/>
    </xf>
    <xf numFmtId="43" fontId="7" fillId="0" borderId="1" xfId="1" applyFont="1" applyBorder="1"/>
    <xf numFmtId="15" fontId="6" fillId="0" borderId="1" xfId="0" applyNumberFormat="1" applyFont="1" applyBorder="1" applyAlignment="1">
      <alignment horizontal="center"/>
    </xf>
    <xf numFmtId="0" fontId="6" fillId="0" borderId="1" xfId="0" applyFont="1" applyBorder="1"/>
    <xf numFmtId="43" fontId="6" fillId="0" borderId="1" xfId="1" applyFont="1" applyBorder="1"/>
    <xf numFmtId="43" fontId="7" fillId="0" borderId="1" xfId="5" applyNumberFormat="1" applyFont="1" applyBorder="1"/>
    <xf numFmtId="43" fontId="7" fillId="0" borderId="1" xfId="1" applyFont="1" applyBorder="1" applyAlignment="1"/>
    <xf numFmtId="0" fontId="6" fillId="0" borderId="3" xfId="0" applyFont="1" applyBorder="1"/>
    <xf numFmtId="0" fontId="6" fillId="0" borderId="0" xfId="0" applyFont="1" applyAlignment="1">
      <alignment horizontal="center"/>
    </xf>
    <xf numFmtId="0" fontId="6" fillId="0" borderId="5" xfId="0" applyFont="1" applyBorder="1" applyAlignment="1" applyProtection="1">
      <alignment horizontal="center"/>
      <protection locked="0"/>
    </xf>
    <xf numFmtId="0" fontId="6" fillId="0" borderId="2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4" xfId="0" applyFont="1" applyBorder="1" applyAlignment="1">
      <alignment horizontal="center"/>
    </xf>
  </cellXfs>
  <cellStyles count="14">
    <cellStyle name="Normal_ครุภัณฑ์ปี  2553" xfId="8" xr:uid="{00000000-0005-0000-0000-000000000000}"/>
    <cellStyle name="เครื่องหมายจุลภาค 9" xfId="12" xr:uid="{00000000-0005-0000-0000-000002000000}"/>
    <cellStyle name="จุลภาค" xfId="1" builtinId="3"/>
    <cellStyle name="ปกติ" xfId="0" builtinId="0"/>
    <cellStyle name="ปกติ 10" xfId="4" xr:uid="{00000000-0005-0000-0000-000004000000}"/>
    <cellStyle name="ปกติ 12" xfId="7" xr:uid="{00000000-0005-0000-0000-000005000000}"/>
    <cellStyle name="ปกติ 14" xfId="3" xr:uid="{00000000-0005-0000-0000-000006000000}"/>
    <cellStyle name="ปกติ 19" xfId="13" xr:uid="{00000000-0005-0000-0000-000007000000}"/>
    <cellStyle name="ปกติ 21" xfId="2" xr:uid="{00000000-0005-0000-0000-000008000000}"/>
    <cellStyle name="ปกติ 22" xfId="5" xr:uid="{00000000-0005-0000-0000-000009000000}"/>
    <cellStyle name="ปกติ 3" xfId="9" xr:uid="{00000000-0005-0000-0000-00000A000000}"/>
    <cellStyle name="ปกติ 4" xfId="10" xr:uid="{00000000-0005-0000-0000-00000B000000}"/>
    <cellStyle name="ปกติ 5" xfId="11" xr:uid="{00000000-0005-0000-0000-00000C000000}"/>
    <cellStyle name="ปกติ_รายการครุภัณฑ์ ปี 52 ที่แก้ไขเรียงลำดับใหม่ 23 ก.พ.53" xfId="6" xr:uid="{00000000-0005-0000-0000-00000D000000}"/>
  </cellStyles>
  <dxfs count="0"/>
  <tableStyles count="0" defaultTableStyle="TableStyleMedium2" defaultPivotStyle="PivotStyleLight16"/>
  <colors>
    <mruColors>
      <color rgb="FF993300"/>
      <color rgb="FF0070C0"/>
      <color rgb="FFFF0066"/>
      <color rgb="FF7030A0"/>
      <color rgb="FF2F75B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647701</xdr:colOff>
      <xdr:row>0</xdr:row>
      <xdr:rowOff>133350</xdr:rowOff>
    </xdr:from>
    <xdr:to>
      <xdr:col>8</xdr:col>
      <xdr:colOff>390526</xdr:colOff>
      <xdr:row>1</xdr:row>
      <xdr:rowOff>161925</xdr:rowOff>
    </xdr:to>
    <xdr:sp macro="" textlink="">
      <xdr:nvSpPr>
        <xdr:cNvPr id="2" name="กล่องข้อความ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7467601" y="133350"/>
          <a:ext cx="1447800" cy="3238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2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93300"/>
  </sheetPr>
  <dimension ref="A1:I25"/>
  <sheetViews>
    <sheetView tabSelected="1" zoomScaleNormal="100" workbookViewId="0">
      <selection activeCell="A3" sqref="A3:I3"/>
    </sheetView>
  </sheetViews>
  <sheetFormatPr defaultColWidth="9" defaultRowHeight="24"/>
  <cols>
    <col min="1" max="1" width="5.140625" style="1" customWidth="1"/>
    <col min="2" max="2" width="11.28515625" style="4" customWidth="1"/>
    <col min="3" max="3" width="28" style="1" customWidth="1"/>
    <col min="4" max="4" width="43.7109375" style="1" customWidth="1"/>
    <col min="5" max="5" width="7.28515625" style="1" customWidth="1"/>
    <col min="6" max="6" width="6.140625" style="1" customWidth="1"/>
    <col min="7" max="7" width="12.140625" style="1" customWidth="1"/>
    <col min="8" max="8" width="12.85546875" style="1" customWidth="1"/>
    <col min="9" max="9" width="8.42578125" style="1" customWidth="1"/>
    <col min="10" max="16384" width="9" style="1"/>
  </cols>
  <sheetData>
    <row r="1" spans="1:9" ht="23.25" customHeight="1">
      <c r="A1" s="26" t="s">
        <v>3</v>
      </c>
      <c r="B1" s="26"/>
      <c r="C1" s="26"/>
      <c r="D1" s="26"/>
      <c r="E1" s="26"/>
      <c r="F1" s="26"/>
      <c r="G1" s="26"/>
      <c r="H1" s="26"/>
      <c r="I1" s="26"/>
    </row>
    <row r="2" spans="1:9" ht="23.25" customHeight="1">
      <c r="A2" s="26" t="s">
        <v>36</v>
      </c>
      <c r="B2" s="26"/>
      <c r="C2" s="26"/>
      <c r="D2" s="26"/>
      <c r="E2" s="26"/>
      <c r="F2" s="26"/>
      <c r="G2" s="26"/>
      <c r="H2" s="26"/>
      <c r="I2" s="26"/>
    </row>
    <row r="3" spans="1:9" ht="23.25" customHeight="1">
      <c r="A3" s="27" t="s">
        <v>47</v>
      </c>
      <c r="B3" s="27"/>
      <c r="C3" s="27"/>
      <c r="D3" s="27"/>
      <c r="E3" s="27"/>
      <c r="F3" s="27"/>
      <c r="G3" s="27"/>
      <c r="H3" s="27"/>
      <c r="I3" s="27"/>
    </row>
    <row r="4" spans="1:9" s="2" customFormat="1" ht="43.5" customHeight="1">
      <c r="A4" s="6" t="s">
        <v>25</v>
      </c>
      <c r="B4" s="6" t="s">
        <v>28</v>
      </c>
      <c r="C4" s="6" t="s">
        <v>29</v>
      </c>
      <c r="D4" s="7" t="s">
        <v>0</v>
      </c>
      <c r="E4" s="6" t="s">
        <v>26</v>
      </c>
      <c r="F4" s="7" t="s">
        <v>1</v>
      </c>
      <c r="G4" s="6" t="s">
        <v>27</v>
      </c>
      <c r="H4" s="6" t="s">
        <v>30</v>
      </c>
      <c r="I4" s="7" t="s">
        <v>2</v>
      </c>
    </row>
    <row r="5" spans="1:9">
      <c r="A5" s="8">
        <v>1</v>
      </c>
      <c r="B5" s="8">
        <v>2553</v>
      </c>
      <c r="C5" s="13" t="s">
        <v>10</v>
      </c>
      <c r="D5" s="13" t="s">
        <v>16</v>
      </c>
      <c r="E5" s="9" t="s">
        <v>4</v>
      </c>
      <c r="F5" s="10">
        <v>1</v>
      </c>
      <c r="G5" s="14">
        <v>90000</v>
      </c>
      <c r="H5" s="11">
        <f t="shared" ref="H5:H11" si="0">SUM(F5*G5)</f>
        <v>90000</v>
      </c>
      <c r="I5" s="12"/>
    </row>
    <row r="6" spans="1:9">
      <c r="A6" s="8">
        <v>2</v>
      </c>
      <c r="B6" s="8">
        <v>2553</v>
      </c>
      <c r="C6" s="13" t="s">
        <v>11</v>
      </c>
      <c r="D6" s="13" t="s">
        <v>17</v>
      </c>
      <c r="E6" s="9" t="s">
        <v>4</v>
      </c>
      <c r="F6" s="10">
        <v>2</v>
      </c>
      <c r="G6" s="14">
        <v>5800</v>
      </c>
      <c r="H6" s="11">
        <f t="shared" si="0"/>
        <v>11600</v>
      </c>
      <c r="I6" s="12"/>
    </row>
    <row r="7" spans="1:9">
      <c r="A7" s="8">
        <v>3</v>
      </c>
      <c r="B7" s="8">
        <v>2553</v>
      </c>
      <c r="C7" s="13" t="s">
        <v>12</v>
      </c>
      <c r="D7" s="13" t="s">
        <v>18</v>
      </c>
      <c r="E7" s="9" t="s">
        <v>4</v>
      </c>
      <c r="F7" s="10">
        <v>1</v>
      </c>
      <c r="G7" s="14">
        <v>75900</v>
      </c>
      <c r="H7" s="11">
        <f t="shared" si="0"/>
        <v>75900</v>
      </c>
      <c r="I7" s="12"/>
    </row>
    <row r="8" spans="1:9">
      <c r="A8" s="8">
        <v>4</v>
      </c>
      <c r="B8" s="8">
        <v>2553</v>
      </c>
      <c r="C8" s="13" t="s">
        <v>13</v>
      </c>
      <c r="D8" s="13" t="s">
        <v>19</v>
      </c>
      <c r="E8" s="9" t="s">
        <v>4</v>
      </c>
      <c r="F8" s="10">
        <v>1</v>
      </c>
      <c r="G8" s="14">
        <v>3000</v>
      </c>
      <c r="H8" s="11">
        <f t="shared" si="0"/>
        <v>3000</v>
      </c>
      <c r="I8" s="12"/>
    </row>
    <row r="9" spans="1:9">
      <c r="A9" s="8">
        <v>5</v>
      </c>
      <c r="B9" s="8">
        <v>2553</v>
      </c>
      <c r="C9" s="13" t="s">
        <v>14</v>
      </c>
      <c r="D9" s="13" t="s">
        <v>20</v>
      </c>
      <c r="E9" s="9" t="s">
        <v>4</v>
      </c>
      <c r="F9" s="10">
        <v>1</v>
      </c>
      <c r="G9" s="14">
        <v>3750</v>
      </c>
      <c r="H9" s="11">
        <f t="shared" si="0"/>
        <v>3750</v>
      </c>
      <c r="I9" s="12"/>
    </row>
    <row r="10" spans="1:9">
      <c r="A10" s="8">
        <v>6</v>
      </c>
      <c r="B10" s="8">
        <v>2557</v>
      </c>
      <c r="C10" s="15" t="s">
        <v>15</v>
      </c>
      <c r="D10" s="15" t="s">
        <v>21</v>
      </c>
      <c r="E10" s="9" t="s">
        <v>7</v>
      </c>
      <c r="F10" s="10">
        <v>1</v>
      </c>
      <c r="G10" s="14">
        <v>28250</v>
      </c>
      <c r="H10" s="11">
        <f t="shared" si="0"/>
        <v>28250</v>
      </c>
      <c r="I10" s="12"/>
    </row>
    <row r="11" spans="1:9">
      <c r="A11" s="8">
        <v>7</v>
      </c>
      <c r="B11" s="16">
        <v>21925</v>
      </c>
      <c r="C11" s="17"/>
      <c r="D11" s="18" t="s">
        <v>31</v>
      </c>
      <c r="E11" s="9" t="s">
        <v>7</v>
      </c>
      <c r="F11" s="10">
        <v>1</v>
      </c>
      <c r="G11" s="19">
        <v>10000</v>
      </c>
      <c r="H11" s="11">
        <f t="shared" si="0"/>
        <v>10000</v>
      </c>
      <c r="I11" s="12"/>
    </row>
    <row r="12" spans="1:9">
      <c r="A12" s="8">
        <v>8</v>
      </c>
      <c r="B12" s="16">
        <v>23279</v>
      </c>
      <c r="C12" s="17" t="s">
        <v>23</v>
      </c>
      <c r="D12" s="15" t="s">
        <v>24</v>
      </c>
      <c r="E12" s="9" t="s">
        <v>5</v>
      </c>
      <c r="F12" s="10">
        <v>1</v>
      </c>
      <c r="G12" s="19">
        <v>15000</v>
      </c>
      <c r="H12" s="11">
        <f t="shared" ref="H12:H19" si="1">SUM(F12*G12)</f>
        <v>15000</v>
      </c>
      <c r="I12" s="12"/>
    </row>
    <row r="13" spans="1:9">
      <c r="A13" s="8">
        <v>9</v>
      </c>
      <c r="B13" s="20">
        <v>23545</v>
      </c>
      <c r="C13" s="21" t="s">
        <v>32</v>
      </c>
      <c r="D13" s="21" t="s">
        <v>33</v>
      </c>
      <c r="E13" s="8" t="s">
        <v>5</v>
      </c>
      <c r="F13" s="8">
        <v>5</v>
      </c>
      <c r="G13" s="22">
        <v>21900</v>
      </c>
      <c r="H13" s="22">
        <f t="shared" si="1"/>
        <v>109500</v>
      </c>
      <c r="I13" s="21"/>
    </row>
    <row r="14" spans="1:9">
      <c r="A14" s="8">
        <v>10</v>
      </c>
      <c r="B14" s="20">
        <v>23545</v>
      </c>
      <c r="C14" s="21" t="s">
        <v>34</v>
      </c>
      <c r="D14" s="21" t="s">
        <v>35</v>
      </c>
      <c r="E14" s="8" t="s">
        <v>5</v>
      </c>
      <c r="F14" s="8">
        <v>10</v>
      </c>
      <c r="G14" s="22">
        <v>12900</v>
      </c>
      <c r="H14" s="22">
        <f t="shared" si="1"/>
        <v>129000</v>
      </c>
      <c r="I14" s="21"/>
    </row>
    <row r="15" spans="1:9">
      <c r="A15" s="8">
        <v>11</v>
      </c>
      <c r="B15" s="20">
        <v>23642</v>
      </c>
      <c r="C15" s="21" t="s">
        <v>37</v>
      </c>
      <c r="D15" s="21" t="s">
        <v>6</v>
      </c>
      <c r="E15" s="8" t="s">
        <v>5</v>
      </c>
      <c r="F15" s="8">
        <v>1</v>
      </c>
      <c r="G15" s="22">
        <v>34900</v>
      </c>
      <c r="H15" s="22">
        <f t="shared" si="1"/>
        <v>34900</v>
      </c>
      <c r="I15" s="21"/>
    </row>
    <row r="16" spans="1:9">
      <c r="A16" s="8">
        <v>12</v>
      </c>
      <c r="B16" s="20">
        <v>243319</v>
      </c>
      <c r="C16" s="21" t="s">
        <v>39</v>
      </c>
      <c r="D16" s="21" t="s">
        <v>33</v>
      </c>
      <c r="E16" s="8" t="s">
        <v>5</v>
      </c>
      <c r="F16" s="8">
        <v>2</v>
      </c>
      <c r="G16" s="22">
        <v>15000</v>
      </c>
      <c r="H16" s="22">
        <f t="shared" si="1"/>
        <v>30000</v>
      </c>
      <c r="I16" s="21"/>
    </row>
    <row r="17" spans="1:9">
      <c r="A17" s="8">
        <v>13</v>
      </c>
      <c r="B17" s="20">
        <v>243319</v>
      </c>
      <c r="C17" s="21" t="s">
        <v>40</v>
      </c>
      <c r="D17" s="21" t="s">
        <v>41</v>
      </c>
      <c r="E17" s="8" t="s">
        <v>5</v>
      </c>
      <c r="F17" s="8">
        <v>8</v>
      </c>
      <c r="G17" s="22">
        <v>18000</v>
      </c>
      <c r="H17" s="22">
        <f t="shared" si="1"/>
        <v>144000</v>
      </c>
      <c r="I17" s="21"/>
    </row>
    <row r="18" spans="1:9">
      <c r="A18" s="8">
        <v>14</v>
      </c>
      <c r="B18" s="20">
        <v>24447</v>
      </c>
      <c r="C18" s="21" t="s">
        <v>42</v>
      </c>
      <c r="D18" s="25" t="s">
        <v>43</v>
      </c>
      <c r="E18" s="8" t="s">
        <v>44</v>
      </c>
      <c r="F18" s="8">
        <v>1</v>
      </c>
      <c r="G18" s="22">
        <v>4100</v>
      </c>
      <c r="H18" s="22">
        <f t="shared" si="1"/>
        <v>4100</v>
      </c>
      <c r="I18" s="21"/>
    </row>
    <row r="19" spans="1:9">
      <c r="A19" s="8">
        <v>15</v>
      </c>
      <c r="B19" s="20">
        <v>24447</v>
      </c>
      <c r="C19" s="21" t="s">
        <v>46</v>
      </c>
      <c r="D19" s="25" t="s">
        <v>45</v>
      </c>
      <c r="E19" s="8" t="s">
        <v>44</v>
      </c>
      <c r="F19" s="8">
        <v>1</v>
      </c>
      <c r="G19" s="22">
        <v>5700</v>
      </c>
      <c r="H19" s="22">
        <f t="shared" si="1"/>
        <v>5700</v>
      </c>
      <c r="I19" s="21"/>
    </row>
    <row r="20" spans="1:9" ht="22.5" customHeight="1">
      <c r="A20" s="28" t="s">
        <v>22</v>
      </c>
      <c r="B20" s="29"/>
      <c r="C20" s="29"/>
      <c r="D20" s="29"/>
      <c r="E20" s="30"/>
      <c r="F20" s="23"/>
      <c r="G20" s="24"/>
      <c r="H20" s="24">
        <f>SUM(H5:H19)</f>
        <v>694700</v>
      </c>
      <c r="I20" s="8"/>
    </row>
    <row r="21" spans="1:9" ht="23.25" customHeight="1">
      <c r="A21" s="4"/>
      <c r="C21" s="4"/>
      <c r="D21" s="4"/>
      <c r="E21" s="4"/>
      <c r="F21" s="3"/>
      <c r="G21" s="5"/>
      <c r="H21" s="5"/>
      <c r="I21" s="5"/>
    </row>
    <row r="22" spans="1:9" ht="23.25" customHeight="1">
      <c r="A22" s="4"/>
      <c r="C22" s="4"/>
      <c r="D22" s="4"/>
      <c r="E22" s="4"/>
      <c r="F22" s="3"/>
      <c r="G22" s="5"/>
      <c r="H22" s="5"/>
      <c r="I22" s="5"/>
    </row>
    <row r="23" spans="1:9" ht="23.25" customHeight="1">
      <c r="G23" s="26" t="s">
        <v>8</v>
      </c>
      <c r="H23" s="26"/>
      <c r="I23" s="26"/>
    </row>
    <row r="24" spans="1:9" ht="20.25" customHeight="1">
      <c r="G24" s="26" t="s">
        <v>38</v>
      </c>
      <c r="H24" s="26"/>
      <c r="I24" s="26"/>
    </row>
    <row r="25" spans="1:9" ht="20.25" customHeight="1">
      <c r="G25" s="26" t="s">
        <v>9</v>
      </c>
      <c r="H25" s="26"/>
      <c r="I25" s="26"/>
    </row>
  </sheetData>
  <mergeCells count="7">
    <mergeCell ref="G23:I23"/>
    <mergeCell ref="G24:I24"/>
    <mergeCell ref="G25:I25"/>
    <mergeCell ref="A1:I1"/>
    <mergeCell ref="A2:I2"/>
    <mergeCell ref="A3:I3"/>
    <mergeCell ref="A20:E20"/>
  </mergeCells>
  <printOptions horizontalCentered="1"/>
  <pageMargins left="0.19685039370078741" right="0" top="0.59055118110236227" bottom="0.19685039370078741" header="0" footer="0"/>
  <pageSetup paperSize="9" scale="75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งานศูนย์ข้อมูลฯ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AP2017</dc:creator>
  <cp:lastModifiedBy>Pasdoo</cp:lastModifiedBy>
  <cp:lastPrinted>2024-06-11T08:34:14Z</cp:lastPrinted>
  <dcterms:created xsi:type="dcterms:W3CDTF">2017-11-14T01:32:33Z</dcterms:created>
  <dcterms:modified xsi:type="dcterms:W3CDTF">2024-06-11T08:40:52Z</dcterms:modified>
</cp:coreProperties>
</file>