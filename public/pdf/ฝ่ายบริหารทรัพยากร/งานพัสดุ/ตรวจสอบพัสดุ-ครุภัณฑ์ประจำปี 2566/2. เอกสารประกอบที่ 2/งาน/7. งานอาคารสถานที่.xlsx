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รายการครุภัณ์คงเหลือ ปี 67\ครุภัณฑ์คงเหลือ 66\งาน\"/>
    </mc:Choice>
  </mc:AlternateContent>
  <xr:revisionPtr revIDLastSave="0" documentId="13_ncr:1_{A92FEFA4-7ECF-44A9-82DE-27F2649AB710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อาคารสถานที่" sheetId="25" r:id="rId1"/>
  </sheets>
  <definedNames>
    <definedName name="_xlnm.Print_Titles" localSheetId="0">งานอาคารสถานที่!$1:$4</definedName>
  </definedNames>
  <calcPr calcId="191029"/>
</workbook>
</file>

<file path=xl/calcChain.xml><?xml version="1.0" encoding="utf-8"?>
<calcChain xmlns="http://schemas.openxmlformats.org/spreadsheetml/2006/main">
  <c r="H68" i="25" l="1"/>
  <c r="H67" i="25"/>
  <c r="H66" i="25"/>
  <c r="H65" i="25"/>
  <c r="H64" i="25"/>
  <c r="H63" i="25"/>
  <c r="H62" i="25"/>
  <c r="H61" i="25"/>
  <c r="H60" i="25"/>
  <c r="H59" i="25"/>
  <c r="H58" i="25"/>
  <c r="H56" i="25"/>
  <c r="H57" i="25" l="1"/>
  <c r="H55" i="25" l="1"/>
  <c r="H54" i="25"/>
  <c r="H53" i="25"/>
  <c r="H52" i="25"/>
  <c r="H49" i="25"/>
  <c r="H48" i="25" l="1"/>
  <c r="H47" i="25"/>
  <c r="H44" i="25"/>
  <c r="H45" i="25"/>
  <c r="H46" i="25"/>
  <c r="H42" i="25"/>
  <c r="H43" i="25"/>
  <c r="H41" i="25" l="1"/>
  <c r="H40" i="25"/>
  <c r="H5" i="25" l="1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50" i="25" l="1"/>
  <c r="H51" i="25" s="1"/>
</calcChain>
</file>

<file path=xl/sharedStrings.xml><?xml version="1.0" encoding="utf-8"?>
<sst xmlns="http://schemas.openxmlformats.org/spreadsheetml/2006/main" count="212" uniqueCount="145">
  <si>
    <t>รายการ ขนาด ลักษณะ</t>
  </si>
  <si>
    <t>จำนวน</t>
  </si>
  <si>
    <t>หมายเหตุ</t>
  </si>
  <si>
    <t>ตู้เหล็ก 2 บานเปิด</t>
  </si>
  <si>
    <t>งปม.</t>
  </si>
  <si>
    <t>บกศ.</t>
  </si>
  <si>
    <t>ตู้เหล็ก 4 ลิ้นชัก</t>
  </si>
  <si>
    <t>หัวหน้าหน่วยจ่าย/หน่วยเบิก</t>
  </si>
  <si>
    <t>ตู้เหล็ก  2  บานเปิด</t>
  </si>
  <si>
    <t xml:space="preserve"> สถานศึกษา วิทยาลัยเทคนิคกันทรลักษ์</t>
  </si>
  <si>
    <t>เครื่องตัดหญ้าแบบสายสพาย</t>
  </si>
  <si>
    <t>4530-001-0001/442-001</t>
  </si>
  <si>
    <t>เตาแก๊ส KBS หัวปรับลัคกีเฟรม + ขาตั้ง</t>
  </si>
  <si>
    <t>3220-006-0001/452-001</t>
  </si>
  <si>
    <t>กบไสไม้ 1100  มากีต้า</t>
  </si>
  <si>
    <t>4330-001-0002/452-001</t>
  </si>
  <si>
    <t>ปั้มน้ำเวล ขนาด 1 1/2"</t>
  </si>
  <si>
    <t>3445-002-0001/462-001</t>
  </si>
  <si>
    <t>เครื่องตัดไฟเบอร์  14  มาสต้า</t>
  </si>
  <si>
    <t>7910-003-0001/461-002</t>
  </si>
  <si>
    <t>เครื่องดูดฝุ่น</t>
  </si>
  <si>
    <t>3750-002-0001/482-001</t>
  </si>
  <si>
    <t>โครงรถตัดหญ้า 2 ล้อ</t>
  </si>
  <si>
    <t>3750-002-0001/482-005</t>
  </si>
  <si>
    <t>2805-001-0002/482-001</t>
  </si>
  <si>
    <t>เครื่องยนต์สูบเฉียง 5.5 HONDA</t>
  </si>
  <si>
    <t>7110-002-0006/502-088-089</t>
  </si>
  <si>
    <t>ตู้เหล็ก 2 บานเลื่อนกระจก</t>
  </si>
  <si>
    <t>7125-002-0002/502-009-010</t>
  </si>
  <si>
    <t>7110-002-0005/502-013</t>
  </si>
  <si>
    <t>7490-015-0001/512-002</t>
  </si>
  <si>
    <t>เครื่องตัดสติกเกอร์ ROLAN SV-15</t>
  </si>
  <si>
    <t>5925-001-0001/521-001</t>
  </si>
  <si>
    <t>เซอร์กิจเบเกอร์ 400A350</t>
  </si>
  <si>
    <t>2310-004-0001/532-002</t>
  </si>
  <si>
    <t>รถยนต์โตโยต้า ไฮเอช  สีเทา</t>
  </si>
  <si>
    <t>7110-002-0005/531-029</t>
  </si>
  <si>
    <t>7110-002-0006/531-025</t>
  </si>
  <si>
    <t>ตู้  2  บานเลือนกระจก  4  ฟุต</t>
  </si>
  <si>
    <t>7240-004-0001/582-001(2)</t>
  </si>
  <si>
    <t>ถังน้ำสแตนเลสขนาด 2000 ลิตร</t>
  </si>
  <si>
    <t>3750-0204-6001(4)</t>
  </si>
  <si>
    <t>เครื่องตัดหญ้า แบบสพายข้าง</t>
  </si>
  <si>
    <t>ชุดเก้าอี้หลุย</t>
  </si>
  <si>
    <t>เครื่องตัดหญ้า แบบรถเข็น 2 ล้อ</t>
  </si>
  <si>
    <t>เครื่องเลื่อยโซ่ยนต์เลเซอร์</t>
  </si>
  <si>
    <t>บันไดสไลด์ ขนาด 14 ขั้น</t>
  </si>
  <si>
    <t>7105-014-0001/622-001(3)</t>
  </si>
  <si>
    <t>เครื่องปรับอากาศแบบเคลื่อนที่ PA-90 AJ</t>
  </si>
  <si>
    <t>4120-001-0001/622-001(2)</t>
  </si>
  <si>
    <t>3750-002-0001/622-001(3)</t>
  </si>
  <si>
    <t>ปั้มลมแบบลูกสูบ ขนาด 30 ลิตร</t>
  </si>
  <si>
    <t>4310-001-0001/622-001</t>
  </si>
  <si>
    <t>3210-002-0001/622-001</t>
  </si>
  <si>
    <t>4240-012-0001/622-001</t>
  </si>
  <si>
    <t>ตู้น้ำเย็นแบบ 2 ก๊อก DP-522 HC-MAZMA</t>
  </si>
  <si>
    <t>4110-002-0001/622-001(5)</t>
  </si>
  <si>
    <t>พัดลมอุตสาหกรรม 30 " MC-305 SMIRA</t>
  </si>
  <si>
    <t>4140-001-0002/622-001(10)</t>
  </si>
  <si>
    <t>เลื่อยวงเดือน 9 นิ้ว JC-5905 PUMPKIN</t>
  </si>
  <si>
    <t>3220-003-0001/622-001</t>
  </si>
  <si>
    <t>4140-001-0001/622-001(60)</t>
  </si>
  <si>
    <t>พัดลมโคจร</t>
  </si>
  <si>
    <t>หินเจียมือขนาด 4 นิ้ว</t>
  </si>
  <si>
    <t>4910-014-000/632-001</t>
  </si>
  <si>
    <t>3750-002-0002/632-001</t>
  </si>
  <si>
    <t>รถตัดหญ้าแบบ 4 ล้อเข็น</t>
  </si>
  <si>
    <t>3750-002-0001/632-001</t>
  </si>
  <si>
    <t>7105-005-0001/632-001(5)</t>
  </si>
  <si>
    <t>7910-0032-001/632-001</t>
  </si>
  <si>
    <t>บริจาค</t>
  </si>
  <si>
    <t>พัดลมตั้งพื้น แบบสไลด์ได้</t>
  </si>
  <si>
    <t>เก้าอี้สนามไม้</t>
  </si>
  <si>
    <t>4140-001-0001/632-031-060</t>
  </si>
  <si>
    <t>4140-001-0001/632-001-030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</si>
  <si>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</si>
  <si>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</si>
  <si>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</si>
  <si>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</si>
  <si>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</si>
  <si>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</si>
  <si>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</si>
  <si>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ยอดยกไป</t>
  </si>
  <si>
    <t>ยอดยกมา</t>
  </si>
  <si>
    <t xml:space="preserve"> ....................................................</t>
  </si>
  <si>
    <t>7195-008-0001/642-001</t>
  </si>
  <si>
    <t>ตู้ชั้นวางทีวี 85 นิ้ว</t>
  </si>
  <si>
    <t>7105-006-0001/642-001</t>
  </si>
  <si>
    <t>7105-006-0002/642-001(3)</t>
  </si>
  <si>
    <t xml:space="preserve">โต๊ะกลางหน้าหิน </t>
  </si>
  <si>
    <t>โต๊ะน้ำชาหน้ากระจกกลม+เก้าอี้หวายเทียม 2 ตัว</t>
  </si>
  <si>
    <t>7105-006-0002/642-001</t>
  </si>
  <si>
    <t>โต๊ะน้ำชา 2 ที่นั่ง (แบบเหลี่ยม)</t>
  </si>
  <si>
    <t>7105-006-0003/642-001</t>
  </si>
  <si>
    <t>โต๊ะประชุม ขนาด 8 ที่นั่ง</t>
  </si>
  <si>
    <t>4140-001-0003/642-001</t>
  </si>
  <si>
    <t>พัดลมประหยัดพลังงาน ขนาด 6.5 เมตร</t>
  </si>
  <si>
    <t>7110-006-0005/642-001-040</t>
  </si>
  <si>
    <t>เก้าอี้นั่งฟังคำบรรยาย</t>
  </si>
  <si>
    <t>4120-001-0001/642-001</t>
  </si>
  <si>
    <t>เครื่องปรับอากาศ 12,000 BTU</t>
  </si>
  <si>
    <t>4120-001-0001/642-002</t>
  </si>
  <si>
    <t>เครื่องปรับอากาศ 24,000 BTU</t>
  </si>
  <si>
    <t>4120-001-0001/642-003</t>
  </si>
  <si>
    <t>4140-001-0005/642-001(12)</t>
  </si>
  <si>
    <t>พัดลมติดเพดาน</t>
  </si>
  <si>
    <t>7110-007-0001/642-001(4)</t>
  </si>
  <si>
    <t>โต๊ะชั้นตรี ระดับ 1-2 (โต๊ะทำงานเหล็กพร้อมกระจก)</t>
  </si>
  <si>
    <t>7110-006-0001/642-001(4)</t>
  </si>
  <si>
    <t>เก้าอี้ระดับ 1-2</t>
  </si>
  <si>
    <t>4120-001-0001/642-004-008</t>
  </si>
  <si>
    <t>4140-001-0005/642-013-038</t>
  </si>
  <si>
    <t>2545</t>
  </si>
  <si>
    <t>2546</t>
  </si>
  <si>
    <t>2550</t>
  </si>
  <si>
    <t>2544</t>
  </si>
  <si>
    <t>บัญชีรายการ งานอาคารสถานที่  คงเหลือ</t>
  </si>
  <si>
    <t>2558</t>
  </si>
  <si>
    <t>2320-008-0002/643-001</t>
  </si>
  <si>
    <t>รถกระบะ 4 ประตู</t>
  </si>
  <si>
    <t>7110-007-0001/652-001(4)</t>
  </si>
  <si>
    <t>โต๊ะทำงาน (โครงสร้างไม้ผลิตจากไม้)</t>
  </si>
  <si>
    <t>7110-007-0002/652-001(4)</t>
  </si>
  <si>
    <t>โต๊ะข้างมีช่องสำหรับเก็บของมีลิ้นชักสำหรับวางคีย์บอร์ด</t>
  </si>
  <si>
    <t>7110-002-0001/652-001(4)</t>
  </si>
  <si>
    <t>ตู้ลิ้นชัก 3 ลิ้นชัก มีล้อเลื่อน</t>
  </si>
  <si>
    <t>(นายสุขสันต์  สิทธิมวล)</t>
  </si>
  <si>
    <t>4330-001-0002/652-001</t>
  </si>
  <si>
    <t>ปั๊มบาดาล ขนาด 1.5 HP (ซัมเมิร์ส)</t>
  </si>
  <si>
    <t>4140-001-0003/662-001</t>
  </si>
  <si>
    <t>พัดลมประหยัดพลังงาน ขนาด 7.3 เมตร</t>
  </si>
  <si>
    <t>7105-003-0001/662-001</t>
  </si>
  <si>
    <t>เตียงนอนไม้ ขนาด 6 ฟุต</t>
  </si>
  <si>
    <t>4120-001-0002/662-001(3)</t>
  </si>
  <si>
    <t>เครื่องปรับอากาศ ขนาด 39287 BTU</t>
  </si>
  <si>
    <t xml:space="preserve">7105 - 003 - 0001 / 672 - 001 </t>
  </si>
  <si>
    <t>ชุดเตียงนอนไม้</t>
  </si>
  <si>
    <t xml:space="preserve">บกศ. </t>
  </si>
  <si>
    <t xml:space="preserve">บ้านผอ. </t>
  </si>
  <si>
    <t xml:space="preserve">ชุดโต๊ะน้ำชา 2ที่นั่ง </t>
  </si>
  <si>
    <t xml:space="preserve">7105 - 006 - 0003 / 672 - 001 </t>
  </si>
  <si>
    <t>บกศ</t>
  </si>
  <si>
    <t xml:space="preserve">4320 - 020 - 0003 / 672 - 001 </t>
  </si>
  <si>
    <t>ปั๊มบาดาลบ่อ 4 ” ขนาด 2HP 14ใบพัด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</si>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</sst>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16"/>
      <color rgb="FFFF0000"/>
      <name val="TH SarabunPSK"/>
      <family val="2"/>
    </font>
    <font>
      <b/>
      <sz val="14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56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9" applyFont="1" applyAlignment="1">
      <alignment horizontal="center" vertical="center"/>
    </xf>
    <xf numFmtId="43" fontId="4" fillId="0" borderId="0" xfId="0" applyNumberFormat="1" applyFont="1" applyAlignment="1">
      <alignment horizontal="center"/>
    </xf>
    <xf numFmtId="43" fontId="3" fillId="0" borderId="0" xfId="12" applyFont="1" applyBorder="1" applyAlignment="1">
      <alignment horizontal="center"/>
    </xf>
    <xf numFmtId="43" fontId="4" fillId="0" borderId="0" xfId="0" applyNumberFormat="1" applyFont="1"/>
    <xf numFmtId="0" fontId="3" fillId="0" borderId="0" xfId="2" applyFont="1" applyAlignment="1">
      <alignment horizontal="center"/>
    </xf>
    <xf numFmtId="0" fontId="4" fillId="0" borderId="0" xfId="0" applyFont="1" applyAlignment="1">
      <alignment horizontal="left"/>
    </xf>
    <xf numFmtId="43" fontId="8" fillId="0" borderId="0" xfId="0" applyNumberFormat="1" applyFont="1"/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43" fontId="3" fillId="0" borderId="0" xfId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2" applyFont="1" applyBorder="1" applyAlignment="1">
      <alignment horizontal="center"/>
    </xf>
    <xf numFmtId="43" fontId="7" fillId="0" borderId="1" xfId="1" applyFont="1" applyFill="1" applyBorder="1" applyAlignment="1">
      <alignment horizontal="center"/>
    </xf>
    <xf numFmtId="43" fontId="7" fillId="0" borderId="1" xfId="12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43" fontId="7" fillId="0" borderId="6" xfId="1" applyFont="1" applyFill="1" applyBorder="1" applyAlignment="1">
      <alignment horizontal="center"/>
    </xf>
    <xf numFmtId="0" fontId="7" fillId="0" borderId="1" xfId="6" applyFont="1" applyBorder="1"/>
    <xf numFmtId="0" fontId="7" fillId="0" borderId="1" xfId="6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9" fontId="7" fillId="0" borderId="1" xfId="7" applyNumberFormat="1" applyFont="1" applyBorder="1" applyAlignment="1">
      <alignment horizontal="center"/>
    </xf>
    <xf numFmtId="43" fontId="7" fillId="0" borderId="1" xfId="1" applyFont="1" applyFill="1" applyBorder="1"/>
    <xf numFmtId="49" fontId="7" fillId="0" borderId="1" xfId="6" applyNumberFormat="1" applyFont="1" applyBorder="1" applyAlignment="1">
      <alignment horizontal="left"/>
    </xf>
    <xf numFmtId="49" fontId="7" fillId="0" borderId="1" xfId="13" applyNumberFormat="1" applyFont="1" applyBorder="1" applyAlignment="1">
      <alignment horizontal="center"/>
    </xf>
    <xf numFmtId="43" fontId="7" fillId="0" borderId="4" xfId="12" applyFont="1" applyBorder="1" applyAlignment="1">
      <alignment horizontal="center"/>
    </xf>
    <xf numFmtId="0" fontId="7" fillId="0" borderId="5" xfId="6" applyFont="1" applyBorder="1" applyAlignment="1">
      <alignment horizontal="left"/>
    </xf>
    <xf numFmtId="0" fontId="7" fillId="0" borderId="5" xfId="6" applyFont="1" applyBorder="1" applyAlignment="1">
      <alignment horizontal="center"/>
    </xf>
    <xf numFmtId="43" fontId="7" fillId="0" borderId="5" xfId="1" applyFont="1" applyFill="1" applyBorder="1" applyAlignment="1">
      <alignment horizontal="center"/>
    </xf>
    <xf numFmtId="49" fontId="7" fillId="0" borderId="1" xfId="6" applyNumberFormat="1" applyFont="1" applyBorder="1"/>
    <xf numFmtId="15" fontId="6" fillId="0" borderId="1" xfId="0" applyNumberFormat="1" applyFont="1" applyBorder="1" applyAlignment="1">
      <alignment horizontal="center"/>
    </xf>
    <xf numFmtId="15" fontId="7" fillId="0" borderId="1" xfId="0" applyNumberFormat="1" applyFont="1" applyBorder="1" applyAlignment="1">
      <alignment horizontal="center"/>
    </xf>
    <xf numFmtId="0" fontId="7" fillId="2" borderId="1" xfId="6" applyFont="1" applyFill="1" applyBorder="1" applyAlignment="1">
      <alignment horizontal="left"/>
    </xf>
    <xf numFmtId="0" fontId="7" fillId="0" borderId="1" xfId="0" applyFont="1" applyBorder="1"/>
    <xf numFmtId="15" fontId="7" fillId="3" borderId="1" xfId="0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vertical="center"/>
    </xf>
    <xf numFmtId="15" fontId="7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/>
    </xf>
    <xf numFmtId="0" fontId="6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7" xfId="0" applyFont="1" applyBorder="1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49" fontId="7" fillId="0" borderId="2" xfId="13" applyNumberFormat="1" applyFont="1" applyBorder="1" applyAlignment="1">
      <alignment horizontal="right"/>
    </xf>
    <xf numFmtId="49" fontId="7" fillId="0" borderId="3" xfId="13" applyNumberFormat="1" applyFont="1" applyBorder="1" applyAlignment="1">
      <alignment horizontal="right"/>
    </xf>
    <xf numFmtId="49" fontId="7" fillId="0" borderId="4" xfId="13" applyNumberFormat="1" applyFont="1" applyBorder="1" applyAlignment="1">
      <alignment horizontal="right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857250</xdr:colOff>
      <xdr:row>0</xdr:row>
      <xdr:rowOff>152400</xdr:rowOff>
    </xdr:from>
    <xdr:to>
      <xdr:col>8</xdr:col>
      <xdr:colOff>457200</xdr:colOff>
      <xdr:row>1</xdr:row>
      <xdr:rowOff>161925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448675" y="152400"/>
          <a:ext cx="1704975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L74"/>
  <sheetViews>
    <sheetView tabSelected="1" topLeftCell="A67" workbookViewId="0">
      <selection activeCell="D74" sqref="D74"/>
    </sheetView>
  </sheetViews>
  <sheetFormatPr defaultColWidth="9" defaultRowHeight="22.5" customHeight="1"/>
  <cols>
    <col min="1" max="1" width="5.28515625" style="1" customWidth="1"/>
    <col min="2" max="2" width="10.85546875" style="1" customWidth="1"/>
    <col min="3" max="3" width="29.28515625" style="10" customWidth="1"/>
    <col min="4" max="4" width="41.85546875" style="1" customWidth="1"/>
    <col min="5" max="5" width="6.140625" style="1" customWidth="1"/>
    <col min="6" max="6" width="6.28515625" style="1" customWidth="1"/>
    <col min="7" max="8" width="14.42578125" style="1" customWidth="1"/>
    <col min="9" max="9" width="8.7109375" style="2" customWidth="1"/>
    <col min="10" max="10" width="15.140625" style="2" customWidth="1"/>
    <col min="11" max="12" width="13.140625" style="1" customWidth="1"/>
    <col min="13" max="16384" width="9" style="1"/>
  </cols>
  <sheetData>
    <row r="1" spans="1:10" ht="22.5" customHeight="1">
      <c r="A1" s="47" t="s">
        <v>9</v>
      </c>
      <c r="B1" s="47"/>
      <c r="C1" s="47"/>
      <c r="D1" s="47"/>
      <c r="E1" s="47"/>
      <c r="F1" s="47"/>
      <c r="G1" s="47"/>
      <c r="H1" s="47"/>
      <c r="I1" s="47"/>
    </row>
    <row r="2" spans="1:10" ht="22.5" customHeight="1">
      <c r="A2" s="48" t="s">
        <v>116</v>
      </c>
      <c r="B2" s="48"/>
      <c r="C2" s="48"/>
      <c r="D2" s="48"/>
      <c r="E2" s="48"/>
      <c r="F2" s="48"/>
      <c r="G2" s="48"/>
      <c r="H2" s="48"/>
      <c r="I2" s="48"/>
      <c r="J2" s="5"/>
    </row>
    <row r="3" spans="1:10" ht="22.5" customHeight="1">
      <c r="A3" s="49" t="s">
        <v>144</v>
      </c>
      <c r="B3" s="49"/>
      <c r="C3" s="49"/>
      <c r="D3" s="49"/>
      <c r="E3" s="49"/>
      <c r="F3" s="49"/>
      <c r="G3" s="49"/>
      <c r="H3" s="49"/>
      <c r="I3" s="49"/>
    </row>
    <row r="4" spans="1:10" s="2" customFormat="1" ht="42" customHeight="1">
      <c r="A4" s="15" t="s">
        <v>75</v>
      </c>
      <c r="B4" s="15" t="s">
        <v>78</v>
      </c>
      <c r="C4" s="15" t="s">
        <v>79</v>
      </c>
      <c r="D4" s="16" t="s">
        <v>0</v>
      </c>
      <c r="E4" s="15" t="s">
        <v>76</v>
      </c>
      <c r="F4" s="16" t="s">
        <v>1</v>
      </c>
      <c r="G4" s="15" t="s">
        <v>77</v>
      </c>
      <c r="H4" s="15" t="s">
        <v>81</v>
      </c>
      <c r="I4" s="16" t="s">
        <v>2</v>
      </c>
      <c r="J4" s="4"/>
    </row>
    <row r="5" spans="1:10" ht="22.5" customHeight="1">
      <c r="A5" s="17">
        <v>1</v>
      </c>
      <c r="B5" s="18" t="s">
        <v>115</v>
      </c>
      <c r="C5" s="19" t="s">
        <v>11</v>
      </c>
      <c r="D5" s="19" t="s">
        <v>12</v>
      </c>
      <c r="E5" s="20" t="s">
        <v>5</v>
      </c>
      <c r="F5" s="26">
        <v>2</v>
      </c>
      <c r="G5" s="29">
        <v>960</v>
      </c>
      <c r="H5" s="21">
        <f t="shared" ref="H5:H12" si="0">SUM(F5*G5)</f>
        <v>1920</v>
      </c>
      <c r="I5" s="22"/>
      <c r="J5" s="7"/>
    </row>
    <row r="6" spans="1:10" ht="22.5" customHeight="1">
      <c r="A6" s="17">
        <v>2</v>
      </c>
      <c r="B6" s="18" t="s">
        <v>112</v>
      </c>
      <c r="C6" s="19" t="s">
        <v>13</v>
      </c>
      <c r="D6" s="30" t="s">
        <v>14</v>
      </c>
      <c r="E6" s="20" t="s">
        <v>5</v>
      </c>
      <c r="F6" s="26">
        <v>1</v>
      </c>
      <c r="G6" s="21">
        <v>8085.99</v>
      </c>
      <c r="H6" s="21">
        <f t="shared" si="0"/>
        <v>8085.99</v>
      </c>
      <c r="I6" s="22"/>
      <c r="J6" s="7"/>
    </row>
    <row r="7" spans="1:10" ht="22.5" customHeight="1">
      <c r="A7" s="17">
        <v>3</v>
      </c>
      <c r="B7" s="18" t="s">
        <v>112</v>
      </c>
      <c r="C7" s="19" t="s">
        <v>15</v>
      </c>
      <c r="D7" s="19" t="s">
        <v>16</v>
      </c>
      <c r="E7" s="20" t="s">
        <v>5</v>
      </c>
      <c r="F7" s="26">
        <v>1</v>
      </c>
      <c r="G7" s="29">
        <v>3745</v>
      </c>
      <c r="H7" s="21">
        <f t="shared" si="0"/>
        <v>3745</v>
      </c>
      <c r="I7" s="22"/>
      <c r="J7" s="7"/>
    </row>
    <row r="8" spans="1:10" ht="22.5" customHeight="1">
      <c r="A8" s="17">
        <v>4</v>
      </c>
      <c r="B8" s="31" t="s">
        <v>113</v>
      </c>
      <c r="C8" s="19" t="s">
        <v>17</v>
      </c>
      <c r="D8" s="25" t="s">
        <v>18</v>
      </c>
      <c r="E8" s="27" t="s">
        <v>5</v>
      </c>
      <c r="F8" s="26">
        <v>1</v>
      </c>
      <c r="G8" s="29">
        <v>7280</v>
      </c>
      <c r="H8" s="21">
        <f t="shared" si="0"/>
        <v>7280</v>
      </c>
      <c r="I8" s="27"/>
    </row>
    <row r="9" spans="1:10" ht="22.5" customHeight="1">
      <c r="A9" s="17">
        <v>5</v>
      </c>
      <c r="B9" s="31" t="s">
        <v>113</v>
      </c>
      <c r="C9" s="19" t="s">
        <v>19</v>
      </c>
      <c r="D9" s="19" t="s">
        <v>20</v>
      </c>
      <c r="E9" s="27" t="s">
        <v>4</v>
      </c>
      <c r="F9" s="26">
        <v>1</v>
      </c>
      <c r="G9" s="21">
        <v>6000</v>
      </c>
      <c r="H9" s="21">
        <f t="shared" si="0"/>
        <v>6000</v>
      </c>
      <c r="I9" s="27"/>
    </row>
    <row r="10" spans="1:10" ht="22.5" customHeight="1">
      <c r="A10" s="17">
        <v>6</v>
      </c>
      <c r="B10" s="27">
        <v>2548</v>
      </c>
      <c r="C10" s="19" t="s">
        <v>21</v>
      </c>
      <c r="D10" s="25" t="s">
        <v>22</v>
      </c>
      <c r="E10" s="20" t="s">
        <v>5</v>
      </c>
      <c r="F10" s="26">
        <v>1</v>
      </c>
      <c r="G10" s="21">
        <v>2312</v>
      </c>
      <c r="H10" s="21">
        <f t="shared" si="0"/>
        <v>2312</v>
      </c>
      <c r="I10" s="32"/>
      <c r="J10" s="7"/>
    </row>
    <row r="11" spans="1:10" ht="22.5" customHeight="1">
      <c r="A11" s="17">
        <v>7</v>
      </c>
      <c r="B11" s="27">
        <v>2548</v>
      </c>
      <c r="C11" s="19" t="s">
        <v>23</v>
      </c>
      <c r="D11" s="25" t="s">
        <v>10</v>
      </c>
      <c r="E11" s="20" t="s">
        <v>5</v>
      </c>
      <c r="F11" s="26">
        <v>1</v>
      </c>
      <c r="G11" s="21">
        <v>8165</v>
      </c>
      <c r="H11" s="21">
        <f t="shared" si="0"/>
        <v>8165</v>
      </c>
      <c r="I11" s="22"/>
      <c r="J11" s="7"/>
    </row>
    <row r="12" spans="1:10" ht="22.5" customHeight="1">
      <c r="A12" s="17">
        <v>8</v>
      </c>
      <c r="B12" s="27">
        <v>2548</v>
      </c>
      <c r="C12" s="19" t="s">
        <v>24</v>
      </c>
      <c r="D12" s="19" t="s">
        <v>25</v>
      </c>
      <c r="E12" s="20" t="s">
        <v>5</v>
      </c>
      <c r="F12" s="26">
        <v>1</v>
      </c>
      <c r="G12" s="21">
        <v>6440</v>
      </c>
      <c r="H12" s="21">
        <f t="shared" si="0"/>
        <v>6440</v>
      </c>
      <c r="I12" s="22"/>
      <c r="J12" s="7"/>
    </row>
    <row r="13" spans="1:10" ht="22.5" customHeight="1">
      <c r="A13" s="17">
        <v>9</v>
      </c>
      <c r="B13" s="31" t="s">
        <v>114</v>
      </c>
      <c r="C13" s="19" t="s">
        <v>26</v>
      </c>
      <c r="D13" s="19" t="s">
        <v>27</v>
      </c>
      <c r="E13" s="20" t="s">
        <v>5</v>
      </c>
      <c r="F13" s="26">
        <v>2</v>
      </c>
      <c r="G13" s="21">
        <v>2800</v>
      </c>
      <c r="H13" s="21">
        <f t="shared" ref="H13:H40" si="1">SUM(F13*G13)</f>
        <v>5600</v>
      </c>
      <c r="I13" s="27"/>
    </row>
    <row r="14" spans="1:10" ht="22.5" customHeight="1">
      <c r="A14" s="17">
        <v>10</v>
      </c>
      <c r="B14" s="31" t="s">
        <v>114</v>
      </c>
      <c r="C14" s="19" t="s">
        <v>28</v>
      </c>
      <c r="D14" s="19" t="s">
        <v>6</v>
      </c>
      <c r="E14" s="20" t="s">
        <v>5</v>
      </c>
      <c r="F14" s="26">
        <v>2</v>
      </c>
      <c r="G14" s="21">
        <v>3100</v>
      </c>
      <c r="H14" s="21">
        <f t="shared" si="1"/>
        <v>6200</v>
      </c>
      <c r="I14" s="27"/>
    </row>
    <row r="15" spans="1:10" ht="22.5" customHeight="1">
      <c r="A15" s="17">
        <v>11</v>
      </c>
      <c r="B15" s="31" t="s">
        <v>114</v>
      </c>
      <c r="C15" s="33" t="s">
        <v>29</v>
      </c>
      <c r="D15" s="33" t="s">
        <v>3</v>
      </c>
      <c r="E15" s="20" t="s">
        <v>5</v>
      </c>
      <c r="F15" s="34">
        <v>1</v>
      </c>
      <c r="G15" s="35">
        <v>3000</v>
      </c>
      <c r="H15" s="21">
        <f t="shared" si="1"/>
        <v>3000</v>
      </c>
      <c r="I15" s="27"/>
    </row>
    <row r="16" spans="1:10" ht="22.5" customHeight="1">
      <c r="A16" s="17">
        <v>12</v>
      </c>
      <c r="B16" s="27">
        <v>2551</v>
      </c>
      <c r="C16" s="19" t="s">
        <v>30</v>
      </c>
      <c r="D16" s="25" t="s">
        <v>31</v>
      </c>
      <c r="E16" s="27" t="s">
        <v>5</v>
      </c>
      <c r="F16" s="26">
        <v>1</v>
      </c>
      <c r="G16" s="21">
        <v>29900</v>
      </c>
      <c r="H16" s="21">
        <f t="shared" si="1"/>
        <v>29900</v>
      </c>
      <c r="I16" s="27"/>
    </row>
    <row r="17" spans="1:10" ht="22.5" customHeight="1">
      <c r="A17" s="17">
        <v>13</v>
      </c>
      <c r="B17" s="27">
        <v>2552</v>
      </c>
      <c r="C17" s="19" t="s">
        <v>32</v>
      </c>
      <c r="D17" s="36" t="s">
        <v>33</v>
      </c>
      <c r="E17" s="27" t="s">
        <v>4</v>
      </c>
      <c r="F17" s="26">
        <v>1</v>
      </c>
      <c r="G17" s="29">
        <v>16800</v>
      </c>
      <c r="H17" s="21">
        <f>SUM(F17*G17)</f>
        <v>16800</v>
      </c>
      <c r="I17" s="27"/>
    </row>
    <row r="18" spans="1:10" ht="22.5" customHeight="1">
      <c r="A18" s="17">
        <v>14</v>
      </c>
      <c r="B18" s="37">
        <v>19517</v>
      </c>
      <c r="C18" s="19" t="s">
        <v>34</v>
      </c>
      <c r="D18" s="36" t="s">
        <v>35</v>
      </c>
      <c r="E18" s="20" t="s">
        <v>5</v>
      </c>
      <c r="F18" s="26">
        <v>1</v>
      </c>
      <c r="G18" s="29">
        <v>1099000</v>
      </c>
      <c r="H18" s="21">
        <f t="shared" si="1"/>
        <v>1099000</v>
      </c>
      <c r="I18" s="22"/>
      <c r="J18" s="7"/>
    </row>
    <row r="19" spans="1:10" ht="22.5" customHeight="1">
      <c r="A19" s="17">
        <v>15</v>
      </c>
      <c r="B19" s="27">
        <v>2553</v>
      </c>
      <c r="C19" s="19" t="s">
        <v>36</v>
      </c>
      <c r="D19" s="36" t="s">
        <v>8</v>
      </c>
      <c r="E19" s="20" t="s">
        <v>4</v>
      </c>
      <c r="F19" s="26">
        <v>1</v>
      </c>
      <c r="G19" s="29">
        <v>3500</v>
      </c>
      <c r="H19" s="21">
        <f t="shared" si="1"/>
        <v>3500</v>
      </c>
      <c r="I19" s="22"/>
      <c r="J19" s="7"/>
    </row>
    <row r="20" spans="1:10" ht="22.5" customHeight="1">
      <c r="A20" s="17">
        <v>16</v>
      </c>
      <c r="B20" s="27">
        <v>2553</v>
      </c>
      <c r="C20" s="19" t="s">
        <v>37</v>
      </c>
      <c r="D20" s="36" t="s">
        <v>38</v>
      </c>
      <c r="E20" s="20" t="s">
        <v>4</v>
      </c>
      <c r="F20" s="26">
        <v>1</v>
      </c>
      <c r="G20" s="29">
        <v>3000</v>
      </c>
      <c r="H20" s="21">
        <f t="shared" si="1"/>
        <v>3000</v>
      </c>
      <c r="I20" s="22"/>
      <c r="J20" s="7"/>
    </row>
    <row r="21" spans="1:10" ht="22.5" customHeight="1">
      <c r="A21" s="17">
        <v>17</v>
      </c>
      <c r="B21" s="28" t="s">
        <v>117</v>
      </c>
      <c r="C21" s="19" t="s">
        <v>39</v>
      </c>
      <c r="D21" s="36" t="s">
        <v>40</v>
      </c>
      <c r="E21" s="20" t="s">
        <v>5</v>
      </c>
      <c r="F21" s="26">
        <v>2</v>
      </c>
      <c r="G21" s="29">
        <v>17500</v>
      </c>
      <c r="H21" s="21">
        <f t="shared" si="1"/>
        <v>35000</v>
      </c>
      <c r="I21" s="27"/>
    </row>
    <row r="22" spans="1:10" ht="22.5" customHeight="1">
      <c r="A22" s="17">
        <v>18</v>
      </c>
      <c r="B22" s="37">
        <v>22146</v>
      </c>
      <c r="C22" s="19" t="s">
        <v>41</v>
      </c>
      <c r="D22" s="19" t="s">
        <v>42</v>
      </c>
      <c r="E22" s="27" t="s">
        <v>5</v>
      </c>
      <c r="F22" s="26">
        <v>4</v>
      </c>
      <c r="G22" s="24">
        <v>10000</v>
      </c>
      <c r="H22" s="21">
        <f t="shared" si="1"/>
        <v>40000</v>
      </c>
      <c r="I22" s="27"/>
    </row>
    <row r="23" spans="1:10" ht="22.5" customHeight="1">
      <c r="A23" s="17">
        <v>19</v>
      </c>
      <c r="B23" s="38">
        <v>22715</v>
      </c>
      <c r="C23" s="39" t="s">
        <v>47</v>
      </c>
      <c r="D23" s="40" t="s">
        <v>43</v>
      </c>
      <c r="E23" s="27" t="s">
        <v>5</v>
      </c>
      <c r="F23" s="26">
        <v>3</v>
      </c>
      <c r="G23" s="24">
        <v>15000</v>
      </c>
      <c r="H23" s="21">
        <f t="shared" si="1"/>
        <v>45000</v>
      </c>
      <c r="I23" s="27"/>
    </row>
    <row r="24" spans="1:10" ht="22.5" customHeight="1">
      <c r="A24" s="17">
        <v>20</v>
      </c>
      <c r="B24" s="38">
        <v>22715</v>
      </c>
      <c r="C24" s="39" t="s">
        <v>49</v>
      </c>
      <c r="D24" s="40" t="s">
        <v>48</v>
      </c>
      <c r="E24" s="27" t="s">
        <v>5</v>
      </c>
      <c r="F24" s="26">
        <v>2</v>
      </c>
      <c r="G24" s="24">
        <v>11326</v>
      </c>
      <c r="H24" s="21">
        <f t="shared" si="1"/>
        <v>22652</v>
      </c>
      <c r="I24" s="27"/>
    </row>
    <row r="25" spans="1:10" ht="22.5" customHeight="1">
      <c r="A25" s="17">
        <v>21</v>
      </c>
      <c r="B25" s="38">
        <v>22830</v>
      </c>
      <c r="C25" s="39" t="s">
        <v>50</v>
      </c>
      <c r="D25" s="40" t="s">
        <v>44</v>
      </c>
      <c r="E25" s="27" t="s">
        <v>5</v>
      </c>
      <c r="F25" s="26">
        <v>3</v>
      </c>
      <c r="G25" s="24">
        <v>7590</v>
      </c>
      <c r="H25" s="21">
        <f t="shared" si="1"/>
        <v>22770</v>
      </c>
      <c r="I25" s="27"/>
    </row>
    <row r="26" spans="1:10" ht="22.5" customHeight="1">
      <c r="A26" s="17">
        <v>22</v>
      </c>
      <c r="B26" s="38">
        <v>22830</v>
      </c>
      <c r="C26" s="39" t="s">
        <v>52</v>
      </c>
      <c r="D26" s="40" t="s">
        <v>51</v>
      </c>
      <c r="E26" s="27" t="s">
        <v>5</v>
      </c>
      <c r="F26" s="26">
        <v>1</v>
      </c>
      <c r="G26" s="24">
        <v>5362</v>
      </c>
      <c r="H26" s="21">
        <f t="shared" si="1"/>
        <v>5362</v>
      </c>
      <c r="I26" s="27"/>
    </row>
    <row r="27" spans="1:10" ht="22.5" customHeight="1">
      <c r="A27" s="17">
        <v>23</v>
      </c>
      <c r="B27" s="38">
        <v>22830</v>
      </c>
      <c r="C27" s="39" t="s">
        <v>53</v>
      </c>
      <c r="D27" s="40" t="s">
        <v>45</v>
      </c>
      <c r="E27" s="27" t="s">
        <v>5</v>
      </c>
      <c r="F27" s="26">
        <v>1</v>
      </c>
      <c r="G27" s="21">
        <v>4013</v>
      </c>
      <c r="H27" s="21">
        <f t="shared" si="1"/>
        <v>4013</v>
      </c>
      <c r="I27" s="27"/>
    </row>
    <row r="28" spans="1:10" ht="22.5" customHeight="1">
      <c r="A28" s="17">
        <v>24</v>
      </c>
      <c r="B28" s="38">
        <v>22715</v>
      </c>
      <c r="C28" s="39" t="s">
        <v>54</v>
      </c>
      <c r="D28" s="40" t="s">
        <v>46</v>
      </c>
      <c r="E28" s="27" t="s">
        <v>5</v>
      </c>
      <c r="F28" s="26">
        <v>1</v>
      </c>
      <c r="G28" s="24">
        <v>4302</v>
      </c>
      <c r="H28" s="21">
        <f t="shared" si="1"/>
        <v>4302</v>
      </c>
      <c r="I28" s="27"/>
    </row>
    <row r="29" spans="1:10" ht="22.5" customHeight="1">
      <c r="A29" s="17">
        <v>25</v>
      </c>
      <c r="B29" s="38">
        <v>22830</v>
      </c>
      <c r="C29" s="39" t="s">
        <v>56</v>
      </c>
      <c r="D29" s="40" t="s">
        <v>55</v>
      </c>
      <c r="E29" s="27" t="s">
        <v>5</v>
      </c>
      <c r="F29" s="26">
        <v>5</v>
      </c>
      <c r="G29" s="24">
        <v>4590</v>
      </c>
      <c r="H29" s="21">
        <f t="shared" si="1"/>
        <v>22950</v>
      </c>
      <c r="I29" s="27"/>
    </row>
    <row r="30" spans="1:10" ht="22.5" customHeight="1">
      <c r="A30" s="17">
        <v>26</v>
      </c>
      <c r="B30" s="38">
        <v>22715</v>
      </c>
      <c r="C30" s="39" t="s">
        <v>58</v>
      </c>
      <c r="D30" s="40" t="s">
        <v>57</v>
      </c>
      <c r="E30" s="27" t="s">
        <v>5</v>
      </c>
      <c r="F30" s="26">
        <v>10</v>
      </c>
      <c r="G30" s="24">
        <v>3838.8</v>
      </c>
      <c r="H30" s="21">
        <f t="shared" si="1"/>
        <v>38388</v>
      </c>
      <c r="I30" s="27"/>
    </row>
    <row r="31" spans="1:10" ht="22.5" customHeight="1">
      <c r="A31" s="17">
        <v>27</v>
      </c>
      <c r="B31" s="38">
        <v>22715</v>
      </c>
      <c r="C31" s="39" t="s">
        <v>60</v>
      </c>
      <c r="D31" s="40" t="s">
        <v>59</v>
      </c>
      <c r="E31" s="27" t="s">
        <v>5</v>
      </c>
      <c r="F31" s="26">
        <v>1</v>
      </c>
      <c r="G31" s="24">
        <v>3251</v>
      </c>
      <c r="H31" s="21">
        <f t="shared" si="1"/>
        <v>3251</v>
      </c>
      <c r="I31" s="27"/>
    </row>
    <row r="32" spans="1:10" ht="22.5" customHeight="1">
      <c r="A32" s="17">
        <v>28</v>
      </c>
      <c r="B32" s="38">
        <v>22887</v>
      </c>
      <c r="C32" s="39" t="s">
        <v>61</v>
      </c>
      <c r="D32" s="40" t="s">
        <v>62</v>
      </c>
      <c r="E32" s="27" t="s">
        <v>5</v>
      </c>
      <c r="F32" s="26">
        <v>1</v>
      </c>
      <c r="G32" s="24">
        <v>9965</v>
      </c>
      <c r="H32" s="21">
        <f t="shared" si="1"/>
        <v>9965</v>
      </c>
      <c r="I32" s="27"/>
    </row>
    <row r="33" spans="1:9" ht="22.5" customHeight="1">
      <c r="A33" s="17">
        <v>29</v>
      </c>
      <c r="B33" s="38">
        <v>23342</v>
      </c>
      <c r="C33" s="39" t="s">
        <v>64</v>
      </c>
      <c r="D33" s="40" t="s">
        <v>63</v>
      </c>
      <c r="E33" s="27" t="s">
        <v>5</v>
      </c>
      <c r="F33" s="26">
        <v>1</v>
      </c>
      <c r="G33" s="24">
        <v>1763</v>
      </c>
      <c r="H33" s="21">
        <f t="shared" si="1"/>
        <v>1763</v>
      </c>
      <c r="I33" s="27"/>
    </row>
    <row r="34" spans="1:9" ht="22.5" customHeight="1">
      <c r="A34" s="17">
        <v>30</v>
      </c>
      <c r="B34" s="38">
        <v>23243</v>
      </c>
      <c r="C34" s="39" t="s">
        <v>65</v>
      </c>
      <c r="D34" s="40" t="s">
        <v>66</v>
      </c>
      <c r="E34" s="27" t="s">
        <v>5</v>
      </c>
      <c r="F34" s="26">
        <v>1</v>
      </c>
      <c r="G34" s="24">
        <v>21109</v>
      </c>
      <c r="H34" s="21">
        <f t="shared" si="1"/>
        <v>21109</v>
      </c>
      <c r="I34" s="27"/>
    </row>
    <row r="35" spans="1:9" ht="22.5" customHeight="1">
      <c r="A35" s="17">
        <v>31</v>
      </c>
      <c r="B35" s="38">
        <v>23243</v>
      </c>
      <c r="C35" s="39" t="s">
        <v>67</v>
      </c>
      <c r="D35" s="40" t="s">
        <v>10</v>
      </c>
      <c r="E35" s="27" t="s">
        <v>5</v>
      </c>
      <c r="F35" s="26">
        <v>1</v>
      </c>
      <c r="G35" s="24">
        <v>8212</v>
      </c>
      <c r="H35" s="21">
        <f t="shared" si="1"/>
        <v>8212</v>
      </c>
      <c r="I35" s="27"/>
    </row>
    <row r="36" spans="1:9" ht="22.5" customHeight="1">
      <c r="A36" s="17">
        <v>32</v>
      </c>
      <c r="B36" s="38">
        <v>23243</v>
      </c>
      <c r="C36" s="39" t="s">
        <v>74</v>
      </c>
      <c r="D36" s="40" t="s">
        <v>71</v>
      </c>
      <c r="E36" s="27" t="s">
        <v>5</v>
      </c>
      <c r="F36" s="26">
        <v>30</v>
      </c>
      <c r="G36" s="24">
        <v>845.8</v>
      </c>
      <c r="H36" s="21">
        <f t="shared" si="1"/>
        <v>25374</v>
      </c>
      <c r="I36" s="27"/>
    </row>
    <row r="37" spans="1:9" ht="22.5" customHeight="1">
      <c r="A37" s="17">
        <v>33</v>
      </c>
      <c r="B37" s="38">
        <v>23243</v>
      </c>
      <c r="C37" s="39" t="s">
        <v>73</v>
      </c>
      <c r="D37" s="40" t="s">
        <v>71</v>
      </c>
      <c r="E37" s="27" t="s">
        <v>5</v>
      </c>
      <c r="F37" s="26">
        <v>30</v>
      </c>
      <c r="G37" s="24">
        <v>846.7</v>
      </c>
      <c r="H37" s="21">
        <f t="shared" si="1"/>
        <v>25401</v>
      </c>
      <c r="I37" s="27"/>
    </row>
    <row r="38" spans="1:9" ht="22.5" customHeight="1">
      <c r="A38" s="17">
        <v>34</v>
      </c>
      <c r="B38" s="38">
        <v>23243</v>
      </c>
      <c r="C38" s="39" t="s">
        <v>68</v>
      </c>
      <c r="D38" s="40" t="s">
        <v>72</v>
      </c>
      <c r="E38" s="27" t="s">
        <v>5</v>
      </c>
      <c r="F38" s="26">
        <v>5</v>
      </c>
      <c r="G38" s="24">
        <v>14654</v>
      </c>
      <c r="H38" s="21">
        <f t="shared" si="1"/>
        <v>73270</v>
      </c>
      <c r="I38" s="27"/>
    </row>
    <row r="39" spans="1:9" ht="22.5" customHeight="1">
      <c r="A39" s="17">
        <v>35</v>
      </c>
      <c r="B39" s="38">
        <v>23243</v>
      </c>
      <c r="C39" s="39" t="s">
        <v>69</v>
      </c>
      <c r="D39" s="40" t="s">
        <v>20</v>
      </c>
      <c r="E39" s="27" t="s">
        <v>5</v>
      </c>
      <c r="F39" s="26">
        <v>1</v>
      </c>
      <c r="G39" s="24">
        <v>4358</v>
      </c>
      <c r="H39" s="21">
        <f t="shared" si="1"/>
        <v>4358</v>
      </c>
      <c r="I39" s="27"/>
    </row>
    <row r="40" spans="1:9" ht="22.5" customHeight="1">
      <c r="A40" s="17">
        <v>36</v>
      </c>
      <c r="B40" s="38">
        <v>23340</v>
      </c>
      <c r="C40" s="39" t="s">
        <v>85</v>
      </c>
      <c r="D40" s="40" t="s">
        <v>86</v>
      </c>
      <c r="E40" s="27" t="s">
        <v>5</v>
      </c>
      <c r="F40" s="26">
        <v>1</v>
      </c>
      <c r="G40" s="24">
        <v>12590</v>
      </c>
      <c r="H40" s="21">
        <f t="shared" si="1"/>
        <v>12590</v>
      </c>
      <c r="I40" s="27"/>
    </row>
    <row r="41" spans="1:9" ht="22.5" customHeight="1">
      <c r="A41" s="17">
        <v>37</v>
      </c>
      <c r="B41" s="41">
        <v>23340</v>
      </c>
      <c r="C41" s="42" t="s">
        <v>87</v>
      </c>
      <c r="D41" s="43" t="s">
        <v>90</v>
      </c>
      <c r="E41" s="27" t="s">
        <v>5</v>
      </c>
      <c r="F41" s="26">
        <v>1</v>
      </c>
      <c r="G41" s="24">
        <v>1590</v>
      </c>
      <c r="H41" s="21">
        <f t="shared" ref="H41:H67" si="2">SUM(F41*G41)</f>
        <v>1590</v>
      </c>
      <c r="I41" s="27"/>
    </row>
    <row r="42" spans="1:9" ht="22.5" customHeight="1">
      <c r="A42" s="17">
        <v>38</v>
      </c>
      <c r="B42" s="41">
        <v>23340</v>
      </c>
      <c r="C42" s="42" t="s">
        <v>88</v>
      </c>
      <c r="D42" s="43" t="s">
        <v>89</v>
      </c>
      <c r="E42" s="27" t="s">
        <v>5</v>
      </c>
      <c r="F42" s="26">
        <v>3</v>
      </c>
      <c r="G42" s="24">
        <v>3450</v>
      </c>
      <c r="H42" s="21">
        <f t="shared" si="2"/>
        <v>10350</v>
      </c>
      <c r="I42" s="27"/>
    </row>
    <row r="43" spans="1:9" ht="22.5" customHeight="1">
      <c r="A43" s="17">
        <v>39</v>
      </c>
      <c r="B43" s="41">
        <v>23340</v>
      </c>
      <c r="C43" s="42" t="s">
        <v>91</v>
      </c>
      <c r="D43" s="43" t="s">
        <v>92</v>
      </c>
      <c r="E43" s="27" t="s">
        <v>5</v>
      </c>
      <c r="F43" s="26">
        <v>1</v>
      </c>
      <c r="G43" s="24">
        <v>3990</v>
      </c>
      <c r="H43" s="21">
        <f t="shared" si="2"/>
        <v>3990</v>
      </c>
      <c r="I43" s="27"/>
    </row>
    <row r="44" spans="1:9" ht="22.5" customHeight="1">
      <c r="A44" s="17">
        <v>40</v>
      </c>
      <c r="B44" s="41">
        <v>23365</v>
      </c>
      <c r="C44" s="42" t="s">
        <v>93</v>
      </c>
      <c r="D44" s="43" t="s">
        <v>94</v>
      </c>
      <c r="E44" s="27" t="s">
        <v>5</v>
      </c>
      <c r="F44" s="26">
        <v>1</v>
      </c>
      <c r="G44" s="24">
        <v>13990</v>
      </c>
      <c r="H44" s="21">
        <f t="shared" si="2"/>
        <v>13990</v>
      </c>
      <c r="I44" s="27"/>
    </row>
    <row r="45" spans="1:9" ht="22.5" customHeight="1">
      <c r="A45" s="17">
        <v>41</v>
      </c>
      <c r="B45" s="44">
        <v>23380</v>
      </c>
      <c r="C45" s="42" t="s">
        <v>95</v>
      </c>
      <c r="D45" s="43" t="s">
        <v>96</v>
      </c>
      <c r="E45" s="27" t="s">
        <v>5</v>
      </c>
      <c r="F45" s="26">
        <v>1</v>
      </c>
      <c r="G45" s="24">
        <v>150000</v>
      </c>
      <c r="H45" s="21">
        <f t="shared" si="2"/>
        <v>150000</v>
      </c>
      <c r="I45" s="27"/>
    </row>
    <row r="46" spans="1:9" ht="22.5" customHeight="1">
      <c r="A46" s="17">
        <v>42</v>
      </c>
      <c r="B46" s="44">
        <v>23447</v>
      </c>
      <c r="C46" s="42" t="s">
        <v>97</v>
      </c>
      <c r="D46" s="43" t="s">
        <v>98</v>
      </c>
      <c r="E46" s="27" t="s">
        <v>5</v>
      </c>
      <c r="F46" s="26">
        <v>40</v>
      </c>
      <c r="G46" s="24">
        <v>800</v>
      </c>
      <c r="H46" s="21">
        <f t="shared" si="2"/>
        <v>32000</v>
      </c>
      <c r="I46" s="27"/>
    </row>
    <row r="47" spans="1:9" ht="22.5" customHeight="1">
      <c r="A47" s="17">
        <v>43</v>
      </c>
      <c r="B47" s="44">
        <v>23483</v>
      </c>
      <c r="C47" s="42" t="s">
        <v>99</v>
      </c>
      <c r="D47" s="43" t="s">
        <v>100</v>
      </c>
      <c r="E47" s="27" t="s">
        <v>5</v>
      </c>
      <c r="F47" s="26">
        <v>1</v>
      </c>
      <c r="G47" s="24">
        <v>25700</v>
      </c>
      <c r="H47" s="21">
        <f t="shared" si="2"/>
        <v>25700</v>
      </c>
      <c r="I47" s="27"/>
    </row>
    <row r="48" spans="1:9" ht="22.5" customHeight="1">
      <c r="A48" s="17">
        <v>44</v>
      </c>
      <c r="B48" s="44">
        <v>23483</v>
      </c>
      <c r="C48" s="42" t="s">
        <v>101</v>
      </c>
      <c r="D48" s="43" t="s">
        <v>102</v>
      </c>
      <c r="E48" s="27" t="s">
        <v>5</v>
      </c>
      <c r="F48" s="26">
        <v>1</v>
      </c>
      <c r="G48" s="24">
        <v>29000</v>
      </c>
      <c r="H48" s="21">
        <f t="shared" si="2"/>
        <v>29000</v>
      </c>
      <c r="I48" s="27"/>
    </row>
    <row r="49" spans="1:9" ht="22.5" customHeight="1">
      <c r="A49" s="17">
        <v>45</v>
      </c>
      <c r="B49" s="44">
        <v>23483</v>
      </c>
      <c r="C49" s="42" t="s">
        <v>103</v>
      </c>
      <c r="D49" s="43" t="s">
        <v>102</v>
      </c>
      <c r="E49" s="27" t="s">
        <v>5</v>
      </c>
      <c r="F49" s="26">
        <v>1</v>
      </c>
      <c r="G49" s="24">
        <v>29000</v>
      </c>
      <c r="H49" s="21">
        <f t="shared" si="2"/>
        <v>29000</v>
      </c>
      <c r="I49" s="27"/>
    </row>
    <row r="50" spans="1:9" ht="22.5" customHeight="1">
      <c r="A50" s="53" t="s">
        <v>82</v>
      </c>
      <c r="B50" s="54"/>
      <c r="C50" s="54"/>
      <c r="D50" s="55"/>
      <c r="E50" s="27"/>
      <c r="F50" s="26"/>
      <c r="G50" s="24"/>
      <c r="H50" s="21">
        <f>SUM(H5:H49)</f>
        <v>1932297.99</v>
      </c>
      <c r="I50" s="27"/>
    </row>
    <row r="51" spans="1:9" ht="22.5" customHeight="1">
      <c r="A51" s="53" t="s">
        <v>83</v>
      </c>
      <c r="B51" s="54"/>
      <c r="C51" s="54"/>
      <c r="D51" s="55"/>
      <c r="E51" s="27"/>
      <c r="F51" s="26"/>
      <c r="G51" s="24"/>
      <c r="H51" s="21">
        <f>SUM(H50)</f>
        <v>1932297.99</v>
      </c>
      <c r="I51" s="27"/>
    </row>
    <row r="52" spans="1:9" ht="22.5" customHeight="1">
      <c r="A52" s="23">
        <v>46</v>
      </c>
      <c r="B52" s="44">
        <v>23514</v>
      </c>
      <c r="C52" s="42" t="s">
        <v>104</v>
      </c>
      <c r="D52" s="43" t="s">
        <v>105</v>
      </c>
      <c r="E52" s="27" t="s">
        <v>5</v>
      </c>
      <c r="F52" s="26">
        <v>12</v>
      </c>
      <c r="G52" s="24">
        <v>1550</v>
      </c>
      <c r="H52" s="21">
        <f t="shared" si="2"/>
        <v>18600</v>
      </c>
      <c r="I52" s="27"/>
    </row>
    <row r="53" spans="1:9" ht="22.5" customHeight="1">
      <c r="A53" s="23">
        <v>47</v>
      </c>
      <c r="B53" s="44">
        <v>23536</v>
      </c>
      <c r="C53" s="42" t="s">
        <v>106</v>
      </c>
      <c r="D53" s="43" t="s">
        <v>107</v>
      </c>
      <c r="E53" s="27" t="s">
        <v>5</v>
      </c>
      <c r="F53" s="26">
        <v>4</v>
      </c>
      <c r="G53" s="24">
        <v>5390</v>
      </c>
      <c r="H53" s="21">
        <f t="shared" si="2"/>
        <v>21560</v>
      </c>
      <c r="I53" s="27"/>
    </row>
    <row r="54" spans="1:9" ht="22.5" customHeight="1">
      <c r="A54" s="23">
        <v>48</v>
      </c>
      <c r="B54" s="44">
        <v>23536</v>
      </c>
      <c r="C54" s="42" t="s">
        <v>108</v>
      </c>
      <c r="D54" s="43" t="s">
        <v>109</v>
      </c>
      <c r="E54" s="27" t="s">
        <v>5</v>
      </c>
      <c r="F54" s="26">
        <v>4</v>
      </c>
      <c r="G54" s="24">
        <v>2690</v>
      </c>
      <c r="H54" s="21">
        <f t="shared" si="2"/>
        <v>10760</v>
      </c>
      <c r="I54" s="27"/>
    </row>
    <row r="55" spans="1:9" ht="22.5" customHeight="1">
      <c r="A55" s="23">
        <v>49</v>
      </c>
      <c r="B55" s="44">
        <v>23580</v>
      </c>
      <c r="C55" s="42" t="s">
        <v>110</v>
      </c>
      <c r="D55" s="43" t="s">
        <v>102</v>
      </c>
      <c r="E55" s="27" t="s">
        <v>5</v>
      </c>
      <c r="F55" s="26">
        <v>5</v>
      </c>
      <c r="G55" s="24">
        <v>29000</v>
      </c>
      <c r="H55" s="21">
        <f t="shared" si="2"/>
        <v>145000</v>
      </c>
      <c r="I55" s="27"/>
    </row>
    <row r="56" spans="1:9" ht="22.5" customHeight="1">
      <c r="A56" s="23">
        <v>50</v>
      </c>
      <c r="B56" s="44">
        <v>23608</v>
      </c>
      <c r="C56" s="42" t="s">
        <v>111</v>
      </c>
      <c r="D56" s="43" t="s">
        <v>105</v>
      </c>
      <c r="E56" s="27" t="s">
        <v>5</v>
      </c>
      <c r="F56" s="26">
        <v>26</v>
      </c>
      <c r="G56" s="24">
        <v>2650</v>
      </c>
      <c r="H56" s="21">
        <f t="shared" ref="H56" si="3">SUM(F56*G56)</f>
        <v>68900</v>
      </c>
      <c r="I56" s="27"/>
    </row>
    <row r="57" spans="1:9" ht="22.5" customHeight="1">
      <c r="A57" s="23">
        <v>51</v>
      </c>
      <c r="B57" s="44">
        <v>23615</v>
      </c>
      <c r="C57" s="42" t="s">
        <v>118</v>
      </c>
      <c r="D57" s="43" t="s">
        <v>119</v>
      </c>
      <c r="E57" s="27" t="s">
        <v>70</v>
      </c>
      <c r="F57" s="26">
        <v>1</v>
      </c>
      <c r="G57" s="24">
        <v>0</v>
      </c>
      <c r="H57" s="21">
        <f t="shared" si="2"/>
        <v>0</v>
      </c>
      <c r="I57" s="27"/>
    </row>
    <row r="58" spans="1:9" ht="22.5" customHeight="1">
      <c r="A58" s="23">
        <v>52</v>
      </c>
      <c r="B58" s="44">
        <v>23811</v>
      </c>
      <c r="C58" s="42" t="s">
        <v>120</v>
      </c>
      <c r="D58" s="43" t="s">
        <v>121</v>
      </c>
      <c r="E58" s="27" t="s">
        <v>5</v>
      </c>
      <c r="F58" s="26">
        <v>4</v>
      </c>
      <c r="G58" s="24">
        <v>10290</v>
      </c>
      <c r="H58" s="24">
        <f t="shared" si="2"/>
        <v>41160</v>
      </c>
      <c r="I58" s="27"/>
    </row>
    <row r="59" spans="1:9" ht="22.5" customHeight="1">
      <c r="A59" s="23">
        <v>53</v>
      </c>
      <c r="B59" s="44">
        <v>23811</v>
      </c>
      <c r="C59" s="42" t="s">
        <v>122</v>
      </c>
      <c r="D59" s="45" t="s">
        <v>123</v>
      </c>
      <c r="E59" s="27" t="s">
        <v>5</v>
      </c>
      <c r="F59" s="26">
        <v>4</v>
      </c>
      <c r="G59" s="24">
        <v>4900</v>
      </c>
      <c r="H59" s="24">
        <f t="shared" si="2"/>
        <v>19600</v>
      </c>
      <c r="I59" s="27"/>
    </row>
    <row r="60" spans="1:9" ht="22.5" customHeight="1">
      <c r="A60" s="23">
        <v>54</v>
      </c>
      <c r="B60" s="44">
        <v>23811</v>
      </c>
      <c r="C60" s="42" t="s">
        <v>124</v>
      </c>
      <c r="D60" s="43" t="s">
        <v>125</v>
      </c>
      <c r="E60" s="27" t="s">
        <v>5</v>
      </c>
      <c r="F60" s="26">
        <v>4</v>
      </c>
      <c r="G60" s="24">
        <v>2100</v>
      </c>
      <c r="H60" s="24">
        <f t="shared" si="2"/>
        <v>8400</v>
      </c>
      <c r="I60" s="27"/>
    </row>
    <row r="61" spans="1:9" ht="22.5" customHeight="1">
      <c r="A61" s="23">
        <v>55</v>
      </c>
      <c r="B61" s="44">
        <v>23881</v>
      </c>
      <c r="C61" s="42" t="s">
        <v>127</v>
      </c>
      <c r="D61" s="43" t="s">
        <v>128</v>
      </c>
      <c r="E61" s="27" t="s">
        <v>5</v>
      </c>
      <c r="F61" s="26">
        <v>1</v>
      </c>
      <c r="G61" s="24">
        <v>15300</v>
      </c>
      <c r="H61" s="24">
        <f t="shared" si="2"/>
        <v>15300</v>
      </c>
      <c r="I61" s="27"/>
    </row>
    <row r="62" spans="1:9" ht="22.5" customHeight="1">
      <c r="A62" s="23">
        <v>56</v>
      </c>
      <c r="B62" s="44">
        <v>243419</v>
      </c>
      <c r="C62" s="42" t="s">
        <v>129</v>
      </c>
      <c r="D62" s="43" t="s">
        <v>130</v>
      </c>
      <c r="E62" s="27" t="s">
        <v>5</v>
      </c>
      <c r="F62" s="26">
        <v>1</v>
      </c>
      <c r="G62" s="24">
        <v>214000</v>
      </c>
      <c r="H62" s="24">
        <f t="shared" si="2"/>
        <v>214000</v>
      </c>
      <c r="I62" s="27"/>
    </row>
    <row r="63" spans="1:9" ht="22.5" customHeight="1">
      <c r="A63" s="23">
        <v>57</v>
      </c>
      <c r="B63" s="44">
        <v>243420</v>
      </c>
      <c r="C63" s="42" t="s">
        <v>131</v>
      </c>
      <c r="D63" s="43" t="s">
        <v>132</v>
      </c>
      <c r="E63" s="27" t="s">
        <v>5</v>
      </c>
      <c r="F63" s="26">
        <v>1</v>
      </c>
      <c r="G63" s="24">
        <v>6990</v>
      </c>
      <c r="H63" s="24">
        <f t="shared" si="2"/>
        <v>6990</v>
      </c>
      <c r="I63" s="27"/>
    </row>
    <row r="64" spans="1:9" ht="22.5" customHeight="1">
      <c r="A64" s="23">
        <v>58</v>
      </c>
      <c r="B64" s="44">
        <v>243514</v>
      </c>
      <c r="C64" s="42" t="s">
        <v>133</v>
      </c>
      <c r="D64" s="43" t="s">
        <v>134</v>
      </c>
      <c r="E64" s="27" t="s">
        <v>5</v>
      </c>
      <c r="F64" s="26">
        <v>3</v>
      </c>
      <c r="G64" s="24">
        <v>43900</v>
      </c>
      <c r="H64" s="24">
        <f t="shared" si="2"/>
        <v>131700</v>
      </c>
      <c r="I64" s="27"/>
    </row>
    <row r="65" spans="1:12" ht="22.5" customHeight="1">
      <c r="A65" s="23">
        <v>59</v>
      </c>
      <c r="B65" s="44">
        <v>24411</v>
      </c>
      <c r="C65" s="42" t="s">
        <v>135</v>
      </c>
      <c r="D65" s="43" t="s">
        <v>136</v>
      </c>
      <c r="E65" s="46" t="s">
        <v>137</v>
      </c>
      <c r="F65" s="26">
        <v>1</v>
      </c>
      <c r="G65" s="24">
        <v>6290</v>
      </c>
      <c r="H65" s="24">
        <f t="shared" si="2"/>
        <v>6290</v>
      </c>
      <c r="I65" s="27" t="s">
        <v>138</v>
      </c>
    </row>
    <row r="66" spans="1:12" ht="22.5" customHeight="1">
      <c r="A66" s="23">
        <v>60</v>
      </c>
      <c r="B66" s="44">
        <v>24411</v>
      </c>
      <c r="C66" s="42" t="s">
        <v>140</v>
      </c>
      <c r="D66" s="43" t="s">
        <v>139</v>
      </c>
      <c r="E66" s="46" t="s">
        <v>141</v>
      </c>
      <c r="F66" s="26">
        <v>1</v>
      </c>
      <c r="G66" s="24">
        <v>4050</v>
      </c>
      <c r="H66" s="24">
        <f t="shared" si="2"/>
        <v>4050</v>
      </c>
      <c r="I66" s="27" t="s">
        <v>138</v>
      </c>
    </row>
    <row r="67" spans="1:12" ht="22.5" customHeight="1">
      <c r="A67" s="23">
        <v>61</v>
      </c>
      <c r="B67" s="44">
        <v>24441</v>
      </c>
      <c r="C67" s="42" t="s">
        <v>142</v>
      </c>
      <c r="D67" s="43" t="s">
        <v>143</v>
      </c>
      <c r="E67" s="46" t="s">
        <v>137</v>
      </c>
      <c r="F67" s="26">
        <v>1</v>
      </c>
      <c r="G67" s="24">
        <v>22000</v>
      </c>
      <c r="H67" s="24">
        <f t="shared" si="2"/>
        <v>22000</v>
      </c>
      <c r="I67" s="27"/>
    </row>
    <row r="68" spans="1:12" ht="24" customHeight="1">
      <c r="A68" s="51" t="s">
        <v>80</v>
      </c>
      <c r="B68" s="52"/>
      <c r="C68" s="52"/>
      <c r="D68" s="52"/>
      <c r="E68" s="52"/>
      <c r="F68" s="43"/>
      <c r="G68" s="24"/>
      <c r="H68" s="24">
        <f>SUM(H52:H67)</f>
        <v>734310</v>
      </c>
      <c r="I68" s="27"/>
    </row>
    <row r="69" spans="1:12" ht="24" customHeight="1">
      <c r="A69" s="12"/>
      <c r="B69" s="12"/>
      <c r="C69" s="12"/>
      <c r="D69" s="12"/>
      <c r="E69" s="12"/>
      <c r="F69" s="13"/>
      <c r="G69" s="14"/>
      <c r="H69" s="14"/>
    </row>
    <row r="70" spans="1:12" ht="22.5" customHeight="1">
      <c r="A70" s="3"/>
      <c r="B70" s="3"/>
      <c r="C70" s="3"/>
      <c r="D70" s="3"/>
      <c r="E70" s="3"/>
      <c r="F70" s="9"/>
      <c r="G70" s="6"/>
      <c r="H70" s="6"/>
      <c r="J70" s="6"/>
      <c r="K70" s="8"/>
      <c r="L70" s="8"/>
    </row>
    <row r="71" spans="1:12" ht="22.5" customHeight="1">
      <c r="F71" s="50" t="s">
        <v>84</v>
      </c>
      <c r="G71" s="50"/>
      <c r="H71" s="50"/>
      <c r="I71" s="50"/>
      <c r="J71" s="6"/>
      <c r="K71" s="8"/>
    </row>
    <row r="72" spans="1:12" ht="22.5" customHeight="1">
      <c r="F72" s="47" t="s">
        <v>126</v>
      </c>
      <c r="G72" s="47"/>
      <c r="H72" s="47"/>
      <c r="I72" s="47"/>
      <c r="K72" s="11"/>
    </row>
    <row r="73" spans="1:12" ht="22.5" customHeight="1">
      <c r="F73" s="47" t="s">
        <v>7</v>
      </c>
      <c r="G73" s="47"/>
      <c r="H73" s="47"/>
      <c r="I73" s="47"/>
    </row>
    <row r="74" spans="1:12" ht="22.5" customHeight="1">
      <c r="F74" s="2"/>
      <c r="G74" s="2"/>
      <c r="H74" s="2"/>
    </row>
  </sheetData>
  <mergeCells count="9">
    <mergeCell ref="A1:I1"/>
    <mergeCell ref="A2:I2"/>
    <mergeCell ref="A3:I3"/>
    <mergeCell ref="F73:I73"/>
    <mergeCell ref="F72:I72"/>
    <mergeCell ref="F71:I71"/>
    <mergeCell ref="A68:E68"/>
    <mergeCell ref="A50:D50"/>
    <mergeCell ref="A51:D51"/>
  </mergeCells>
  <printOptions horizontalCentered="1"/>
  <pageMargins left="0.19685039370078741" right="0" top="0.59055118110236227" bottom="0.19685039370078741" header="0" footer="0"/>
  <pageSetup paperSize="9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งานอาคารสถานที่</vt:lpstr>
      <vt:lpstr>งานอาคารสถานที่!Print_Titles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2024-03-28T04:23:12Z</cp:lastPrinted>
  <dcterms:created xsi:type="dcterms:W3CDTF">2017-11-14T01:32:33Z</dcterms:created>
  <dcterms:modified xsi:type="dcterms:W3CDTF">2024-06-11T08:16:31Z</dcterms:modified>
</cp:coreProperties>
</file>