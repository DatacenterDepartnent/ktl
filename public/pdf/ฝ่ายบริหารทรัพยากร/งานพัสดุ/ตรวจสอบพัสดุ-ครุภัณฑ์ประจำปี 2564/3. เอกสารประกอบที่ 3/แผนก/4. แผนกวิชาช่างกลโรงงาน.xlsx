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แผนก\"/>
    </mc:Choice>
  </mc:AlternateContent>
  <bookViews>
    <workbookView showHorizontalScroll="0" showVerticalScroll="0" showSheetTabs="0" xWindow="0" yWindow="0" windowWidth="24000" windowHeight="9780" tabRatio="897"/>
  </bookViews>
  <sheets>
    <sheet name="ต้นฉบับ" sheetId="46" r:id="rId1"/>
  </sheets>
  <definedNames>
    <definedName name="_xlnm.Print_Titles" localSheetId="0">ต้นฉบับ!$2:$5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1" i="46" l="1"/>
  <c r="K12" i="46" l="1"/>
  <c r="K11" i="46"/>
  <c r="K10" i="46"/>
  <c r="K9" i="46"/>
  <c r="K8" i="46"/>
  <c r="K7" i="46"/>
</calcChain>
</file>

<file path=xl/sharedStrings.xml><?xml version="1.0" encoding="utf-8"?>
<sst xmlns="http://schemas.openxmlformats.org/spreadsheetml/2006/main" count="62" uniqueCount="40">
  <si>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</si>
  <si>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</si>
  <si>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</si>
  <si>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</si>
  <si>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</si>
  <si>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</si>
  <si>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</si>
  <si>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</si>
  <si>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</si>
  <si>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</si>
  <si>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</si>
  <si>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</si>
  <si>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</si>
  <si>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</si>
  <si>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</si>
  <si>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</si>
  <si>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</si>
  <si>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</si>
  <si>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</si>
  <si>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</si>
  <si>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</si>
  <si>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.................................................................</t>
  </si>
  <si>
    <t>ประจำปี 2564 สิ้นงวดเมื่อวันที่ 30 กันยายน 2564 ของแผนกวิชาช่างกลโรงงาน</t>
  </si>
  <si>
    <t>(นายประภาส  นามโคตร)</t>
  </si>
  <si>
    <t xml:space="preserve"> 2546</t>
  </si>
  <si>
    <t>3416-001-0001/463-001</t>
  </si>
  <si>
    <t>เครื่องกลึงขนาดยันศูนย์เหนือแท่น 125 มม.</t>
  </si>
  <si>
    <t>2546</t>
  </si>
  <si>
    <t>3416-001-0001/463-002</t>
  </si>
  <si>
    <t>3416-001-0001/623-001(6)</t>
  </si>
  <si>
    <t>เครื่องกลึง</t>
  </si>
  <si>
    <t>3417-001-0001/623-001(2)</t>
  </si>
  <si>
    <t>เครื่องกัดตั้ง</t>
  </si>
  <si>
    <t xml:space="preserve">3417-001-0002/623-001 </t>
  </si>
  <si>
    <t>เครื่องกัด Coppy</t>
  </si>
  <si>
    <t>3443-001-0001/623-001</t>
  </si>
  <si>
    <t>เครื่องปั้มเล็ก</t>
  </si>
  <si>
    <t>บริจาค</t>
  </si>
  <si>
    <t>ระบบไฟฟ้าชำรุด,ระบบแมคคานิคชำรุด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</si>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</sst>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1"/>
      <name val="TH SarabunIT๙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9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0" borderId="5" xfId="6" applyFont="1" applyBorder="1" applyAlignment="1">
      <alignment horizontal="left"/>
    </xf>
    <xf numFmtId="0" fontId="10" fillId="0" borderId="1" xfId="0" applyFont="1" applyBorder="1"/>
    <xf numFmtId="43" fontId="4" fillId="0" borderId="1" xfId="1" applyFont="1" applyFill="1" applyBorder="1"/>
    <xf numFmtId="43" fontId="2" fillId="0" borderId="1" xfId="12" applyNumberFormat="1" applyFont="1" applyBorder="1" applyAlignment="1">
      <alignment horizontal="left"/>
    </xf>
    <xf numFmtId="0" fontId="4" fillId="0" borderId="1" xfId="2" quotePrefix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1514475</xdr:colOff>
      <xdr:row>21</xdr:row>
      <xdr:rowOff>171450</xdr:rowOff>
    </xdr:from>
    <xdr:to>
      <xdr:col>11</xdr:col>
      <xdr:colOff>1838325</xdr:colOff>
      <xdr:row>27</xdr:row>
      <xdr:rowOff>9525</xdr:rowOff>
    </xdr:to>
    <xdr:sp macro="" textlink="">
      <xdr:nvSpPr>
        <xdr:cNvPr id="2" name="กล่องข้อความ 1"/>
        <xdr:cNvSpPr txBox="1"/>
      </xdr:nvSpPr>
      <xdr:spPr>
        <a:xfrm rot="5400000">
          <a:off x="10887075" y="7591425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8"/>
  <sheetViews>
    <sheetView tabSelected="1" zoomScaleNormal="100" workbookViewId="0"/>
  </sheetViews>
  <sheetFormatPr defaultColWidth="9" defaultRowHeight="24"/>
  <cols>
    <col min="1" max="1" width="5.28515625" style="3" customWidth="1"/>
    <col min="2" max="2" width="12" style="36" customWidth="1"/>
    <col min="3" max="3" width="24.42578125" style="20" customWidth="1"/>
    <col min="4" max="4" width="44.7109375" style="3" customWidth="1"/>
    <col min="5" max="5" width="7.5703125" style="3" customWidth="1"/>
    <col min="6" max="6" width="8.5703125" style="3" customWidth="1"/>
    <col min="7" max="7" width="6.5703125" style="3" customWidth="1"/>
    <col min="8" max="9" width="7.5703125" style="3" customWidth="1"/>
    <col min="10" max="10" width="12.5703125" style="3" customWidth="1"/>
    <col min="11" max="11" width="13.85546875" style="3" customWidth="1"/>
    <col min="12" max="12" width="29.7109375" style="36" customWidth="1"/>
    <col min="13" max="16384" width="9" style="3"/>
  </cols>
  <sheetData>
    <row r="1" spans="1:12">
      <c r="L1" s="34" t="s">
        <v>20</v>
      </c>
    </row>
    <row r="2" spans="1:12">
      <c r="A2" s="50" t="s">
        <v>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>
      <c r="A3" s="51" t="s">
        <v>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>
      <c r="A4" s="52" t="s">
        <v>22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ht="28.5" customHeight="1">
      <c r="A5" s="44" t="s">
        <v>8</v>
      </c>
      <c r="B5" s="44" t="s">
        <v>19</v>
      </c>
      <c r="C5" s="44" t="s">
        <v>16</v>
      </c>
      <c r="D5" s="53" t="s">
        <v>0</v>
      </c>
      <c r="E5" s="44" t="s">
        <v>11</v>
      </c>
      <c r="F5" s="44" t="s">
        <v>10</v>
      </c>
      <c r="G5" s="55" t="s">
        <v>12</v>
      </c>
      <c r="H5" s="57" t="s">
        <v>1</v>
      </c>
      <c r="I5" s="58"/>
      <c r="J5" s="44" t="s">
        <v>15</v>
      </c>
      <c r="K5" s="44" t="s">
        <v>9</v>
      </c>
      <c r="L5" s="44" t="s">
        <v>14</v>
      </c>
    </row>
    <row r="6" spans="1:12" ht="45" customHeight="1">
      <c r="A6" s="45"/>
      <c r="B6" s="45"/>
      <c r="C6" s="45"/>
      <c r="D6" s="54"/>
      <c r="E6" s="45"/>
      <c r="F6" s="45"/>
      <c r="G6" s="56"/>
      <c r="H6" s="16" t="s">
        <v>13</v>
      </c>
      <c r="I6" s="15" t="s">
        <v>3</v>
      </c>
      <c r="J6" s="45"/>
      <c r="K6" s="45"/>
      <c r="L6" s="45"/>
    </row>
    <row r="7" spans="1:12">
      <c r="A7" s="18">
        <v>1</v>
      </c>
      <c r="B7" s="13" t="s">
        <v>24</v>
      </c>
      <c r="C7" s="4" t="s">
        <v>25</v>
      </c>
      <c r="D7" s="2" t="s">
        <v>26</v>
      </c>
      <c r="E7" s="5" t="s">
        <v>37</v>
      </c>
      <c r="F7" s="43" t="s">
        <v>39</v>
      </c>
      <c r="G7" s="43" t="s">
        <v>39</v>
      </c>
      <c r="H7" s="6">
        <v>1</v>
      </c>
      <c r="I7" s="6">
        <v>1</v>
      </c>
      <c r="J7" s="7">
        <v>69950</v>
      </c>
      <c r="K7" s="41">
        <f>SUM(I7*J7)</f>
        <v>69950</v>
      </c>
      <c r="L7" s="42" t="s">
        <v>38</v>
      </c>
    </row>
    <row r="8" spans="1:12">
      <c r="A8" s="18">
        <v>2</v>
      </c>
      <c r="B8" s="13" t="s">
        <v>27</v>
      </c>
      <c r="C8" s="4" t="s">
        <v>28</v>
      </c>
      <c r="D8" s="2" t="s">
        <v>26</v>
      </c>
      <c r="E8" s="5" t="s">
        <v>37</v>
      </c>
      <c r="F8" s="43" t="s">
        <v>39</v>
      </c>
      <c r="G8" s="43" t="s">
        <v>39</v>
      </c>
      <c r="H8" s="6">
        <v>1</v>
      </c>
      <c r="I8" s="6">
        <v>1</v>
      </c>
      <c r="J8" s="7">
        <v>86000</v>
      </c>
      <c r="K8" s="41">
        <f t="shared" ref="K8:K12" si="0">SUM(I8*J8)</f>
        <v>86000</v>
      </c>
      <c r="L8" s="42" t="s">
        <v>38</v>
      </c>
    </row>
    <row r="9" spans="1:12">
      <c r="A9" s="18">
        <v>3</v>
      </c>
      <c r="B9" s="38">
        <v>22914</v>
      </c>
      <c r="C9" s="39" t="s">
        <v>29</v>
      </c>
      <c r="D9" s="40" t="s">
        <v>30</v>
      </c>
      <c r="E9" s="5" t="s">
        <v>37</v>
      </c>
      <c r="F9" s="43" t="s">
        <v>39</v>
      </c>
      <c r="G9" s="43" t="s">
        <v>39</v>
      </c>
      <c r="H9" s="6">
        <v>6</v>
      </c>
      <c r="I9" s="6">
        <v>6</v>
      </c>
      <c r="J9" s="7">
        <v>38000</v>
      </c>
      <c r="K9" s="41">
        <f t="shared" si="0"/>
        <v>228000</v>
      </c>
      <c r="L9" s="42" t="s">
        <v>38</v>
      </c>
    </row>
    <row r="10" spans="1:12">
      <c r="A10" s="18">
        <v>4</v>
      </c>
      <c r="B10" s="38">
        <v>22914</v>
      </c>
      <c r="C10" s="39" t="s">
        <v>31</v>
      </c>
      <c r="D10" s="40" t="s">
        <v>32</v>
      </c>
      <c r="E10" s="5" t="s">
        <v>37</v>
      </c>
      <c r="F10" s="43" t="s">
        <v>39</v>
      </c>
      <c r="G10" s="43" t="s">
        <v>39</v>
      </c>
      <c r="H10" s="6">
        <v>2</v>
      </c>
      <c r="I10" s="6">
        <v>2</v>
      </c>
      <c r="J10" s="7">
        <v>31000</v>
      </c>
      <c r="K10" s="41">
        <f t="shared" si="0"/>
        <v>62000</v>
      </c>
      <c r="L10" s="42" t="s">
        <v>38</v>
      </c>
    </row>
    <row r="11" spans="1:12">
      <c r="A11" s="18">
        <v>5</v>
      </c>
      <c r="B11" s="38">
        <v>22914</v>
      </c>
      <c r="C11" s="39" t="s">
        <v>33</v>
      </c>
      <c r="D11" s="40" t="s">
        <v>34</v>
      </c>
      <c r="E11" s="5" t="s">
        <v>37</v>
      </c>
      <c r="F11" s="43" t="s">
        <v>39</v>
      </c>
      <c r="G11" s="43" t="s">
        <v>39</v>
      </c>
      <c r="H11" s="6">
        <v>1</v>
      </c>
      <c r="I11" s="6">
        <v>1</v>
      </c>
      <c r="J11" s="7">
        <v>35000</v>
      </c>
      <c r="K11" s="41">
        <f t="shared" si="0"/>
        <v>35000</v>
      </c>
      <c r="L11" s="42" t="s">
        <v>38</v>
      </c>
    </row>
    <row r="12" spans="1:12">
      <c r="A12" s="18">
        <v>6</v>
      </c>
      <c r="B12" s="38">
        <v>22914</v>
      </c>
      <c r="C12" s="39" t="s">
        <v>35</v>
      </c>
      <c r="D12" s="40" t="s">
        <v>36</v>
      </c>
      <c r="E12" s="5" t="s">
        <v>37</v>
      </c>
      <c r="F12" s="43" t="s">
        <v>39</v>
      </c>
      <c r="G12" s="43" t="s">
        <v>39</v>
      </c>
      <c r="H12" s="6">
        <v>1</v>
      </c>
      <c r="I12" s="6">
        <v>1</v>
      </c>
      <c r="J12" s="7">
        <v>25000</v>
      </c>
      <c r="K12" s="41">
        <f t="shared" si="0"/>
        <v>25000</v>
      </c>
      <c r="L12" s="42" t="s">
        <v>38</v>
      </c>
    </row>
    <row r="13" spans="1:12">
      <c r="A13" s="18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>
      <c r="A14" s="18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>
      <c r="A15" s="18"/>
      <c r="B15" s="11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>
      <c r="A16" s="18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>
      <c r="A17" s="18"/>
      <c r="B17" s="10"/>
      <c r="C17" s="4"/>
      <c r="D17" s="1"/>
      <c r="E17" s="5"/>
      <c r="F17" s="5"/>
      <c r="G17" s="5"/>
      <c r="H17" s="5"/>
      <c r="I17" s="6"/>
      <c r="J17" s="7"/>
      <c r="K17" s="7"/>
      <c r="L17" s="17"/>
    </row>
    <row r="18" spans="1:12">
      <c r="A18" s="18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>
      <c r="A19" s="18"/>
      <c r="B19" s="13"/>
      <c r="C19" s="4"/>
      <c r="D19" s="2"/>
      <c r="E19" s="5"/>
      <c r="F19" s="5"/>
      <c r="G19" s="5"/>
      <c r="H19" s="5"/>
      <c r="I19" s="6"/>
      <c r="J19" s="7"/>
      <c r="K19" s="7"/>
      <c r="L19" s="14"/>
    </row>
    <row r="20" spans="1:12" ht="24.75" thickBot="1">
      <c r="A20" s="18"/>
      <c r="B20" s="25"/>
      <c r="C20" s="26"/>
      <c r="D20" s="27"/>
      <c r="E20" s="28"/>
      <c r="F20" s="28"/>
      <c r="G20" s="5"/>
      <c r="H20" s="28"/>
      <c r="I20" s="29"/>
      <c r="J20" s="30"/>
      <c r="K20" s="30"/>
      <c r="L20" s="31"/>
    </row>
    <row r="21" spans="1:12" ht="24.75" thickBot="1">
      <c r="A21" s="46" t="s">
        <v>5</v>
      </c>
      <c r="B21" s="47"/>
      <c r="C21" s="47"/>
      <c r="D21" s="47"/>
      <c r="E21" s="47"/>
      <c r="F21" s="47"/>
      <c r="G21" s="47"/>
      <c r="H21" s="47"/>
      <c r="I21" s="47"/>
      <c r="J21" s="48"/>
      <c r="K21" s="32">
        <f>SUM(K7:K12)</f>
        <v>505950</v>
      </c>
      <c r="L21" s="33"/>
    </row>
    <row r="22" spans="1:12" ht="24.75" thickTop="1">
      <c r="A22" s="37"/>
      <c r="B22" s="37"/>
      <c r="C22" s="37"/>
      <c r="D22" s="37"/>
      <c r="E22" s="37"/>
      <c r="F22" s="37"/>
      <c r="G22" s="37"/>
      <c r="H22" s="37"/>
      <c r="I22" s="23"/>
      <c r="J22" s="22"/>
      <c r="K22" s="22"/>
      <c r="L22" s="35"/>
    </row>
    <row r="23" spans="1:12">
      <c r="A23" s="9"/>
      <c r="B23" s="24" t="s">
        <v>2</v>
      </c>
      <c r="C23" s="19" t="s">
        <v>17</v>
      </c>
      <c r="D23" s="9"/>
      <c r="E23" s="9"/>
      <c r="F23" s="9"/>
      <c r="G23" s="9"/>
      <c r="H23" s="9"/>
      <c r="I23" s="23"/>
      <c r="J23" s="9"/>
      <c r="K23" s="9"/>
      <c r="L23" s="35"/>
    </row>
    <row r="24" spans="1:12">
      <c r="A24" s="9"/>
      <c r="B24" s="35"/>
      <c r="C24" s="19" t="s">
        <v>18</v>
      </c>
      <c r="D24" s="9"/>
      <c r="E24" s="9"/>
      <c r="F24" s="9"/>
      <c r="G24" s="9"/>
      <c r="H24" s="21"/>
      <c r="I24" s="21"/>
      <c r="J24" s="21"/>
      <c r="K24" s="21"/>
      <c r="L24" s="21"/>
    </row>
    <row r="25" spans="1:12">
      <c r="A25" s="9"/>
      <c r="B25" s="35"/>
      <c r="C25" s="19"/>
      <c r="D25" s="9"/>
      <c r="E25" s="9"/>
      <c r="F25" s="9"/>
      <c r="G25" s="9"/>
      <c r="H25" s="21"/>
      <c r="I25" s="21"/>
      <c r="J25" s="21"/>
      <c r="K25" s="21"/>
      <c r="L25" s="21"/>
    </row>
    <row r="26" spans="1:12">
      <c r="A26" s="9"/>
      <c r="B26" s="35"/>
      <c r="C26" s="19"/>
      <c r="D26" s="9"/>
      <c r="E26" s="9"/>
      <c r="F26" s="9"/>
      <c r="G26" s="9"/>
      <c r="H26" s="49" t="s">
        <v>21</v>
      </c>
      <c r="I26" s="49"/>
      <c r="J26" s="49"/>
      <c r="K26" s="49"/>
      <c r="L26" s="21"/>
    </row>
    <row r="27" spans="1:12">
      <c r="H27" s="49" t="s">
        <v>23</v>
      </c>
      <c r="I27" s="49"/>
      <c r="J27" s="49"/>
      <c r="K27" s="49"/>
    </row>
    <row r="28" spans="1:12">
      <c r="H28" s="49" t="s">
        <v>4</v>
      </c>
      <c r="I28" s="49"/>
      <c r="J28" s="49"/>
      <c r="K28" s="49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2021-10-12T07:29:06Z</cp:lastPrinted>
  <dcterms:created xsi:type="dcterms:W3CDTF">2017-11-14T01:32:33Z</dcterms:created>
  <dcterms:modified xsi:type="dcterms:W3CDTF">2021-10-14T09:32:17Z</dcterms:modified>
</cp:coreProperties>
</file>