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29"/>
  <workbookPr/>
  <mc:AlternateContent xmlns:mc="http://schemas.openxmlformats.org/markup-compatibility/2006">
    <mc:Choice Requires="x15">
      <x15ac:absPath xmlns:x15ac="http://schemas.microsoft.com/office/spreadsheetml/2010/11/ac" url="C:\Users\Pasdoo\Documents\งานพัสดุ ธนพร\ตรวจครุภัณฑ์ประจำปี\ตรวจสอบพัสดุ-ครุภัณฑ์ประจำปี 2564\เอกสารประกอบที่ 3\งาน\1. ฝ่ายบริหารทรัพยากร\"/>
    </mc:Choice>
  </mc:AlternateContent>
  <xr:revisionPtr revIDLastSave="0" documentId="13_ncr:1_{BCADF236-9134-4F11-95E4-541797A6D01E}" xr6:coauthVersionLast="47" xr6:coauthVersionMax="47" xr10:uidLastSave="{00000000-0000-0000-0000-000000000000}"/>
  <bookViews>
    <workbookView xWindow="-120" yWindow="-120" windowWidth="24240" windowHeight="13140" tabRatio="897" xr2:uid="{00000000-000D-0000-FFFF-FFFF00000000}"/>
  </bookViews>
  <sheets>
    <sheet name="งานประชาสัมพันธ์" sheetId="3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13" i="33" l="1"/>
  <c r="K26" i="33" s="1"/>
</calcChain>
</file>

<file path=xl/sharedStrings.xml><?xml version="1.0" encoding="utf-8"?>
<sst xmlns="http://schemas.openxmlformats.org/spreadsheetml/2006/main" count="120" uniqueCount="69">
  <si>
    <t>รายการ ขนาด ลักษณะ</t>
  </si>
  <si>
    <t>จำนวน</t>
  </si>
  <si>
    <t>หมายเหตุ</t>
  </si>
  <si>
    <t>ชำรุด</t>
  </si>
  <si>
    <t>....................................................</t>
  </si>
  <si>
    <t>หัวหน้าหน่วยจ่าย/หน่วยเบิก</t>
  </si>
  <si>
    <t>รวมเป็นเงิน</t>
  </si>
  <si>
    <t xml:space="preserve"> สถานศึกษา วิทยาลัยเทคนิคกันทรลักษ์</t>
  </si>
  <si>
    <t>ลำดับ
ที่</t>
  </si>
  <si>
    <t>เป็นเงิน</t>
  </si>
  <si>
    <t>ระยะเวลา
ใช้งาน</t>
  </si>
  <si>
    <t>ได้มา
โดยวิธีใด</t>
  </si>
  <si>
    <t>เคย
ซ่อม
กี่ครั้ง</t>
  </si>
  <si>
    <t>เต็มตาม
บัญชี</t>
  </si>
  <si>
    <t>คำชี้แจง
ประกอบ
ของชำรุด</t>
  </si>
  <si>
    <t>หน่วยละ</t>
  </si>
  <si>
    <t xml:space="preserve">หมายเลขประจำ
วัสดุครุภัณฑ์ </t>
  </si>
  <si>
    <t>1. ให้แยกบัญชี เช่น บัญชีรายการครุภัณฑ์มูลค่าต่ำกว่าเกณฑ์ หรือ บัญชีรายการครุภัณฑ์ชำรุด เป็นต้น</t>
  </si>
  <si>
    <t>2. ในช่อง "เป็นเงิน" ให้ลงจำนวนเงินรวมตามจำนวนของที่ชำรุดเท่านั้น</t>
  </si>
  <si>
    <t>วัน เดือน ปี 
ที่ได้มา</t>
  </si>
  <si>
    <t>บัญชีรายการ ครุภัณฑ์  ชำรุด เสื่อมคุณภาพ ไม่ใช้ราชการ ของสถานศึกษา</t>
  </si>
  <si>
    <t>เอกสารหมายเลข ……….</t>
  </si>
  <si>
    <t>7430-008-002/492-006</t>
  </si>
  <si>
    <t>เครื่องปริ้นเตอร์ HP PSC 1315</t>
  </si>
  <si>
    <t>บกศ</t>
  </si>
  <si>
    <t>7440-0010-0001/492/001</t>
  </si>
  <si>
    <t>ซาวด์การ์ด</t>
  </si>
  <si>
    <t>7440-010-002/492-007</t>
  </si>
  <si>
    <t>เครื่องไรท์ ซีดี</t>
  </si>
  <si>
    <t>ประจำปี 2564 สิ้นงวดเมื่อวันที่ 30 กันยายน 2564 ของงานประชาสัมพันธ์</t>
  </si>
  <si>
    <t xml:space="preserve"> (นายชัยศิริ  ตุ้มคง)</t>
  </si>
  <si>
    <t>7440-010-003/492-001</t>
  </si>
  <si>
    <t>ฮาร์ดดิส80</t>
  </si>
  <si>
    <t>15 ปี</t>
  </si>
  <si>
    <t>7440-010-004/492-001</t>
  </si>
  <si>
    <t>ลำโพง</t>
  </si>
  <si>
    <t>5965-003-0001/491-001-006</t>
  </si>
  <si>
    <t>หูฟังพร้อมไมค์</t>
  </si>
  <si>
    <t>8350-001-001/491-001-006</t>
  </si>
  <si>
    <t>ผ้าม่าน ขนาด 0.8*2 เมตร</t>
  </si>
  <si>
    <t>งปม</t>
  </si>
  <si>
    <t>8350-001-001/491-001</t>
  </si>
  <si>
    <t>ผ้าม่าน ขนาด 0.7*1.8 เมตร</t>
  </si>
  <si>
    <t>ผ้าม่าน ขนาด 0.9*1.85 เมตร</t>
  </si>
  <si>
    <t>ผ้าม่าน ขนาด 1*1.35 เมตร</t>
  </si>
  <si>
    <t>ผ้าม่าน ขนาด 0.9*45 เมตร</t>
  </si>
  <si>
    <t>7110-006-0006/531-010</t>
  </si>
  <si>
    <t>เก้าอี้ ขาเหล็ก 5 แฉก</t>
  </si>
  <si>
    <t>7430-008-0002/531-022</t>
  </si>
  <si>
    <t>เครื่องปริ้นเตอร์ CANNON LBp3050</t>
  </si>
  <si>
    <t>7440-001-0001//531-148</t>
  </si>
  <si>
    <t>เครื่องคอมพิวเตอร์พร้อมโต๊ะเก้าอี้</t>
  </si>
  <si>
    <t>6760-0802-6002/602-001</t>
  </si>
  <si>
    <t>แฟลต speedlite yn 568ex2</t>
  </si>
  <si>
    <t>6760-0802-6003/602-001</t>
  </si>
  <si>
    <t>ขาตั้งกล้อง</t>
  </si>
  <si>
    <t>11 ปี</t>
  </si>
  <si>
    <t>15ปี</t>
  </si>
  <si>
    <t>4 ปี</t>
  </si>
  <si>
    <t>-</t>
  </si>
  <si>
    <t>เครื่องเปิดไม่ติด/ไม่พบโต๊ะเก้าอี้</t>
  </si>
  <si>
    <t>ปริ้นไม่ได้ ตลับหมึกชำรุด</t>
  </si>
  <si>
    <t>ไหม้</t>
  </si>
  <si>
    <t>ดอกลำโพงขาด</t>
  </si>
  <si>
    <t>ขาด</t>
  </si>
  <si>
    <t>ขาเก้าอี้หัก</t>
  </si>
  <si>
    <t>ตลับหมึกชำรุด</t>
  </si>
  <si>
    <t>แตกใช้งานไม่ได้</t>
  </si>
  <si>
    <t>ขาหลุด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</si>
</sst>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;[Red]0"/>
  </numFmts>
  <fonts count="9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b/>
      <sz val="16"/>
      <name val="TH SarabunPSK"/>
      <family val="2"/>
    </font>
    <font>
      <u/>
      <sz val="16"/>
      <color theme="1"/>
      <name val="TH SarabunPSK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60">
    <xf numFmtId="0" fontId="0" fillId="0" borderId="0" xfId="0"/>
    <xf numFmtId="0" fontId="3" fillId="0" borderId="1" xfId="6" applyFont="1" applyBorder="1"/>
    <xf numFmtId="0" fontId="4" fillId="0" borderId="0" xfId="0" applyFont="1"/>
    <xf numFmtId="0" fontId="3" fillId="0" borderId="1" xfId="6" applyFont="1" applyBorder="1" applyAlignment="1">
      <alignment horizontal="left"/>
    </xf>
    <xf numFmtId="0" fontId="3" fillId="0" borderId="1" xfId="2" applyFont="1" applyBorder="1" applyAlignment="1">
      <alignment horizontal="center"/>
    </xf>
    <xf numFmtId="0" fontId="3" fillId="0" borderId="1" xfId="6" applyFont="1" applyBorder="1" applyAlignment="1">
      <alignment horizontal="center"/>
    </xf>
    <xf numFmtId="0" fontId="4" fillId="0" borderId="0" xfId="0" applyFont="1" applyBorder="1"/>
    <xf numFmtId="0" fontId="4" fillId="0" borderId="0" xfId="0" applyFont="1" applyFill="1" applyAlignment="1">
      <alignment horizontal="center"/>
    </xf>
    <xf numFmtId="0" fontId="4" fillId="0" borderId="1" xfId="0" applyFont="1" applyFill="1" applyBorder="1" applyAlignment="1">
      <alignment horizontal="center" vertical="top"/>
    </xf>
    <xf numFmtId="0" fontId="4" fillId="0" borderId="0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43" fontId="3" fillId="0" borderId="1" xfId="1" applyFont="1" applyFill="1" applyBorder="1" applyAlignment="1">
      <alignment horizontal="center"/>
    </xf>
    <xf numFmtId="0" fontId="3" fillId="0" borderId="1" xfId="6" applyFont="1" applyFill="1" applyBorder="1" applyAlignment="1">
      <alignment horizontal="center"/>
    </xf>
    <xf numFmtId="0" fontId="4" fillId="0" borderId="1" xfId="0" applyFont="1" applyBorder="1" applyAlignment="1">
      <alignment horizontal="center" vertical="top"/>
    </xf>
    <xf numFmtId="0" fontId="3" fillId="0" borderId="1" xfId="6" applyFont="1" applyFill="1" applyBorder="1"/>
    <xf numFmtId="0" fontId="3" fillId="0" borderId="1" xfId="6" applyFont="1" applyBorder="1" applyAlignment="1">
      <alignment vertical="top" wrapText="1"/>
    </xf>
    <xf numFmtId="0" fontId="3" fillId="0" borderId="1" xfId="6" applyFont="1" applyBorder="1" applyAlignment="1">
      <alignment horizontal="left" vertical="top"/>
    </xf>
    <xf numFmtId="0" fontId="3" fillId="0" borderId="1" xfId="2" applyFont="1" applyBorder="1" applyAlignment="1">
      <alignment horizontal="center" vertical="top"/>
    </xf>
    <xf numFmtId="43" fontId="3" fillId="0" borderId="1" xfId="1" applyFont="1" applyBorder="1" applyAlignment="1">
      <alignment vertical="top"/>
    </xf>
    <xf numFmtId="0" fontId="3" fillId="0" borderId="1" xfId="6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/>
    </xf>
    <xf numFmtId="43" fontId="4" fillId="0" borderId="0" xfId="0" applyNumberFormat="1" applyFont="1"/>
    <xf numFmtId="0" fontId="4" fillId="0" borderId="0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 applyFill="1"/>
    <xf numFmtId="43" fontId="3" fillId="0" borderId="0" xfId="12" applyNumberFormat="1" applyFont="1" applyBorder="1" applyAlignment="1"/>
    <xf numFmtId="0" fontId="4" fillId="0" borderId="0" xfId="0" applyFont="1" applyBorder="1" applyAlignment="1"/>
    <xf numFmtId="43" fontId="4" fillId="0" borderId="0" xfId="0" applyNumberFormat="1" applyFont="1" applyBorder="1"/>
    <xf numFmtId="0" fontId="3" fillId="0" borderId="0" xfId="2" applyFont="1" applyBorder="1" applyAlignment="1">
      <alignment horizontal="center"/>
    </xf>
    <xf numFmtId="0" fontId="3" fillId="0" borderId="1" xfId="6" applyFont="1" applyFill="1" applyBorder="1" applyAlignment="1">
      <alignment horizontal="left"/>
    </xf>
    <xf numFmtId="0" fontId="8" fillId="0" borderId="0" xfId="0" applyFont="1" applyBorder="1" applyAlignment="1">
      <alignment horizontal="center"/>
    </xf>
    <xf numFmtId="0" fontId="4" fillId="0" borderId="0" xfId="0" applyFont="1" applyAlignment="1">
      <alignment horizontal="right"/>
    </xf>
    <xf numFmtId="43" fontId="4" fillId="0" borderId="8" xfId="0" applyNumberFormat="1" applyFont="1" applyBorder="1" applyAlignment="1"/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3" fillId="0" borderId="0" xfId="9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164" fontId="4" fillId="0" borderId="1" xfId="0" applyNumberFormat="1" applyFont="1" applyBorder="1" applyAlignment="1">
      <alignment horizontal="center" vertical="top"/>
    </xf>
    <xf numFmtId="43" fontId="3" fillId="0" borderId="1" xfId="1" applyFont="1" applyFill="1" applyBorder="1" applyAlignment="1">
      <alignment horizontal="center" vertical="top"/>
    </xf>
    <xf numFmtId="0" fontId="4" fillId="0" borderId="8" xfId="0" applyFont="1" applyFill="1" applyBorder="1" applyAlignment="1">
      <alignment horizontal="center"/>
    </xf>
    <xf numFmtId="15" fontId="4" fillId="0" borderId="1" xfId="0" applyNumberFormat="1" applyFont="1" applyBorder="1" applyAlignment="1">
      <alignment horizontal="center"/>
    </xf>
    <xf numFmtId="43" fontId="3" fillId="0" borderId="1" xfId="12" applyNumberFormat="1" applyFont="1" applyFill="1" applyBorder="1" applyAlignment="1">
      <alignment horizontal="left"/>
    </xf>
    <xf numFmtId="0" fontId="4" fillId="0" borderId="1" xfId="0" applyFont="1" applyFill="1" applyBorder="1" applyAlignment="1">
      <alignment horizontal="left"/>
    </xf>
    <xf numFmtId="0" fontId="4" fillId="0" borderId="0" xfId="0" applyFont="1" applyBorder="1" applyAlignment="1">
      <alignment horizontal="center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9" applyFont="1" applyAlignment="1">
      <alignment horizontal="center" vertical="center"/>
    </xf>
    <xf numFmtId="0" fontId="6" fillId="0" borderId="0" xfId="0" applyFont="1" applyBorder="1" applyAlignment="1" applyProtection="1">
      <alignment horizontal="center"/>
      <protection locked="0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top" wrapText="1"/>
    </xf>
    <xf numFmtId="0" fontId="4" fillId="0" borderId="5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mruColors>
      <color rgb="FF7030A0"/>
      <color rgb="FF993300"/>
      <color rgb="FF0070C0"/>
      <color rgb="FFFF0066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1609725</xdr:colOff>
      <xdr:row>26</xdr:row>
      <xdr:rowOff>95250</xdr:rowOff>
    </xdr:from>
    <xdr:to>
      <xdr:col>11</xdr:col>
      <xdr:colOff>1943100</xdr:colOff>
      <xdr:row>31</xdr:row>
      <xdr:rowOff>247650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 rot="5400000">
          <a:off x="11039475" y="7829550"/>
          <a:ext cx="1685925" cy="3333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P31"/>
  <sheetViews>
    <sheetView tabSelected="1" topLeftCell="A14" zoomScaleNormal="100" workbookViewId="0">
      <selection activeCell="J18" sqref="J18"/>
    </sheetView>
  </sheetViews>
  <sheetFormatPr defaultColWidth="9" defaultRowHeight="24" customHeight="1"/>
  <cols>
    <col min="1" max="1" width="5.42578125" style="2" customWidth="1"/>
    <col min="2" max="2" width="13.28515625" style="2" customWidth="1"/>
    <col min="3" max="3" width="29.85546875" style="2" customWidth="1"/>
    <col min="4" max="4" width="38.28515625" style="2" customWidth="1"/>
    <col min="5" max="5" width="8" style="2" customWidth="1"/>
    <col min="6" max="6" width="8.85546875" style="2" customWidth="1"/>
    <col min="7" max="7" width="7.5703125" style="2" customWidth="1"/>
    <col min="8" max="8" width="7.28515625" style="2" customWidth="1"/>
    <col min="9" max="9" width="6.7109375" style="2" customWidth="1"/>
    <col min="10" max="10" width="15" style="2" bestFit="1" customWidth="1"/>
    <col min="11" max="11" width="18.85546875" style="2" bestFit="1" customWidth="1"/>
    <col min="12" max="12" width="32" style="7" customWidth="1"/>
    <col min="13" max="13" width="18.28515625" style="2" customWidth="1"/>
    <col min="14" max="14" width="12.7109375" style="2" customWidth="1"/>
    <col min="15" max="15" width="9" style="2"/>
    <col min="16" max="16" width="12.42578125" style="2" bestFit="1" customWidth="1"/>
    <col min="17" max="16384" width="9" style="2"/>
  </cols>
  <sheetData>
    <row r="1" spans="1:14" ht="24" customHeight="1">
      <c r="L1" s="32" t="s">
        <v>21</v>
      </c>
    </row>
    <row r="2" spans="1:14" ht="24" customHeight="1">
      <c r="A2" s="51" t="s">
        <v>7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36"/>
    </row>
    <row r="3" spans="1:14" ht="24" customHeight="1">
      <c r="A3" s="52" t="s">
        <v>20</v>
      </c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37"/>
    </row>
    <row r="4" spans="1:14" ht="24" customHeight="1">
      <c r="A4" s="53" t="s">
        <v>29</v>
      </c>
      <c r="B4" s="53"/>
      <c r="C4" s="53"/>
      <c r="D4" s="53"/>
      <c r="E4" s="53"/>
      <c r="F4" s="53"/>
      <c r="G4" s="53"/>
      <c r="H4" s="53"/>
      <c r="I4" s="53"/>
      <c r="J4" s="53"/>
      <c r="K4" s="53"/>
      <c r="L4" s="53"/>
      <c r="M4" s="34"/>
    </row>
    <row r="5" spans="1:14" ht="24" customHeight="1">
      <c r="A5" s="46" t="s">
        <v>8</v>
      </c>
      <c r="B5" s="46" t="s">
        <v>19</v>
      </c>
      <c r="C5" s="46" t="s">
        <v>16</v>
      </c>
      <c r="D5" s="54" t="s">
        <v>0</v>
      </c>
      <c r="E5" s="46" t="s">
        <v>11</v>
      </c>
      <c r="F5" s="46" t="s">
        <v>10</v>
      </c>
      <c r="G5" s="56" t="s">
        <v>12</v>
      </c>
      <c r="H5" s="58" t="s">
        <v>1</v>
      </c>
      <c r="I5" s="59"/>
      <c r="J5" s="46" t="s">
        <v>15</v>
      </c>
      <c r="K5" s="46" t="s">
        <v>9</v>
      </c>
      <c r="L5" s="46" t="s">
        <v>14</v>
      </c>
      <c r="M5" s="35"/>
    </row>
    <row r="6" spans="1:14" ht="46.5" customHeight="1">
      <c r="A6" s="47"/>
      <c r="B6" s="47"/>
      <c r="C6" s="47"/>
      <c r="D6" s="55"/>
      <c r="E6" s="47"/>
      <c r="F6" s="47"/>
      <c r="G6" s="57"/>
      <c r="H6" s="20" t="s">
        <v>13</v>
      </c>
      <c r="I6" s="13" t="s">
        <v>3</v>
      </c>
      <c r="J6" s="47"/>
      <c r="K6" s="47"/>
      <c r="L6" s="47"/>
      <c r="M6" s="26"/>
      <c r="N6" s="22"/>
    </row>
    <row r="7" spans="1:14" ht="24" customHeight="1">
      <c r="A7" s="10">
        <v>1</v>
      </c>
      <c r="B7" s="21">
        <v>2549</v>
      </c>
      <c r="C7" s="30" t="s">
        <v>22</v>
      </c>
      <c r="D7" s="14" t="s">
        <v>23</v>
      </c>
      <c r="E7" s="4" t="s">
        <v>24</v>
      </c>
      <c r="F7" s="4" t="s">
        <v>57</v>
      </c>
      <c r="G7" s="4" t="s">
        <v>59</v>
      </c>
      <c r="H7" s="12">
        <v>1</v>
      </c>
      <c r="I7" s="12">
        <v>1</v>
      </c>
      <c r="J7" s="11">
        <v>5900</v>
      </c>
      <c r="K7" s="11">
        <v>5900</v>
      </c>
      <c r="L7" s="43" t="s">
        <v>61</v>
      </c>
      <c r="M7" s="26"/>
      <c r="N7" s="22"/>
    </row>
    <row r="8" spans="1:14" ht="24" customHeight="1">
      <c r="A8" s="10">
        <v>2</v>
      </c>
      <c r="B8" s="21">
        <v>2549</v>
      </c>
      <c r="C8" s="30" t="s">
        <v>25</v>
      </c>
      <c r="D8" s="14" t="s">
        <v>26</v>
      </c>
      <c r="E8" s="4" t="s">
        <v>24</v>
      </c>
      <c r="F8" s="4" t="s">
        <v>57</v>
      </c>
      <c r="G8" s="4" t="s">
        <v>59</v>
      </c>
      <c r="H8" s="12">
        <v>1</v>
      </c>
      <c r="I8" s="12">
        <v>1</v>
      </c>
      <c r="J8" s="11">
        <v>900</v>
      </c>
      <c r="K8" s="11">
        <v>900</v>
      </c>
      <c r="L8" s="43" t="s">
        <v>62</v>
      </c>
      <c r="M8" s="26"/>
      <c r="N8" s="22"/>
    </row>
    <row r="9" spans="1:14" ht="24" customHeight="1">
      <c r="A9" s="10">
        <v>3</v>
      </c>
      <c r="B9" s="21">
        <v>2549</v>
      </c>
      <c r="C9" s="30" t="s">
        <v>27</v>
      </c>
      <c r="D9" s="14" t="s">
        <v>28</v>
      </c>
      <c r="E9" s="4" t="s">
        <v>24</v>
      </c>
      <c r="F9" s="4" t="s">
        <v>57</v>
      </c>
      <c r="G9" s="4" t="s">
        <v>59</v>
      </c>
      <c r="H9" s="12">
        <v>1</v>
      </c>
      <c r="I9" s="12">
        <v>1</v>
      </c>
      <c r="J9" s="11">
        <v>1200</v>
      </c>
      <c r="K9" s="11">
        <v>1200</v>
      </c>
      <c r="L9" s="43" t="s">
        <v>62</v>
      </c>
      <c r="M9" s="26"/>
      <c r="N9" s="22"/>
    </row>
    <row r="10" spans="1:14" ht="24" customHeight="1">
      <c r="A10" s="10">
        <v>4</v>
      </c>
      <c r="B10" s="21">
        <v>2549</v>
      </c>
      <c r="C10" s="30" t="s">
        <v>31</v>
      </c>
      <c r="D10" s="14" t="s">
        <v>32</v>
      </c>
      <c r="E10" s="4" t="s">
        <v>24</v>
      </c>
      <c r="F10" s="4" t="s">
        <v>57</v>
      </c>
      <c r="G10" s="4" t="s">
        <v>59</v>
      </c>
      <c r="H10" s="12">
        <v>1</v>
      </c>
      <c r="I10" s="12">
        <v>1</v>
      </c>
      <c r="J10" s="11">
        <v>2900</v>
      </c>
      <c r="K10" s="11">
        <v>2900</v>
      </c>
      <c r="L10" s="43" t="s">
        <v>62</v>
      </c>
      <c r="M10" s="26"/>
      <c r="N10" s="22"/>
    </row>
    <row r="11" spans="1:14" ht="24" customHeight="1">
      <c r="A11" s="10">
        <v>5</v>
      </c>
      <c r="B11" s="21">
        <v>2549</v>
      </c>
      <c r="C11" s="3" t="s">
        <v>34</v>
      </c>
      <c r="D11" s="1" t="s">
        <v>35</v>
      </c>
      <c r="E11" s="4" t="s">
        <v>24</v>
      </c>
      <c r="F11" s="4" t="s">
        <v>33</v>
      </c>
      <c r="G11" s="4" t="s">
        <v>59</v>
      </c>
      <c r="H11" s="5">
        <v>1</v>
      </c>
      <c r="I11" s="5">
        <v>1</v>
      </c>
      <c r="J11" s="11">
        <v>1200</v>
      </c>
      <c r="K11" s="11">
        <v>1200</v>
      </c>
      <c r="L11" s="44" t="s">
        <v>63</v>
      </c>
      <c r="M11" s="28"/>
      <c r="N11" s="22"/>
    </row>
    <row r="12" spans="1:14" ht="24" customHeight="1">
      <c r="A12" s="10">
        <v>6</v>
      </c>
      <c r="B12" s="21">
        <v>2549</v>
      </c>
      <c r="C12" s="30" t="s">
        <v>36</v>
      </c>
      <c r="D12" s="14" t="s">
        <v>37</v>
      </c>
      <c r="E12" s="4" t="s">
        <v>24</v>
      </c>
      <c r="F12" s="4" t="s">
        <v>33</v>
      </c>
      <c r="G12" s="4" t="s">
        <v>59</v>
      </c>
      <c r="H12" s="12">
        <v>1</v>
      </c>
      <c r="I12" s="12">
        <v>1</v>
      </c>
      <c r="J12" s="11">
        <v>250</v>
      </c>
      <c r="K12" s="11">
        <v>250</v>
      </c>
      <c r="L12" s="44" t="s">
        <v>64</v>
      </c>
      <c r="M12" s="28"/>
      <c r="N12" s="22"/>
    </row>
    <row r="13" spans="1:14" ht="24" customHeight="1">
      <c r="A13" s="10">
        <v>7</v>
      </c>
      <c r="B13" s="21">
        <v>2549</v>
      </c>
      <c r="C13" s="30" t="s">
        <v>38</v>
      </c>
      <c r="D13" s="14" t="s">
        <v>39</v>
      </c>
      <c r="E13" s="4" t="s">
        <v>40</v>
      </c>
      <c r="F13" s="4" t="s">
        <v>33</v>
      </c>
      <c r="G13" s="4" t="s">
        <v>59</v>
      </c>
      <c r="H13" s="12">
        <v>6</v>
      </c>
      <c r="I13" s="12">
        <v>6</v>
      </c>
      <c r="J13" s="11">
        <v>500</v>
      </c>
      <c r="K13" s="11">
        <f>SUM(H13*J13)</f>
        <v>3000</v>
      </c>
      <c r="L13" s="44" t="s">
        <v>64</v>
      </c>
      <c r="M13" s="28"/>
      <c r="N13" s="22"/>
    </row>
    <row r="14" spans="1:14" ht="24" customHeight="1">
      <c r="A14" s="10">
        <v>8</v>
      </c>
      <c r="B14" s="21">
        <v>2549</v>
      </c>
      <c r="C14" s="30" t="s">
        <v>41</v>
      </c>
      <c r="D14" s="14" t="s">
        <v>43</v>
      </c>
      <c r="E14" s="4" t="s">
        <v>40</v>
      </c>
      <c r="F14" s="4" t="s">
        <v>33</v>
      </c>
      <c r="G14" s="4" t="s">
        <v>59</v>
      </c>
      <c r="H14" s="12">
        <v>1</v>
      </c>
      <c r="I14" s="12">
        <v>1</v>
      </c>
      <c r="J14" s="11">
        <v>600</v>
      </c>
      <c r="K14" s="11">
        <v>600</v>
      </c>
      <c r="L14" s="44" t="s">
        <v>64</v>
      </c>
      <c r="M14" s="28"/>
      <c r="N14" s="22"/>
    </row>
    <row r="15" spans="1:14" ht="24" customHeight="1">
      <c r="A15" s="10">
        <v>9</v>
      </c>
      <c r="B15" s="21">
        <v>2549</v>
      </c>
      <c r="C15" s="30" t="s">
        <v>41</v>
      </c>
      <c r="D15" s="14" t="s">
        <v>42</v>
      </c>
      <c r="E15" s="4" t="s">
        <v>40</v>
      </c>
      <c r="F15" s="4" t="s">
        <v>33</v>
      </c>
      <c r="G15" s="4" t="s">
        <v>59</v>
      </c>
      <c r="H15" s="12">
        <v>1</v>
      </c>
      <c r="I15" s="12">
        <v>1</v>
      </c>
      <c r="J15" s="11">
        <v>500</v>
      </c>
      <c r="K15" s="11">
        <v>500</v>
      </c>
      <c r="L15" s="44" t="s">
        <v>64</v>
      </c>
      <c r="M15" s="28"/>
      <c r="N15" s="22"/>
    </row>
    <row r="16" spans="1:14" ht="24" customHeight="1">
      <c r="A16" s="10">
        <v>11</v>
      </c>
      <c r="B16" s="21">
        <v>2549</v>
      </c>
      <c r="C16" s="30" t="s">
        <v>41</v>
      </c>
      <c r="D16" s="14" t="s">
        <v>44</v>
      </c>
      <c r="E16" s="4" t="s">
        <v>40</v>
      </c>
      <c r="F16" s="4" t="s">
        <v>33</v>
      </c>
      <c r="G16" s="4" t="s">
        <v>59</v>
      </c>
      <c r="H16" s="12">
        <v>1</v>
      </c>
      <c r="I16" s="12">
        <v>1</v>
      </c>
      <c r="J16" s="11">
        <v>400</v>
      </c>
      <c r="K16" s="11">
        <v>500</v>
      </c>
      <c r="L16" s="44" t="s">
        <v>64</v>
      </c>
      <c r="M16" s="28"/>
      <c r="N16" s="22"/>
    </row>
    <row r="17" spans="1:16" ht="24" customHeight="1">
      <c r="A17" s="10">
        <v>10</v>
      </c>
      <c r="B17" s="21">
        <v>2549</v>
      </c>
      <c r="C17" s="30" t="s">
        <v>41</v>
      </c>
      <c r="D17" s="14" t="s">
        <v>45</v>
      </c>
      <c r="E17" s="4" t="s">
        <v>40</v>
      </c>
      <c r="F17" s="4" t="s">
        <v>33</v>
      </c>
      <c r="G17" s="4" t="s">
        <v>59</v>
      </c>
      <c r="H17" s="12">
        <v>1</v>
      </c>
      <c r="I17" s="12">
        <v>1</v>
      </c>
      <c r="J17" s="11">
        <v>500</v>
      </c>
      <c r="K17" s="11">
        <v>400</v>
      </c>
      <c r="L17" s="44" t="s">
        <v>64</v>
      </c>
      <c r="M17" s="28"/>
      <c r="N17" s="22"/>
    </row>
    <row r="18" spans="1:16" ht="24" customHeight="1">
      <c r="A18" s="10">
        <v>12</v>
      </c>
      <c r="B18" s="21">
        <v>2553</v>
      </c>
      <c r="C18" s="30" t="s">
        <v>46</v>
      </c>
      <c r="D18" s="14" t="s">
        <v>47</v>
      </c>
      <c r="E18" s="4" t="s">
        <v>40</v>
      </c>
      <c r="F18" s="4" t="s">
        <v>56</v>
      </c>
      <c r="G18" s="4" t="s">
        <v>59</v>
      </c>
      <c r="H18" s="12">
        <v>1</v>
      </c>
      <c r="I18" s="12">
        <v>1</v>
      </c>
      <c r="J18" s="11">
        <v>1100</v>
      </c>
      <c r="K18" s="11">
        <v>1100</v>
      </c>
      <c r="L18" s="44" t="s">
        <v>65</v>
      </c>
      <c r="M18" s="28"/>
      <c r="N18" s="22"/>
    </row>
    <row r="19" spans="1:16" ht="24" customHeight="1">
      <c r="A19" s="10">
        <v>13</v>
      </c>
      <c r="B19" s="21">
        <v>2553</v>
      </c>
      <c r="C19" s="30" t="s">
        <v>48</v>
      </c>
      <c r="D19" s="14" t="s">
        <v>49</v>
      </c>
      <c r="E19" s="4" t="s">
        <v>40</v>
      </c>
      <c r="F19" s="4" t="s">
        <v>56</v>
      </c>
      <c r="G19" s="4" t="s">
        <v>59</v>
      </c>
      <c r="H19" s="12">
        <v>1</v>
      </c>
      <c r="I19" s="12">
        <v>1</v>
      </c>
      <c r="J19" s="11">
        <v>5350</v>
      </c>
      <c r="K19" s="11">
        <v>5350</v>
      </c>
      <c r="L19" s="44" t="s">
        <v>66</v>
      </c>
      <c r="M19" s="28"/>
      <c r="N19" s="22"/>
    </row>
    <row r="20" spans="1:16" ht="24" customHeight="1">
      <c r="A20" s="10">
        <v>14</v>
      </c>
      <c r="B20" s="21">
        <v>2553</v>
      </c>
      <c r="C20" s="30" t="s">
        <v>50</v>
      </c>
      <c r="D20" s="14" t="s">
        <v>51</v>
      </c>
      <c r="E20" s="4" t="s">
        <v>40</v>
      </c>
      <c r="F20" s="4" t="s">
        <v>56</v>
      </c>
      <c r="G20" s="4" t="s">
        <v>59</v>
      </c>
      <c r="H20" s="12">
        <v>1</v>
      </c>
      <c r="I20" s="12">
        <v>1</v>
      </c>
      <c r="J20" s="11">
        <v>17000</v>
      </c>
      <c r="K20" s="11">
        <v>17000</v>
      </c>
      <c r="L20" s="44" t="s">
        <v>60</v>
      </c>
      <c r="M20" s="28"/>
      <c r="N20" s="22"/>
    </row>
    <row r="21" spans="1:16" ht="24" customHeight="1">
      <c r="A21" s="10">
        <v>15</v>
      </c>
      <c r="B21" s="42">
        <v>22128</v>
      </c>
      <c r="C21" s="30" t="s">
        <v>52</v>
      </c>
      <c r="D21" s="14" t="s">
        <v>53</v>
      </c>
      <c r="E21" s="4" t="s">
        <v>24</v>
      </c>
      <c r="F21" s="4" t="s">
        <v>58</v>
      </c>
      <c r="G21" s="4" t="s">
        <v>59</v>
      </c>
      <c r="H21" s="12">
        <v>1</v>
      </c>
      <c r="I21" s="12">
        <v>1</v>
      </c>
      <c r="J21" s="11">
        <v>5900</v>
      </c>
      <c r="K21" s="11">
        <v>5900</v>
      </c>
      <c r="L21" s="44" t="s">
        <v>67</v>
      </c>
      <c r="M21" s="28"/>
      <c r="N21" s="22"/>
    </row>
    <row r="22" spans="1:16" ht="24" customHeight="1">
      <c r="A22" s="10">
        <v>16</v>
      </c>
      <c r="B22" s="42">
        <v>241274</v>
      </c>
      <c r="C22" s="30" t="s">
        <v>54</v>
      </c>
      <c r="D22" s="14" t="s">
        <v>55</v>
      </c>
      <c r="E22" s="4" t="s">
        <v>24</v>
      </c>
      <c r="F22" s="4" t="s">
        <v>58</v>
      </c>
      <c r="G22" s="4" t="s">
        <v>59</v>
      </c>
      <c r="H22" s="12">
        <v>1</v>
      </c>
      <c r="I22" s="12">
        <v>1</v>
      </c>
      <c r="J22" s="11">
        <v>3900</v>
      </c>
      <c r="K22" s="11">
        <v>3900</v>
      </c>
      <c r="L22" s="44" t="s">
        <v>68</v>
      </c>
      <c r="M22" s="28"/>
      <c r="N22" s="22"/>
    </row>
    <row r="23" spans="1:16" ht="24" customHeight="1">
      <c r="A23" s="10"/>
      <c r="B23" s="21"/>
      <c r="C23" s="30"/>
      <c r="D23" s="14"/>
      <c r="E23" s="4"/>
      <c r="F23" s="4"/>
      <c r="G23" s="4"/>
      <c r="H23" s="12"/>
      <c r="I23" s="12"/>
      <c r="J23" s="11"/>
      <c r="K23" s="11"/>
      <c r="L23" s="44"/>
      <c r="M23" s="28"/>
      <c r="N23" s="22"/>
    </row>
    <row r="24" spans="1:16" ht="24" customHeight="1">
      <c r="A24" s="10"/>
      <c r="B24" s="21"/>
      <c r="C24" s="30"/>
      <c r="D24" s="14"/>
      <c r="E24" s="4"/>
      <c r="F24" s="4"/>
      <c r="G24" s="4"/>
      <c r="H24" s="12"/>
      <c r="I24" s="12"/>
      <c r="J24" s="11"/>
      <c r="K24" s="11"/>
      <c r="L24" s="44"/>
      <c r="M24" s="28"/>
      <c r="N24" s="22"/>
    </row>
    <row r="25" spans="1:16" ht="24" customHeight="1">
      <c r="A25" s="38"/>
      <c r="B25" s="39"/>
      <c r="C25" s="16"/>
      <c r="D25" s="15"/>
      <c r="E25" s="13"/>
      <c r="F25" s="13"/>
      <c r="G25" s="17"/>
      <c r="H25" s="19"/>
      <c r="I25" s="19"/>
      <c r="J25" s="18"/>
      <c r="K25" s="40"/>
      <c r="L25" s="8"/>
      <c r="M25" s="6"/>
    </row>
    <row r="26" spans="1:16" ht="24" customHeight="1" thickBot="1">
      <c r="A26" s="48" t="s">
        <v>6</v>
      </c>
      <c r="B26" s="49"/>
      <c r="C26" s="49"/>
      <c r="D26" s="49"/>
      <c r="E26" s="49"/>
      <c r="F26" s="49"/>
      <c r="G26" s="49"/>
      <c r="H26" s="49"/>
      <c r="I26" s="49"/>
      <c r="J26" s="50"/>
      <c r="K26" s="33">
        <f>SUM(K7:K25)</f>
        <v>50600</v>
      </c>
      <c r="L26" s="41"/>
      <c r="M26" s="34"/>
    </row>
    <row r="27" spans="1:16" ht="24" customHeight="1" thickTop="1">
      <c r="A27" s="6"/>
      <c r="B27" s="6"/>
      <c r="C27" s="6"/>
      <c r="D27" s="6"/>
      <c r="E27" s="6"/>
      <c r="F27" s="6"/>
      <c r="G27" s="6"/>
      <c r="H27" s="6"/>
      <c r="I27" s="29"/>
      <c r="J27" s="6"/>
      <c r="K27" s="6"/>
      <c r="L27" s="9"/>
      <c r="M27" s="34"/>
      <c r="P27" s="22"/>
    </row>
    <row r="28" spans="1:16" ht="24" customHeight="1">
      <c r="A28" s="6"/>
      <c r="B28" s="31" t="s">
        <v>2</v>
      </c>
      <c r="C28" s="23" t="s">
        <v>17</v>
      </c>
      <c r="D28" s="6"/>
      <c r="E28" s="6"/>
      <c r="F28" s="6"/>
      <c r="G28" s="6"/>
      <c r="H28" s="6"/>
      <c r="L28" s="27"/>
      <c r="M28" s="34"/>
    </row>
    <row r="29" spans="1:16" ht="24" customHeight="1">
      <c r="A29" s="6"/>
      <c r="B29" s="34"/>
      <c r="C29" s="23" t="s">
        <v>18</v>
      </c>
      <c r="D29" s="6"/>
      <c r="E29" s="6"/>
      <c r="F29" s="6"/>
      <c r="G29" s="6"/>
      <c r="H29" s="6"/>
      <c r="I29" s="45" t="s">
        <v>4</v>
      </c>
      <c r="J29" s="45"/>
      <c r="K29" s="45"/>
      <c r="L29" s="27"/>
    </row>
    <row r="30" spans="1:16" ht="24" customHeight="1">
      <c r="A30" s="6"/>
      <c r="D30" s="24"/>
      <c r="E30" s="25"/>
      <c r="F30" s="25"/>
      <c r="G30" s="6"/>
      <c r="H30" s="6"/>
      <c r="I30" s="45" t="s">
        <v>30</v>
      </c>
      <c r="J30" s="45"/>
      <c r="K30" s="45"/>
      <c r="L30" s="27"/>
    </row>
    <row r="31" spans="1:16" ht="24" customHeight="1">
      <c r="I31" s="45" t="s">
        <v>5</v>
      </c>
      <c r="J31" s="45"/>
      <c r="K31" s="45"/>
    </row>
  </sheetData>
  <mergeCells count="18">
    <mergeCell ref="A2:L2"/>
    <mergeCell ref="A3:L3"/>
    <mergeCell ref="A4:L4"/>
    <mergeCell ref="A5:A6"/>
    <mergeCell ref="B5:B6"/>
    <mergeCell ref="C5:C6"/>
    <mergeCell ref="D5:D6"/>
    <mergeCell ref="E5:E6"/>
    <mergeCell ref="F5:F6"/>
    <mergeCell ref="G5:G6"/>
    <mergeCell ref="H5:I5"/>
    <mergeCell ref="J5:J6"/>
    <mergeCell ref="I31:K31"/>
    <mergeCell ref="K5:K6"/>
    <mergeCell ref="L5:L6"/>
    <mergeCell ref="A26:J26"/>
    <mergeCell ref="I29:K29"/>
    <mergeCell ref="I30:K30"/>
  </mergeCells>
  <printOptions horizontalCentered="1"/>
  <pageMargins left="0.19685039370078741" right="0" top="0.59055118110236227" bottom="0.19685039370078741" header="0" footer="0"/>
  <pageSetup paperSize="9" scale="70" orientation="landscape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งานประชาสัมพันธ์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Pasdoo</cp:lastModifiedBy>
  <cp:lastPrinted>2021-10-05T07:56:30Z</cp:lastPrinted>
  <dcterms:created xsi:type="dcterms:W3CDTF">2017-11-14T01:32:33Z</dcterms:created>
  <dcterms:modified xsi:type="dcterms:W3CDTF">2022-10-17T03:58:12Z</dcterms:modified>
</cp:coreProperties>
</file>