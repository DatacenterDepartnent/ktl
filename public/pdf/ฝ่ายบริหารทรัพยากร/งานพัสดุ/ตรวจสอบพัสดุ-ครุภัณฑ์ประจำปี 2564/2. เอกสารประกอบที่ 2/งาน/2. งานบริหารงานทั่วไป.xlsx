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8081DD3C-3892-4491-94EB-FA369B2E039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5" i="5"/>
  <c r="H24" i="5" l="1"/>
</calcChain>
</file>

<file path=xl/sharedStrings.xml><?xml version="1.0" encoding="utf-8"?>
<sst xmlns="http://schemas.openxmlformats.org/spreadsheetml/2006/main" count="73" uniqueCount="58">
  <si>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</si>
  <si>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</si>
  <si>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</si>
  <si>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</si>
  <si>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</si>
  <si>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</si>
  <si>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</si>
  <si>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</si>
  <si>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7430-003-6001</t>
  </si>
  <si>
    <t>7125-002-0002/391-001</t>
  </si>
  <si>
    <t>7440-001-0001/473-002</t>
  </si>
  <si>
    <t>7440-010-0002/482-004</t>
  </si>
  <si>
    <t>7110-002-0006/492-070</t>
  </si>
  <si>
    <t>7440-009-0001/501-001</t>
  </si>
  <si>
    <t>7110-007-0001/502-010</t>
  </si>
  <si>
    <t>7440-010-0003/502-003</t>
  </si>
  <si>
    <t>7440-001-0001/502-056</t>
  </si>
  <si>
    <t>7430-008-0006/523-006</t>
  </si>
  <si>
    <t>7430-008-0002/531-021</t>
  </si>
  <si>
    <t>6130-001-0001/531-005</t>
  </si>
  <si>
    <t>7440-001-0001/531-146</t>
  </si>
  <si>
    <t>5835-006-001/531-001</t>
  </si>
  <si>
    <t>7110-002-0002/572-001-002</t>
  </si>
  <si>
    <t>4110-001-0001/582-001</t>
  </si>
  <si>
    <t>ตู้เหล็ก 4 ลิ้นชัก KINGK0NG</t>
  </si>
  <si>
    <t>คอมพิวเตอร์ DTK</t>
  </si>
  <si>
    <t>เครื่องสแกนเนอร์ 7650</t>
  </si>
  <si>
    <t>ตู้เหล็ก 2 บานเลื่อนกระจก 4 ฟุต</t>
  </si>
  <si>
    <t>FLASH DRIVE 512 MB</t>
  </si>
  <si>
    <t>โต๊ะวางเครื่องคอม+เก้าอี้</t>
  </si>
  <si>
    <t>ฮาร์ดดิส</t>
  </si>
  <si>
    <t>เครื่องคอมพิวเตอร์ จอแบน</t>
  </si>
  <si>
    <t>เครื่องปริ้นเตอร์ HP Laserjet P 1102</t>
  </si>
  <si>
    <t>เครื่องบันทึกเสียง  Sony</t>
  </si>
  <si>
    <t>ตู้เหล็ก 2 ประตู บานเปิด</t>
  </si>
  <si>
    <t>ตู้เย็น ขนาด 6.4 คิว</t>
  </si>
  <si>
    <t>KYOCERA FS-6025</t>
  </si>
  <si>
    <t>HP LASERJET PI606</t>
  </si>
  <si>
    <t>เครื่องคอมพิวเตอร์ตั้งโต๊ะ All-in-one</t>
  </si>
  <si>
    <t>หัวหน้าหน่วยจ่าย/หน่วยเบิก</t>
  </si>
  <si>
    <t>...........................................................</t>
  </si>
  <si>
    <t>(นางกิ่งดาว  บุญประสิทธิ์)</t>
  </si>
  <si>
    <t>7430-003-6002</t>
  </si>
  <si>
    <t>744-001-6002</t>
  </si>
  <si>
    <t>7490-014-0001/622-001</t>
  </si>
  <si>
    <t xml:space="preserve">เครื่อง FAX </t>
  </si>
  <si>
    <t>บริจาค</t>
  </si>
  <si>
    <t>เครื่องมัลติฟังชั่น BAOTHER DCP 8056</t>
  </si>
  <si>
    <t xml:space="preserve">งปม. 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</si>
  <si>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</si>
  <si>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</si>
  <si>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</si>
  <si>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</si>
  <si>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</si>
  <si>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</si>
  <si>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</si>
  <si>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ประจำปี 2564  ณ วันที่ 30 กันยายน 2564</t>
  </si>
  <si>
    <t>บัญชีรายการ งานบริหารงานทั่วไป 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</si>
</sst>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6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5" applyNumberFormat="1" applyFont="1" applyBorder="1" applyAlignment="1"/>
    <xf numFmtId="43" fontId="3" fillId="0" borderId="4" xfId="5" applyNumberFormat="1" applyFont="1" applyBorder="1" applyAlignment="1"/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6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2" xfId="6" applyNumberFormat="1" applyFont="1" applyBorder="1"/>
    <xf numFmtId="0" fontId="3" fillId="0" borderId="5" xfId="6" applyFont="1" applyBorder="1" applyAlignment="1">
      <alignment horizontal="center"/>
    </xf>
    <xf numFmtId="0" fontId="3" fillId="0" borderId="5" xfId="6" applyFont="1" applyBorder="1"/>
    <xf numFmtId="43" fontId="3" fillId="0" borderId="5" xfId="1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5" fontId="3" fillId="0" borderId="1" xfId="7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28"/>
  <sheetViews>
    <sheetView tabSelected="1" zoomScaleNormal="100" workbookViewId="0">
      <selection activeCell="N11" sqref="N11"/>
    </sheetView>
  </sheetViews>
  <sheetFormatPr defaultColWidth="9" defaultRowHeight="24"/>
  <cols>
    <col min="1" max="1" width="5.42578125" style="2" customWidth="1"/>
    <col min="2" max="2" width="11.5703125" style="2" customWidth="1"/>
    <col min="3" max="3" width="29.5703125" style="2" customWidth="1"/>
    <col min="4" max="4" width="33.5703125" style="2" customWidth="1"/>
    <col min="5" max="5" width="8" style="2" customWidth="1"/>
    <col min="6" max="6" width="7.28515625" style="2" customWidth="1"/>
    <col min="7" max="7" width="12.85546875" style="2" customWidth="1"/>
    <col min="8" max="8" width="14.42578125" style="2" customWidth="1"/>
    <col min="9" max="9" width="12.28515625" style="20" customWidth="1"/>
    <col min="10" max="16384" width="9" style="2"/>
  </cols>
  <sheetData>
    <row r="1" spans="1:9">
      <c r="A1" s="35" t="s">
        <v>3</v>
      </c>
      <c r="B1" s="35"/>
      <c r="C1" s="35"/>
      <c r="D1" s="35"/>
      <c r="E1" s="35"/>
      <c r="F1" s="35"/>
      <c r="G1" s="35"/>
      <c r="H1" s="35"/>
      <c r="I1" s="35"/>
    </row>
    <row r="2" spans="1:9">
      <c r="A2" s="35" t="s">
        <v>57</v>
      </c>
      <c r="B2" s="35"/>
      <c r="C2" s="35"/>
      <c r="D2" s="35"/>
      <c r="E2" s="35"/>
      <c r="F2" s="35"/>
      <c r="G2" s="35"/>
      <c r="H2" s="35"/>
      <c r="I2" s="35"/>
    </row>
    <row r="3" spans="1:9">
      <c r="A3" s="36" t="s">
        <v>56</v>
      </c>
      <c r="B3" s="36"/>
      <c r="C3" s="36"/>
      <c r="D3" s="36"/>
      <c r="E3" s="36"/>
      <c r="F3" s="36"/>
      <c r="G3" s="36"/>
      <c r="H3" s="36"/>
      <c r="I3" s="36"/>
    </row>
    <row r="4" spans="1:9" s="31" customFormat="1" ht="43.5" customHeight="1">
      <c r="A4" s="19" t="s">
        <v>49</v>
      </c>
      <c r="B4" s="19" t="s">
        <v>52</v>
      </c>
      <c r="C4" s="19" t="s">
        <v>53</v>
      </c>
      <c r="D4" s="14" t="s">
        <v>0</v>
      </c>
      <c r="E4" s="19" t="s">
        <v>50</v>
      </c>
      <c r="F4" s="14" t="s">
        <v>1</v>
      </c>
      <c r="G4" s="19" t="s">
        <v>51</v>
      </c>
      <c r="H4" s="19" t="s">
        <v>55</v>
      </c>
      <c r="I4" s="14" t="s">
        <v>2</v>
      </c>
    </row>
    <row r="5" spans="1:9">
      <c r="A5" s="21">
        <v>1</v>
      </c>
      <c r="B5" s="32">
        <v>2539</v>
      </c>
      <c r="C5" s="18" t="s">
        <v>9</v>
      </c>
      <c r="D5" s="16" t="s">
        <v>24</v>
      </c>
      <c r="E5" s="3" t="s">
        <v>4</v>
      </c>
      <c r="F5" s="4">
        <v>1</v>
      </c>
      <c r="G5" s="25">
        <v>2300</v>
      </c>
      <c r="H5" s="25">
        <f>SUM(F5*G5)</f>
        <v>2300</v>
      </c>
      <c r="I5" s="21"/>
    </row>
    <row r="6" spans="1:9">
      <c r="A6" s="21">
        <v>2</v>
      </c>
      <c r="B6" s="32">
        <v>2547</v>
      </c>
      <c r="C6" s="18" t="s">
        <v>10</v>
      </c>
      <c r="D6" s="16" t="s">
        <v>25</v>
      </c>
      <c r="E6" s="3" t="s">
        <v>46</v>
      </c>
      <c r="F6" s="4">
        <v>1</v>
      </c>
      <c r="G6" s="25">
        <v>29000</v>
      </c>
      <c r="H6" s="25">
        <f t="shared" ref="H6:H23" si="0">SUM(F6*G6)</f>
        <v>29000</v>
      </c>
      <c r="I6" s="21"/>
    </row>
    <row r="7" spans="1:9">
      <c r="A7" s="32">
        <v>3</v>
      </c>
      <c r="B7" s="32">
        <v>2548</v>
      </c>
      <c r="C7" s="5" t="s">
        <v>11</v>
      </c>
      <c r="D7" s="1" t="s">
        <v>26</v>
      </c>
      <c r="E7" s="3" t="s">
        <v>5</v>
      </c>
      <c r="F7" s="4">
        <v>1</v>
      </c>
      <c r="G7" s="26">
        <v>26000</v>
      </c>
      <c r="H7" s="25">
        <f t="shared" si="0"/>
        <v>26000</v>
      </c>
      <c r="I7" s="21"/>
    </row>
    <row r="8" spans="1:9">
      <c r="A8" s="32">
        <v>4</v>
      </c>
      <c r="B8" s="32">
        <v>2549</v>
      </c>
      <c r="C8" s="5" t="s">
        <v>12</v>
      </c>
      <c r="D8" s="1" t="s">
        <v>27</v>
      </c>
      <c r="E8" s="3" t="s">
        <v>5</v>
      </c>
      <c r="F8" s="4">
        <v>1</v>
      </c>
      <c r="G8" s="26">
        <v>2800</v>
      </c>
      <c r="H8" s="25">
        <f t="shared" si="0"/>
        <v>2800</v>
      </c>
      <c r="I8" s="21"/>
    </row>
    <row r="9" spans="1:9">
      <c r="A9" s="32">
        <v>5</v>
      </c>
      <c r="B9" s="32">
        <v>2550</v>
      </c>
      <c r="C9" s="5" t="s">
        <v>13</v>
      </c>
      <c r="D9" s="1" t="s">
        <v>28</v>
      </c>
      <c r="E9" s="3" t="s">
        <v>4</v>
      </c>
      <c r="F9" s="4">
        <v>1</v>
      </c>
      <c r="G9" s="26">
        <v>800</v>
      </c>
      <c r="H9" s="25">
        <f t="shared" si="0"/>
        <v>800</v>
      </c>
      <c r="I9" s="21"/>
    </row>
    <row r="10" spans="1:9">
      <c r="A10" s="32">
        <v>6</v>
      </c>
      <c r="B10" s="32">
        <v>2550</v>
      </c>
      <c r="C10" s="5" t="s">
        <v>14</v>
      </c>
      <c r="D10" s="1" t="s">
        <v>29</v>
      </c>
      <c r="E10" s="3" t="s">
        <v>5</v>
      </c>
      <c r="F10" s="4">
        <v>1</v>
      </c>
      <c r="G10" s="26">
        <v>1700</v>
      </c>
      <c r="H10" s="25">
        <f t="shared" si="0"/>
        <v>1700</v>
      </c>
      <c r="I10" s="21"/>
    </row>
    <row r="11" spans="1:9">
      <c r="A11" s="32">
        <v>7</v>
      </c>
      <c r="B11" s="32">
        <v>2550</v>
      </c>
      <c r="C11" s="5" t="s">
        <v>15</v>
      </c>
      <c r="D11" s="1" t="s">
        <v>30</v>
      </c>
      <c r="E11" s="3" t="s">
        <v>5</v>
      </c>
      <c r="F11" s="4">
        <v>1</v>
      </c>
      <c r="G11" s="26">
        <v>3300</v>
      </c>
      <c r="H11" s="25">
        <f t="shared" si="0"/>
        <v>3300</v>
      </c>
      <c r="I11" s="21"/>
    </row>
    <row r="12" spans="1:9">
      <c r="A12" s="32">
        <v>8</v>
      </c>
      <c r="B12" s="32">
        <v>2550</v>
      </c>
      <c r="C12" s="5" t="s">
        <v>16</v>
      </c>
      <c r="D12" s="1" t="s">
        <v>31</v>
      </c>
      <c r="E12" s="3" t="s">
        <v>5</v>
      </c>
      <c r="F12" s="4">
        <v>1</v>
      </c>
      <c r="G12" s="26">
        <v>17300</v>
      </c>
      <c r="H12" s="25">
        <f t="shared" si="0"/>
        <v>17300</v>
      </c>
      <c r="I12" s="21"/>
    </row>
    <row r="13" spans="1:9">
      <c r="A13" s="32">
        <v>9</v>
      </c>
      <c r="B13" s="32">
        <v>2552</v>
      </c>
      <c r="C13" s="5" t="s">
        <v>17</v>
      </c>
      <c r="D13" s="1" t="s">
        <v>47</v>
      </c>
      <c r="E13" s="3" t="s">
        <v>46</v>
      </c>
      <c r="F13" s="4">
        <v>1</v>
      </c>
      <c r="G13" s="26">
        <v>11000</v>
      </c>
      <c r="H13" s="25">
        <f t="shared" si="0"/>
        <v>11000</v>
      </c>
      <c r="I13" s="21"/>
    </row>
    <row r="14" spans="1:9">
      <c r="A14" s="32">
        <v>10</v>
      </c>
      <c r="B14" s="32">
        <v>2553</v>
      </c>
      <c r="C14" s="5" t="s">
        <v>18</v>
      </c>
      <c r="D14" s="1" t="s">
        <v>32</v>
      </c>
      <c r="E14" s="3" t="s">
        <v>4</v>
      </c>
      <c r="F14" s="4">
        <v>1</v>
      </c>
      <c r="G14" s="8">
        <v>3950</v>
      </c>
      <c r="H14" s="25">
        <f t="shared" si="0"/>
        <v>3950</v>
      </c>
      <c r="I14" s="21"/>
    </row>
    <row r="15" spans="1:9">
      <c r="A15" s="32">
        <v>11</v>
      </c>
      <c r="B15" s="32">
        <v>2553</v>
      </c>
      <c r="C15" s="9" t="s">
        <v>19</v>
      </c>
      <c r="D15" s="10" t="s">
        <v>6</v>
      </c>
      <c r="E15" s="3" t="s">
        <v>4</v>
      </c>
      <c r="F15" s="4">
        <v>1</v>
      </c>
      <c r="G15" s="6">
        <v>2590</v>
      </c>
      <c r="H15" s="25">
        <f t="shared" si="0"/>
        <v>2590</v>
      </c>
      <c r="I15" s="21"/>
    </row>
    <row r="16" spans="1:9">
      <c r="A16" s="32">
        <v>12</v>
      </c>
      <c r="B16" s="32">
        <v>2553</v>
      </c>
      <c r="C16" s="5" t="s">
        <v>20</v>
      </c>
      <c r="D16" s="1" t="s">
        <v>7</v>
      </c>
      <c r="E16" s="3" t="s">
        <v>4</v>
      </c>
      <c r="F16" s="4">
        <v>1</v>
      </c>
      <c r="G16" s="7">
        <v>17000</v>
      </c>
      <c r="H16" s="25">
        <f t="shared" si="0"/>
        <v>17000</v>
      </c>
      <c r="I16" s="21"/>
    </row>
    <row r="17" spans="1:9">
      <c r="A17" s="32">
        <v>13</v>
      </c>
      <c r="B17" s="32">
        <v>2553</v>
      </c>
      <c r="C17" s="5" t="s">
        <v>21</v>
      </c>
      <c r="D17" s="1" t="s">
        <v>33</v>
      </c>
      <c r="E17" s="3" t="s">
        <v>4</v>
      </c>
      <c r="F17" s="4">
        <v>1</v>
      </c>
      <c r="G17" s="7">
        <v>4750</v>
      </c>
      <c r="H17" s="25">
        <f t="shared" si="0"/>
        <v>4750</v>
      </c>
      <c r="I17" s="21"/>
    </row>
    <row r="18" spans="1:9">
      <c r="A18" s="32">
        <v>14</v>
      </c>
      <c r="B18" s="24">
        <v>2557</v>
      </c>
      <c r="C18" s="27" t="s">
        <v>22</v>
      </c>
      <c r="D18" s="28" t="s">
        <v>34</v>
      </c>
      <c r="E18" s="22" t="s">
        <v>5</v>
      </c>
      <c r="F18" s="23">
        <v>2</v>
      </c>
      <c r="G18" s="29">
        <v>5400</v>
      </c>
      <c r="H18" s="25">
        <f t="shared" si="0"/>
        <v>10800</v>
      </c>
      <c r="I18" s="24"/>
    </row>
    <row r="19" spans="1:9">
      <c r="A19" s="32">
        <v>15</v>
      </c>
      <c r="B19" s="33">
        <v>21191</v>
      </c>
      <c r="C19" s="9" t="s">
        <v>23</v>
      </c>
      <c r="D19" s="10" t="s">
        <v>35</v>
      </c>
      <c r="E19" s="3" t="s">
        <v>5</v>
      </c>
      <c r="F19" s="4">
        <v>1</v>
      </c>
      <c r="G19" s="6">
        <v>6420</v>
      </c>
      <c r="H19" s="25">
        <f t="shared" si="0"/>
        <v>6420</v>
      </c>
      <c r="I19" s="21"/>
    </row>
    <row r="20" spans="1:9">
      <c r="A20" s="32">
        <v>16</v>
      </c>
      <c r="B20" s="33">
        <v>21959</v>
      </c>
      <c r="C20" s="30" t="s">
        <v>8</v>
      </c>
      <c r="D20" s="10" t="s">
        <v>36</v>
      </c>
      <c r="E20" s="3" t="s">
        <v>48</v>
      </c>
      <c r="F20" s="4">
        <v>3</v>
      </c>
      <c r="G20" s="6">
        <v>3900</v>
      </c>
      <c r="H20" s="25">
        <f t="shared" si="0"/>
        <v>11700</v>
      </c>
      <c r="I20" s="21"/>
    </row>
    <row r="21" spans="1:9">
      <c r="A21" s="32">
        <v>17</v>
      </c>
      <c r="B21" s="33">
        <v>21959</v>
      </c>
      <c r="C21" s="18" t="s">
        <v>42</v>
      </c>
      <c r="D21" s="16" t="s">
        <v>37</v>
      </c>
      <c r="E21" s="3" t="s">
        <v>48</v>
      </c>
      <c r="F21" s="4">
        <v>4</v>
      </c>
      <c r="G21" s="6">
        <v>2568</v>
      </c>
      <c r="H21" s="25">
        <f t="shared" si="0"/>
        <v>10272</v>
      </c>
      <c r="I21" s="21"/>
    </row>
    <row r="22" spans="1:9">
      <c r="A22" s="32">
        <v>18</v>
      </c>
      <c r="B22" s="33">
        <v>22114</v>
      </c>
      <c r="C22" s="18" t="s">
        <v>43</v>
      </c>
      <c r="D22" s="15" t="s">
        <v>38</v>
      </c>
      <c r="E22" s="17" t="s">
        <v>5</v>
      </c>
      <c r="F22" s="4">
        <v>2</v>
      </c>
      <c r="G22" s="6">
        <v>17900</v>
      </c>
      <c r="H22" s="25">
        <f t="shared" si="0"/>
        <v>35800</v>
      </c>
      <c r="I22" s="21"/>
    </row>
    <row r="23" spans="1:9">
      <c r="A23" s="32">
        <v>19</v>
      </c>
      <c r="B23" s="13">
        <v>22899</v>
      </c>
      <c r="C23" s="18" t="s">
        <v>44</v>
      </c>
      <c r="D23" s="1" t="s">
        <v>45</v>
      </c>
      <c r="E23" s="17" t="s">
        <v>5</v>
      </c>
      <c r="F23" s="4">
        <v>1</v>
      </c>
      <c r="G23" s="7">
        <v>9900</v>
      </c>
      <c r="H23" s="25">
        <f t="shared" si="0"/>
        <v>9900</v>
      </c>
      <c r="I23" s="21"/>
    </row>
    <row r="24" spans="1:9" ht="25.5" customHeight="1">
      <c r="A24" s="37" t="s">
        <v>54</v>
      </c>
      <c r="B24" s="38"/>
      <c r="C24" s="38"/>
      <c r="D24" s="38"/>
      <c r="E24" s="39"/>
      <c r="F24" s="11"/>
      <c r="G24" s="12"/>
      <c r="H24" s="25">
        <f>SUM(H5:H23)</f>
        <v>207382</v>
      </c>
      <c r="I24" s="21"/>
    </row>
    <row r="25" spans="1:9" ht="31.5" customHeight="1"/>
    <row r="26" spans="1:9">
      <c r="F26" s="34" t="s">
        <v>40</v>
      </c>
      <c r="G26" s="34"/>
      <c r="H26" s="34"/>
      <c r="I26" s="34"/>
    </row>
    <row r="27" spans="1:9">
      <c r="F27" s="34" t="s">
        <v>41</v>
      </c>
      <c r="G27" s="34"/>
      <c r="H27" s="34"/>
      <c r="I27" s="34"/>
    </row>
    <row r="28" spans="1:9">
      <c r="F28" s="34" t="s">
        <v>39</v>
      </c>
      <c r="G28" s="34"/>
      <c r="H28" s="34"/>
      <c r="I28" s="34"/>
    </row>
  </sheetData>
  <mergeCells count="7">
    <mergeCell ref="F26:I26"/>
    <mergeCell ref="F27:I27"/>
    <mergeCell ref="F28:I28"/>
    <mergeCell ref="A1:I1"/>
    <mergeCell ref="A2:I2"/>
    <mergeCell ref="A3:I3"/>
    <mergeCell ref="A24:E2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2022-04-28T08:40:14Z</cp:lastPrinted>
  <dcterms:created xsi:type="dcterms:W3CDTF">2017-11-14T01:32:33Z</dcterms:created>
  <dcterms:modified xsi:type="dcterms:W3CDTF">2022-04-28T08:40:20Z</dcterms:modified>
</cp:coreProperties>
</file>