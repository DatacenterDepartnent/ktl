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028"/>
  <workbookPr/>
  <mc:AlternateContent xmlns:mc="http://schemas.openxmlformats.org/markup-compatibility/2006">
    <mc:Choice Requires="x15">
      <x15ac:absPath xmlns:x15ac="http://schemas.microsoft.com/office/spreadsheetml/2010/11/ac" url="C:\Users\Pasdoo\Documents\งานธนพร\ตรวจครุภัณฑ์ประจำปี\ตรวจสอบพัสดุ-ครุภัณฑ์ประจำปี 2564\เอกสารประกอบที่ 2\งาน\"/>
    </mc:Choice>
  </mc:AlternateContent>
  <xr:revisionPtr revIDLastSave="0" documentId="13_ncr:1_{D8CB47E5-7E3F-41E3-A87E-5C58C7F3AE81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ทวิภาคี" sheetId="2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6" i="23" l="1"/>
  <c r="H7" i="23"/>
  <c r="H8" i="23"/>
  <c r="H5" i="23"/>
  <c r="H9" i="23" l="1"/>
</calcChain>
</file>

<file path=xl/sharedStrings.xml><?xml version="1.0" encoding="utf-8"?>
<sst xmlns="http://schemas.openxmlformats.org/spreadsheetml/2006/main" count="32" uniqueCount="28">
  <si>
    <t>รายการ ขนาด ลักษณะ</t>
  </si>
  <si>
    <t>จำนวน</t>
  </si>
  <si>
    <t>หมายเหตุ</t>
  </si>
  <si>
    <t>งปม.</t>
  </si>
  <si>
    <t>บกศ.</t>
  </si>
  <si>
    <t>เครื่องคอมพิวเตอร์พร้อมโต๊ะเก้าอี้</t>
  </si>
  <si>
    <t>เครื่องคอมพิวเตอร์</t>
  </si>
  <si>
    <t>หัวหน้าหน่วยจ่าย/หน่วยเบิก</t>
  </si>
  <si>
    <t>รวมเป็นเงิน</t>
  </si>
  <si>
    <t>กล้องถ่ายภาพนิ่ง</t>
  </si>
  <si>
    <t xml:space="preserve"> สถานศึกษา วิทยาลัยเทคนิคกันทรลักษ์</t>
  </si>
  <si>
    <t>7440-001-0001/462-001</t>
  </si>
  <si>
    <t>6720-005-0002/531-005</t>
  </si>
  <si>
    <t>4210-001-0001/531-006</t>
  </si>
  <si>
    <t>เครื่องปรับอากาศ  ซัมซุง  13,000 บีทียู</t>
  </si>
  <si>
    <t>7440-001-0001/531-144</t>
  </si>
  <si>
    <t>(นายอุทัย  จรรยากรณ์)</t>
  </si>
  <si>
    <t>ลำดับ
ที่</t>
  </si>
  <si>
    <t>ได้มา
โดยวิธี</t>
  </si>
  <si>
    <t>ราคา
หน่วยละ</t>
  </si>
  <si>
    <t>วัน เดือน ปี 
ที่ได้รับ</t>
  </si>
  <si>
    <t xml:space="preserve">หมายเลขประจำ
วัสดุ-ครุภัณฑ์ </t>
  </si>
  <si>
    <t>เป็นเงิน</t>
  </si>
  <si>
    <t xml:space="preserve"> ............................................</t>
  </si>
  <si>
    <t>บัญชีรายการ งานอาชีวศึกษาระบบทวิภาคี  คงเหลือ</t>
  </si>
  <si>
    <t>ประจำปี 2564  ณ วันที่ 30 กันยายน 2564</t>
  </si>
  <si>
    <t>2546</t>
  </si>
  <si>
    <t>2553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</si>
</sst>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8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34">
    <xf numFmtId="0" fontId="0" fillId="0" borderId="0" xfId="0"/>
    <xf numFmtId="0" fontId="3" fillId="0" borderId="1" xfId="6" applyFont="1" applyBorder="1"/>
    <xf numFmtId="0" fontId="4" fillId="0" borderId="0" xfId="0" applyFont="1"/>
    <xf numFmtId="0" fontId="4" fillId="0" borderId="1" xfId="0" applyFont="1" applyBorder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0" fontId="4" fillId="0" borderId="1" xfId="0" applyFont="1" applyBorder="1" applyAlignment="1">
      <alignment horizontal="center" vertical="center"/>
    </xf>
    <xf numFmtId="43" fontId="3" fillId="0" borderId="1" xfId="1" applyFont="1" applyBorder="1" applyAlignment="1">
      <alignment horizontal="right"/>
    </xf>
    <xf numFmtId="0" fontId="3" fillId="0" borderId="1" xfId="0" applyFont="1" applyBorder="1" applyAlignment="1">
      <alignment horizontal="center"/>
    </xf>
    <xf numFmtId="43" fontId="3" fillId="0" borderId="1" xfId="12" applyNumberFormat="1" applyFont="1" applyBorder="1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0" borderId="1" xfId="6" applyNumberFormat="1" applyFont="1" applyBorder="1" applyAlignment="1">
      <alignment horizontal="left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3" fillId="0" borderId="0" xfId="9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3" fontId="3" fillId="0" borderId="0" xfId="12" applyNumberFormat="1" applyFont="1" applyBorder="1" applyAlignment="1"/>
    <xf numFmtId="43" fontId="4" fillId="0" borderId="1" xfId="0" applyNumberFormat="1" applyFont="1" applyBorder="1" applyAlignment="1"/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6" fillId="0" borderId="2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993300"/>
      <color rgb="FF0070C0"/>
      <color rgb="FFFF0066"/>
      <color rgb="FF7030A0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314325</xdr:colOff>
      <xdr:row>0</xdr:row>
      <xdr:rowOff>123825</xdr:rowOff>
    </xdr:from>
    <xdr:to>
      <xdr:col>8</xdr:col>
      <xdr:colOff>695325</xdr:colOff>
      <xdr:row>1</xdr:row>
      <xdr:rowOff>123825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SpPr txBox="1"/>
      </xdr:nvSpPr>
      <xdr:spPr>
        <a:xfrm>
          <a:off x="7277100" y="123825"/>
          <a:ext cx="1457325" cy="304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</a:t>
          </a:r>
          <a:r>
            <a:rPr lang="th-TH" sz="1600" baseline="0">
              <a:latin typeface="TH SarabunPSK" panose="020B0500040200020003" pitchFamily="34" charset="-34"/>
              <a:cs typeface="TH SarabunPSK" panose="020B0500040200020003" pitchFamily="34" charset="-34"/>
            </a:rPr>
            <a:t> 2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FF0066"/>
  </sheetPr>
  <dimension ref="A1:M14"/>
  <sheetViews>
    <sheetView tabSelected="1" workbookViewId="0">
      <selection activeCell="K12" sqref="K12"/>
    </sheetView>
  </sheetViews>
  <sheetFormatPr defaultColWidth="9" defaultRowHeight="24"/>
  <cols>
    <col min="1" max="1" width="5.42578125" style="2" customWidth="1"/>
    <col min="2" max="2" width="10.7109375" style="2" customWidth="1"/>
    <col min="3" max="3" width="24.7109375" style="2" customWidth="1"/>
    <col min="4" max="4" width="35.42578125" style="2" customWidth="1"/>
    <col min="5" max="5" width="7.85546875" style="2" customWidth="1"/>
    <col min="6" max="6" width="6.7109375" style="2" customWidth="1"/>
    <col min="7" max="7" width="13.5703125" style="2" customWidth="1"/>
    <col min="8" max="8" width="16.140625" style="2" customWidth="1"/>
    <col min="9" max="9" width="12.7109375" style="18" customWidth="1"/>
    <col min="10" max="13" width="14.140625" style="2" customWidth="1"/>
    <col min="14" max="16384" width="9" style="2"/>
  </cols>
  <sheetData>
    <row r="1" spans="1:13">
      <c r="A1" s="31" t="s">
        <v>10</v>
      </c>
      <c r="B1" s="31"/>
      <c r="C1" s="31"/>
      <c r="D1" s="31"/>
      <c r="E1" s="31"/>
      <c r="F1" s="31"/>
      <c r="G1" s="31"/>
      <c r="H1" s="31"/>
      <c r="I1" s="31"/>
      <c r="J1" s="18"/>
      <c r="K1" s="18"/>
      <c r="L1" s="18"/>
      <c r="M1" s="18"/>
    </row>
    <row r="2" spans="1:13">
      <c r="A2" s="32" t="s">
        <v>24</v>
      </c>
      <c r="B2" s="32"/>
      <c r="C2" s="32"/>
      <c r="D2" s="32"/>
      <c r="E2" s="32"/>
      <c r="F2" s="32"/>
      <c r="G2" s="32"/>
      <c r="H2" s="32"/>
      <c r="I2" s="32"/>
      <c r="J2" s="21"/>
      <c r="K2" s="21"/>
      <c r="L2" s="21"/>
      <c r="M2" s="21"/>
    </row>
    <row r="3" spans="1:13">
      <c r="A3" s="33" t="s">
        <v>25</v>
      </c>
      <c r="B3" s="33"/>
      <c r="C3" s="33"/>
      <c r="D3" s="33"/>
      <c r="E3" s="33"/>
      <c r="F3" s="33"/>
      <c r="G3" s="33"/>
      <c r="H3" s="33"/>
      <c r="I3" s="33"/>
      <c r="J3" s="16"/>
      <c r="K3" s="16"/>
      <c r="L3" s="16"/>
      <c r="M3" s="16"/>
    </row>
    <row r="4" spans="1:13" ht="42" customHeight="1">
      <c r="A4" s="15" t="s">
        <v>17</v>
      </c>
      <c r="B4" s="15" t="s">
        <v>20</v>
      </c>
      <c r="C4" s="15" t="s">
        <v>21</v>
      </c>
      <c r="D4" s="9" t="s">
        <v>0</v>
      </c>
      <c r="E4" s="15" t="s">
        <v>18</v>
      </c>
      <c r="F4" s="9" t="s">
        <v>1</v>
      </c>
      <c r="G4" s="15" t="s">
        <v>19</v>
      </c>
      <c r="H4" s="15" t="s">
        <v>22</v>
      </c>
      <c r="I4" s="9" t="s">
        <v>2</v>
      </c>
      <c r="J4" s="20"/>
      <c r="K4" s="20"/>
      <c r="L4" s="20"/>
      <c r="M4" s="20"/>
    </row>
    <row r="5" spans="1:13">
      <c r="A5" s="11">
        <v>1</v>
      </c>
      <c r="B5" s="7" t="s">
        <v>26</v>
      </c>
      <c r="C5" s="4" t="s">
        <v>11</v>
      </c>
      <c r="D5" s="14" t="s">
        <v>6</v>
      </c>
      <c r="E5" s="5" t="s">
        <v>4</v>
      </c>
      <c r="F5" s="5">
        <v>1</v>
      </c>
      <c r="G5" s="10">
        <v>33000</v>
      </c>
      <c r="H5" s="10">
        <f>SUM(F5*G5)</f>
        <v>33000</v>
      </c>
      <c r="I5" s="12"/>
      <c r="J5" s="23"/>
      <c r="K5" s="23"/>
      <c r="L5" s="23"/>
      <c r="M5" s="23"/>
    </row>
    <row r="6" spans="1:13">
      <c r="A6" s="22">
        <v>2</v>
      </c>
      <c r="B6" s="13" t="s">
        <v>27</v>
      </c>
      <c r="C6" s="4" t="s">
        <v>12</v>
      </c>
      <c r="D6" s="14" t="s">
        <v>9</v>
      </c>
      <c r="E6" s="5" t="s">
        <v>3</v>
      </c>
      <c r="F6" s="5">
        <v>1</v>
      </c>
      <c r="G6" s="10">
        <v>7900</v>
      </c>
      <c r="H6" s="10">
        <f t="shared" ref="H6:H8" si="0">SUM(F6*G6)</f>
        <v>7900</v>
      </c>
      <c r="I6" s="12"/>
      <c r="J6" s="23"/>
      <c r="K6" s="23"/>
      <c r="L6" s="23"/>
      <c r="M6" s="23"/>
    </row>
    <row r="7" spans="1:13">
      <c r="A7" s="11">
        <v>3</v>
      </c>
      <c r="B7" s="7" t="s">
        <v>27</v>
      </c>
      <c r="C7" s="4" t="s">
        <v>13</v>
      </c>
      <c r="D7" s="14" t="s">
        <v>14</v>
      </c>
      <c r="E7" s="5" t="s">
        <v>3</v>
      </c>
      <c r="F7" s="5">
        <v>1</v>
      </c>
      <c r="G7" s="10">
        <v>39500</v>
      </c>
      <c r="H7" s="10">
        <f t="shared" si="0"/>
        <v>39500</v>
      </c>
      <c r="I7" s="12"/>
      <c r="J7" s="23"/>
      <c r="K7" s="23"/>
      <c r="L7" s="23"/>
      <c r="M7" s="23"/>
    </row>
    <row r="8" spans="1:13">
      <c r="A8" s="22">
        <v>4</v>
      </c>
      <c r="B8" s="7" t="s">
        <v>27</v>
      </c>
      <c r="C8" s="4" t="s">
        <v>15</v>
      </c>
      <c r="D8" s="1" t="s">
        <v>5</v>
      </c>
      <c r="E8" s="5" t="s">
        <v>3</v>
      </c>
      <c r="F8" s="5">
        <v>1</v>
      </c>
      <c r="G8" s="6">
        <v>17000</v>
      </c>
      <c r="H8" s="10">
        <f t="shared" si="0"/>
        <v>17000</v>
      </c>
      <c r="I8" s="12"/>
      <c r="J8" s="23"/>
      <c r="K8" s="23"/>
      <c r="L8" s="23"/>
      <c r="M8" s="23"/>
    </row>
    <row r="9" spans="1:13">
      <c r="A9" s="27" t="s">
        <v>8</v>
      </c>
      <c r="B9" s="28"/>
      <c r="C9" s="28"/>
      <c r="D9" s="28"/>
      <c r="E9" s="29"/>
      <c r="F9" s="3"/>
      <c r="G9" s="24"/>
      <c r="H9" s="24">
        <f>SUM(H5:H8)</f>
        <v>97400</v>
      </c>
      <c r="I9" s="19"/>
      <c r="J9" s="25"/>
      <c r="K9" s="25"/>
      <c r="L9" s="25"/>
      <c r="M9" s="25"/>
    </row>
    <row r="10" spans="1:13">
      <c r="A10" s="17"/>
      <c r="B10" s="17"/>
      <c r="C10" s="17"/>
      <c r="D10" s="17"/>
      <c r="E10" s="17"/>
      <c r="F10" s="8"/>
      <c r="G10" s="26"/>
      <c r="H10" s="26"/>
      <c r="I10" s="16"/>
      <c r="J10" s="25"/>
      <c r="K10" s="25"/>
      <c r="L10" s="25"/>
      <c r="M10" s="25"/>
    </row>
    <row r="11" spans="1:13">
      <c r="A11" s="8"/>
      <c r="B11" s="8"/>
      <c r="C11" s="8"/>
      <c r="D11" s="8"/>
      <c r="E11" s="8"/>
      <c r="F11" s="8"/>
      <c r="G11" s="8"/>
      <c r="H11" s="8"/>
      <c r="I11" s="16"/>
      <c r="J11" s="8"/>
      <c r="K11" s="8"/>
      <c r="L11" s="8"/>
      <c r="M11" s="8"/>
    </row>
    <row r="12" spans="1:13">
      <c r="A12" s="8"/>
      <c r="B12" s="8"/>
      <c r="C12" s="8"/>
      <c r="D12" s="8"/>
      <c r="E12" s="8"/>
      <c r="F12" s="30" t="s">
        <v>23</v>
      </c>
      <c r="G12" s="30"/>
      <c r="H12" s="30"/>
      <c r="I12" s="30"/>
      <c r="J12" s="16"/>
      <c r="K12" s="16"/>
      <c r="L12" s="16"/>
      <c r="M12" s="16"/>
    </row>
    <row r="13" spans="1:13">
      <c r="A13" s="8"/>
      <c r="B13" s="8"/>
      <c r="C13" s="8"/>
      <c r="D13" s="8"/>
      <c r="E13" s="8"/>
      <c r="F13" s="30" t="s">
        <v>16</v>
      </c>
      <c r="G13" s="30"/>
      <c r="H13" s="30"/>
      <c r="I13" s="30"/>
      <c r="J13" s="16"/>
      <c r="K13" s="16"/>
      <c r="L13" s="16"/>
      <c r="M13" s="16"/>
    </row>
    <row r="14" spans="1:13">
      <c r="A14" s="8"/>
      <c r="B14" s="8"/>
      <c r="C14" s="8"/>
      <c r="D14" s="8"/>
      <c r="E14" s="8"/>
      <c r="F14" s="30" t="s">
        <v>7</v>
      </c>
      <c r="G14" s="30"/>
      <c r="H14" s="30"/>
      <c r="I14" s="30"/>
      <c r="J14" s="16"/>
      <c r="K14" s="16"/>
      <c r="L14" s="16"/>
      <c r="M14" s="16"/>
    </row>
  </sheetData>
  <mergeCells count="7">
    <mergeCell ref="A9:E9"/>
    <mergeCell ref="F12:I12"/>
    <mergeCell ref="F13:I13"/>
    <mergeCell ref="F14:I14"/>
    <mergeCell ref="A1:I1"/>
    <mergeCell ref="A2:I2"/>
    <mergeCell ref="A3:I3"/>
  </mergeCells>
  <printOptions horizontalCentered="1"/>
  <pageMargins left="0.19685039370078741" right="0" top="0.59055118110236227" bottom="0.19685039370078741" header="0" footer="0"/>
  <pageSetup paperSize="9" scale="75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งานทวิภาคี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Pasdoo</cp:lastModifiedBy>
  <cp:lastPrinted>2022-04-28T08:54:00Z</cp:lastPrinted>
  <dcterms:created xsi:type="dcterms:W3CDTF">2017-11-14T01:32:33Z</dcterms:created>
  <dcterms:modified xsi:type="dcterms:W3CDTF">2022-04-28T08:54:14Z</dcterms:modified>
</cp:coreProperties>
</file>