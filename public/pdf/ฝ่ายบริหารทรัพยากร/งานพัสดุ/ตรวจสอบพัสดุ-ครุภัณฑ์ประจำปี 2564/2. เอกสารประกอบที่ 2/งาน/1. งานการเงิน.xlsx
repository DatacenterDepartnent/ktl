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8C75BDA8-12E0-422F-88DB-3BA24CB7B229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การเงิน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8" i="8" l="1"/>
  <c r="H27" i="8"/>
  <c r="H26" i="8"/>
  <c r="H6" i="8" l="1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5" i="8"/>
  <c r="H29" i="8" l="1"/>
</calcChain>
</file>

<file path=xl/sharedStrings.xml><?xml version="1.0" encoding="utf-8"?>
<sst xmlns="http://schemas.openxmlformats.org/spreadsheetml/2006/main" count="97" uniqueCount="74">
  <si>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</si>
  <si>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</si>
  <si>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</si>
  <si>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</si>
  <si>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</si>
  <si>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งปม.</t>
  </si>
  <si>
    <t>บกศ.</t>
  </si>
  <si>
    <t>เครื่องคอมพิวเตอร์พร้อมโต๊ะเก้าอี้</t>
  </si>
  <si>
    <t xml:space="preserve">เครื่องคอมพิวเตอร์ DTK </t>
  </si>
  <si>
    <t>เก้าอี้สำนักงาน  (ขาเหล็ก)</t>
  </si>
  <si>
    <t>ตู้เหล็ก 4 ลิ้นชัก KINGK0NG</t>
  </si>
  <si>
    <t>โต๊ะวางเครื่องคอม+เก้าอี้</t>
  </si>
  <si>
    <t>เครื่องปริ้นเตอร์ HP Laserjet P 1102</t>
  </si>
  <si>
    <t>หัวหน้าหน่วยจ่าย/หน่วยเบิก</t>
  </si>
  <si>
    <t>7125-002-0002/391-002</t>
  </si>
  <si>
    <t>4140-001-0001/391-001</t>
  </si>
  <si>
    <t>7110-004-0001/391-001</t>
  </si>
  <si>
    <t>7430-001-0005/391-002</t>
  </si>
  <si>
    <t>7110-002-0002/403-001 -002</t>
  </si>
  <si>
    <t>7125-002-0002/401-013</t>
  </si>
  <si>
    <t>7110-002-0006/401-006</t>
  </si>
  <si>
    <t>7430-008-0001/401-006</t>
  </si>
  <si>
    <t>7440-001-0001/473-003</t>
  </si>
  <si>
    <t>7110-002-0005/472-003-004</t>
  </si>
  <si>
    <t>7430-008-0002/481-012</t>
  </si>
  <si>
    <t>5815-001-0001/502-003</t>
  </si>
  <si>
    <t>7440-001-0001/502-057</t>
  </si>
  <si>
    <t>7100-007-0001/502-011</t>
  </si>
  <si>
    <t>7430-008-0004/513-004</t>
  </si>
  <si>
    <t>7110-006-0006/531-003-005</t>
  </si>
  <si>
    <t>7430-008-0002/531-019</t>
  </si>
  <si>
    <t>7440-001-0001/531-141</t>
  </si>
  <si>
    <t>7430-003-0007/582-001</t>
  </si>
  <si>
    <t>พัดลมตั้งโต๊ะ 16" ฮาตาริ</t>
  </si>
  <si>
    <t>ตู้นิรภัย</t>
  </si>
  <si>
    <t>เครื่องพิมพ์ดีดไทยธรรมดา แคร่ 15"</t>
  </si>
  <si>
    <t>ตู้เหล็ก 4 ลิ้นชัก PRERIDENT</t>
  </si>
  <si>
    <t>ตู้เหล็ก 2 บานเลื่อน PRERIDENT</t>
  </si>
  <si>
    <t>เครื่องปริ้น  OKI391</t>
  </si>
  <si>
    <t>ตู้  2  บานประตู</t>
  </si>
  <si>
    <t>เครื่องปริ้น  เลเซอร์ HP 1010</t>
  </si>
  <si>
    <t>เครื่องโทรสารHP 3455</t>
  </si>
  <si>
    <t xml:space="preserve">เครื่องคอมพิวเตอร์ </t>
  </si>
  <si>
    <t>เครื่องปริ้นเตอร์ Kyoccra FS-P2135W</t>
  </si>
  <si>
    <t>(นางสาวสาวิตรี  บุญงอก)</t>
  </si>
  <si>
    <t>รวมเป็นเงิน</t>
  </si>
  <si>
    <t>........................................................</t>
  </si>
  <si>
    <t>7490-013-0001/622-001</t>
  </si>
  <si>
    <t>เครื่องนับพันธบัตร</t>
  </si>
  <si>
    <t>24 มิ.ย. 62</t>
  </si>
  <si>
    <t>17 มิ.ย. 62</t>
  </si>
  <si>
    <t>4120-001-0002/622-001</t>
  </si>
  <si>
    <t>เครื่องปรับอากาศขนาด 40 QBY</t>
  </si>
  <si>
    <t>7430-003-0002/632-001</t>
  </si>
  <si>
    <t>เครื่องปริ้นเตอร์ brother DCP-L3551CDW</t>
  </si>
  <si>
    <t>บริจาค</t>
  </si>
  <si>
    <t>เครื่องปริ้น CANON 4800 *1200 DPI PIXMA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</si>
  <si>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</si>
  <si>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</si>
  <si>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</si>
  <si>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</si>
  <si>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</si>
  <si>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</si>
  <si>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 งานการเงิน  คงเหลือ</t>
  </si>
  <si>
    <t>ประจำปี 2564  ณ วันที่ 30 กันยายน 2564</t>
  </si>
  <si>
    <t>2551</t>
  </si>
  <si>
    <t>2553</t>
  </si>
  <si>
    <t>13 มี.ค.63</t>
  </si>
  <si>
    <t xml:space="preserve"> 17 มิ.ย.64</t>
  </si>
  <si>
    <t>7440-010-0002/642-014</t>
  </si>
  <si>
    <t>เครื่องพิมพ์เลเซอร์</t>
  </si>
  <si>
    <t xml:space="preserve"> 18 มิ.ย.64</t>
  </si>
  <si>
    <t>7440-001-0011/642-001</t>
  </si>
  <si>
    <t>โปรแกรมพิมพ์ใบเสร็จรับเงิน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</si>
</sst>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3" fillId="0" borderId="1" xfId="6" applyFont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7" fillId="0" borderId="0" xfId="0" applyFont="1"/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0" fontId="4" fillId="0" borderId="1" xfId="0" applyFont="1" applyBorder="1" applyAlignment="1">
      <alignment horizontal="left"/>
    </xf>
    <xf numFmtId="43" fontId="4" fillId="0" borderId="1" xfId="1" applyFont="1" applyBorder="1"/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49" fontId="3" fillId="0" borderId="1" xfId="7" applyNumberFormat="1" applyFont="1" applyBorder="1" applyAlignment="1">
      <alignment horizontal="center"/>
    </xf>
    <xf numFmtId="4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5" xfId="6" applyFont="1" applyBorder="1"/>
    <xf numFmtId="43" fontId="3" fillId="0" borderId="5" xfId="1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0" xfId="0" applyNumberFormat="1" applyFont="1" applyBorder="1" applyAlignment="1">
      <alignment horizontal="center"/>
    </xf>
    <xf numFmtId="0" fontId="3" fillId="0" borderId="6" xfId="2" applyFont="1" applyFill="1" applyBorder="1" applyAlignment="1">
      <alignment horizontal="center"/>
    </xf>
    <xf numFmtId="0" fontId="3" fillId="0" borderId="5" xfId="6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0</xdr:row>
      <xdr:rowOff>180974</xdr:rowOff>
    </xdr:from>
    <xdr:to>
      <xdr:col>8</xdr:col>
      <xdr:colOff>561975</xdr:colOff>
      <xdr:row>1</xdr:row>
      <xdr:rowOff>200024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8534400" y="180974"/>
          <a:ext cx="16097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J35"/>
  <sheetViews>
    <sheetView tabSelected="1" workbookViewId="0">
      <selection activeCell="L10" sqref="L10"/>
    </sheetView>
  </sheetViews>
  <sheetFormatPr defaultColWidth="9" defaultRowHeight="24"/>
  <cols>
    <col min="1" max="1" width="5.5703125" style="2" customWidth="1"/>
    <col min="2" max="2" width="13.7109375" style="2" customWidth="1"/>
    <col min="3" max="3" width="28.7109375" style="2" customWidth="1"/>
    <col min="4" max="4" width="38.5703125" style="2" customWidth="1"/>
    <col min="5" max="5" width="8" style="2" customWidth="1"/>
    <col min="6" max="6" width="7" style="2" customWidth="1"/>
    <col min="7" max="7" width="11" style="2" customWidth="1"/>
    <col min="8" max="8" width="13" style="2" customWidth="1"/>
    <col min="9" max="9" width="10.140625" style="24" customWidth="1"/>
    <col min="10" max="10" width="15.85546875" style="24" customWidth="1"/>
    <col min="11" max="16384" width="9" style="2"/>
  </cols>
  <sheetData>
    <row r="1" spans="1:10" ht="24.75" customHeight="1">
      <c r="A1" s="31" t="s">
        <v>3</v>
      </c>
      <c r="B1" s="31"/>
      <c r="C1" s="31"/>
      <c r="D1" s="31"/>
      <c r="E1" s="31"/>
      <c r="F1" s="31"/>
      <c r="G1" s="31"/>
      <c r="H1" s="31"/>
      <c r="I1" s="31"/>
    </row>
    <row r="2" spans="1:10">
      <c r="A2" s="31" t="s">
        <v>63</v>
      </c>
      <c r="B2" s="31"/>
      <c r="C2" s="31"/>
      <c r="D2" s="31"/>
      <c r="E2" s="31"/>
      <c r="F2" s="31"/>
      <c r="G2" s="31"/>
      <c r="H2" s="31"/>
      <c r="I2" s="31"/>
    </row>
    <row r="3" spans="1:10">
      <c r="A3" s="32" t="s">
        <v>64</v>
      </c>
      <c r="B3" s="32"/>
      <c r="C3" s="32"/>
      <c r="D3" s="32"/>
      <c r="E3" s="32"/>
      <c r="F3" s="32"/>
      <c r="G3" s="32"/>
      <c r="H3" s="32"/>
      <c r="I3" s="32"/>
      <c r="J3" s="23"/>
    </row>
    <row r="4" spans="1:10" s="3" customFormat="1" ht="42.75" customHeight="1">
      <c r="A4" s="20" t="s">
        <v>57</v>
      </c>
      <c r="B4" s="20" t="s">
        <v>60</v>
      </c>
      <c r="C4" s="20" t="s">
        <v>61</v>
      </c>
      <c r="D4" s="16" t="s">
        <v>0</v>
      </c>
      <c r="E4" s="20" t="s">
        <v>58</v>
      </c>
      <c r="F4" s="16" t="s">
        <v>1</v>
      </c>
      <c r="G4" s="20" t="s">
        <v>59</v>
      </c>
      <c r="H4" s="20" t="s">
        <v>62</v>
      </c>
      <c r="I4" s="16" t="s">
        <v>2</v>
      </c>
      <c r="J4" s="14"/>
    </row>
    <row r="5" spans="1:10" s="8" customFormat="1">
      <c r="A5" s="25">
        <v>1</v>
      </c>
      <c r="B5" s="25">
        <v>2539</v>
      </c>
      <c r="C5" s="17" t="s">
        <v>14</v>
      </c>
      <c r="D5" s="17" t="s">
        <v>10</v>
      </c>
      <c r="E5" s="6" t="s">
        <v>5</v>
      </c>
      <c r="F5" s="7">
        <v>1</v>
      </c>
      <c r="G5" s="9">
        <v>2300</v>
      </c>
      <c r="H5" s="9">
        <f>SUM(F5*G5)</f>
        <v>2300</v>
      </c>
      <c r="I5" s="25"/>
      <c r="J5" s="23"/>
    </row>
    <row r="6" spans="1:10" s="8" customFormat="1">
      <c r="A6" s="25">
        <v>2</v>
      </c>
      <c r="B6" s="25">
        <v>2539</v>
      </c>
      <c r="C6" s="17" t="s">
        <v>15</v>
      </c>
      <c r="D6" s="17" t="s">
        <v>33</v>
      </c>
      <c r="E6" s="6" t="s">
        <v>5</v>
      </c>
      <c r="F6" s="7">
        <v>1</v>
      </c>
      <c r="G6" s="9">
        <v>900</v>
      </c>
      <c r="H6" s="9">
        <f t="shared" ref="H6:H25" si="0">SUM(F6*G6)</f>
        <v>900</v>
      </c>
      <c r="I6" s="25"/>
      <c r="J6" s="23"/>
    </row>
    <row r="7" spans="1:10" s="8" customFormat="1">
      <c r="A7" s="25">
        <v>3</v>
      </c>
      <c r="B7" s="25">
        <v>2539</v>
      </c>
      <c r="C7" s="17" t="s">
        <v>16</v>
      </c>
      <c r="D7" s="17" t="s">
        <v>34</v>
      </c>
      <c r="E7" s="6" t="s">
        <v>5</v>
      </c>
      <c r="F7" s="7">
        <v>1</v>
      </c>
      <c r="G7" s="9">
        <v>10500</v>
      </c>
      <c r="H7" s="9">
        <f t="shared" si="0"/>
        <v>10500</v>
      </c>
      <c r="I7" s="25"/>
      <c r="J7" s="23"/>
    </row>
    <row r="8" spans="1:10" s="8" customFormat="1">
      <c r="A8" s="25">
        <v>4</v>
      </c>
      <c r="B8" s="25">
        <v>2539</v>
      </c>
      <c r="C8" s="17" t="s">
        <v>17</v>
      </c>
      <c r="D8" s="1" t="s">
        <v>35</v>
      </c>
      <c r="E8" s="6" t="s">
        <v>5</v>
      </c>
      <c r="F8" s="7">
        <v>1</v>
      </c>
      <c r="G8" s="9">
        <v>8000</v>
      </c>
      <c r="H8" s="9">
        <f t="shared" si="0"/>
        <v>8000</v>
      </c>
      <c r="I8" s="25"/>
      <c r="J8" s="23"/>
    </row>
    <row r="9" spans="1:10" s="8" customFormat="1">
      <c r="A9" s="25">
        <v>5</v>
      </c>
      <c r="B9" s="25">
        <v>2540</v>
      </c>
      <c r="C9" s="5" t="s">
        <v>18</v>
      </c>
      <c r="D9" s="1" t="s">
        <v>4</v>
      </c>
      <c r="E9" s="6" t="s">
        <v>55</v>
      </c>
      <c r="F9" s="7">
        <v>2</v>
      </c>
      <c r="G9" s="10">
        <v>2300</v>
      </c>
      <c r="H9" s="9">
        <f t="shared" si="0"/>
        <v>4600</v>
      </c>
      <c r="I9" s="19"/>
      <c r="J9" s="26"/>
    </row>
    <row r="10" spans="1:10" s="8" customFormat="1">
      <c r="A10" s="25">
        <v>6</v>
      </c>
      <c r="B10" s="25">
        <v>2540</v>
      </c>
      <c r="C10" s="17" t="s">
        <v>19</v>
      </c>
      <c r="D10" s="17" t="s">
        <v>36</v>
      </c>
      <c r="E10" s="6" t="s">
        <v>5</v>
      </c>
      <c r="F10" s="7">
        <v>1</v>
      </c>
      <c r="G10" s="9">
        <v>2200</v>
      </c>
      <c r="H10" s="9">
        <f t="shared" si="0"/>
        <v>2200</v>
      </c>
      <c r="I10" s="25"/>
      <c r="J10" s="23"/>
    </row>
    <row r="11" spans="1:10" s="8" customFormat="1">
      <c r="A11" s="25">
        <v>7</v>
      </c>
      <c r="B11" s="25">
        <v>2540</v>
      </c>
      <c r="C11" s="17" t="s">
        <v>20</v>
      </c>
      <c r="D11" s="17" t="s">
        <v>37</v>
      </c>
      <c r="E11" s="6" t="s">
        <v>5</v>
      </c>
      <c r="F11" s="7">
        <v>1</v>
      </c>
      <c r="G11" s="9">
        <v>2250</v>
      </c>
      <c r="H11" s="9">
        <f t="shared" si="0"/>
        <v>2250</v>
      </c>
      <c r="I11" s="25"/>
      <c r="J11" s="23"/>
    </row>
    <row r="12" spans="1:10" s="8" customFormat="1">
      <c r="A12" s="25">
        <v>8</v>
      </c>
      <c r="B12" s="25">
        <v>2540</v>
      </c>
      <c r="C12" s="5" t="s">
        <v>21</v>
      </c>
      <c r="D12" s="1" t="s">
        <v>38</v>
      </c>
      <c r="E12" s="6" t="s">
        <v>5</v>
      </c>
      <c r="F12" s="7">
        <v>1</v>
      </c>
      <c r="G12" s="10">
        <v>17000</v>
      </c>
      <c r="H12" s="9">
        <f t="shared" si="0"/>
        <v>17000</v>
      </c>
      <c r="I12" s="25"/>
      <c r="J12" s="23"/>
    </row>
    <row r="13" spans="1:10" s="8" customFormat="1">
      <c r="A13" s="25">
        <v>9</v>
      </c>
      <c r="B13" s="25">
        <v>2547</v>
      </c>
      <c r="C13" s="5" t="s">
        <v>22</v>
      </c>
      <c r="D13" s="1" t="s">
        <v>8</v>
      </c>
      <c r="E13" s="6" t="s">
        <v>55</v>
      </c>
      <c r="F13" s="7">
        <v>1</v>
      </c>
      <c r="G13" s="10">
        <v>29000</v>
      </c>
      <c r="H13" s="9">
        <f t="shared" si="0"/>
        <v>29000</v>
      </c>
      <c r="I13" s="25"/>
      <c r="J13" s="23"/>
    </row>
    <row r="14" spans="1:10" s="8" customFormat="1">
      <c r="A14" s="25">
        <v>10</v>
      </c>
      <c r="B14" s="25">
        <v>2547</v>
      </c>
      <c r="C14" s="5" t="s">
        <v>23</v>
      </c>
      <c r="D14" s="1" t="s">
        <v>39</v>
      </c>
      <c r="E14" s="6" t="s">
        <v>6</v>
      </c>
      <c r="F14" s="7">
        <v>2</v>
      </c>
      <c r="G14" s="10">
        <v>2500</v>
      </c>
      <c r="H14" s="9">
        <f t="shared" si="0"/>
        <v>5000</v>
      </c>
      <c r="I14" s="25"/>
      <c r="J14" s="23"/>
    </row>
    <row r="15" spans="1:10" s="8" customFormat="1">
      <c r="A15" s="25">
        <v>11</v>
      </c>
      <c r="B15" s="25">
        <v>2548</v>
      </c>
      <c r="C15" s="5" t="s">
        <v>24</v>
      </c>
      <c r="D15" s="1" t="s">
        <v>40</v>
      </c>
      <c r="E15" s="27" t="s">
        <v>5</v>
      </c>
      <c r="F15" s="7">
        <v>1</v>
      </c>
      <c r="G15" s="10">
        <v>7000</v>
      </c>
      <c r="H15" s="9">
        <f t="shared" si="0"/>
        <v>7000</v>
      </c>
      <c r="I15" s="25"/>
      <c r="J15" s="23"/>
    </row>
    <row r="16" spans="1:10" s="8" customFormat="1">
      <c r="A16" s="25">
        <v>12</v>
      </c>
      <c r="B16" s="25">
        <v>2550</v>
      </c>
      <c r="C16" s="5" t="s">
        <v>25</v>
      </c>
      <c r="D16" s="1" t="s">
        <v>41</v>
      </c>
      <c r="E16" s="6" t="s">
        <v>6</v>
      </c>
      <c r="F16" s="7">
        <v>1</v>
      </c>
      <c r="G16" s="10">
        <v>5500</v>
      </c>
      <c r="H16" s="9">
        <f t="shared" si="0"/>
        <v>5500</v>
      </c>
      <c r="I16" s="25"/>
      <c r="J16" s="23"/>
    </row>
    <row r="17" spans="1:10" s="8" customFormat="1">
      <c r="A17" s="25">
        <v>13</v>
      </c>
      <c r="B17" s="25">
        <v>2550</v>
      </c>
      <c r="C17" s="5" t="s">
        <v>26</v>
      </c>
      <c r="D17" s="1" t="s">
        <v>42</v>
      </c>
      <c r="E17" s="6" t="s">
        <v>6</v>
      </c>
      <c r="F17" s="7">
        <v>1</v>
      </c>
      <c r="G17" s="10">
        <v>17300</v>
      </c>
      <c r="H17" s="9">
        <f t="shared" si="0"/>
        <v>17300</v>
      </c>
      <c r="I17" s="25"/>
      <c r="J17" s="23"/>
    </row>
    <row r="18" spans="1:10" s="8" customFormat="1">
      <c r="A18" s="25">
        <v>14</v>
      </c>
      <c r="B18" s="25">
        <v>2550</v>
      </c>
      <c r="C18" s="5" t="s">
        <v>27</v>
      </c>
      <c r="D18" s="1" t="s">
        <v>11</v>
      </c>
      <c r="E18" s="6" t="s">
        <v>6</v>
      </c>
      <c r="F18" s="7">
        <v>1</v>
      </c>
      <c r="G18" s="10">
        <v>1700</v>
      </c>
      <c r="H18" s="9">
        <f t="shared" si="0"/>
        <v>1700</v>
      </c>
      <c r="I18" s="25"/>
      <c r="J18" s="23"/>
    </row>
    <row r="19" spans="1:10" s="8" customFormat="1">
      <c r="A19" s="25">
        <v>15</v>
      </c>
      <c r="B19" s="18" t="s">
        <v>65</v>
      </c>
      <c r="C19" s="28" t="s">
        <v>28</v>
      </c>
      <c r="D19" s="21" t="s">
        <v>56</v>
      </c>
      <c r="E19" s="6" t="s">
        <v>55</v>
      </c>
      <c r="F19" s="7">
        <v>1</v>
      </c>
      <c r="G19" s="22">
        <v>4800</v>
      </c>
      <c r="H19" s="9">
        <f t="shared" si="0"/>
        <v>4800</v>
      </c>
      <c r="I19" s="25"/>
      <c r="J19" s="23"/>
    </row>
    <row r="20" spans="1:10" s="8" customFormat="1">
      <c r="A20" s="25">
        <v>16</v>
      </c>
      <c r="B20" s="18" t="s">
        <v>65</v>
      </c>
      <c r="C20" s="5" t="s">
        <v>29</v>
      </c>
      <c r="D20" s="1" t="s">
        <v>9</v>
      </c>
      <c r="E20" s="6" t="s">
        <v>5</v>
      </c>
      <c r="F20" s="7">
        <v>3</v>
      </c>
      <c r="G20" s="10">
        <v>1150</v>
      </c>
      <c r="H20" s="9">
        <f t="shared" si="0"/>
        <v>3450</v>
      </c>
      <c r="I20" s="25"/>
      <c r="J20" s="23"/>
    </row>
    <row r="21" spans="1:10" s="8" customFormat="1">
      <c r="A21" s="25">
        <v>17</v>
      </c>
      <c r="B21" s="18" t="s">
        <v>66</v>
      </c>
      <c r="C21" s="5" t="s">
        <v>30</v>
      </c>
      <c r="D21" s="1" t="s">
        <v>12</v>
      </c>
      <c r="E21" s="6" t="s">
        <v>5</v>
      </c>
      <c r="F21" s="7">
        <v>1</v>
      </c>
      <c r="G21" s="10">
        <v>3950</v>
      </c>
      <c r="H21" s="9">
        <f t="shared" si="0"/>
        <v>3950</v>
      </c>
      <c r="I21" s="25"/>
      <c r="J21" s="23"/>
    </row>
    <row r="22" spans="1:10" s="8" customFormat="1">
      <c r="A22" s="25">
        <v>18</v>
      </c>
      <c r="B22" s="18" t="s">
        <v>66</v>
      </c>
      <c r="C22" s="5" t="s">
        <v>31</v>
      </c>
      <c r="D22" s="1" t="s">
        <v>7</v>
      </c>
      <c r="E22" s="6" t="s">
        <v>5</v>
      </c>
      <c r="F22" s="7">
        <v>1</v>
      </c>
      <c r="G22" s="10">
        <v>17000</v>
      </c>
      <c r="H22" s="9">
        <f t="shared" si="0"/>
        <v>17000</v>
      </c>
      <c r="I22" s="25"/>
      <c r="J22" s="23"/>
    </row>
    <row r="23" spans="1:10" s="8" customFormat="1">
      <c r="A23" s="25">
        <v>19</v>
      </c>
      <c r="B23" s="15">
        <v>21218</v>
      </c>
      <c r="C23" s="11" t="s">
        <v>32</v>
      </c>
      <c r="D23" s="4" t="s">
        <v>43</v>
      </c>
      <c r="E23" s="6" t="s">
        <v>6</v>
      </c>
      <c r="F23" s="7">
        <v>1</v>
      </c>
      <c r="G23" s="12">
        <v>18900</v>
      </c>
      <c r="H23" s="9">
        <f t="shared" si="0"/>
        <v>18900</v>
      </c>
      <c r="I23" s="25"/>
      <c r="J23" s="23"/>
    </row>
    <row r="24" spans="1:10" s="8" customFormat="1">
      <c r="A24" s="25">
        <v>20</v>
      </c>
      <c r="B24" s="18" t="s">
        <v>50</v>
      </c>
      <c r="C24" s="5" t="s">
        <v>47</v>
      </c>
      <c r="D24" s="1" t="s">
        <v>48</v>
      </c>
      <c r="E24" s="6" t="s">
        <v>6</v>
      </c>
      <c r="F24" s="7">
        <v>1</v>
      </c>
      <c r="G24" s="10">
        <v>7800</v>
      </c>
      <c r="H24" s="9">
        <f t="shared" si="0"/>
        <v>7800</v>
      </c>
      <c r="I24" s="25"/>
      <c r="J24" s="23"/>
    </row>
    <row r="25" spans="1:10" s="8" customFormat="1">
      <c r="A25" s="25">
        <v>21</v>
      </c>
      <c r="B25" s="18" t="s">
        <v>49</v>
      </c>
      <c r="C25" s="5" t="s">
        <v>51</v>
      </c>
      <c r="D25" s="1" t="s">
        <v>52</v>
      </c>
      <c r="E25" s="6" t="s">
        <v>6</v>
      </c>
      <c r="F25" s="7">
        <v>1</v>
      </c>
      <c r="G25" s="10">
        <v>39500</v>
      </c>
      <c r="H25" s="9">
        <f t="shared" si="0"/>
        <v>39500</v>
      </c>
      <c r="I25" s="25"/>
      <c r="J25" s="23"/>
    </row>
    <row r="26" spans="1:10" s="8" customFormat="1">
      <c r="A26" s="25">
        <v>22</v>
      </c>
      <c r="B26" s="18" t="s">
        <v>67</v>
      </c>
      <c r="C26" s="5" t="s">
        <v>53</v>
      </c>
      <c r="D26" s="1" t="s">
        <v>54</v>
      </c>
      <c r="E26" s="6" t="s">
        <v>6</v>
      </c>
      <c r="F26" s="7">
        <v>1</v>
      </c>
      <c r="G26" s="10">
        <v>14500</v>
      </c>
      <c r="H26" s="9">
        <f t="shared" ref="H26:H28" si="1">SUM(F26*G26)</f>
        <v>14500</v>
      </c>
      <c r="I26" s="25"/>
      <c r="J26" s="29"/>
    </row>
    <row r="27" spans="1:10" s="8" customFormat="1">
      <c r="A27" s="25">
        <v>23</v>
      </c>
      <c r="B27" s="18" t="s">
        <v>68</v>
      </c>
      <c r="C27" s="5" t="s">
        <v>69</v>
      </c>
      <c r="D27" s="1" t="s">
        <v>70</v>
      </c>
      <c r="E27" s="6" t="s">
        <v>6</v>
      </c>
      <c r="F27" s="7">
        <v>1</v>
      </c>
      <c r="G27" s="10">
        <v>8900</v>
      </c>
      <c r="H27" s="9">
        <f t="shared" si="1"/>
        <v>8900</v>
      </c>
      <c r="I27" s="25"/>
      <c r="J27" s="29"/>
    </row>
    <row r="28" spans="1:10" s="8" customFormat="1">
      <c r="A28" s="25">
        <v>24</v>
      </c>
      <c r="B28" s="18" t="s">
        <v>71</v>
      </c>
      <c r="C28" s="5" t="s">
        <v>72</v>
      </c>
      <c r="D28" s="1" t="s">
        <v>73</v>
      </c>
      <c r="E28" s="6" t="s">
        <v>6</v>
      </c>
      <c r="F28" s="7">
        <v>1</v>
      </c>
      <c r="G28" s="10">
        <v>30000</v>
      </c>
      <c r="H28" s="9">
        <f t="shared" si="1"/>
        <v>30000</v>
      </c>
      <c r="I28" s="25"/>
      <c r="J28" s="23"/>
    </row>
    <row r="29" spans="1:10">
      <c r="A29" s="33" t="s">
        <v>45</v>
      </c>
      <c r="B29" s="34"/>
      <c r="C29" s="34"/>
      <c r="D29" s="34"/>
      <c r="E29" s="35"/>
      <c r="F29" s="13"/>
      <c r="G29" s="13"/>
      <c r="H29" s="9">
        <f>SUM(H5:H28)</f>
        <v>262050</v>
      </c>
      <c r="I29" s="25"/>
      <c r="J29" s="23"/>
    </row>
    <row r="32" spans="1:10">
      <c r="F32" s="30" t="s">
        <v>46</v>
      </c>
      <c r="G32" s="30"/>
      <c r="H32" s="30"/>
      <c r="I32" s="30"/>
      <c r="J32" s="23"/>
    </row>
    <row r="33" spans="6:10">
      <c r="F33" s="30" t="s">
        <v>44</v>
      </c>
      <c r="G33" s="30"/>
      <c r="H33" s="30"/>
      <c r="I33" s="30"/>
      <c r="J33" s="23"/>
    </row>
    <row r="34" spans="6:10">
      <c r="F34" s="30" t="s">
        <v>13</v>
      </c>
      <c r="G34" s="30"/>
      <c r="H34" s="30"/>
      <c r="I34" s="30"/>
      <c r="J34" s="23"/>
    </row>
    <row r="35" spans="6:10">
      <c r="F35" s="23"/>
      <c r="G35" s="23"/>
      <c r="H35" s="23"/>
      <c r="I35" s="23"/>
      <c r="J35" s="23"/>
    </row>
  </sheetData>
  <mergeCells count="7">
    <mergeCell ref="F32:I32"/>
    <mergeCell ref="F33:I33"/>
    <mergeCell ref="F34:I34"/>
    <mergeCell ref="A1:I1"/>
    <mergeCell ref="A2:I2"/>
    <mergeCell ref="A3:I3"/>
    <mergeCell ref="A29:E29"/>
  </mergeCells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งานการเงิน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2022-04-28T08:38:30Z</cp:lastPrinted>
  <dcterms:created xsi:type="dcterms:W3CDTF">2017-11-14T01:32:33Z</dcterms:created>
  <dcterms:modified xsi:type="dcterms:W3CDTF">2022-05-17T02:39:23Z</dcterms:modified>
</cp:coreProperties>
</file>