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1. ฝ่ายบริหารทรัพยากร\"/>
    </mc:Choice>
  </mc:AlternateContent>
  <bookViews>
    <workbookView xWindow="0" yWindow="0" windowWidth="24000" windowHeight="9495" tabRatio="897"/>
  </bookViews>
  <sheets>
    <sheet name="ต้นฉบับ" sheetId="4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7" i="46"/>
  <c r="K17" i="46" s="1"/>
  <c r="K36" i="46" s="1"/>
  <c r="K37" i="46" l="1"/>
  <c r="K38" i="46"/>
  <c r="K39" i="46"/>
  <c r="K40" i="46"/>
  <c r="K41" i="46" l="1"/>
</calcChain>
</file>

<file path=xl/sharedStrings.xml><?xml version="1.0" encoding="utf-8"?>
<sst xmlns="http://schemas.openxmlformats.org/spreadsheetml/2006/main" count="148" uniqueCount="72">
  <si>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</si>
  <si>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</si>
  <si>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</si>
  <si>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</si>
  <si>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</si>
  <si>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</si>
  <si>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</si>
  <si>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</si>
  <si>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</si>
  <si>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</si>
  <si>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</si>
  <si>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</si>
  <si>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</si>
  <si>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</si>
  <si>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</si>
  <si>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</si>
  <si>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</si>
  <si>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</si>
  <si>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</si>
  <si>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7125-002-0002/401-012-013</t>
  </si>
  <si>
    <t>7110-002-0006/401-001</t>
  </si>
  <si>
    <t>7125-002-0002/462-001</t>
  </si>
  <si>
    <t>7440-001-0001/472-030</t>
  </si>
  <si>
    <t>7740-004-0002/492-012</t>
  </si>
  <si>
    <t>7440-001-0001/502-052</t>
  </si>
  <si>
    <t>7110-007-0001/502-006</t>
  </si>
  <si>
    <t>7110-002-0002/512-007-010</t>
  </si>
  <si>
    <t>7430-008-0006/512-017</t>
  </si>
  <si>
    <t>7490-015-0004/512-001-002</t>
  </si>
  <si>
    <t>7490-015-0003/512-001</t>
  </si>
  <si>
    <t>7110-002-0005/521-019-021</t>
  </si>
  <si>
    <t>7110-006-0006/531-012</t>
  </si>
  <si>
    <t>7440-001-6001</t>
  </si>
  <si>
    <t>ตู้เหล็ก 4 ลิ้นชัก</t>
  </si>
  <si>
    <t>ตู้เหล็ก 2  บานเลื่อน</t>
  </si>
  <si>
    <t>เครื่องคอมพิวเตอร์</t>
  </si>
  <si>
    <t>เครื่องปริ้นเตอร์  HP 1020</t>
  </si>
  <si>
    <t>โต๊ะวางเครื่องคอม + เก้าอี้</t>
  </si>
  <si>
    <t>ตู้เหล็ก 15 ลิ้นชัก STAR</t>
  </si>
  <si>
    <t>เครื่องพิมพ์มัลติฟังชั่น HP LASER M 1120 MFP</t>
  </si>
  <si>
    <t>เครื่องอ่านบาร์โค๊ต TYSSO BMR-R-33 UM</t>
  </si>
  <si>
    <t>เครื่องพิมพ์บัตรพลาสติกพร้อมอุปกรณ์ EVOLIS PEBBLE 4</t>
  </si>
  <si>
    <t>ตู้เหล็ก  2 บานเปิด</t>
  </si>
  <si>
    <t>เก้าอี้  (ขาเหล็ก) 5  แฉก</t>
  </si>
  <si>
    <t xml:space="preserve">server Hpj proliant ml 10 Geng  </t>
  </si>
  <si>
    <t>งปม.</t>
  </si>
  <si>
    <t>บกศ.</t>
  </si>
  <si>
    <t>-</t>
  </si>
  <si>
    <t>ไม่พบซาก</t>
  </si>
  <si>
    <t>ไม่พบ1 / พบ 1 ตู้ ที่ล็อกตู้ชำรุด</t>
  </si>
  <si>
    <t>ที่วางแป้นพิมพ์ชำรุด</t>
  </si>
  <si>
    <t>ประจำปี 2564 สิ้นงวดเมื่อวันที่ 30 กันยายน 2564 ของงานทะเบียน</t>
  </si>
  <si>
    <t>เอกสารหมายเลข 48</t>
  </si>
  <si>
    <t>2540</t>
  </si>
  <si>
    <t>2546</t>
  </si>
  <si>
    <t>2551</t>
  </si>
  <si>
    <t>2547</t>
  </si>
  <si>
    <t>2549</t>
  </si>
  <si>
    <t>2550</t>
  </si>
  <si>
    <t>2553</t>
  </si>
  <si>
    <t xml:space="preserve"> 21 พ.ค.60</t>
  </si>
  <si>
    <t>ยอดยกไป</t>
  </si>
  <si>
    <t>เอกสารหมายเลข 49</t>
  </si>
  <si>
    <t>ยอดยกมา</t>
  </si>
  <si>
    <t>ลงชื่อ</t>
  </si>
  <si>
    <t>(นายบุญแต่ง  ป้องหิน)</t>
  </si>
  <si>
    <t>(นางสาวพิมพ์ภัทรา  เลิศเรืองศิริ)</t>
  </si>
  <si>
    <t>(นางสาวไพรินทร์  ทองกันยา)</t>
  </si>
  <si>
    <t>ประธานกรรมการ</t>
  </si>
  <si>
    <t>กรรมการ</t>
  </si>
  <si>
    <t>กรรมการและเลขานุการ</t>
  </si>
  <si>
    <t>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</si>
</sst>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.00;[Red]0.00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87">
    <xf numFmtId="0" fontId="0" fillId="0" borderId="0" xfId="0"/>
    <xf numFmtId="0" fontId="5" fillId="0" borderId="0" xfId="0" applyFont="1"/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2" applyFont="1" applyBorder="1" applyAlignment="1">
      <alignment horizontal="center"/>
    </xf>
    <xf numFmtId="0" fontId="5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top"/>
    </xf>
    <xf numFmtId="164" fontId="4" fillId="0" borderId="1" xfId="0" applyNumberFormat="1" applyFont="1" applyBorder="1" applyAlignment="1">
      <alignment horizontal="left" vertical="top"/>
    </xf>
    <xf numFmtId="49" fontId="4" fillId="0" borderId="1" xfId="0" applyNumberFormat="1" applyFont="1" applyBorder="1"/>
    <xf numFmtId="49" fontId="4" fillId="0" borderId="1" xfId="0" applyNumberFormat="1" applyFont="1" applyBorder="1" applyAlignment="1">
      <alignment vertical="top"/>
    </xf>
    <xf numFmtId="49" fontId="2" fillId="0" borderId="1" xfId="0" applyNumberFormat="1" applyFont="1" applyBorder="1"/>
    <xf numFmtId="164" fontId="4" fillId="0" borderId="1" xfId="0" applyNumberFormat="1" applyFont="1" applyBorder="1" applyAlignment="1">
      <alignment vertical="top"/>
    </xf>
    <xf numFmtId="0" fontId="4" fillId="0" borderId="1" xfId="2" applyFont="1" applyBorder="1" applyAlignment="1">
      <alignment horizontal="center" vertical="top"/>
    </xf>
    <xf numFmtId="0" fontId="4" fillId="0" borderId="1" xfId="4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top"/>
    </xf>
    <xf numFmtId="0" fontId="4" fillId="0" borderId="1" xfId="5" applyFont="1" applyBorder="1" applyAlignment="1">
      <alignment horizontal="center" vertical="top"/>
    </xf>
    <xf numFmtId="0" fontId="4" fillId="0" borderId="1" xfId="5" applyFont="1" applyBorder="1" applyAlignment="1">
      <alignment horizontal="center"/>
    </xf>
    <xf numFmtId="43" fontId="4" fillId="0" borderId="1" xfId="1" applyFont="1" applyBorder="1" applyAlignment="1">
      <alignment horizontal="right" vertical="top"/>
    </xf>
    <xf numFmtId="43" fontId="4" fillId="0" borderId="1" xfId="1" applyFont="1" applyBorder="1" applyAlignment="1">
      <alignment horizontal="right"/>
    </xf>
    <xf numFmtId="43" fontId="4" fillId="0" borderId="4" xfId="1" applyFont="1" applyBorder="1" applyAlignment="1">
      <alignment horizontal="right"/>
    </xf>
    <xf numFmtId="43" fontId="4" fillId="0" borderId="1" xfId="1" applyFont="1" applyFill="1" applyBorder="1" applyAlignment="1">
      <alignment horizontal="right" vertical="top"/>
    </xf>
    <xf numFmtId="164" fontId="4" fillId="0" borderId="1" xfId="1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0" xfId="0" applyNumberFormat="1" applyFont="1" applyFill="1" applyBorder="1" applyAlignment="1">
      <alignment horizontal="left" vertical="top"/>
    </xf>
    <xf numFmtId="49" fontId="4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horizontal="center" vertical="top"/>
    </xf>
    <xf numFmtId="0" fontId="4" fillId="0" borderId="0" xfId="5" applyFont="1" applyBorder="1" applyAlignment="1">
      <alignment horizontal="center"/>
    </xf>
    <xf numFmtId="0" fontId="4" fillId="0" borderId="0" xfId="5" applyFont="1" applyBorder="1" applyAlignment="1">
      <alignment horizontal="center" vertical="top"/>
    </xf>
    <xf numFmtId="43" fontId="4" fillId="0" borderId="0" xfId="1" applyFont="1" applyFill="1" applyBorder="1" applyAlignment="1">
      <alignment horizontal="right" vertical="top"/>
    </xf>
    <xf numFmtId="43" fontId="4" fillId="0" borderId="0" xfId="1" applyFont="1" applyBorder="1" applyAlignment="1">
      <alignment horizontal="right" vertical="top"/>
    </xf>
    <xf numFmtId="43" fontId="4" fillId="0" borderId="0" xfId="12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4" fillId="0" borderId="6" xfId="0" applyNumberFormat="1" applyFont="1" applyFill="1" applyBorder="1" applyAlignment="1">
      <alignment horizontal="left" vertical="top"/>
    </xf>
    <xf numFmtId="49" fontId="4" fillId="0" borderId="6" xfId="0" applyNumberFormat="1" applyFont="1" applyBorder="1" applyAlignment="1">
      <alignment vertical="top"/>
    </xf>
    <xf numFmtId="0" fontId="5" fillId="0" borderId="6" xfId="0" applyFont="1" applyBorder="1" applyAlignment="1">
      <alignment horizontal="center" vertical="top"/>
    </xf>
    <xf numFmtId="0" fontId="4" fillId="0" borderId="6" xfId="5" applyFont="1" applyBorder="1" applyAlignment="1">
      <alignment horizontal="center"/>
    </xf>
    <xf numFmtId="0" fontId="4" fillId="0" borderId="6" xfId="2" applyFont="1" applyBorder="1" applyAlignment="1">
      <alignment horizontal="center"/>
    </xf>
    <xf numFmtId="0" fontId="4" fillId="0" borderId="6" xfId="5" applyFont="1" applyBorder="1" applyAlignment="1">
      <alignment horizontal="center" vertical="top"/>
    </xf>
    <xf numFmtId="43" fontId="4" fillId="0" borderId="6" xfId="12" applyNumberFormat="1" applyFont="1" applyBorder="1" applyAlignment="1">
      <alignment horizontal="center"/>
    </xf>
    <xf numFmtId="43" fontId="8" fillId="0" borderId="6" xfId="1" applyFont="1" applyFill="1" applyBorder="1" applyAlignment="1">
      <alignment horizontal="right" vertical="top"/>
    </xf>
    <xf numFmtId="43" fontId="8" fillId="0" borderId="6" xfId="1" applyFont="1" applyBorder="1" applyAlignment="1">
      <alignment horizontal="right" vertical="top"/>
    </xf>
    <xf numFmtId="0" fontId="5" fillId="0" borderId="6" xfId="0" applyFont="1" applyBorder="1"/>
    <xf numFmtId="0" fontId="7" fillId="0" borderId="6" xfId="0" applyFont="1" applyBorder="1" applyAlignment="1"/>
    <xf numFmtId="43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3" fontId="8" fillId="0" borderId="1" xfId="1" applyFont="1" applyFill="1" applyBorder="1" applyAlignment="1">
      <alignment horizontal="center" vertical="top"/>
    </xf>
    <xf numFmtId="43" fontId="8" fillId="0" borderId="1" xfId="1" applyFont="1" applyBorder="1" applyAlignment="1">
      <alignment horizontal="center" vertical="top"/>
    </xf>
    <xf numFmtId="0" fontId="9" fillId="0" borderId="0" xfId="0" applyFont="1" applyBorder="1" applyAlignment="1">
      <alignment horizontal="center"/>
    </xf>
    <xf numFmtId="15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4" fillId="2" borderId="1" xfId="5" applyFont="1" applyFill="1" applyBorder="1" applyAlignment="1">
      <alignment horizontal="center"/>
    </xf>
    <xf numFmtId="43" fontId="4" fillId="2" borderId="1" xfId="1" applyFont="1" applyFill="1" applyBorder="1"/>
    <xf numFmtId="0" fontId="4" fillId="0" borderId="0" xfId="5" applyFont="1" applyBorder="1" applyAlignment="1">
      <alignment horizontal="center" vertical="top"/>
    </xf>
    <xf numFmtId="43" fontId="4" fillId="0" borderId="1" xfId="12" applyNumberFormat="1" applyFont="1" applyBorder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4" fillId="0" borderId="0" xfId="2" applyFont="1" applyBorder="1" applyAlignment="1">
      <alignment horizontal="right"/>
    </xf>
    <xf numFmtId="0" fontId="4" fillId="0" borderId="0" xfId="5" applyFont="1" applyBorder="1" applyAlignment="1">
      <alignment horizontal="center" vertical="top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49"/>
  <sheetViews>
    <sheetView tabSelected="1" zoomScaleNormal="100" workbookViewId="0">
      <selection activeCell="O9" sqref="O9"/>
    </sheetView>
  </sheetViews>
  <sheetFormatPr defaultColWidth="9" defaultRowHeight="24"/>
  <cols>
    <col min="1" max="1" width="5.28515625" style="1" customWidth="1"/>
    <col min="2" max="2" width="13" style="14" customWidth="1"/>
    <col min="3" max="3" width="33.140625" style="12" customWidth="1"/>
    <col min="4" max="4" width="44.7109375" style="1" customWidth="1"/>
    <col min="5" max="5" width="7.5703125" style="1" customWidth="1"/>
    <col min="6" max="6" width="8.5703125" style="1" customWidth="1"/>
    <col min="7" max="9" width="8.28515625" style="1" customWidth="1"/>
    <col min="10" max="10" width="12.5703125" style="1" customWidth="1"/>
    <col min="11" max="11" width="13.85546875" style="1" customWidth="1"/>
    <col min="12" max="12" width="29.7109375" style="14" customWidth="1"/>
    <col min="13" max="16384" width="9" style="1"/>
  </cols>
  <sheetData>
    <row r="1" spans="1:12">
      <c r="L1" s="14" t="s">
        <v>52</v>
      </c>
    </row>
    <row r="2" spans="1:12">
      <c r="A2" s="79" t="s">
        <v>5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>
      <c r="A3" s="80" t="s">
        <v>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2">
      <c r="A4" s="81" t="s">
        <v>51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ht="28.5" customHeight="1">
      <c r="A5" s="71" t="s">
        <v>7</v>
      </c>
      <c r="B5" s="71" t="s">
        <v>18</v>
      </c>
      <c r="C5" s="71" t="s">
        <v>15</v>
      </c>
      <c r="D5" s="77" t="s">
        <v>0</v>
      </c>
      <c r="E5" s="71" t="s">
        <v>10</v>
      </c>
      <c r="F5" s="71" t="s">
        <v>9</v>
      </c>
      <c r="G5" s="73" t="s">
        <v>11</v>
      </c>
      <c r="H5" s="75" t="s">
        <v>1</v>
      </c>
      <c r="I5" s="76"/>
      <c r="J5" s="71" t="s">
        <v>14</v>
      </c>
      <c r="K5" s="71" t="s">
        <v>8</v>
      </c>
      <c r="L5" s="71" t="s">
        <v>13</v>
      </c>
    </row>
    <row r="6" spans="1:12" ht="49.5" customHeight="1">
      <c r="A6" s="72"/>
      <c r="B6" s="72"/>
      <c r="C6" s="72"/>
      <c r="D6" s="78"/>
      <c r="E6" s="72"/>
      <c r="F6" s="72"/>
      <c r="G6" s="74"/>
      <c r="H6" s="10" t="s">
        <v>12</v>
      </c>
      <c r="I6" s="9" t="s">
        <v>3</v>
      </c>
      <c r="J6" s="72"/>
      <c r="K6" s="72"/>
      <c r="L6" s="72"/>
    </row>
    <row r="7" spans="1:12">
      <c r="A7" s="11">
        <v>1</v>
      </c>
      <c r="B7" s="8" t="s">
        <v>53</v>
      </c>
      <c r="C7" s="15" t="s">
        <v>19</v>
      </c>
      <c r="D7" s="15" t="s">
        <v>33</v>
      </c>
      <c r="E7" s="25" t="s">
        <v>45</v>
      </c>
      <c r="F7" s="28">
        <v>24</v>
      </c>
      <c r="G7" s="2" t="s">
        <v>47</v>
      </c>
      <c r="H7" s="28">
        <v>2</v>
      </c>
      <c r="I7" s="3">
        <v>2</v>
      </c>
      <c r="J7" s="30">
        <v>2200</v>
      </c>
      <c r="K7" s="30">
        <f>SUM(I7*J7)</f>
        <v>4400</v>
      </c>
      <c r="L7" s="70" t="s">
        <v>49</v>
      </c>
    </row>
    <row r="8" spans="1:12">
      <c r="A8" s="11">
        <v>2</v>
      </c>
      <c r="B8" s="8" t="s">
        <v>53</v>
      </c>
      <c r="C8" s="16" t="s">
        <v>20</v>
      </c>
      <c r="D8" s="16" t="s">
        <v>34</v>
      </c>
      <c r="E8" s="2" t="s">
        <v>45</v>
      </c>
      <c r="F8" s="29">
        <v>24</v>
      </c>
      <c r="G8" s="2" t="s">
        <v>47</v>
      </c>
      <c r="H8" s="29">
        <v>1</v>
      </c>
      <c r="I8" s="29">
        <v>1</v>
      </c>
      <c r="J8" s="31">
        <v>2250</v>
      </c>
      <c r="K8" s="30">
        <f t="shared" ref="K8:K16" si="0">SUM(I8*J8)</f>
        <v>2250</v>
      </c>
      <c r="L8" s="70" t="s">
        <v>48</v>
      </c>
    </row>
    <row r="9" spans="1:12">
      <c r="A9" s="11">
        <v>3</v>
      </c>
      <c r="B9" s="8" t="s">
        <v>54</v>
      </c>
      <c r="C9" s="16" t="s">
        <v>21</v>
      </c>
      <c r="D9" s="16" t="s">
        <v>33</v>
      </c>
      <c r="E9" s="2" t="s">
        <v>46</v>
      </c>
      <c r="F9" s="29">
        <v>18</v>
      </c>
      <c r="G9" s="2" t="s">
        <v>47</v>
      </c>
      <c r="H9" s="29">
        <v>1</v>
      </c>
      <c r="I9" s="29">
        <v>1</v>
      </c>
      <c r="J9" s="31">
        <v>2600</v>
      </c>
      <c r="K9" s="30">
        <f t="shared" si="0"/>
        <v>2600</v>
      </c>
      <c r="L9" s="70" t="s">
        <v>48</v>
      </c>
    </row>
    <row r="10" spans="1:12">
      <c r="A10" s="11">
        <v>4</v>
      </c>
      <c r="B10" s="8" t="s">
        <v>56</v>
      </c>
      <c r="C10" s="17" t="s">
        <v>22</v>
      </c>
      <c r="D10" s="21" t="s">
        <v>35</v>
      </c>
      <c r="E10" s="2" t="s">
        <v>46</v>
      </c>
      <c r="F10" s="29">
        <v>17</v>
      </c>
      <c r="G10" s="2" t="s">
        <v>47</v>
      </c>
      <c r="H10" s="29">
        <v>1</v>
      </c>
      <c r="I10" s="29">
        <v>1</v>
      </c>
      <c r="J10" s="31">
        <v>24000</v>
      </c>
      <c r="K10" s="30">
        <f t="shared" si="0"/>
        <v>24000</v>
      </c>
      <c r="L10" s="70" t="s">
        <v>48</v>
      </c>
    </row>
    <row r="11" spans="1:12">
      <c r="A11" s="11">
        <v>5</v>
      </c>
      <c r="B11" s="8" t="s">
        <v>57</v>
      </c>
      <c r="C11" s="18" t="s">
        <v>23</v>
      </c>
      <c r="D11" s="18" t="s">
        <v>36</v>
      </c>
      <c r="E11" s="2" t="s">
        <v>46</v>
      </c>
      <c r="F11" s="29">
        <v>15</v>
      </c>
      <c r="G11" s="2" t="s">
        <v>47</v>
      </c>
      <c r="H11" s="29">
        <v>1</v>
      </c>
      <c r="I11" s="29">
        <v>1</v>
      </c>
      <c r="J11" s="32">
        <v>7000</v>
      </c>
      <c r="K11" s="30">
        <f t="shared" si="0"/>
        <v>7000</v>
      </c>
      <c r="L11" s="70" t="s">
        <v>48</v>
      </c>
    </row>
    <row r="12" spans="1:12">
      <c r="A12" s="11">
        <v>6</v>
      </c>
      <c r="B12" s="8" t="s">
        <v>58</v>
      </c>
      <c r="C12" s="17" t="s">
        <v>24</v>
      </c>
      <c r="D12" s="21" t="s">
        <v>35</v>
      </c>
      <c r="E12" s="2" t="s">
        <v>46</v>
      </c>
      <c r="F12" s="29">
        <v>14</v>
      </c>
      <c r="G12" s="2" t="s">
        <v>47</v>
      </c>
      <c r="H12" s="29">
        <v>1</v>
      </c>
      <c r="I12" s="29">
        <v>1</v>
      </c>
      <c r="J12" s="31">
        <v>17300</v>
      </c>
      <c r="K12" s="30">
        <f t="shared" si="0"/>
        <v>17300</v>
      </c>
      <c r="L12" s="70" t="s">
        <v>48</v>
      </c>
    </row>
    <row r="13" spans="1:12">
      <c r="A13" s="11">
        <v>7</v>
      </c>
      <c r="B13" s="8" t="s">
        <v>58</v>
      </c>
      <c r="C13" s="17" t="s">
        <v>25</v>
      </c>
      <c r="D13" s="21" t="s">
        <v>37</v>
      </c>
      <c r="E13" s="2" t="s">
        <v>46</v>
      </c>
      <c r="F13" s="29">
        <v>14</v>
      </c>
      <c r="G13" s="2" t="s">
        <v>47</v>
      </c>
      <c r="H13" s="29">
        <v>1</v>
      </c>
      <c r="I13" s="29">
        <v>1</v>
      </c>
      <c r="J13" s="31">
        <v>1700</v>
      </c>
      <c r="K13" s="30">
        <f t="shared" si="0"/>
        <v>1700</v>
      </c>
      <c r="L13" s="70" t="s">
        <v>50</v>
      </c>
    </row>
    <row r="14" spans="1:12">
      <c r="A14" s="11">
        <v>8</v>
      </c>
      <c r="B14" s="8" t="s">
        <v>55</v>
      </c>
      <c r="C14" s="17" t="s">
        <v>26</v>
      </c>
      <c r="D14" s="21" t="s">
        <v>38</v>
      </c>
      <c r="E14" s="2" t="s">
        <v>46</v>
      </c>
      <c r="F14" s="29">
        <v>13</v>
      </c>
      <c r="G14" s="2" t="s">
        <v>47</v>
      </c>
      <c r="H14" s="29">
        <v>4</v>
      </c>
      <c r="I14" s="29">
        <v>4</v>
      </c>
      <c r="J14" s="31">
        <v>3200</v>
      </c>
      <c r="K14" s="30">
        <f t="shared" si="0"/>
        <v>12800</v>
      </c>
      <c r="L14" s="70" t="s">
        <v>48</v>
      </c>
    </row>
    <row r="15" spans="1:12">
      <c r="A15" s="11">
        <v>9</v>
      </c>
      <c r="B15" s="6">
        <v>2551</v>
      </c>
      <c r="C15" s="17" t="s">
        <v>27</v>
      </c>
      <c r="D15" s="21" t="s">
        <v>39</v>
      </c>
      <c r="E15" s="26" t="s">
        <v>46</v>
      </c>
      <c r="F15" s="29">
        <v>13</v>
      </c>
      <c r="G15" s="2" t="s">
        <v>47</v>
      </c>
      <c r="H15" s="29">
        <v>1</v>
      </c>
      <c r="I15" s="29">
        <v>1</v>
      </c>
      <c r="J15" s="31">
        <v>9800</v>
      </c>
      <c r="K15" s="30">
        <f t="shared" si="0"/>
        <v>9800</v>
      </c>
      <c r="L15" s="70" t="s">
        <v>48</v>
      </c>
    </row>
    <row r="16" spans="1:12">
      <c r="A16" s="11">
        <v>10</v>
      </c>
      <c r="B16" s="6">
        <v>2551</v>
      </c>
      <c r="C16" s="19" t="s">
        <v>28</v>
      </c>
      <c r="D16" s="22" t="s">
        <v>40</v>
      </c>
      <c r="E16" s="9" t="s">
        <v>46</v>
      </c>
      <c r="F16" s="29">
        <v>13</v>
      </c>
      <c r="G16" s="2" t="s">
        <v>47</v>
      </c>
      <c r="H16" s="28">
        <v>2</v>
      </c>
      <c r="I16" s="28">
        <v>2</v>
      </c>
      <c r="J16" s="33">
        <v>7000</v>
      </c>
      <c r="K16" s="30">
        <f t="shared" si="0"/>
        <v>14000</v>
      </c>
      <c r="L16" s="70" t="s">
        <v>48</v>
      </c>
    </row>
    <row r="17" spans="1:12" ht="24.75" thickBot="1">
      <c r="A17" s="45"/>
      <c r="B17" s="46"/>
      <c r="C17" s="47"/>
      <c r="D17" s="48"/>
      <c r="E17" s="49"/>
      <c r="F17" s="50"/>
      <c r="G17" s="51"/>
      <c r="H17" s="52"/>
      <c r="I17" s="52"/>
      <c r="J17" s="54" t="s">
        <v>61</v>
      </c>
      <c r="K17" s="55">
        <f>SUM(K7:K16)</f>
        <v>95850</v>
      </c>
      <c r="L17" s="53"/>
    </row>
    <row r="18" spans="1:12" s="4" customFormat="1" ht="24" customHeight="1" thickTop="1">
      <c r="A18" s="35"/>
      <c r="B18" s="36" t="s">
        <v>2</v>
      </c>
      <c r="C18" s="37" t="s">
        <v>16</v>
      </c>
      <c r="D18" s="38"/>
      <c r="E18" s="39"/>
      <c r="F18" s="40"/>
      <c r="G18" s="13"/>
      <c r="H18" s="69"/>
      <c r="I18" s="69"/>
      <c r="J18" s="42"/>
      <c r="K18" s="43"/>
      <c r="L18" s="44"/>
    </row>
    <row r="19" spans="1:12" s="4" customFormat="1" ht="24" customHeight="1">
      <c r="A19" s="35"/>
      <c r="B19" s="36"/>
      <c r="C19" s="37" t="s">
        <v>17</v>
      </c>
      <c r="D19" s="38"/>
      <c r="E19" s="39"/>
      <c r="F19" s="40"/>
      <c r="G19" s="13"/>
      <c r="H19" s="69"/>
      <c r="I19" s="69"/>
      <c r="J19" s="42"/>
      <c r="K19" s="43"/>
      <c r="L19" s="44"/>
    </row>
    <row r="20" spans="1:12" s="4" customFormat="1" ht="24" customHeight="1">
      <c r="A20" s="35"/>
      <c r="B20" s="36"/>
      <c r="C20" s="37"/>
      <c r="D20" s="38"/>
      <c r="E20" s="39"/>
      <c r="F20" s="40"/>
      <c r="G20" s="85" t="s">
        <v>64</v>
      </c>
      <c r="H20" s="83" t="s">
        <v>71</v>
      </c>
      <c r="I20" s="83"/>
      <c r="J20" s="83"/>
      <c r="K20" s="12" t="s">
        <v>68</v>
      </c>
      <c r="L20" s="44"/>
    </row>
    <row r="21" spans="1:12" s="4" customFormat="1" ht="24" customHeight="1">
      <c r="A21" s="35"/>
      <c r="B21" s="36"/>
      <c r="C21" s="37"/>
      <c r="D21" s="38"/>
      <c r="E21" s="39"/>
      <c r="F21" s="40"/>
      <c r="G21" s="85"/>
      <c r="H21" s="86" t="s">
        <v>65</v>
      </c>
      <c r="I21" s="86"/>
      <c r="J21" s="86"/>
      <c r="K21" s="12"/>
      <c r="L21" s="44"/>
    </row>
    <row r="22" spans="1:12" s="4" customFormat="1" ht="45.75" customHeight="1">
      <c r="A22" s="35"/>
      <c r="B22" s="36"/>
      <c r="C22" s="37"/>
      <c r="D22" s="38"/>
      <c r="E22" s="39"/>
      <c r="F22" s="40"/>
      <c r="G22" s="85" t="s">
        <v>64</v>
      </c>
      <c r="H22" s="83" t="s">
        <v>71</v>
      </c>
      <c r="I22" s="83"/>
      <c r="J22" s="83"/>
      <c r="K22" s="12" t="s">
        <v>69</v>
      </c>
      <c r="L22" s="44"/>
    </row>
    <row r="23" spans="1:12" s="4" customFormat="1" ht="24" customHeight="1">
      <c r="A23" s="35"/>
      <c r="B23" s="36"/>
      <c r="C23" s="37"/>
      <c r="D23" s="38"/>
      <c r="E23" s="39"/>
      <c r="F23" s="40"/>
      <c r="G23" s="85"/>
      <c r="H23" s="86" t="s">
        <v>66</v>
      </c>
      <c r="I23" s="86"/>
      <c r="J23" s="86"/>
      <c r="K23" s="12"/>
      <c r="L23" s="44"/>
    </row>
    <row r="24" spans="1:12" s="4" customFormat="1" ht="45" customHeight="1">
      <c r="A24" s="35"/>
      <c r="B24" s="36"/>
      <c r="C24" s="37"/>
      <c r="D24" s="38"/>
      <c r="E24" s="39"/>
      <c r="F24" s="40"/>
      <c r="G24" s="85" t="s">
        <v>64</v>
      </c>
      <c r="H24" s="83" t="s">
        <v>71</v>
      </c>
      <c r="I24" s="83"/>
      <c r="J24" s="83"/>
      <c r="K24" s="12" t="s">
        <v>70</v>
      </c>
      <c r="L24" s="44"/>
    </row>
    <row r="25" spans="1:12" s="4" customFormat="1" ht="24" customHeight="1">
      <c r="A25" s="35"/>
      <c r="B25" s="36"/>
      <c r="C25" s="37"/>
      <c r="D25" s="38"/>
      <c r="E25" s="39"/>
      <c r="F25" s="40"/>
      <c r="G25" s="13"/>
      <c r="H25" s="86" t="s">
        <v>67</v>
      </c>
      <c r="I25" s="86"/>
      <c r="J25" s="86"/>
      <c r="K25" s="43"/>
      <c r="L25" s="44"/>
    </row>
    <row r="26" spans="1:12" s="4" customFormat="1" ht="24" customHeight="1">
      <c r="A26" s="35"/>
      <c r="B26" s="36"/>
      <c r="C26" s="37"/>
      <c r="D26" s="38"/>
      <c r="E26" s="39"/>
      <c r="F26" s="40"/>
      <c r="G26" s="13"/>
      <c r="H26" s="69"/>
      <c r="I26" s="69"/>
      <c r="J26" s="69"/>
      <c r="K26" s="43"/>
      <c r="L26" s="44"/>
    </row>
    <row r="27" spans="1:12" s="4" customFormat="1">
      <c r="A27" s="35"/>
      <c r="B27" s="36"/>
      <c r="C27" s="37"/>
      <c r="D27" s="38"/>
      <c r="E27" s="39"/>
      <c r="F27" s="40"/>
      <c r="G27" s="13"/>
      <c r="H27" s="41"/>
      <c r="I27" s="41"/>
      <c r="J27" s="42"/>
      <c r="K27" s="43"/>
      <c r="L27" s="44"/>
    </row>
    <row r="28" spans="1:12" s="4" customFormat="1">
      <c r="A28" s="35"/>
      <c r="B28" s="36"/>
      <c r="C28" s="37"/>
      <c r="D28" s="38"/>
      <c r="E28" s="39"/>
      <c r="F28" s="40"/>
      <c r="G28" s="13"/>
      <c r="H28" s="41"/>
      <c r="I28" s="41"/>
      <c r="J28" s="42"/>
      <c r="K28" s="43"/>
      <c r="L28" s="44"/>
    </row>
    <row r="29" spans="1:12" s="4" customFormat="1">
      <c r="A29" s="35"/>
      <c r="B29" s="36"/>
      <c r="C29" s="37"/>
      <c r="D29" s="38"/>
      <c r="E29" s="39"/>
      <c r="F29" s="40"/>
      <c r="G29" s="13"/>
      <c r="H29" s="41"/>
      <c r="I29" s="41"/>
      <c r="J29" s="42"/>
      <c r="K29" s="43"/>
      <c r="L29" s="44"/>
    </row>
    <row r="30" spans="1:12">
      <c r="L30" s="14" t="s">
        <v>62</v>
      </c>
    </row>
    <row r="31" spans="1:12">
      <c r="A31" s="79" t="s">
        <v>5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</row>
    <row r="32" spans="1:12">
      <c r="A32" s="80" t="s">
        <v>6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</row>
    <row r="33" spans="1:12">
      <c r="A33" s="81" t="s">
        <v>51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</row>
    <row r="34" spans="1:12">
      <c r="A34" s="71" t="s">
        <v>7</v>
      </c>
      <c r="B34" s="71" t="s">
        <v>18</v>
      </c>
      <c r="C34" s="71" t="s">
        <v>15</v>
      </c>
      <c r="D34" s="77" t="s">
        <v>0</v>
      </c>
      <c r="E34" s="71" t="s">
        <v>10</v>
      </c>
      <c r="F34" s="71" t="s">
        <v>9</v>
      </c>
      <c r="G34" s="73" t="s">
        <v>11</v>
      </c>
      <c r="H34" s="75" t="s">
        <v>1</v>
      </c>
      <c r="I34" s="76"/>
      <c r="J34" s="71" t="s">
        <v>14</v>
      </c>
      <c r="K34" s="71" t="s">
        <v>8</v>
      </c>
      <c r="L34" s="71" t="s">
        <v>13</v>
      </c>
    </row>
    <row r="35" spans="1:12" ht="48">
      <c r="A35" s="72"/>
      <c r="B35" s="72"/>
      <c r="C35" s="72"/>
      <c r="D35" s="78"/>
      <c r="E35" s="72"/>
      <c r="F35" s="72"/>
      <c r="G35" s="74"/>
      <c r="H35" s="10" t="s">
        <v>12</v>
      </c>
      <c r="I35" s="9" t="s">
        <v>3</v>
      </c>
      <c r="J35" s="72"/>
      <c r="K35" s="72"/>
      <c r="L35" s="72"/>
    </row>
    <row r="36" spans="1:12">
      <c r="A36" s="11"/>
      <c r="B36" s="6"/>
      <c r="C36" s="19"/>
      <c r="D36" s="22"/>
      <c r="E36" s="9"/>
      <c r="F36" s="29"/>
      <c r="G36" s="2"/>
      <c r="H36" s="28"/>
      <c r="I36" s="28"/>
      <c r="J36" s="60" t="s">
        <v>63</v>
      </c>
      <c r="K36" s="61">
        <f>SUM(K17)</f>
        <v>95850</v>
      </c>
      <c r="L36" s="7"/>
    </row>
    <row r="37" spans="1:12">
      <c r="A37" s="11">
        <v>11</v>
      </c>
      <c r="B37" s="6">
        <v>2551</v>
      </c>
      <c r="C37" s="17" t="s">
        <v>29</v>
      </c>
      <c r="D37" s="23" t="s">
        <v>41</v>
      </c>
      <c r="E37" s="11" t="s">
        <v>46</v>
      </c>
      <c r="F37" s="29">
        <v>13</v>
      </c>
      <c r="G37" s="2" t="s">
        <v>47</v>
      </c>
      <c r="H37" s="29">
        <v>1</v>
      </c>
      <c r="I37" s="29">
        <v>1</v>
      </c>
      <c r="J37" s="31">
        <v>93400</v>
      </c>
      <c r="K37" s="30">
        <f t="shared" ref="K37:K40" si="1">SUM(H37*J37)</f>
        <v>93400</v>
      </c>
      <c r="L37" s="70" t="s">
        <v>48</v>
      </c>
    </row>
    <row r="38" spans="1:12">
      <c r="A38" s="11">
        <v>12</v>
      </c>
      <c r="B38" s="6">
        <v>2552</v>
      </c>
      <c r="C38" s="20" t="s">
        <v>30</v>
      </c>
      <c r="D38" s="24" t="s">
        <v>42</v>
      </c>
      <c r="E38" s="27" t="s">
        <v>45</v>
      </c>
      <c r="F38" s="28">
        <v>12</v>
      </c>
      <c r="G38" s="2" t="s">
        <v>47</v>
      </c>
      <c r="H38" s="28">
        <v>3</v>
      </c>
      <c r="I38" s="28">
        <v>3</v>
      </c>
      <c r="J38" s="34">
        <v>3200</v>
      </c>
      <c r="K38" s="30">
        <f t="shared" si="1"/>
        <v>9600</v>
      </c>
      <c r="L38" s="70" t="s">
        <v>48</v>
      </c>
    </row>
    <row r="39" spans="1:12">
      <c r="A39" s="11">
        <v>13</v>
      </c>
      <c r="B39" s="5" t="s">
        <v>59</v>
      </c>
      <c r="C39" s="17" t="s">
        <v>31</v>
      </c>
      <c r="D39" s="21" t="s">
        <v>43</v>
      </c>
      <c r="E39" s="11" t="s">
        <v>45</v>
      </c>
      <c r="F39" s="29">
        <v>11</v>
      </c>
      <c r="G39" s="2" t="s">
        <v>47</v>
      </c>
      <c r="H39" s="29">
        <v>1</v>
      </c>
      <c r="I39" s="29">
        <v>1</v>
      </c>
      <c r="J39" s="31">
        <v>1100</v>
      </c>
      <c r="K39" s="30">
        <f t="shared" si="1"/>
        <v>1100</v>
      </c>
      <c r="L39" s="70" t="s">
        <v>48</v>
      </c>
    </row>
    <row r="40" spans="1:12">
      <c r="A40" s="11">
        <v>14</v>
      </c>
      <c r="B40" s="63" t="s">
        <v>60</v>
      </c>
      <c r="C40" s="64" t="s">
        <v>32</v>
      </c>
      <c r="D40" s="65" t="s">
        <v>44</v>
      </c>
      <c r="E40" s="66" t="s">
        <v>46</v>
      </c>
      <c r="F40" s="67" t="s">
        <v>47</v>
      </c>
      <c r="G40" s="2" t="s">
        <v>47</v>
      </c>
      <c r="H40" s="67">
        <v>1</v>
      </c>
      <c r="I40" s="67">
        <v>1</v>
      </c>
      <c r="J40" s="68">
        <v>29500</v>
      </c>
      <c r="K40" s="30">
        <f t="shared" si="1"/>
        <v>29500</v>
      </c>
      <c r="L40" s="70" t="s">
        <v>48</v>
      </c>
    </row>
    <row r="41" spans="1:12" ht="24.75" thickBot="1">
      <c r="A41" s="56"/>
      <c r="B41" s="57"/>
      <c r="C41" s="57"/>
      <c r="D41" s="57"/>
      <c r="E41" s="57"/>
      <c r="F41" s="57"/>
      <c r="G41" s="57"/>
      <c r="H41" s="57"/>
      <c r="I41" s="57"/>
      <c r="J41" s="59" t="s">
        <v>4</v>
      </c>
      <c r="K41" s="58">
        <f>SUM(K36:K40)</f>
        <v>229450</v>
      </c>
      <c r="L41" s="45"/>
    </row>
    <row r="42" spans="1:12" ht="24.75" thickTop="1">
      <c r="A42" s="4"/>
      <c r="B42" s="62" t="s">
        <v>2</v>
      </c>
      <c r="C42" s="37" t="s">
        <v>16</v>
      </c>
      <c r="D42" s="38"/>
      <c r="E42" s="39"/>
      <c r="F42" s="40"/>
      <c r="G42" s="13"/>
      <c r="H42" s="69"/>
      <c r="I42" s="69"/>
      <c r="J42" s="42"/>
      <c r="K42" s="43"/>
      <c r="L42" s="44"/>
    </row>
    <row r="43" spans="1:12">
      <c r="A43" s="4"/>
      <c r="B43" s="36"/>
      <c r="C43" s="37" t="s">
        <v>17</v>
      </c>
      <c r="D43" s="38"/>
      <c r="E43" s="39"/>
      <c r="F43" s="40"/>
      <c r="G43" s="13"/>
      <c r="H43" s="69"/>
      <c r="I43" s="69"/>
      <c r="J43" s="42"/>
      <c r="K43" s="43"/>
      <c r="L43" s="44"/>
    </row>
    <row r="44" spans="1:12">
      <c r="G44" s="82" t="s">
        <v>64</v>
      </c>
      <c r="H44" s="83" t="s">
        <v>71</v>
      </c>
      <c r="I44" s="83"/>
      <c r="J44" s="83"/>
      <c r="K44" s="84" t="s">
        <v>68</v>
      </c>
    </row>
    <row r="45" spans="1:12">
      <c r="G45" s="82"/>
      <c r="H45" s="83" t="s">
        <v>65</v>
      </c>
      <c r="I45" s="83"/>
      <c r="J45" s="83"/>
      <c r="K45" s="84"/>
    </row>
    <row r="46" spans="1:12" ht="50.25" customHeight="1">
      <c r="G46" s="82" t="s">
        <v>64</v>
      </c>
      <c r="H46" s="83" t="s">
        <v>71</v>
      </c>
      <c r="I46" s="83"/>
      <c r="J46" s="83"/>
      <c r="K46" s="84" t="s">
        <v>69</v>
      </c>
    </row>
    <row r="47" spans="1:12">
      <c r="G47" s="82"/>
      <c r="H47" s="83" t="s">
        <v>66</v>
      </c>
      <c r="I47" s="83"/>
      <c r="J47" s="83"/>
      <c r="K47" s="84"/>
    </row>
    <row r="48" spans="1:12" ht="46.5" customHeight="1">
      <c r="G48" s="82" t="s">
        <v>64</v>
      </c>
      <c r="H48" s="83" t="s">
        <v>71</v>
      </c>
      <c r="I48" s="83"/>
      <c r="J48" s="83"/>
      <c r="K48" s="84" t="s">
        <v>70</v>
      </c>
    </row>
    <row r="49" spans="8:10">
      <c r="H49" s="83" t="s">
        <v>67</v>
      </c>
      <c r="I49" s="83"/>
      <c r="J49" s="83"/>
    </row>
  </sheetData>
  <mergeCells count="40">
    <mergeCell ref="H49:J49"/>
    <mergeCell ref="H20:J20"/>
    <mergeCell ref="H21:J21"/>
    <mergeCell ref="H22:J22"/>
    <mergeCell ref="H23:J23"/>
    <mergeCell ref="H24:J24"/>
    <mergeCell ref="H25:J25"/>
    <mergeCell ref="H44:J44"/>
    <mergeCell ref="H45:J45"/>
    <mergeCell ref="H46:J46"/>
    <mergeCell ref="H47:J47"/>
    <mergeCell ref="H48:J48"/>
    <mergeCell ref="A31:L31"/>
    <mergeCell ref="A32:L32"/>
    <mergeCell ref="A33:L33"/>
    <mergeCell ref="H5:I5"/>
    <mergeCell ref="J5:J6"/>
    <mergeCell ref="K5:K6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A34:A35"/>
    <mergeCell ref="B34:B35"/>
    <mergeCell ref="C34:C35"/>
    <mergeCell ref="D34:D35"/>
    <mergeCell ref="E34:E35"/>
    <mergeCell ref="L34:L35"/>
    <mergeCell ref="F34:F35"/>
    <mergeCell ref="G34:G35"/>
    <mergeCell ref="H34:I34"/>
    <mergeCell ref="J34:J35"/>
    <mergeCell ref="K34:K35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2021-11-19T08:45:51Z</cp:lastPrinted>
  <dcterms:created xsi:type="dcterms:W3CDTF">2017-11-14T01:32:33Z</dcterms:created>
  <dcterms:modified xsi:type="dcterms:W3CDTF">2021-11-19T08:48:08Z</dcterms:modified>
</cp:coreProperties>
</file>