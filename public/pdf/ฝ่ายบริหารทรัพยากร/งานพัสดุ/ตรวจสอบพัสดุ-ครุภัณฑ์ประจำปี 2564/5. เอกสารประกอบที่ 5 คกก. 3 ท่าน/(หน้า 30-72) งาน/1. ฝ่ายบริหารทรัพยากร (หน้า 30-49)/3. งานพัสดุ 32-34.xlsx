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5 คกก. 3 ท่าน\งาน\1. ฝ่ายบริหารทรัพยากร\"/>
    </mc:Choice>
  </mc:AlternateContent>
  <bookViews>
    <workbookView xWindow="-120" yWindow="-120" windowWidth="24240" windowHeight="13140" tabRatio="897"/>
  </bookViews>
  <sheets>
    <sheet name="งานพัสดุ" sheetId="46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69" i="46" l="1"/>
  <c r="K70" i="46"/>
  <c r="K71" i="46"/>
  <c r="K68" i="46"/>
  <c r="K72" i="46" s="1"/>
  <c r="K67" i="46"/>
  <c r="K39" i="46"/>
  <c r="K40" i="46"/>
  <c r="K41" i="46"/>
  <c r="K42" i="46"/>
  <c r="K43" i="46"/>
  <c r="K44" i="46"/>
  <c r="K45" i="46"/>
  <c r="K46" i="46"/>
  <c r="K47" i="46"/>
  <c r="K38" i="46"/>
  <c r="K8" i="46"/>
  <c r="K9" i="46"/>
  <c r="K10" i="46"/>
  <c r="K11" i="46"/>
  <c r="K17" i="46" s="1"/>
  <c r="K37" i="46" s="1"/>
  <c r="K48" i="46" s="1"/>
  <c r="K12" i="46"/>
  <c r="K13" i="46"/>
  <c r="K14" i="46"/>
  <c r="K15" i="46"/>
  <c r="K16" i="46"/>
  <c r="K7" i="46"/>
</calcChain>
</file>

<file path=xl/sharedStrings.xml><?xml version="1.0" encoding="utf-8"?>
<sst xmlns="http://schemas.openxmlformats.org/spreadsheetml/2006/main" count="235" uniqueCount="105">
  <si>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</si>
  <si>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</si>
  <si>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</si>
  <si>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</si>
  <si>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</si>
  <si>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</si>
  <si>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</si>
  <si>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</si>
  <si>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</si>
  <si>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</si>
  <si>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</si>
  <si>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</si>
  <si>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</si>
  <si>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</si>
  <si>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</si>
  <si>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</si>
  <si>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</si>
  <si>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</si>
  <si>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</si>
  <si>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ประจำปี 2564 สิ้นงวดเมื่อวันที่ 30 กันยายน 2564 ของงานพัสดุ</t>
  </si>
  <si>
    <t>7110-007-0004/391-002</t>
  </si>
  <si>
    <t>โต๊ะพิมพ์ดีด</t>
  </si>
  <si>
    <t>งปม.</t>
  </si>
  <si>
    <t>7430-001-0007/391-001</t>
  </si>
  <si>
    <t>เครื่องพิมพ์ดีดแบบธรรมดาภาษาไทย  18"</t>
  </si>
  <si>
    <t>7430-001-0002/391-001</t>
  </si>
  <si>
    <t>เครื่องพิมพ์ดีดแบบธรรมดาภาษาอังกฤษ 18"</t>
  </si>
  <si>
    <t>7430-001-0005/391-001</t>
  </si>
  <si>
    <t>เครื่องพิมพ์ดีดแบบธรรมดาภาษาไทย  15"</t>
  </si>
  <si>
    <t>7420-001-0001/391-001</t>
  </si>
  <si>
    <t>7110-007-0001/401-002</t>
  </si>
  <si>
    <t>โต๊ะวางเครื่องคอมพิวเตอร์ +เก้าอี้</t>
  </si>
  <si>
    <t>7110-007-0002/401-006</t>
  </si>
  <si>
    <t>โต๊ะวางเครื่องพิมพ์</t>
  </si>
  <si>
    <t>4140-001-0001/442-010</t>
  </si>
  <si>
    <t>พัดลมตั้งโต๊ะ 16"</t>
  </si>
  <si>
    <t>บกศ.</t>
  </si>
  <si>
    <t>6720-005-0002/472-002</t>
  </si>
  <si>
    <t>กล้องดิจิตอล</t>
  </si>
  <si>
    <t>6720-005-0002/472-001</t>
  </si>
  <si>
    <t>4140-001-0001/483-019</t>
  </si>
  <si>
    <t>พัดลมฮาตาริ 16 "</t>
  </si>
  <si>
    <t>บริจาค</t>
  </si>
  <si>
    <t>7440-001-0001/492-047</t>
  </si>
  <si>
    <t>เครื่องคอมพิวเตอร์ GVIEW</t>
  </si>
  <si>
    <t>4140-001-0001/493-037</t>
  </si>
  <si>
    <t>พัดลมTORY 16 นิ้ว</t>
  </si>
  <si>
    <t>4140-001-0001/493-038</t>
  </si>
  <si>
    <t>พัดลมตั้งพื้น 16 นิ้ว มิซูมารุ</t>
  </si>
  <si>
    <t>7430-008-0002/492-007</t>
  </si>
  <si>
    <t>เครื่องปริ้นเตอร์ HP1020</t>
  </si>
  <si>
    <t>5805-001-0002/502-002</t>
  </si>
  <si>
    <t>เครื่องโทรศัพท์ มือถือ NOKIA 6080</t>
  </si>
  <si>
    <t>7440-009-0001/502-005</t>
  </si>
  <si>
    <t>FLASH DRIVE 2 GB</t>
  </si>
  <si>
    <t>7440-001-0001/502-053-054</t>
  </si>
  <si>
    <t>เครื่องคอมพิวเตอร์  จอแบน</t>
  </si>
  <si>
    <t>7440-001-0001/502-059</t>
  </si>
  <si>
    <t xml:space="preserve">ชุดเครื่องคอมพิวเตอร์  HP </t>
  </si>
  <si>
    <t>7110-007-0001/502-007-008</t>
  </si>
  <si>
    <t>โต๊ะวางเครื่องคอมพิวเตอร์พร้อมเก้าอี้</t>
  </si>
  <si>
    <t>7110-006-0006/531-013</t>
  </si>
  <si>
    <t>7430-008-0002/531-023</t>
  </si>
  <si>
    <t>เครื่องปริ้นเตอร์ CANON LBp 3050</t>
  </si>
  <si>
    <t>6130-001-0001/531-008</t>
  </si>
  <si>
    <t>เครื่องสำรองไฟฟ้า</t>
  </si>
  <si>
    <t>7440-001-0001/531-150</t>
  </si>
  <si>
    <t>เครื่องคอมพิวเตอร์พร้อมโต๊ะเก้าอี้</t>
  </si>
  <si>
    <t xml:space="preserve"> -</t>
  </si>
  <si>
    <t>ไม่พบซาก</t>
  </si>
  <si>
    <t>ยอดยกไป</t>
  </si>
  <si>
    <t>ยอดยกมา</t>
  </si>
  <si>
    <t>แคร่แป้นพิมพ์ชำรุด</t>
  </si>
  <si>
    <t>ขาโต๊ะผุพัง</t>
  </si>
  <si>
    <t>จอแสดงตัวเลขขัดข้อง</t>
  </si>
  <si>
    <t>ล้อเก้าอี้หัก โต๊ะชำรุด</t>
  </si>
  <si>
    <t>โต๊ะผุพัง</t>
  </si>
  <si>
    <t>ไฟช็อต</t>
  </si>
  <si>
    <t>ระบบไฟมีปัญหา</t>
  </si>
  <si>
    <t>ไม่ดึงกระดาษ</t>
  </si>
  <si>
    <t>หน้าจอเสีย</t>
  </si>
  <si>
    <t>เก้าอี้ชำรุด</t>
  </si>
  <si>
    <t>ล้อเลื่อนชำรุด</t>
  </si>
  <si>
    <t>เก้าอี้ชำรุด โต๊ะผุพัง</t>
  </si>
  <si>
    <t>มอเตอร์ชำรุด</t>
  </si>
  <si>
    <t>เก้าอี้ (ขาเหล็ก ) 5 แฉก</t>
  </si>
  <si>
    <t>2539</t>
  </si>
  <si>
    <t>2550</t>
  </si>
  <si>
    <t>2553</t>
  </si>
  <si>
    <t>เครื่องคำนวณเลข</t>
  </si>
  <si>
    <t>ลงชื่อ</t>
  </si>
  <si>
    <t>ประธานกรรมการ</t>
  </si>
  <si>
    <t>(นายบุญแต่ง  ป้องหิน)</t>
  </si>
  <si>
    <t>กรรมการ</t>
  </si>
  <si>
    <t>(นางสาวพิมพ์ภัทรา  เลิศเรืองศิริ)</t>
  </si>
  <si>
    <t>กรรมการและเลขานุการ</t>
  </si>
  <si>
    <t>(นางสาวไพรินทร์  ทองกันยา)</t>
  </si>
  <si>
    <t>เอกสารหมายเลข 32</t>
  </si>
  <si>
    <t>.....................................................................</t>
  </si>
  <si>
    <t>ตัวเครื่องชำรุด พบซาก</t>
  </si>
  <si>
    <t>เอกสารหมายเลข 33</t>
  </si>
  <si>
    <t>เอกสารหมายเลข 34</t>
  </si>
  <si>
    <t>ใช้งานไม่ได้</t>
  </si>
  <si>
    <t>เครื่องไม่ดึงกระดาษ</t>
  </si>
  <si>
    <t>ชำรุดพบซาก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</si>
</sst>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1"/>
      <color rgb="FF9C6500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EB9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9" fillId="3" borderId="0" applyNumberFormat="0" applyBorder="0" applyAlignment="0" applyProtection="0"/>
  </cellStyleXfs>
  <cellXfs count="112">
    <xf numFmtId="0" fontId="0" fillId="0" borderId="0" xfId="0"/>
    <xf numFmtId="0" fontId="4" fillId="0" borderId="0" xfId="0" applyFont="1"/>
    <xf numFmtId="0" fontId="4" fillId="0" borderId="0" xfId="0" applyFont="1" applyBorder="1"/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top" wrapText="1"/>
    </xf>
    <xf numFmtId="49" fontId="3" fillId="0" borderId="1" xfId="7" applyNumberFormat="1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3" fillId="0" borderId="1" xfId="5" applyFont="1" applyFill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43" fontId="3" fillId="0" borderId="1" xfId="1" applyFont="1" applyFill="1" applyBorder="1"/>
    <xf numFmtId="0" fontId="4" fillId="0" borderId="0" xfId="0" applyFont="1" applyFill="1"/>
    <xf numFmtId="49" fontId="3" fillId="0" borderId="1" xfId="0" applyNumberFormat="1" applyFont="1" applyFill="1" applyBorder="1"/>
    <xf numFmtId="0" fontId="3" fillId="0" borderId="1" xfId="2" applyFont="1" applyFill="1" applyBorder="1" applyAlignment="1">
      <alignment horizontal="center"/>
    </xf>
    <xf numFmtId="0" fontId="3" fillId="0" borderId="1" xfId="3" applyFont="1" applyFill="1" applyBorder="1" applyAlignment="1">
      <alignment horizontal="center"/>
    </xf>
    <xf numFmtId="0" fontId="3" fillId="0" borderId="1" xfId="4" applyFont="1" applyFill="1" applyBorder="1" applyAlignment="1">
      <alignment horizontal="center"/>
    </xf>
    <xf numFmtId="0" fontId="3" fillId="0" borderId="1" xfId="6" applyFont="1" applyFill="1" applyBorder="1" applyAlignment="1">
      <alignment horizontal="left"/>
    </xf>
    <xf numFmtId="0" fontId="3" fillId="0" borderId="1" xfId="6" applyFont="1" applyFill="1" applyBorder="1"/>
    <xf numFmtId="43" fontId="6" fillId="0" borderId="4" xfId="0" applyNumberFormat="1" applyFont="1" applyFill="1" applyBorder="1"/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/>
    </xf>
    <xf numFmtId="49" fontId="3" fillId="0" borderId="3" xfId="0" applyNumberFormat="1" applyFont="1" applyFill="1" applyBorder="1" applyAlignment="1">
      <alignment horizontal="left"/>
    </xf>
    <xf numFmtId="49" fontId="3" fillId="0" borderId="3" xfId="0" applyNumberFormat="1" applyFont="1" applyFill="1" applyBorder="1"/>
    <xf numFmtId="0" fontId="3" fillId="0" borderId="3" xfId="2" applyFont="1" applyFill="1" applyBorder="1" applyAlignment="1">
      <alignment horizontal="center"/>
    </xf>
    <xf numFmtId="0" fontId="3" fillId="0" borderId="3" xfId="5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43" fontId="3" fillId="0" borderId="3" xfId="1" applyFont="1" applyFill="1" applyBorder="1"/>
    <xf numFmtId="0" fontId="6" fillId="0" borderId="3" xfId="0" applyFont="1" applyBorder="1" applyAlignment="1">
      <alignment horizontal="center" vertical="center" wrapText="1"/>
    </xf>
    <xf numFmtId="43" fontId="3" fillId="0" borderId="2" xfId="1" applyFont="1" applyFill="1" applyBorder="1"/>
    <xf numFmtId="0" fontId="3" fillId="0" borderId="2" xfId="6" applyFont="1" applyFill="1" applyBorder="1" applyAlignment="1">
      <alignment horizontal="left"/>
    </xf>
    <xf numFmtId="0" fontId="3" fillId="0" borderId="2" xfId="6" applyFont="1" applyFill="1" applyBorder="1"/>
    <xf numFmtId="0" fontId="3" fillId="0" borderId="2" xfId="2" applyFont="1" applyFill="1" applyBorder="1" applyAlignment="1">
      <alignment horizontal="center"/>
    </xf>
    <xf numFmtId="0" fontId="3" fillId="0" borderId="2" xfId="5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43" fontId="6" fillId="0" borderId="3" xfId="0" applyNumberFormat="1" applyFont="1" applyBorder="1" applyAlignment="1">
      <alignment horizontal="center" vertical="center" wrapText="1"/>
    </xf>
    <xf numFmtId="43" fontId="6" fillId="0" borderId="4" xfId="0" applyNumberFormat="1" applyFont="1" applyBorder="1" applyAlignment="1"/>
    <xf numFmtId="0" fontId="4" fillId="0" borderId="4" xfId="0" applyFont="1" applyFill="1" applyBorder="1" applyAlignment="1"/>
    <xf numFmtId="0" fontId="6" fillId="0" borderId="4" xfId="0" applyFont="1" applyFill="1" applyBorder="1" applyAlignment="1">
      <alignment horizontal="center"/>
    </xf>
    <xf numFmtId="0" fontId="9" fillId="0" borderId="0" xfId="14" applyFill="1"/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/>
    <xf numFmtId="0" fontId="6" fillId="0" borderId="0" xfId="0" applyFont="1" applyFill="1" applyBorder="1" applyAlignment="1">
      <alignment horizontal="center"/>
    </xf>
    <xf numFmtId="43" fontId="6" fillId="0" borderId="0" xfId="0" applyNumberFormat="1" applyFont="1" applyFill="1" applyBorder="1"/>
    <xf numFmtId="0" fontId="4" fillId="0" borderId="0" xfId="0" applyFont="1" applyFill="1" applyBorder="1"/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4" fillId="0" borderId="0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3" fillId="2" borderId="0" xfId="0" applyFont="1" applyFill="1" applyBorder="1" applyAlignment="1">
      <alignment horizontal="center" vertical="center"/>
    </xf>
    <xf numFmtId="49" fontId="3" fillId="0" borderId="0" xfId="7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left"/>
    </xf>
    <xf numFmtId="49" fontId="3" fillId="0" borderId="0" xfId="0" applyNumberFormat="1" applyFont="1" applyFill="1" applyBorder="1"/>
    <xf numFmtId="0" fontId="4" fillId="0" borderId="0" xfId="0" applyFont="1" applyFill="1" applyBorder="1" applyAlignment="1">
      <alignment horizontal="center"/>
    </xf>
    <xf numFmtId="0" fontId="3" fillId="0" borderId="0" xfId="5" applyFont="1" applyFill="1" applyBorder="1" applyAlignment="1">
      <alignment horizontal="center"/>
    </xf>
    <xf numFmtId="43" fontId="3" fillId="0" borderId="0" xfId="1" applyFont="1" applyFill="1" applyBorder="1"/>
    <xf numFmtId="43" fontId="3" fillId="0" borderId="0" xfId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49" fontId="3" fillId="0" borderId="4" xfId="7" applyNumberFormat="1" applyFont="1" applyFill="1" applyBorder="1" applyAlignment="1">
      <alignment horizontal="center"/>
    </xf>
    <xf numFmtId="49" fontId="3" fillId="0" borderId="4" xfId="0" applyNumberFormat="1" applyFont="1" applyFill="1" applyBorder="1" applyAlignment="1">
      <alignment horizontal="left"/>
    </xf>
    <xf numFmtId="49" fontId="3" fillId="0" borderId="4" xfId="0" applyNumberFormat="1" applyFont="1" applyFill="1" applyBorder="1"/>
    <xf numFmtId="0" fontId="4" fillId="0" borderId="4" xfId="0" applyFont="1" applyFill="1" applyBorder="1" applyAlignment="1">
      <alignment horizontal="center"/>
    </xf>
    <xf numFmtId="0" fontId="3" fillId="0" borderId="4" xfId="5" applyFont="1" applyFill="1" applyBorder="1" applyAlignment="1">
      <alignment horizontal="center"/>
    </xf>
    <xf numFmtId="43" fontId="7" fillId="0" borderId="4" xfId="1" applyFont="1" applyFill="1" applyBorder="1"/>
    <xf numFmtId="43" fontId="7" fillId="0" borderId="4" xfId="1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9" fontId="3" fillId="0" borderId="1" xfId="7" applyNumberFormat="1" applyFont="1" applyFill="1" applyBorder="1" applyAlignment="1"/>
    <xf numFmtId="49" fontId="3" fillId="0" borderId="1" xfId="0" applyNumberFormat="1" applyFont="1" applyFill="1" applyBorder="1" applyAlignment="1"/>
    <xf numFmtId="0" fontId="4" fillId="0" borderId="1" xfId="0" applyFont="1" applyFill="1" applyBorder="1" applyAlignment="1"/>
    <xf numFmtId="0" fontId="3" fillId="0" borderId="1" xfId="5" applyFont="1" applyFill="1" applyBorder="1" applyAlignment="1"/>
    <xf numFmtId="43" fontId="3" fillId="0" borderId="1" xfId="1" applyFont="1" applyFill="1" applyBorder="1" applyAlignment="1"/>
    <xf numFmtId="0" fontId="4" fillId="0" borderId="0" xfId="0" applyFont="1" applyFill="1" applyAlignment="1"/>
    <xf numFmtId="43" fontId="7" fillId="0" borderId="1" xfId="1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9" xfId="0" applyFont="1" applyBorder="1" applyAlignment="1" applyProtection="1">
      <alignment horizontal="center"/>
      <protection locked="0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43" fontId="3" fillId="0" borderId="3" xfId="1" applyFont="1" applyFill="1" applyBorder="1" applyAlignment="1">
      <alignment horizontal="left"/>
    </xf>
    <xf numFmtId="43" fontId="3" fillId="0" borderId="1" xfId="1" applyFont="1" applyFill="1" applyBorder="1" applyAlignment="1">
      <alignment horizontal="left"/>
    </xf>
    <xf numFmtId="0" fontId="4" fillId="0" borderId="4" xfId="0" applyFont="1" applyFill="1" applyBorder="1" applyAlignment="1">
      <alignment horizontal="left"/>
    </xf>
    <xf numFmtId="43" fontId="3" fillId="0" borderId="4" xfId="1" applyFont="1" applyFill="1" applyBorder="1" applyAlignment="1">
      <alignment horizontal="left"/>
    </xf>
    <xf numFmtId="43" fontId="3" fillId="0" borderId="2" xfId="1" applyFont="1" applyFill="1" applyBorder="1" applyAlignment="1">
      <alignment horizontal="left"/>
    </xf>
  </cellXfs>
  <cellStyles count="15">
    <cellStyle name="Normal_ครุภัณฑ์ปี  2553" xfId="8"/>
    <cellStyle name="เครื่องหมายจุลภาค" xfId="1" builtinId="3"/>
    <cellStyle name="เครื่องหมายจุลภาค 9" xfId="12"/>
    <cellStyle name="ปกติ" xfId="0" builtinId="0"/>
    <cellStyle name="ปกติ 10" xfId="4"/>
    <cellStyle name="ปกติ 12" xfId="7"/>
    <cellStyle name="ปกติ 14" xfId="3"/>
    <cellStyle name="ปกติ 19" xfId="13"/>
    <cellStyle name="ปกติ 21" xfId="2"/>
    <cellStyle name="ปกติ 22" xfId="5"/>
    <cellStyle name="ปกติ 3" xfId="9"/>
    <cellStyle name="ปกติ 4" xfId="10"/>
    <cellStyle name="ปกติ 5" xfId="11"/>
    <cellStyle name="ปกติ_รายการครุภัณฑ์ ปี 52 ที่แก้ไขเรียงลำดับใหม่ 23 ก.พ.53" xfId="6"/>
    <cellStyle name="ปานกลาง" xfId="14" builtinId="28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1238249</xdr:colOff>
      <xdr:row>73</xdr:row>
      <xdr:rowOff>19052</xdr:rowOff>
    </xdr:from>
    <xdr:to>
      <xdr:col>11</xdr:col>
      <xdr:colOff>1581148</xdr:colOff>
      <xdr:row>77</xdr:row>
      <xdr:rowOff>161929</xdr:rowOff>
    </xdr:to>
    <xdr:sp macro="" textlink="">
      <xdr:nvSpPr>
        <xdr:cNvPr id="2" name="กล่องข้อความ 1"/>
        <xdr:cNvSpPr txBox="1"/>
      </xdr:nvSpPr>
      <xdr:spPr>
        <a:xfrm rot="5400000">
          <a:off x="11606210" y="24684041"/>
          <a:ext cx="1552577" cy="342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1362074</xdr:colOff>
      <xdr:row>18</xdr:row>
      <xdr:rowOff>19055</xdr:rowOff>
    </xdr:from>
    <xdr:to>
      <xdr:col>11</xdr:col>
      <xdr:colOff>1704973</xdr:colOff>
      <xdr:row>22</xdr:row>
      <xdr:rowOff>161928</xdr:rowOff>
    </xdr:to>
    <xdr:sp macro="" textlink="">
      <xdr:nvSpPr>
        <xdr:cNvPr id="4" name="กล่องข้อความ 3"/>
        <xdr:cNvSpPr txBox="1"/>
      </xdr:nvSpPr>
      <xdr:spPr>
        <a:xfrm rot="5400000">
          <a:off x="11749087" y="6510342"/>
          <a:ext cx="1514473" cy="342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1371599</xdr:colOff>
      <xdr:row>49</xdr:row>
      <xdr:rowOff>9530</xdr:rowOff>
    </xdr:from>
    <xdr:to>
      <xdr:col>11</xdr:col>
      <xdr:colOff>1714498</xdr:colOff>
      <xdr:row>53</xdr:row>
      <xdr:rowOff>152403</xdr:rowOff>
    </xdr:to>
    <xdr:sp macro="" textlink="">
      <xdr:nvSpPr>
        <xdr:cNvPr id="5" name="กล่องข้อความ 4"/>
        <xdr:cNvSpPr txBox="1"/>
      </xdr:nvSpPr>
      <xdr:spPr>
        <a:xfrm rot="5400000">
          <a:off x="11758612" y="16616367"/>
          <a:ext cx="1514473" cy="342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N80"/>
  <sheetViews>
    <sheetView tabSelected="1" zoomScaleNormal="100" workbookViewId="0">
      <selection activeCell="N6" sqref="N6"/>
    </sheetView>
  </sheetViews>
  <sheetFormatPr defaultColWidth="9" defaultRowHeight="24"/>
  <cols>
    <col min="1" max="1" width="6.140625" style="1" customWidth="1"/>
    <col min="2" max="2" width="13.28515625" style="11" customWidth="1"/>
    <col min="3" max="3" width="33.5703125" style="6" customWidth="1"/>
    <col min="4" max="4" width="40.85546875" style="1" customWidth="1"/>
    <col min="5" max="5" width="8.28515625" style="1" customWidth="1"/>
    <col min="6" max="6" width="8.5703125" style="1" customWidth="1"/>
    <col min="7" max="7" width="7.85546875" style="11" customWidth="1"/>
    <col min="8" max="9" width="8.28515625" style="1" customWidth="1"/>
    <col min="10" max="10" width="14.42578125" style="1" customWidth="1"/>
    <col min="11" max="11" width="15" style="1" customWidth="1"/>
    <col min="12" max="12" width="28.85546875" style="11" customWidth="1"/>
    <col min="13" max="16384" width="9" style="1"/>
  </cols>
  <sheetData>
    <row r="1" spans="1:12">
      <c r="L1" s="11" t="s">
        <v>97</v>
      </c>
    </row>
    <row r="2" spans="1:12">
      <c r="A2" s="89" t="s">
        <v>5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</row>
    <row r="3" spans="1:12">
      <c r="A3" s="90" t="s">
        <v>6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1:12">
      <c r="A4" s="100" t="s">
        <v>19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</row>
    <row r="5" spans="1:12" ht="28.5" customHeight="1">
      <c r="A5" s="101" t="s">
        <v>7</v>
      </c>
      <c r="B5" s="101" t="s">
        <v>18</v>
      </c>
      <c r="C5" s="101" t="s">
        <v>15</v>
      </c>
      <c r="D5" s="102" t="s">
        <v>0</v>
      </c>
      <c r="E5" s="101" t="s">
        <v>10</v>
      </c>
      <c r="F5" s="101" t="s">
        <v>9</v>
      </c>
      <c r="G5" s="103" t="s">
        <v>11</v>
      </c>
      <c r="H5" s="102" t="s">
        <v>1</v>
      </c>
      <c r="I5" s="102"/>
      <c r="J5" s="101" t="s">
        <v>14</v>
      </c>
      <c r="K5" s="101" t="s">
        <v>8</v>
      </c>
      <c r="L5" s="101" t="s">
        <v>13</v>
      </c>
    </row>
    <row r="6" spans="1:12" ht="51" customHeight="1">
      <c r="A6" s="101"/>
      <c r="B6" s="101"/>
      <c r="C6" s="101"/>
      <c r="D6" s="102"/>
      <c r="E6" s="101"/>
      <c r="F6" s="101"/>
      <c r="G6" s="103"/>
      <c r="H6" s="59" t="s">
        <v>12</v>
      </c>
      <c r="I6" s="60" t="s">
        <v>3</v>
      </c>
      <c r="J6" s="101"/>
      <c r="K6" s="101"/>
      <c r="L6" s="101"/>
    </row>
    <row r="7" spans="1:12">
      <c r="A7" s="33">
        <v>1</v>
      </c>
      <c r="B7" s="34" t="s">
        <v>86</v>
      </c>
      <c r="C7" s="35" t="s">
        <v>20</v>
      </c>
      <c r="D7" s="36" t="s">
        <v>21</v>
      </c>
      <c r="E7" s="37" t="s">
        <v>22</v>
      </c>
      <c r="F7" s="38">
        <v>25</v>
      </c>
      <c r="G7" s="39" t="s">
        <v>68</v>
      </c>
      <c r="H7" s="38">
        <v>2</v>
      </c>
      <c r="I7" s="39">
        <v>2</v>
      </c>
      <c r="J7" s="40">
        <v>1495.33</v>
      </c>
      <c r="K7" s="40">
        <f>SUM(I7*J7)</f>
        <v>2990.66</v>
      </c>
      <c r="L7" s="107" t="s">
        <v>73</v>
      </c>
    </row>
    <row r="8" spans="1:12">
      <c r="A8" s="4">
        <v>2</v>
      </c>
      <c r="B8" s="34" t="s">
        <v>86</v>
      </c>
      <c r="C8" s="17" t="s">
        <v>23</v>
      </c>
      <c r="D8" s="23" t="s">
        <v>24</v>
      </c>
      <c r="E8" s="24" t="s">
        <v>22</v>
      </c>
      <c r="F8" s="38">
        <v>25</v>
      </c>
      <c r="G8" s="18" t="s">
        <v>68</v>
      </c>
      <c r="H8" s="19">
        <v>1</v>
      </c>
      <c r="I8" s="19">
        <v>1</v>
      </c>
      <c r="J8" s="21">
        <v>8600</v>
      </c>
      <c r="K8" s="40">
        <f t="shared" ref="K8:K16" si="0">SUM(I8*J8)</f>
        <v>8600</v>
      </c>
      <c r="L8" s="107" t="s">
        <v>72</v>
      </c>
    </row>
    <row r="9" spans="1:12">
      <c r="A9" s="33">
        <v>3</v>
      </c>
      <c r="B9" s="34" t="s">
        <v>86</v>
      </c>
      <c r="C9" s="17" t="s">
        <v>25</v>
      </c>
      <c r="D9" s="23" t="s">
        <v>26</v>
      </c>
      <c r="E9" s="24" t="s">
        <v>22</v>
      </c>
      <c r="F9" s="38">
        <v>25</v>
      </c>
      <c r="G9" s="18" t="s">
        <v>68</v>
      </c>
      <c r="H9" s="19">
        <v>1</v>
      </c>
      <c r="I9" s="19">
        <v>1</v>
      </c>
      <c r="J9" s="21">
        <v>8600</v>
      </c>
      <c r="K9" s="40">
        <f t="shared" si="0"/>
        <v>8600</v>
      </c>
      <c r="L9" s="107" t="s">
        <v>72</v>
      </c>
    </row>
    <row r="10" spans="1:12">
      <c r="A10" s="4">
        <v>4</v>
      </c>
      <c r="B10" s="34" t="s">
        <v>86</v>
      </c>
      <c r="C10" s="17" t="s">
        <v>27</v>
      </c>
      <c r="D10" s="23" t="s">
        <v>28</v>
      </c>
      <c r="E10" s="24" t="s">
        <v>22</v>
      </c>
      <c r="F10" s="38">
        <v>25</v>
      </c>
      <c r="G10" s="18" t="s">
        <v>68</v>
      </c>
      <c r="H10" s="19">
        <v>1</v>
      </c>
      <c r="I10" s="19">
        <v>1</v>
      </c>
      <c r="J10" s="21">
        <v>8000</v>
      </c>
      <c r="K10" s="40">
        <f t="shared" si="0"/>
        <v>8000</v>
      </c>
      <c r="L10" s="107" t="s">
        <v>72</v>
      </c>
    </row>
    <row r="11" spans="1:12">
      <c r="A11" s="33">
        <v>5</v>
      </c>
      <c r="B11" s="34" t="s">
        <v>86</v>
      </c>
      <c r="C11" s="17" t="s">
        <v>29</v>
      </c>
      <c r="D11" s="23" t="s">
        <v>89</v>
      </c>
      <c r="E11" s="24" t="s">
        <v>22</v>
      </c>
      <c r="F11" s="38">
        <v>25</v>
      </c>
      <c r="G11" s="18" t="s">
        <v>68</v>
      </c>
      <c r="H11" s="19">
        <v>1</v>
      </c>
      <c r="I11" s="19">
        <v>1</v>
      </c>
      <c r="J11" s="21">
        <v>2500</v>
      </c>
      <c r="K11" s="40">
        <f t="shared" si="0"/>
        <v>2500</v>
      </c>
      <c r="L11" s="108" t="s">
        <v>74</v>
      </c>
    </row>
    <row r="12" spans="1:12">
      <c r="A12" s="4">
        <v>6</v>
      </c>
      <c r="B12" s="3">
        <v>2540</v>
      </c>
      <c r="C12" s="17" t="s">
        <v>30</v>
      </c>
      <c r="D12" s="23" t="s">
        <v>31</v>
      </c>
      <c r="E12" s="24" t="s">
        <v>22</v>
      </c>
      <c r="F12" s="19">
        <v>24</v>
      </c>
      <c r="G12" s="18" t="s">
        <v>68</v>
      </c>
      <c r="H12" s="19">
        <v>1</v>
      </c>
      <c r="I12" s="19">
        <v>1</v>
      </c>
      <c r="J12" s="21">
        <v>3800</v>
      </c>
      <c r="K12" s="40">
        <f t="shared" si="0"/>
        <v>3800</v>
      </c>
      <c r="L12" s="108" t="s">
        <v>75</v>
      </c>
    </row>
    <row r="13" spans="1:12">
      <c r="A13" s="33">
        <v>7</v>
      </c>
      <c r="B13" s="3">
        <v>2540</v>
      </c>
      <c r="C13" s="17" t="s">
        <v>32</v>
      </c>
      <c r="D13" s="23" t="s">
        <v>33</v>
      </c>
      <c r="E13" s="24" t="s">
        <v>22</v>
      </c>
      <c r="F13" s="19">
        <v>24</v>
      </c>
      <c r="G13" s="18" t="s">
        <v>68</v>
      </c>
      <c r="H13" s="19">
        <v>1</v>
      </c>
      <c r="I13" s="19">
        <v>1</v>
      </c>
      <c r="J13" s="21">
        <v>2600</v>
      </c>
      <c r="K13" s="40">
        <f t="shared" si="0"/>
        <v>2600</v>
      </c>
      <c r="L13" s="108" t="s">
        <v>76</v>
      </c>
    </row>
    <row r="14" spans="1:12">
      <c r="A14" s="4">
        <v>8</v>
      </c>
      <c r="B14" s="3">
        <v>2544</v>
      </c>
      <c r="C14" s="17" t="s">
        <v>34</v>
      </c>
      <c r="D14" s="23" t="s">
        <v>35</v>
      </c>
      <c r="E14" s="24" t="s">
        <v>36</v>
      </c>
      <c r="F14" s="19">
        <v>20</v>
      </c>
      <c r="G14" s="18" t="s">
        <v>68</v>
      </c>
      <c r="H14" s="19">
        <v>1</v>
      </c>
      <c r="I14" s="19">
        <v>1</v>
      </c>
      <c r="J14" s="21">
        <v>750</v>
      </c>
      <c r="K14" s="40">
        <f t="shared" si="0"/>
        <v>750</v>
      </c>
      <c r="L14" s="108" t="s">
        <v>77</v>
      </c>
    </row>
    <row r="15" spans="1:12">
      <c r="A15" s="33">
        <v>9</v>
      </c>
      <c r="B15" s="3">
        <v>2547</v>
      </c>
      <c r="C15" s="17" t="s">
        <v>37</v>
      </c>
      <c r="D15" s="17" t="s">
        <v>38</v>
      </c>
      <c r="E15" s="25" t="s">
        <v>36</v>
      </c>
      <c r="F15" s="19">
        <v>17</v>
      </c>
      <c r="G15" s="18" t="s">
        <v>68</v>
      </c>
      <c r="H15" s="19">
        <v>1</v>
      </c>
      <c r="I15" s="19">
        <v>1</v>
      </c>
      <c r="J15" s="20">
        <v>6900</v>
      </c>
      <c r="K15" s="40">
        <f t="shared" si="0"/>
        <v>6900</v>
      </c>
      <c r="L15" s="108" t="s">
        <v>99</v>
      </c>
    </row>
    <row r="16" spans="1:12">
      <c r="A16" s="4">
        <v>10</v>
      </c>
      <c r="B16" s="3">
        <v>2547</v>
      </c>
      <c r="C16" s="17" t="s">
        <v>39</v>
      </c>
      <c r="D16" s="17" t="s">
        <v>38</v>
      </c>
      <c r="E16" s="26" t="s">
        <v>36</v>
      </c>
      <c r="F16" s="19">
        <v>17</v>
      </c>
      <c r="G16" s="18" t="s">
        <v>68</v>
      </c>
      <c r="H16" s="19">
        <v>1</v>
      </c>
      <c r="I16" s="19">
        <v>1</v>
      </c>
      <c r="J16" s="20">
        <v>11900</v>
      </c>
      <c r="K16" s="40">
        <f t="shared" si="0"/>
        <v>11900</v>
      </c>
      <c r="L16" s="108" t="s">
        <v>99</v>
      </c>
    </row>
    <row r="17" spans="1:12" s="22" customFormat="1" ht="24.75" thickBot="1">
      <c r="A17" s="51"/>
      <c r="B17" s="51"/>
      <c r="C17" s="51"/>
      <c r="D17" s="51"/>
      <c r="E17" s="51"/>
      <c r="F17" s="51"/>
      <c r="G17" s="51"/>
      <c r="H17" s="51"/>
      <c r="I17" s="51"/>
      <c r="J17" s="52" t="s">
        <v>70</v>
      </c>
      <c r="K17" s="29">
        <f>SUM(K7:K16)</f>
        <v>56640.66</v>
      </c>
      <c r="L17" s="109"/>
    </row>
    <row r="18" spans="1:12" s="22" customFormat="1" ht="24.75" thickTop="1">
      <c r="A18" s="55"/>
      <c r="B18" s="9" t="s">
        <v>2</v>
      </c>
      <c r="C18" s="5" t="s">
        <v>16</v>
      </c>
      <c r="D18" s="2"/>
      <c r="E18" s="2"/>
      <c r="F18" s="2"/>
      <c r="G18" s="54"/>
      <c r="H18" s="2"/>
      <c r="I18" s="8"/>
      <c r="J18" s="2"/>
      <c r="K18" s="2"/>
      <c r="L18" s="54"/>
    </row>
    <row r="19" spans="1:12" s="22" customFormat="1">
      <c r="A19" s="55"/>
      <c r="B19" s="54"/>
      <c r="C19" s="5" t="s">
        <v>17</v>
      </c>
      <c r="D19" s="2"/>
      <c r="E19" s="2"/>
      <c r="F19" s="2"/>
      <c r="G19" s="54"/>
      <c r="H19" s="7"/>
      <c r="I19" s="7"/>
      <c r="J19" s="7"/>
      <c r="K19" s="7"/>
      <c r="L19" s="7"/>
    </row>
    <row r="20" spans="1:12" s="22" customFormat="1">
      <c r="A20" s="55"/>
      <c r="B20" s="54"/>
      <c r="C20" s="5"/>
      <c r="D20" s="2"/>
      <c r="E20" s="2"/>
      <c r="F20" s="2"/>
      <c r="G20" s="61" t="s">
        <v>90</v>
      </c>
      <c r="H20" s="87" t="s">
        <v>98</v>
      </c>
      <c r="I20" s="87"/>
      <c r="J20" s="87"/>
      <c r="K20" s="5" t="s">
        <v>91</v>
      </c>
      <c r="L20" s="7"/>
    </row>
    <row r="21" spans="1:12" s="22" customFormat="1">
      <c r="A21" s="55"/>
      <c r="B21" s="54"/>
      <c r="C21" s="5"/>
      <c r="D21" s="2"/>
      <c r="E21" s="2"/>
      <c r="F21" s="2"/>
      <c r="G21" s="61"/>
      <c r="H21" s="87" t="s">
        <v>92</v>
      </c>
      <c r="I21" s="87"/>
      <c r="J21" s="87"/>
      <c r="K21" s="5"/>
      <c r="L21" s="7"/>
    </row>
    <row r="22" spans="1:12" s="22" customFormat="1" ht="36" customHeight="1">
      <c r="A22" s="55"/>
      <c r="B22" s="11"/>
      <c r="C22" s="6"/>
      <c r="D22" s="1"/>
      <c r="E22" s="1"/>
      <c r="F22" s="1"/>
      <c r="G22" s="62" t="s">
        <v>90</v>
      </c>
      <c r="H22" s="87" t="s">
        <v>98</v>
      </c>
      <c r="I22" s="87"/>
      <c r="J22" s="87"/>
      <c r="K22" s="5" t="s">
        <v>93</v>
      </c>
      <c r="L22" s="11"/>
    </row>
    <row r="23" spans="1:12" s="22" customFormat="1">
      <c r="A23" s="55"/>
      <c r="B23" s="11"/>
      <c r="C23" s="6"/>
      <c r="D23" s="1"/>
      <c r="E23" s="1"/>
      <c r="F23" s="1"/>
      <c r="G23" s="62"/>
      <c r="H23" s="87" t="s">
        <v>94</v>
      </c>
      <c r="I23" s="87"/>
      <c r="J23" s="87"/>
      <c r="K23" s="5"/>
      <c r="L23" s="11"/>
    </row>
    <row r="24" spans="1:12" s="22" customFormat="1" ht="39" customHeight="1">
      <c r="A24" s="55"/>
      <c r="B24" s="11"/>
      <c r="C24" s="6"/>
      <c r="D24" s="1"/>
      <c r="E24" s="1"/>
      <c r="F24" s="1"/>
      <c r="G24" s="62" t="s">
        <v>90</v>
      </c>
      <c r="H24" s="87" t="s">
        <v>98</v>
      </c>
      <c r="I24" s="87"/>
      <c r="J24" s="87"/>
      <c r="K24" s="6" t="s">
        <v>95</v>
      </c>
      <c r="L24" s="11"/>
    </row>
    <row r="25" spans="1:12" s="22" customFormat="1">
      <c r="A25" s="55"/>
      <c r="B25" s="11"/>
      <c r="C25" s="6"/>
      <c r="D25" s="1"/>
      <c r="E25" s="1"/>
      <c r="F25" s="1"/>
      <c r="G25" s="11"/>
      <c r="H25" s="88" t="s">
        <v>96</v>
      </c>
      <c r="I25" s="88"/>
      <c r="J25" s="88"/>
      <c r="K25" s="1"/>
      <c r="L25" s="11"/>
    </row>
    <row r="26" spans="1:12" s="22" customFormat="1">
      <c r="A26" s="55"/>
      <c r="B26" s="55"/>
      <c r="C26" s="55"/>
      <c r="D26" s="55"/>
      <c r="E26" s="55"/>
      <c r="F26" s="55"/>
      <c r="G26" s="55"/>
      <c r="H26" s="55"/>
      <c r="I26" s="55"/>
      <c r="J26" s="56"/>
      <c r="K26" s="57"/>
      <c r="L26" s="58"/>
    </row>
    <row r="27" spans="1:12" s="22" customFormat="1">
      <c r="A27" s="55"/>
      <c r="B27" s="55"/>
      <c r="C27" s="55"/>
      <c r="D27" s="55"/>
      <c r="E27" s="55"/>
      <c r="F27" s="55"/>
      <c r="G27" s="55"/>
      <c r="H27" s="55"/>
      <c r="I27" s="55"/>
      <c r="J27" s="56"/>
      <c r="K27" s="57"/>
      <c r="L27" s="58"/>
    </row>
    <row r="28" spans="1:12" s="22" customFormat="1">
      <c r="A28" s="55"/>
      <c r="B28" s="55"/>
      <c r="C28" s="55"/>
      <c r="D28" s="55"/>
      <c r="E28" s="55"/>
      <c r="F28" s="55"/>
      <c r="G28" s="55"/>
      <c r="H28" s="55"/>
      <c r="I28" s="55"/>
      <c r="J28" s="56"/>
      <c r="K28" s="57"/>
      <c r="L28" s="58"/>
    </row>
    <row r="29" spans="1:12">
      <c r="A29" s="2"/>
      <c r="B29" s="12"/>
      <c r="C29" s="5"/>
      <c r="D29" s="2"/>
      <c r="E29" s="2"/>
      <c r="F29" s="2"/>
      <c r="G29" s="12"/>
      <c r="L29" s="7"/>
    </row>
    <row r="31" spans="1:12" s="22" customFormat="1">
      <c r="A31" s="1"/>
      <c r="B31" s="11"/>
      <c r="C31" s="6"/>
      <c r="D31" s="1"/>
      <c r="E31" s="1"/>
      <c r="F31" s="1"/>
      <c r="G31" s="11"/>
      <c r="H31" s="12"/>
      <c r="I31" s="12"/>
      <c r="J31" s="12"/>
      <c r="K31" s="12"/>
      <c r="L31" s="11" t="s">
        <v>100</v>
      </c>
    </row>
    <row r="32" spans="1:12" s="22" customFormat="1">
      <c r="A32" s="89" t="s">
        <v>5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</row>
    <row r="33" spans="1:14" s="22" customFormat="1">
      <c r="A33" s="90" t="s">
        <v>6</v>
      </c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</row>
    <row r="34" spans="1:14" s="22" customFormat="1">
      <c r="A34" s="100" t="s">
        <v>19</v>
      </c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</row>
    <row r="35" spans="1:14" s="22" customFormat="1">
      <c r="A35" s="101" t="s">
        <v>7</v>
      </c>
      <c r="B35" s="101" t="s">
        <v>18</v>
      </c>
      <c r="C35" s="101" t="s">
        <v>15</v>
      </c>
      <c r="D35" s="102" t="s">
        <v>0</v>
      </c>
      <c r="E35" s="101" t="s">
        <v>10</v>
      </c>
      <c r="F35" s="101" t="s">
        <v>9</v>
      </c>
      <c r="G35" s="103" t="s">
        <v>11</v>
      </c>
      <c r="H35" s="102" t="s">
        <v>1</v>
      </c>
      <c r="I35" s="102"/>
      <c r="J35" s="101" t="s">
        <v>14</v>
      </c>
      <c r="K35" s="101" t="s">
        <v>8</v>
      </c>
      <c r="L35" s="101" t="s">
        <v>13</v>
      </c>
    </row>
    <row r="36" spans="1:14" s="22" customFormat="1" ht="48">
      <c r="A36" s="101"/>
      <c r="B36" s="101"/>
      <c r="C36" s="101"/>
      <c r="D36" s="102"/>
      <c r="E36" s="101"/>
      <c r="F36" s="101"/>
      <c r="G36" s="103"/>
      <c r="H36" s="59" t="s">
        <v>12</v>
      </c>
      <c r="I36" s="60" t="s">
        <v>3</v>
      </c>
      <c r="J36" s="101"/>
      <c r="K36" s="101"/>
      <c r="L36" s="101"/>
    </row>
    <row r="37" spans="1:14" s="22" customFormat="1">
      <c r="A37" s="13"/>
      <c r="B37" s="13"/>
      <c r="C37" s="13"/>
      <c r="D37" s="14"/>
      <c r="E37" s="13"/>
      <c r="F37" s="13"/>
      <c r="G37" s="15"/>
      <c r="H37" s="15"/>
      <c r="I37" s="30"/>
      <c r="J37" s="41" t="s">
        <v>71</v>
      </c>
      <c r="K37" s="49">
        <f>SUM(K17)</f>
        <v>56640.66</v>
      </c>
      <c r="L37" s="13"/>
    </row>
    <row r="38" spans="1:14" s="22" customFormat="1">
      <c r="A38" s="33">
        <v>11</v>
      </c>
      <c r="B38" s="3">
        <v>2548</v>
      </c>
      <c r="C38" s="17" t="s">
        <v>40</v>
      </c>
      <c r="D38" s="23" t="s">
        <v>41</v>
      </c>
      <c r="E38" s="18" t="s">
        <v>42</v>
      </c>
      <c r="F38" s="19">
        <v>16</v>
      </c>
      <c r="G38" s="18" t="s">
        <v>68</v>
      </c>
      <c r="H38" s="19">
        <v>1</v>
      </c>
      <c r="I38" s="19">
        <v>1</v>
      </c>
      <c r="J38" s="21">
        <v>700</v>
      </c>
      <c r="K38" s="40">
        <f>SUM(I38*J38)</f>
        <v>700</v>
      </c>
      <c r="L38" s="108" t="s">
        <v>84</v>
      </c>
    </row>
    <row r="39" spans="1:14" s="22" customFormat="1">
      <c r="A39" s="4">
        <v>12</v>
      </c>
      <c r="B39" s="3">
        <v>2549</v>
      </c>
      <c r="C39" s="17" t="s">
        <v>43</v>
      </c>
      <c r="D39" s="17" t="s">
        <v>44</v>
      </c>
      <c r="E39" s="18" t="s">
        <v>36</v>
      </c>
      <c r="F39" s="19">
        <v>15</v>
      </c>
      <c r="G39" s="18" t="s">
        <v>68</v>
      </c>
      <c r="H39" s="19">
        <v>1</v>
      </c>
      <c r="I39" s="19">
        <v>1</v>
      </c>
      <c r="J39" s="20">
        <v>19088.8</v>
      </c>
      <c r="K39" s="40">
        <f t="shared" ref="K39:K47" si="1">SUM(I39*J39)</f>
        <v>19088.8</v>
      </c>
      <c r="L39" s="108" t="s">
        <v>102</v>
      </c>
    </row>
    <row r="40" spans="1:14">
      <c r="A40" s="4">
        <v>13</v>
      </c>
      <c r="B40" s="3">
        <v>2549</v>
      </c>
      <c r="C40" s="17" t="s">
        <v>45</v>
      </c>
      <c r="D40" s="23" t="s">
        <v>46</v>
      </c>
      <c r="E40" s="24" t="s">
        <v>42</v>
      </c>
      <c r="F40" s="19">
        <v>15</v>
      </c>
      <c r="G40" s="18" t="s">
        <v>68</v>
      </c>
      <c r="H40" s="19">
        <v>1</v>
      </c>
      <c r="I40" s="19">
        <v>1</v>
      </c>
      <c r="J40" s="21">
        <v>1370</v>
      </c>
      <c r="K40" s="40">
        <f t="shared" si="1"/>
        <v>1370</v>
      </c>
      <c r="L40" s="108" t="s">
        <v>69</v>
      </c>
    </row>
    <row r="41" spans="1:14">
      <c r="A41" s="4">
        <v>14</v>
      </c>
      <c r="B41" s="3">
        <v>2549</v>
      </c>
      <c r="C41" s="17" t="s">
        <v>47</v>
      </c>
      <c r="D41" s="23" t="s">
        <v>48</v>
      </c>
      <c r="E41" s="24" t="s">
        <v>42</v>
      </c>
      <c r="F41" s="19">
        <v>15</v>
      </c>
      <c r="G41" s="18" t="s">
        <v>68</v>
      </c>
      <c r="H41" s="19">
        <v>1</v>
      </c>
      <c r="I41" s="19">
        <v>1</v>
      </c>
      <c r="J41" s="21">
        <v>600</v>
      </c>
      <c r="K41" s="40">
        <f t="shared" si="1"/>
        <v>600</v>
      </c>
      <c r="L41" s="108" t="s">
        <v>69</v>
      </c>
    </row>
    <row r="42" spans="1:14">
      <c r="A42" s="4">
        <v>15</v>
      </c>
      <c r="B42" s="3">
        <v>2549</v>
      </c>
      <c r="C42" s="17" t="s">
        <v>49</v>
      </c>
      <c r="D42" s="17" t="s">
        <v>50</v>
      </c>
      <c r="E42" s="18" t="s">
        <v>36</v>
      </c>
      <c r="F42" s="19">
        <v>15</v>
      </c>
      <c r="G42" s="18" t="s">
        <v>68</v>
      </c>
      <c r="H42" s="19">
        <v>1</v>
      </c>
      <c r="I42" s="19">
        <v>1</v>
      </c>
      <c r="J42" s="20">
        <v>5296.5</v>
      </c>
      <c r="K42" s="40">
        <f t="shared" si="1"/>
        <v>5296.5</v>
      </c>
      <c r="L42" s="108" t="s">
        <v>79</v>
      </c>
      <c r="N42" s="53"/>
    </row>
    <row r="43" spans="1:14" s="22" customFormat="1">
      <c r="A43" s="4">
        <v>16</v>
      </c>
      <c r="B43" s="16" t="s">
        <v>87</v>
      </c>
      <c r="C43" s="17" t="s">
        <v>51</v>
      </c>
      <c r="D43" s="17" t="s">
        <v>52</v>
      </c>
      <c r="E43" s="18" t="s">
        <v>36</v>
      </c>
      <c r="F43" s="19">
        <v>14</v>
      </c>
      <c r="G43" s="18" t="s">
        <v>68</v>
      </c>
      <c r="H43" s="19">
        <v>1</v>
      </c>
      <c r="I43" s="19">
        <v>1</v>
      </c>
      <c r="J43" s="20">
        <v>6120</v>
      </c>
      <c r="K43" s="40">
        <f t="shared" si="1"/>
        <v>6120</v>
      </c>
      <c r="L43" s="108" t="s">
        <v>104</v>
      </c>
    </row>
    <row r="44" spans="1:14" s="22" customFormat="1">
      <c r="A44" s="4">
        <v>17</v>
      </c>
      <c r="B44" s="16" t="s">
        <v>87</v>
      </c>
      <c r="C44" s="17" t="s">
        <v>53</v>
      </c>
      <c r="D44" s="17" t="s">
        <v>54</v>
      </c>
      <c r="E44" s="18" t="s">
        <v>36</v>
      </c>
      <c r="F44" s="19">
        <v>14</v>
      </c>
      <c r="G44" s="18" t="s">
        <v>68</v>
      </c>
      <c r="H44" s="19">
        <v>1</v>
      </c>
      <c r="I44" s="19">
        <v>1</v>
      </c>
      <c r="J44" s="20">
        <v>1100</v>
      </c>
      <c r="K44" s="40">
        <f t="shared" si="1"/>
        <v>1100</v>
      </c>
      <c r="L44" s="108" t="s">
        <v>104</v>
      </c>
    </row>
    <row r="45" spans="1:14" s="22" customFormat="1">
      <c r="A45" s="4">
        <v>18</v>
      </c>
      <c r="B45" s="16" t="s">
        <v>87</v>
      </c>
      <c r="C45" s="17" t="s">
        <v>55</v>
      </c>
      <c r="D45" s="17" t="s">
        <v>56</v>
      </c>
      <c r="E45" s="18" t="s">
        <v>36</v>
      </c>
      <c r="F45" s="19">
        <v>14</v>
      </c>
      <c r="G45" s="18" t="s">
        <v>68</v>
      </c>
      <c r="H45" s="19">
        <v>2</v>
      </c>
      <c r="I45" s="19">
        <v>2</v>
      </c>
      <c r="J45" s="20">
        <v>17300</v>
      </c>
      <c r="K45" s="40">
        <f t="shared" si="1"/>
        <v>34600</v>
      </c>
      <c r="L45" s="108" t="s">
        <v>80</v>
      </c>
    </row>
    <row r="46" spans="1:14" s="22" customFormat="1">
      <c r="A46" s="4">
        <v>19</v>
      </c>
      <c r="B46" s="16" t="s">
        <v>87</v>
      </c>
      <c r="C46" s="17" t="s">
        <v>57</v>
      </c>
      <c r="D46" s="17" t="s">
        <v>58</v>
      </c>
      <c r="E46" s="18" t="s">
        <v>36</v>
      </c>
      <c r="F46" s="19">
        <v>14</v>
      </c>
      <c r="G46" s="18" t="s">
        <v>68</v>
      </c>
      <c r="H46" s="19">
        <v>1</v>
      </c>
      <c r="I46" s="19">
        <v>1</v>
      </c>
      <c r="J46" s="20">
        <v>29000</v>
      </c>
      <c r="K46" s="40">
        <f t="shared" si="1"/>
        <v>29000</v>
      </c>
      <c r="L46" s="108" t="s">
        <v>80</v>
      </c>
    </row>
    <row r="47" spans="1:14" s="22" customFormat="1">
      <c r="A47" s="4">
        <v>20</v>
      </c>
      <c r="B47" s="16" t="s">
        <v>87</v>
      </c>
      <c r="C47" s="17" t="s">
        <v>59</v>
      </c>
      <c r="D47" s="23" t="s">
        <v>60</v>
      </c>
      <c r="E47" s="18" t="s">
        <v>36</v>
      </c>
      <c r="F47" s="19">
        <v>14</v>
      </c>
      <c r="G47" s="18" t="s">
        <v>68</v>
      </c>
      <c r="H47" s="19">
        <v>2</v>
      </c>
      <c r="I47" s="19">
        <v>2</v>
      </c>
      <c r="J47" s="21">
        <v>1700</v>
      </c>
      <c r="K47" s="40">
        <f t="shared" si="1"/>
        <v>3400</v>
      </c>
      <c r="L47" s="108" t="s">
        <v>81</v>
      </c>
    </row>
    <row r="48" spans="1:14" s="22" customFormat="1" ht="24.75" thickBot="1">
      <c r="A48" s="71"/>
      <c r="B48" s="72"/>
      <c r="C48" s="73"/>
      <c r="D48" s="74"/>
      <c r="E48" s="75"/>
      <c r="F48" s="76"/>
      <c r="G48" s="75"/>
      <c r="H48" s="76"/>
      <c r="I48" s="76"/>
      <c r="J48" s="78" t="s">
        <v>70</v>
      </c>
      <c r="K48" s="77">
        <f>SUM(K37:K47)</f>
        <v>157915.96000000002</v>
      </c>
      <c r="L48" s="110"/>
    </row>
    <row r="49" spans="1:12" s="58" customFormat="1" ht="24.75" thickTop="1">
      <c r="A49" s="63"/>
      <c r="B49" s="9" t="s">
        <v>2</v>
      </c>
      <c r="C49" s="5" t="s">
        <v>16</v>
      </c>
      <c r="D49" s="2"/>
      <c r="E49" s="2"/>
      <c r="F49" s="2"/>
      <c r="G49" s="54"/>
      <c r="H49" s="2"/>
      <c r="I49" s="8"/>
      <c r="J49" s="2"/>
      <c r="K49" s="2"/>
      <c r="L49" s="54"/>
    </row>
    <row r="50" spans="1:12" s="58" customFormat="1">
      <c r="A50" s="63"/>
      <c r="B50" s="54"/>
      <c r="C50" s="5" t="s">
        <v>17</v>
      </c>
      <c r="D50" s="2"/>
      <c r="E50" s="2"/>
      <c r="F50" s="2"/>
      <c r="G50" s="54"/>
      <c r="H50" s="7"/>
      <c r="I50" s="7"/>
      <c r="J50" s="7"/>
      <c r="K50" s="7"/>
      <c r="L50" s="7"/>
    </row>
    <row r="51" spans="1:12" s="58" customFormat="1">
      <c r="A51" s="63"/>
      <c r="B51" s="54"/>
      <c r="C51" s="5"/>
      <c r="D51" s="2"/>
      <c r="E51" s="2"/>
      <c r="F51" s="2"/>
      <c r="G51" s="61" t="s">
        <v>90</v>
      </c>
      <c r="H51" s="87" t="s">
        <v>98</v>
      </c>
      <c r="I51" s="87"/>
      <c r="J51" s="87"/>
      <c r="K51" s="5" t="s">
        <v>91</v>
      </c>
      <c r="L51" s="7"/>
    </row>
    <row r="52" spans="1:12" s="58" customFormat="1">
      <c r="A52" s="63"/>
      <c r="B52" s="54"/>
      <c r="C52" s="5"/>
      <c r="D52" s="2"/>
      <c r="E52" s="2"/>
      <c r="F52" s="2"/>
      <c r="G52" s="61"/>
      <c r="H52" s="87" t="s">
        <v>92</v>
      </c>
      <c r="I52" s="87"/>
      <c r="J52" s="87"/>
      <c r="K52" s="5"/>
      <c r="L52" s="7"/>
    </row>
    <row r="53" spans="1:12" s="58" customFormat="1" ht="36" customHeight="1">
      <c r="A53" s="63"/>
      <c r="B53" s="11"/>
      <c r="C53" s="6"/>
      <c r="D53" s="1"/>
      <c r="E53" s="1"/>
      <c r="F53" s="1"/>
      <c r="G53" s="62" t="s">
        <v>90</v>
      </c>
      <c r="H53" s="87" t="s">
        <v>98</v>
      </c>
      <c r="I53" s="87"/>
      <c r="J53" s="87"/>
      <c r="K53" s="5" t="s">
        <v>93</v>
      </c>
      <c r="L53" s="11"/>
    </row>
    <row r="54" spans="1:12" s="58" customFormat="1">
      <c r="A54" s="63"/>
      <c r="B54" s="11"/>
      <c r="C54" s="6"/>
      <c r="D54" s="1"/>
      <c r="E54" s="1"/>
      <c r="F54" s="1"/>
      <c r="G54" s="62"/>
      <c r="H54" s="87" t="s">
        <v>94</v>
      </c>
      <c r="I54" s="87"/>
      <c r="J54" s="87"/>
      <c r="K54" s="5"/>
      <c r="L54" s="11"/>
    </row>
    <row r="55" spans="1:12" s="58" customFormat="1" ht="40.5" customHeight="1">
      <c r="A55" s="63"/>
      <c r="B55" s="11"/>
      <c r="C55" s="6"/>
      <c r="D55" s="1"/>
      <c r="E55" s="1"/>
      <c r="F55" s="1"/>
      <c r="G55" s="62" t="s">
        <v>90</v>
      </c>
      <c r="H55" s="87" t="s">
        <v>98</v>
      </c>
      <c r="I55" s="87"/>
      <c r="J55" s="87"/>
      <c r="K55" s="6" t="s">
        <v>95</v>
      </c>
      <c r="L55" s="11"/>
    </row>
    <row r="56" spans="1:12" s="58" customFormat="1">
      <c r="A56" s="63"/>
      <c r="B56" s="11"/>
      <c r="C56" s="6"/>
      <c r="D56" s="1"/>
      <c r="E56" s="1"/>
      <c r="F56" s="1"/>
      <c r="G56" s="11"/>
      <c r="H56" s="88" t="s">
        <v>96</v>
      </c>
      <c r="I56" s="88"/>
      <c r="J56" s="88"/>
      <c r="K56" s="1"/>
      <c r="L56" s="11"/>
    </row>
    <row r="57" spans="1:12" s="58" customFormat="1">
      <c r="A57" s="63"/>
      <c r="B57" s="64"/>
      <c r="C57" s="65"/>
      <c r="D57" s="66"/>
      <c r="E57" s="67"/>
      <c r="F57" s="68"/>
      <c r="G57" s="67"/>
      <c r="H57" s="68"/>
      <c r="I57" s="68"/>
      <c r="J57" s="69"/>
      <c r="K57" s="69"/>
      <c r="L57" s="70"/>
    </row>
    <row r="58" spans="1:12" s="58" customFormat="1">
      <c r="A58" s="63"/>
      <c r="B58" s="64"/>
      <c r="C58" s="65"/>
      <c r="D58" s="66"/>
      <c r="E58" s="67"/>
      <c r="F58" s="68"/>
      <c r="G58" s="67"/>
      <c r="H58" s="68"/>
      <c r="I58" s="68"/>
      <c r="J58" s="69"/>
      <c r="K58" s="69"/>
      <c r="L58" s="70"/>
    </row>
    <row r="59" spans="1:12" s="58" customFormat="1">
      <c r="A59" s="63"/>
      <c r="B59" s="64"/>
      <c r="C59" s="65"/>
      <c r="D59" s="66"/>
      <c r="E59" s="67"/>
      <c r="F59" s="68"/>
      <c r="G59" s="67"/>
      <c r="H59" s="68"/>
      <c r="I59" s="68"/>
      <c r="J59" s="69"/>
      <c r="K59" s="69"/>
      <c r="L59" s="70"/>
    </row>
    <row r="60" spans="1:12" s="58" customFormat="1">
      <c r="A60" s="63"/>
      <c r="B60" s="64"/>
      <c r="C60" s="65"/>
      <c r="D60" s="66"/>
      <c r="E60" s="67"/>
      <c r="F60" s="68"/>
      <c r="G60" s="67"/>
      <c r="H60" s="68"/>
      <c r="I60" s="68"/>
      <c r="J60" s="69"/>
      <c r="K60" s="69"/>
      <c r="L60" s="70"/>
    </row>
    <row r="61" spans="1:12" s="58" customFormat="1">
      <c r="A61" s="63"/>
      <c r="B61" s="64"/>
      <c r="C61" s="65"/>
      <c r="D61" s="66"/>
      <c r="E61" s="67"/>
      <c r="F61" s="68"/>
      <c r="G61" s="67"/>
      <c r="H61" s="68"/>
      <c r="I61" s="68"/>
      <c r="J61" s="69"/>
      <c r="K61" s="69"/>
      <c r="L61" s="11" t="s">
        <v>101</v>
      </c>
    </row>
    <row r="62" spans="1:12" s="22" customFormat="1">
      <c r="A62" s="89" t="s">
        <v>5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</row>
    <row r="63" spans="1:12" s="22" customFormat="1">
      <c r="A63" s="90" t="s">
        <v>6</v>
      </c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</row>
    <row r="64" spans="1:12" s="22" customFormat="1" ht="24.75" thickBot="1">
      <c r="A64" s="91" t="s">
        <v>19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</row>
    <row r="65" spans="1:12" s="22" customFormat="1" ht="24.75" thickTop="1">
      <c r="A65" s="92" t="s">
        <v>7</v>
      </c>
      <c r="B65" s="92" t="s">
        <v>18</v>
      </c>
      <c r="C65" s="92" t="s">
        <v>15</v>
      </c>
      <c r="D65" s="94" t="s">
        <v>0</v>
      </c>
      <c r="E65" s="92" t="s">
        <v>10</v>
      </c>
      <c r="F65" s="92" t="s">
        <v>9</v>
      </c>
      <c r="G65" s="96" t="s">
        <v>11</v>
      </c>
      <c r="H65" s="98" t="s">
        <v>1</v>
      </c>
      <c r="I65" s="99"/>
      <c r="J65" s="92" t="s">
        <v>14</v>
      </c>
      <c r="K65" s="92" t="s">
        <v>8</v>
      </c>
      <c r="L65" s="92" t="s">
        <v>13</v>
      </c>
    </row>
    <row r="66" spans="1:12" s="22" customFormat="1" ht="48.75" thickBot="1">
      <c r="A66" s="93"/>
      <c r="B66" s="93"/>
      <c r="C66" s="93"/>
      <c r="D66" s="95"/>
      <c r="E66" s="93"/>
      <c r="F66" s="93"/>
      <c r="G66" s="97"/>
      <c r="H66" s="31" t="s">
        <v>12</v>
      </c>
      <c r="I66" s="32" t="s">
        <v>3</v>
      </c>
      <c r="J66" s="93"/>
      <c r="K66" s="93"/>
      <c r="L66" s="93"/>
    </row>
    <row r="67" spans="1:12" s="85" customFormat="1" ht="24.75" thickTop="1">
      <c r="A67" s="79"/>
      <c r="B67" s="80"/>
      <c r="C67" s="81"/>
      <c r="D67" s="81"/>
      <c r="E67" s="82"/>
      <c r="F67" s="83"/>
      <c r="G67" s="82"/>
      <c r="H67" s="83"/>
      <c r="I67" s="83"/>
      <c r="J67" s="86" t="s">
        <v>71</v>
      </c>
      <c r="K67" s="86">
        <f>SUM(K48)</f>
        <v>157915.96000000002</v>
      </c>
      <c r="L67" s="84"/>
    </row>
    <row r="68" spans="1:12" s="22" customFormat="1">
      <c r="A68" s="4">
        <v>21</v>
      </c>
      <c r="B68" s="16" t="s">
        <v>88</v>
      </c>
      <c r="C68" s="17" t="s">
        <v>61</v>
      </c>
      <c r="D68" s="17" t="s">
        <v>85</v>
      </c>
      <c r="E68" s="24" t="s">
        <v>22</v>
      </c>
      <c r="F68" s="19">
        <v>11</v>
      </c>
      <c r="G68" s="18" t="s">
        <v>68</v>
      </c>
      <c r="H68" s="19">
        <v>1</v>
      </c>
      <c r="I68" s="19">
        <v>1</v>
      </c>
      <c r="J68" s="20">
        <v>1100</v>
      </c>
      <c r="K68" s="21">
        <f>SUM(I68*J68)</f>
        <v>1100</v>
      </c>
      <c r="L68" s="108" t="s">
        <v>82</v>
      </c>
    </row>
    <row r="69" spans="1:12" s="22" customFormat="1">
      <c r="A69" s="4">
        <v>22</v>
      </c>
      <c r="B69" s="16" t="s">
        <v>88</v>
      </c>
      <c r="C69" s="27" t="s">
        <v>62</v>
      </c>
      <c r="D69" s="28" t="s">
        <v>63</v>
      </c>
      <c r="E69" s="24" t="s">
        <v>22</v>
      </c>
      <c r="F69" s="19">
        <v>11</v>
      </c>
      <c r="G69" s="18" t="s">
        <v>68</v>
      </c>
      <c r="H69" s="19">
        <v>1</v>
      </c>
      <c r="I69" s="19">
        <v>1</v>
      </c>
      <c r="J69" s="21">
        <v>5350</v>
      </c>
      <c r="K69" s="21">
        <f t="shared" ref="K69:K71" si="2">SUM(I69*J69)</f>
        <v>5350</v>
      </c>
      <c r="L69" s="108" t="s">
        <v>103</v>
      </c>
    </row>
    <row r="70" spans="1:12">
      <c r="A70" s="4">
        <v>23</v>
      </c>
      <c r="B70" s="16" t="s">
        <v>88</v>
      </c>
      <c r="C70" s="17" t="s">
        <v>64</v>
      </c>
      <c r="D70" s="17" t="s">
        <v>65</v>
      </c>
      <c r="E70" s="24" t="s">
        <v>22</v>
      </c>
      <c r="F70" s="19">
        <v>11</v>
      </c>
      <c r="G70" s="18" t="s">
        <v>68</v>
      </c>
      <c r="H70" s="19">
        <v>1</v>
      </c>
      <c r="I70" s="19">
        <v>1</v>
      </c>
      <c r="J70" s="20">
        <v>2590</v>
      </c>
      <c r="K70" s="21">
        <f t="shared" si="2"/>
        <v>2590</v>
      </c>
      <c r="L70" s="108" t="s">
        <v>78</v>
      </c>
    </row>
    <row r="71" spans="1:12">
      <c r="A71" s="4">
        <v>24</v>
      </c>
      <c r="B71" s="16" t="s">
        <v>88</v>
      </c>
      <c r="C71" s="43" t="s">
        <v>66</v>
      </c>
      <c r="D71" s="44" t="s">
        <v>67</v>
      </c>
      <c r="E71" s="45" t="s">
        <v>22</v>
      </c>
      <c r="F71" s="19">
        <v>11</v>
      </c>
      <c r="G71" s="47" t="s">
        <v>68</v>
      </c>
      <c r="H71" s="46">
        <v>1</v>
      </c>
      <c r="I71" s="46">
        <v>1</v>
      </c>
      <c r="J71" s="42">
        <v>17000</v>
      </c>
      <c r="K71" s="21">
        <f t="shared" si="2"/>
        <v>17000</v>
      </c>
      <c r="L71" s="111" t="s">
        <v>83</v>
      </c>
    </row>
    <row r="72" spans="1:12" ht="24.75" thickBot="1">
      <c r="A72" s="104" t="s">
        <v>4</v>
      </c>
      <c r="B72" s="105"/>
      <c r="C72" s="105"/>
      <c r="D72" s="105"/>
      <c r="E72" s="105"/>
      <c r="F72" s="105"/>
      <c r="G72" s="105"/>
      <c r="H72" s="105"/>
      <c r="I72" s="105"/>
      <c r="J72" s="106"/>
      <c r="K72" s="50">
        <f>SUM(K67:K71)</f>
        <v>183955.96000000002</v>
      </c>
      <c r="L72" s="48"/>
    </row>
    <row r="73" spans="1:12" ht="24.75" thickTop="1">
      <c r="A73" s="2"/>
      <c r="B73" s="9" t="s">
        <v>2</v>
      </c>
      <c r="C73" s="5" t="s">
        <v>16</v>
      </c>
      <c r="D73" s="2"/>
      <c r="E73" s="2"/>
      <c r="F73" s="2"/>
      <c r="G73" s="12"/>
      <c r="H73" s="2"/>
      <c r="I73" s="8"/>
      <c r="J73" s="2"/>
      <c r="K73" s="2"/>
      <c r="L73" s="10"/>
    </row>
    <row r="74" spans="1:12">
      <c r="A74" s="2"/>
      <c r="B74" s="10"/>
      <c r="C74" s="5" t="s">
        <v>17</v>
      </c>
      <c r="D74" s="2"/>
      <c r="E74" s="2"/>
      <c r="F74" s="2"/>
      <c r="G74" s="12"/>
      <c r="H74" s="7"/>
      <c r="I74" s="7"/>
      <c r="J74" s="7"/>
      <c r="K74" s="7"/>
      <c r="L74" s="7"/>
    </row>
    <row r="75" spans="1:12">
      <c r="A75" s="2"/>
      <c r="B75" s="10"/>
      <c r="C75" s="5"/>
      <c r="D75" s="2"/>
      <c r="E75" s="2"/>
      <c r="F75" s="2"/>
      <c r="G75" s="61" t="s">
        <v>90</v>
      </c>
      <c r="H75" s="87" t="s">
        <v>98</v>
      </c>
      <c r="I75" s="87"/>
      <c r="J75" s="87"/>
      <c r="K75" s="5" t="s">
        <v>91</v>
      </c>
      <c r="L75" s="7"/>
    </row>
    <row r="76" spans="1:12">
      <c r="A76" s="2"/>
      <c r="B76" s="10"/>
      <c r="C76" s="5"/>
      <c r="D76" s="2"/>
      <c r="E76" s="2"/>
      <c r="F76" s="2"/>
      <c r="G76" s="61"/>
      <c r="H76" s="87" t="s">
        <v>92</v>
      </c>
      <c r="I76" s="87"/>
      <c r="J76" s="87"/>
      <c r="K76" s="5"/>
      <c r="L76" s="7"/>
    </row>
    <row r="77" spans="1:12" ht="39" customHeight="1">
      <c r="G77" s="62" t="s">
        <v>90</v>
      </c>
      <c r="H77" s="87" t="s">
        <v>98</v>
      </c>
      <c r="I77" s="87"/>
      <c r="J77" s="87"/>
      <c r="K77" s="5" t="s">
        <v>93</v>
      </c>
    </row>
    <row r="78" spans="1:12">
      <c r="G78" s="62"/>
      <c r="H78" s="87" t="s">
        <v>94</v>
      </c>
      <c r="I78" s="87"/>
      <c r="J78" s="87"/>
      <c r="K78" s="5"/>
    </row>
    <row r="79" spans="1:12" ht="43.5" customHeight="1">
      <c r="G79" s="62" t="s">
        <v>90</v>
      </c>
      <c r="H79" s="87" t="s">
        <v>98</v>
      </c>
      <c r="I79" s="87"/>
      <c r="J79" s="87"/>
      <c r="K79" s="6" t="s">
        <v>95</v>
      </c>
    </row>
    <row r="80" spans="1:12">
      <c r="H80" s="88" t="s">
        <v>96</v>
      </c>
      <c r="I80" s="88"/>
      <c r="J80" s="88"/>
    </row>
  </sheetData>
  <mergeCells count="61">
    <mergeCell ref="H52:J52"/>
    <mergeCell ref="H53:J53"/>
    <mergeCell ref="H54:J54"/>
    <mergeCell ref="E35:E36"/>
    <mergeCell ref="F35:F36"/>
    <mergeCell ref="G35:G36"/>
    <mergeCell ref="H35:I35"/>
    <mergeCell ref="H51:J51"/>
    <mergeCell ref="L5:L6"/>
    <mergeCell ref="A72:J72"/>
    <mergeCell ref="J35:J36"/>
    <mergeCell ref="K35:K36"/>
    <mergeCell ref="L35:L36"/>
    <mergeCell ref="H20:J20"/>
    <mergeCell ref="H21:J21"/>
    <mergeCell ref="H22:J22"/>
    <mergeCell ref="H23:J23"/>
    <mergeCell ref="H24:J24"/>
    <mergeCell ref="H25:J25"/>
    <mergeCell ref="A34:L34"/>
    <mergeCell ref="A35:A36"/>
    <mergeCell ref="B35:B36"/>
    <mergeCell ref="C35:C36"/>
    <mergeCell ref="D35:D36"/>
    <mergeCell ref="L65:L6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A32:L32"/>
    <mergeCell ref="A33:L33"/>
    <mergeCell ref="F65:F66"/>
    <mergeCell ref="G65:G66"/>
    <mergeCell ref="H65:I65"/>
    <mergeCell ref="J65:J66"/>
    <mergeCell ref="K65:K66"/>
    <mergeCell ref="H78:J78"/>
    <mergeCell ref="H79:J79"/>
    <mergeCell ref="H80:J80"/>
    <mergeCell ref="H55:J55"/>
    <mergeCell ref="H56:J56"/>
    <mergeCell ref="H75:J75"/>
    <mergeCell ref="H76:J76"/>
    <mergeCell ref="H77:J77"/>
    <mergeCell ref="A62:L62"/>
    <mergeCell ref="A63:L63"/>
    <mergeCell ref="A64:L64"/>
    <mergeCell ref="A65:A66"/>
    <mergeCell ref="B65:B66"/>
    <mergeCell ref="C65:C66"/>
    <mergeCell ref="D65:D66"/>
    <mergeCell ref="E65:E66"/>
  </mergeCells>
  <printOptions horizontalCentered="1"/>
  <pageMargins left="0.19685039370078741" right="0" top="0.19685039370078741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งานพัสดุ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2021-11-19T04:27:46Z</cp:lastPrinted>
  <dcterms:created xsi:type="dcterms:W3CDTF">2017-11-14T01:32:33Z</dcterms:created>
  <dcterms:modified xsi:type="dcterms:W3CDTF">2021-11-19T04:35:20Z</dcterms:modified>
</cp:coreProperties>
</file>