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งาน\1. ฝ่ายบริหารทรัพยากร\"/>
    </mc:Choice>
  </mc:AlternateContent>
  <bookViews>
    <workbookView xWindow="0" yWindow="0" windowWidth="24000" windowHeight="9495" tabRatio="897"/>
  </bookViews>
  <sheets>
    <sheet name="ต้นฉบับ" sheetId="46" r:id="rId1"/>
  </sheets>
  <calcPr calcId="152511"/>
</workbook>
</file>

<file path=xl/calcChain.xml><?xml version="1.0" encoding="utf-8"?>
<calcChain xmlns="http://schemas.openxmlformats.org/spreadsheetml/2006/main">
  <c r="K39" i="46" l="1"/>
  <c r="K40" i="46"/>
  <c r="K41" i="46"/>
  <c r="K42" i="46"/>
  <c r="K43" i="46"/>
  <c r="K44" i="46"/>
  <c r="K45" i="46"/>
  <c r="K46" i="46"/>
  <c r="K47" i="46"/>
  <c r="K68" i="46"/>
  <c r="K69" i="46"/>
  <c r="K70" i="46"/>
  <c r="K71" i="46"/>
  <c r="K72" i="46"/>
  <c r="K73" i="46"/>
  <c r="K74" i="46"/>
  <c r="K75" i="46"/>
  <c r="K76" i="46"/>
  <c r="K77" i="46"/>
  <c r="K98" i="46"/>
  <c r="K99" i="46"/>
  <c r="K100" i="46"/>
  <c r="K101" i="46"/>
  <c r="K102" i="46"/>
  <c r="K103" i="46"/>
  <c r="K104" i="46"/>
  <c r="K105" i="46"/>
  <c r="K106" i="46"/>
  <c r="K107" i="46"/>
  <c r="K127" i="46"/>
  <c r="K128" i="46"/>
  <c r="K129" i="46"/>
  <c r="K130" i="46"/>
  <c r="K131" i="46"/>
  <c r="K132" i="46"/>
  <c r="K133" i="46"/>
  <c r="K134" i="46"/>
  <c r="K135" i="46"/>
  <c r="K136" i="46"/>
  <c r="K157" i="46"/>
  <c r="K158" i="46"/>
  <c r="K159" i="46"/>
  <c r="K160" i="46"/>
  <c r="K161" i="46"/>
  <c r="K162" i="46"/>
  <c r="K163" i="46"/>
  <c r="K164" i="46"/>
  <c r="K165" i="46"/>
  <c r="K166" i="46"/>
  <c r="K187" i="46"/>
  <c r="K188" i="46"/>
  <c r="K189" i="46"/>
  <c r="K190" i="46"/>
  <c r="K191" i="46"/>
  <c r="K192" i="46"/>
  <c r="K193" i="46"/>
  <c r="K194" i="46"/>
  <c r="K195" i="46"/>
  <c r="K196" i="46"/>
  <c r="K216" i="46"/>
  <c r="K217" i="46"/>
  <c r="K218" i="46"/>
  <c r="K219" i="46"/>
  <c r="K220" i="46"/>
  <c r="K221" i="46"/>
  <c r="K222" i="46"/>
  <c r="K223" i="46"/>
  <c r="K224" i="46"/>
  <c r="K225" i="46"/>
  <c r="K245" i="46"/>
  <c r="K246" i="46"/>
  <c r="K247" i="46"/>
  <c r="K248" i="46"/>
  <c r="K249" i="46"/>
  <c r="K250" i="46"/>
  <c r="K251" i="46"/>
  <c r="K252" i="46"/>
  <c r="K38" i="46"/>
  <c r="K8" i="46"/>
  <c r="K9" i="46"/>
  <c r="K10" i="46"/>
  <c r="K11" i="46"/>
  <c r="K12" i="46"/>
  <c r="K13" i="46"/>
  <c r="K14" i="46"/>
  <c r="K15" i="46"/>
  <c r="K16" i="46"/>
  <c r="K7" i="46"/>
  <c r="K17" i="46" l="1"/>
  <c r="K37" i="46" s="1"/>
  <c r="K48" i="46" s="1"/>
  <c r="K67" i="46" s="1"/>
  <c r="K78" i="46" s="1"/>
  <c r="K97" i="46" s="1"/>
  <c r="K108" i="46" s="1"/>
  <c r="K126" i="46" s="1"/>
  <c r="K137" i="46" s="1"/>
  <c r="K156" i="46" s="1"/>
  <c r="K167" i="46" s="1"/>
  <c r="K186" i="46" s="1"/>
  <c r="K197" i="46" s="1"/>
  <c r="K215" i="46" s="1"/>
  <c r="K226" i="46" s="1"/>
  <c r="K244" i="46" s="1"/>
  <c r="K253" i="46" s="1"/>
</calcChain>
</file>

<file path=xl/sharedStrings.xml><?xml version="1.0" encoding="utf-8"?>
<sst xmlns="http://schemas.openxmlformats.org/spreadsheetml/2006/main" count="794" uniqueCount="211">
  <si>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</si>
  <si>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</si>
  <si>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</si>
  <si>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</si>
  <si>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</si>
  <si>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</si>
  <si>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</si>
  <si>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</si>
  <si>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</si>
  <si>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</si>
  <si>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</si>
  <si>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</si>
  <si>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</si>
  <si>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</si>
  <si>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</si>
  <si>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</si>
  <si>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</si>
  <si>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</si>
  <si>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</si>
  <si>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ของงานอาคารสถานที่</t>
  </si>
  <si>
    <t>2539</t>
  </si>
  <si>
    <t>7110-006-0003/391-001-400</t>
  </si>
  <si>
    <t>เก้าอี้สำหรับห้องประชุม</t>
  </si>
  <si>
    <t>7110-006-0004/391-001-200</t>
  </si>
  <si>
    <t>เก้าอี้ฟังคำบรรยาย</t>
  </si>
  <si>
    <t>7110-006-0004/392-001-075</t>
  </si>
  <si>
    <t>7110-007-0010/391-001</t>
  </si>
  <si>
    <t>โต๊ะประชุม ขนาด 12 คน</t>
  </si>
  <si>
    <t>4110-002-0002/391-001-002</t>
  </si>
  <si>
    <t>เครื่องทำน้ำเย็นสแตนดาร์ด</t>
  </si>
  <si>
    <t>7110-007-0003/391-001-015</t>
  </si>
  <si>
    <t>โต๊ะทำงานระดับ 3-6</t>
  </si>
  <si>
    <t>7110-007-0005/391-001</t>
  </si>
  <si>
    <t>โต๊ะทำงานระดับ 7-9</t>
  </si>
  <si>
    <t>2540</t>
  </si>
  <si>
    <t>7110-006-0004/401-201-400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</si>
  <si>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</si>
  <si>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</si>
  <si>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</si>
  <si>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</si>
  <si>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</si>
  <si>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</si>
  <si>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</si>
  <si>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</si>
  <si>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2541</t>
  </si>
  <si>
    <t>9925-009-0001/412-001</t>
  </si>
  <si>
    <t>โต๊ะหมู่บูชา (หมู่ 9 หน้า 8)</t>
  </si>
  <si>
    <t>3750-002-0001/412-001</t>
  </si>
  <si>
    <t>รถตัดหญ้า 5.5</t>
  </si>
  <si>
    <t>2542</t>
  </si>
  <si>
    <t>4110-002-0002/422-001</t>
  </si>
  <si>
    <t>เครื่องทำน้ำเย็น</t>
  </si>
  <si>
    <t>9925-009-0001/422-002</t>
  </si>
  <si>
    <t>โต๊ะหมู่บูชา (หมู่ 5)</t>
  </si>
  <si>
    <t>7110-006-0005/424-001-072</t>
  </si>
  <si>
    <t>เก้าอี้รับประทานอาหาร</t>
  </si>
  <si>
    <t>7110-007-0018/424-001-036</t>
  </si>
  <si>
    <t>โต๊ะรับประทานอาหาร</t>
  </si>
  <si>
    <t>7110-007-0019/424-001-020</t>
  </si>
  <si>
    <t>โต๊ะอเนกประสงค์</t>
  </si>
  <si>
    <t>7110-001-0001/432-001-015</t>
  </si>
  <si>
    <t>โต๊ะทำงานระดับ 1 - 2 พร้อมเก้าอี้</t>
  </si>
  <si>
    <t>7110-001-0001/434-001-015</t>
  </si>
  <si>
    <t>7110-006-0004/432-076-120</t>
  </si>
  <si>
    <t>7110-0006-0004/434-001-080</t>
  </si>
  <si>
    <t>3570-002-0001/432-001</t>
  </si>
  <si>
    <t>ชุดรับแขก</t>
  </si>
  <si>
    <t>7110-006-0001/432-001</t>
  </si>
  <si>
    <t>งปม.</t>
  </si>
  <si>
    <t>บกศ.</t>
  </si>
  <si>
    <t>บริจาค</t>
  </si>
  <si>
    <t>ปกศ.</t>
  </si>
  <si>
    <t>-</t>
  </si>
  <si>
    <t>4110-002-0002/433-001-004</t>
  </si>
  <si>
    <t>4140-001-0001/432-001(3)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</si>
  <si>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</si>
  <si>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</si>
  <si>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</si>
  <si>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</si>
  <si>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</si>
  <si>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</si>
  <si>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</si>
  <si>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2544</t>
  </si>
  <si>
    <t>7110-006-0004/444-081-160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</si>
  <si>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</si>
  <si>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</si>
  <si>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</si>
  <si>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</si>
  <si>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</si>
  <si>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</si>
  <si>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2545</t>
  </si>
  <si>
    <t>3220-003-0001/452-001</t>
  </si>
  <si>
    <t>จิกซอร์ 4300 มากีต้า</t>
  </si>
  <si>
    <t>4330-001-0002/452-002</t>
  </si>
  <si>
    <t>ปั้มน้ำมิตซู  ขนาด 2" 2 PH</t>
  </si>
  <si>
    <t>2546</t>
  </si>
  <si>
    <t>7110-001-0001/462-016-019</t>
  </si>
  <si>
    <t>โต๊ะทำงานระดับระดับ 1 - 2 พร้อมเก้าอี้</t>
  </si>
  <si>
    <t>7110-006-0004/462-121-200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</si>
  <si>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</si>
  <si>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</si>
  <si>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</si>
  <si>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</si>
  <si>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4140-001-0001/463-001-002</t>
  </si>
  <si>
    <t>4140-001-0001/463-003-018</t>
  </si>
  <si>
    <t>5130-009-0001/462-002</t>
  </si>
  <si>
    <t>สว่านไฟฟ้ากระแทก</t>
  </si>
  <si>
    <t>7110-001-0001/472-036-038</t>
  </si>
  <si>
    <t>7110-001-0001/472-027-035</t>
  </si>
  <si>
    <t>7110-001-0001/472-039-042</t>
  </si>
  <si>
    <t>4210-001-0001/472-001</t>
  </si>
  <si>
    <t>4210-001-0001/472-001-002</t>
  </si>
  <si>
    <t>4210-001-0001/472-003-004</t>
  </si>
  <si>
    <t>4210-001-0001/473-006</t>
  </si>
  <si>
    <t>7110-001-0001/481-001-005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</si>
  <si>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</si>
  <si>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</si>
  <si>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</si>
  <si>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</si>
  <si>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3510-003-0001/484-001</t>
  </si>
  <si>
    <t>เครื่องซักผ้า</t>
  </si>
  <si>
    <t>2549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</si>
  <si>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</si>
  <si>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</si>
  <si>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</si>
  <si>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</si>
  <si>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</si>
  <si>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</si>
  <si>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</si>
  <si>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</si>
  <si>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</si>
  <si>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2550</t>
  </si>
  <si>
    <t>7110-006-0004/504-581-700</t>
  </si>
  <si>
    <t>4330-001-0002/502-003</t>
  </si>
  <si>
    <t>ปั้มหอยโข่ง</t>
  </si>
  <si>
    <t>7440-001-0001/502-055</t>
  </si>
  <si>
    <t>เครื่องคอมพิวเตอร์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</si>
  <si>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</si>
  <si>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</si>
  <si>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</si>
  <si>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</si>
  <si>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</si>
  <si>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</si>
  <si>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</si>
  <si>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</si>
  <si>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8350-001-0001/521-007-013</t>
  </si>
  <si>
    <t>ผ้าม่านพร้อมอุปกรณ์</t>
  </si>
  <si>
    <t>3450-002-0001/521-001</t>
  </si>
  <si>
    <t>เครื่องขัดพื้น CLEAN WORLD 18 นิ้ว TIP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</si>
  <si>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</si>
  <si>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</si>
  <si>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</si>
  <si>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</si>
  <si>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</si>
  <si>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</si>
  <si>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</si>
  <si>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</si>
  <si>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</si>
  <si>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</si>
  <si>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</si>
  <si>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</si>
  <si>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</si>
  <si>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</si>
  <si>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</si>
  <si>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</si>
  <si>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</si>
  <si>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</si>
  <si>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6720-005-0002/531-005</t>
  </si>
  <si>
    <t>กล้องถ่ายภาพนิ่ง</t>
  </si>
  <si>
    <t>2555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</si>
  <si>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</si>
  <si>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</si>
  <si>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</si>
  <si>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</si>
  <si>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7110-007-0014/551-017-024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</si>
  <si>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</si>
  <si>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</si>
  <si>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</si>
  <si>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</si>
  <si>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 xml:space="preserve">ปั๊มน้ำ MITSUBISHI 380V 2 นิ้ว 3แรง </t>
  </si>
  <si>
    <t>ชำรุด/ไฟไม่เข้า</t>
  </si>
  <si>
    <t>ชำรุด/ถ่ายรูปไม่ได้</t>
  </si>
  <si>
    <t>ไม่พบ</t>
  </si>
  <si>
    <t>ชำรุด/น้ำไม่ออก</t>
  </si>
  <si>
    <t>ชำรุด/น้ำไม่เย็น</t>
  </si>
  <si>
    <t>ชำรุด/สูบน้ำไม่ขึ้น</t>
  </si>
  <si>
    <t>ชำรุด/ปั่นไม่ได้</t>
  </si>
  <si>
    <t>ชำรุด/โต๊ะขาหัก</t>
  </si>
  <si>
    <t>ชำรุด/ใบพัดไม่หมุน</t>
  </si>
  <si>
    <t>ชำรุด/สตาร์ทไม่ติด</t>
  </si>
  <si>
    <t>ชำรุด/ตัดไม่ขาด</t>
  </si>
  <si>
    <t>เอกสารหมายเลข 39</t>
  </si>
  <si>
    <t>ยอดยกไป</t>
  </si>
  <si>
    <t>ยอดยกมา</t>
  </si>
  <si>
    <t>เอกสารหมายเลข 40</t>
  </si>
  <si>
    <t>เอกสารหมายเลข 41</t>
  </si>
  <si>
    <t>เอกสารหมายเลข 42</t>
  </si>
  <si>
    <t>เอกสารหมายเลข 43</t>
  </si>
  <si>
    <t>เอกสารหมายเลข 44</t>
  </si>
  <si>
    <t>เอกสารหมายเลข 45</t>
  </si>
  <si>
    <t>เอกสารหมายเลข 46</t>
  </si>
  <si>
    <t>ลงชื่อ</t>
  </si>
  <si>
    <t>..................................................................</t>
  </si>
  <si>
    <t>ประธานกรรมการ</t>
  </si>
  <si>
    <t>(นายบุญแต่ง  ป้องหิน)</t>
  </si>
  <si>
    <t>กรรมการ</t>
  </si>
  <si>
    <t>(นางสาวพิมพ์ภัทรา  เลิศเรืองศิริ)</t>
  </si>
  <si>
    <t>กรรมการและเลขานุการ</t>
  </si>
  <si>
    <t>(นางสาวไพรินทร์  ทองกันยา)</t>
  </si>
  <si>
    <t>เอกสารหมายเลข 47</t>
  </si>
  <si>
    <t>ตู้น้ำดื่ม 6 ก๊อก ขนาด 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</si>
</sst>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103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2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0" borderId="1" xfId="6" applyFont="1" applyBorder="1" applyAlignment="1">
      <alignment horizontal="left" vertical="center"/>
    </xf>
    <xf numFmtId="0" fontId="3" fillId="0" borderId="5" xfId="6" applyFont="1" applyBorder="1" applyAlignment="1">
      <alignment horizontal="left"/>
    </xf>
    <xf numFmtId="0" fontId="3" fillId="0" borderId="6" xfId="6" applyFont="1" applyBorder="1" applyAlignment="1">
      <alignment horizontal="left" vertical="center"/>
    </xf>
    <xf numFmtId="0" fontId="3" fillId="0" borderId="1" xfId="2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3" fontId="3" fillId="0" borderId="1" xfId="1" applyFont="1" applyFill="1" applyBorder="1"/>
    <xf numFmtId="49" fontId="3" fillId="0" borderId="1" xfId="6" applyNumberFormat="1" applyFont="1" applyBorder="1"/>
    <xf numFmtId="0" fontId="3" fillId="2" borderId="1" xfId="0" applyFont="1" applyFill="1" applyBorder="1"/>
    <xf numFmtId="0" fontId="4" fillId="0" borderId="0" xfId="0" applyFont="1" applyBorder="1" applyAlignment="1">
      <alignment horizontal="center"/>
    </xf>
    <xf numFmtId="49" fontId="3" fillId="0" borderId="4" xfId="0" applyNumberFormat="1" applyFont="1" applyBorder="1" applyAlignment="1">
      <alignment horizontal="center"/>
    </xf>
    <xf numFmtId="0" fontId="3" fillId="0" borderId="4" xfId="6" applyFont="1" applyBorder="1" applyAlignment="1">
      <alignment horizontal="left"/>
    </xf>
    <xf numFmtId="0" fontId="3" fillId="0" borderId="4" xfId="2" applyFont="1" applyFill="1" applyBorder="1" applyAlignment="1">
      <alignment horizontal="center"/>
    </xf>
    <xf numFmtId="0" fontId="3" fillId="0" borderId="4" xfId="2" applyFont="1" applyBorder="1" applyAlignment="1">
      <alignment horizontal="center"/>
    </xf>
    <xf numFmtId="0" fontId="3" fillId="0" borderId="4" xfId="6" applyFont="1" applyFill="1" applyBorder="1" applyAlignment="1">
      <alignment horizontal="center"/>
    </xf>
    <xf numFmtId="43" fontId="3" fillId="0" borderId="4" xfId="1" applyFont="1" applyBorder="1"/>
    <xf numFmtId="0" fontId="3" fillId="3" borderId="0" xfId="0" applyFont="1" applyFill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/>
    </xf>
    <xf numFmtId="0" fontId="3" fillId="0" borderId="0" xfId="6" applyFont="1" applyBorder="1" applyAlignment="1">
      <alignment horizontal="left"/>
    </xf>
    <xf numFmtId="0" fontId="3" fillId="0" borderId="0" xfId="2" applyFont="1" applyFill="1" applyBorder="1" applyAlignment="1">
      <alignment horizontal="center"/>
    </xf>
    <xf numFmtId="0" fontId="3" fillId="0" borderId="0" xfId="6" applyFont="1" applyFill="1" applyBorder="1" applyAlignment="1">
      <alignment horizontal="center"/>
    </xf>
    <xf numFmtId="43" fontId="3" fillId="0" borderId="0" xfId="1" applyFont="1" applyFill="1" applyBorder="1" applyAlignment="1">
      <alignment horizontal="center"/>
    </xf>
    <xf numFmtId="43" fontId="3" fillId="0" borderId="0" xfId="1" applyFont="1" applyBorder="1"/>
    <xf numFmtId="43" fontId="3" fillId="0" borderId="0" xfId="12" applyNumberFormat="1" applyFont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/>
    </xf>
    <xf numFmtId="0" fontId="3" fillId="0" borderId="7" xfId="6" applyFont="1" applyBorder="1" applyAlignment="1">
      <alignment horizontal="left"/>
    </xf>
    <xf numFmtId="0" fontId="3" fillId="0" borderId="7" xfId="2" applyFont="1" applyFill="1" applyBorder="1" applyAlignment="1">
      <alignment horizontal="center"/>
    </xf>
    <xf numFmtId="0" fontId="3" fillId="0" borderId="7" xfId="2" applyFont="1" applyBorder="1" applyAlignment="1">
      <alignment horizontal="center"/>
    </xf>
    <xf numFmtId="0" fontId="3" fillId="0" borderId="7" xfId="6" applyFont="1" applyFill="1" applyBorder="1" applyAlignment="1">
      <alignment horizontal="center"/>
    </xf>
    <xf numFmtId="43" fontId="3" fillId="0" borderId="7" xfId="12" applyNumberFormat="1" applyFont="1" applyBorder="1" applyAlignment="1">
      <alignment horizontal="center"/>
    </xf>
    <xf numFmtId="43" fontId="7" fillId="0" borderId="7" xfId="1" applyFont="1" applyFill="1" applyBorder="1" applyAlignment="1">
      <alignment horizontal="center"/>
    </xf>
    <xf numFmtId="43" fontId="7" fillId="0" borderId="7" xfId="1" applyFont="1" applyBorder="1"/>
    <xf numFmtId="43" fontId="7" fillId="0" borderId="1" xfId="1" applyFont="1" applyFill="1" applyBorder="1" applyAlignment="1">
      <alignment horizontal="center"/>
    </xf>
    <xf numFmtId="43" fontId="7" fillId="0" borderId="1" xfId="1" applyFont="1" applyBorder="1"/>
    <xf numFmtId="49" fontId="3" fillId="0" borderId="0" xfId="7" applyNumberFormat="1" applyFont="1" applyBorder="1" applyAlignment="1">
      <alignment horizontal="center"/>
    </xf>
    <xf numFmtId="49" fontId="3" fillId="0" borderId="7" xfId="7" applyNumberFormat="1" applyFont="1" applyBorder="1" applyAlignment="1">
      <alignment horizontal="center"/>
    </xf>
    <xf numFmtId="0" fontId="3" fillId="0" borderId="4" xfId="6" applyFont="1" applyBorder="1"/>
    <xf numFmtId="0" fontId="3" fillId="0" borderId="0" xfId="6" applyFont="1" applyBorder="1"/>
    <xf numFmtId="0" fontId="3" fillId="0" borderId="0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7" xfId="6" applyFont="1" applyBorder="1"/>
    <xf numFmtId="0" fontId="3" fillId="0" borderId="7" xfId="0" applyFont="1" applyFill="1" applyBorder="1" applyAlignment="1">
      <alignment horizontal="center"/>
    </xf>
    <xf numFmtId="49" fontId="3" fillId="0" borderId="0" xfId="13" applyNumberFormat="1" applyFont="1" applyBorder="1" applyAlignment="1">
      <alignment horizontal="center"/>
    </xf>
    <xf numFmtId="0" fontId="3" fillId="0" borderId="0" xfId="6" applyFont="1" applyBorder="1" applyAlignment="1">
      <alignment horizontal="center"/>
    </xf>
    <xf numFmtId="49" fontId="3" fillId="0" borderId="7" xfId="13" applyNumberFormat="1" applyFont="1" applyBorder="1" applyAlignment="1">
      <alignment horizontal="center"/>
    </xf>
    <xf numFmtId="0" fontId="3" fillId="0" borderId="7" xfId="6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7" xfId="0" applyFont="1" applyFill="1" applyBorder="1" applyAlignment="1">
      <alignment horizontal="center"/>
    </xf>
    <xf numFmtId="43" fontId="7" fillId="0" borderId="7" xfId="1" applyFont="1" applyBorder="1" applyAlignment="1">
      <alignment horizontal="center"/>
    </xf>
    <xf numFmtId="43" fontId="3" fillId="0" borderId="0" xfId="12" applyFont="1" applyBorder="1" applyAlignment="1">
      <alignment horizontal="center"/>
    </xf>
    <xf numFmtId="43" fontId="3" fillId="0" borderId="4" xfId="1" applyFont="1" applyFill="1" applyBorder="1"/>
    <xf numFmtId="43" fontId="3" fillId="0" borderId="7" xfId="12" applyFont="1" applyBorder="1" applyAlignment="1">
      <alignment horizontal="center"/>
    </xf>
    <xf numFmtId="49" fontId="3" fillId="0" borderId="0" xfId="6" applyNumberFormat="1" applyFont="1" applyBorder="1"/>
    <xf numFmtId="43" fontId="3" fillId="0" borderId="0" xfId="1" applyFont="1" applyFill="1" applyBorder="1"/>
    <xf numFmtId="0" fontId="4" fillId="0" borderId="7" xfId="0" applyFont="1" applyBorder="1"/>
    <xf numFmtId="0" fontId="7" fillId="2" borderId="7" xfId="0" applyFont="1" applyFill="1" applyBorder="1" applyAlignment="1"/>
    <xf numFmtId="0" fontId="7" fillId="2" borderId="7" xfId="0" applyFont="1" applyFill="1" applyBorder="1" applyAlignment="1">
      <alignment horizontal="center"/>
    </xf>
    <xf numFmtId="0" fontId="3" fillId="0" borderId="0" xfId="2" applyFont="1" applyBorder="1" applyAlignment="1">
      <alignment horizontal="right"/>
    </xf>
    <xf numFmtId="43" fontId="3" fillId="0" borderId="0" xfId="1" applyFont="1" applyBorder="1" applyAlignment="1">
      <alignment horizontal="left"/>
    </xf>
    <xf numFmtId="49" fontId="3" fillId="0" borderId="7" xfId="6" applyNumberFormat="1" applyFont="1" applyBorder="1"/>
    <xf numFmtId="49" fontId="8" fillId="0" borderId="0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0" fontId="4" fillId="0" borderId="7" xfId="0" applyFont="1" applyBorder="1" applyAlignment="1">
      <alignment horizontal="left"/>
    </xf>
    <xf numFmtId="43" fontId="3" fillId="0" borderId="1" xfId="12" applyNumberFormat="1" applyFont="1" applyBorder="1" applyAlignment="1">
      <alignment horizontal="left"/>
    </xf>
    <xf numFmtId="43" fontId="3" fillId="0" borderId="4" xfId="12" applyNumberFormat="1" applyFont="1" applyBorder="1" applyAlignment="1">
      <alignment horizontal="left"/>
    </xf>
    <xf numFmtId="43" fontId="3" fillId="0" borderId="7" xfId="12" applyNumberFormat="1" applyFont="1" applyBorder="1" applyAlignment="1">
      <alignment horizontal="left"/>
    </xf>
    <xf numFmtId="0" fontId="3" fillId="0" borderId="0" xfId="6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/>
    <cellStyle name="เครื่องหมายจุลภาค" xfId="1" builtinId="3"/>
    <cellStyle name="เครื่องหมายจุลภาค 9" xfId="12"/>
    <cellStyle name="ปกติ" xfId="0" builtinId="0"/>
    <cellStyle name="ปกติ 10" xfId="4"/>
    <cellStyle name="ปกติ 12" xfId="7"/>
    <cellStyle name="ปกติ 14" xfId="3"/>
    <cellStyle name="ปกติ 19" xfId="13"/>
    <cellStyle name="ปกติ 21" xfId="2"/>
    <cellStyle name="ปกติ 22" xfId="5"/>
    <cellStyle name="ปกติ 3" xfId="9"/>
    <cellStyle name="ปกติ 4" xfId="10"/>
    <cellStyle name="ปกติ 5" xfId="11"/>
    <cellStyle name="ปกติ_รายการครุภัณฑ์ ปี 52 ที่แก้ไขเรียงลำดับใหม่ 23 ก.พ.53" xfId="6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1190624</xdr:colOff>
      <xdr:row>254</xdr:row>
      <xdr:rowOff>19050</xdr:rowOff>
    </xdr:from>
    <xdr:to>
      <xdr:col>11</xdr:col>
      <xdr:colOff>1514474</xdr:colOff>
      <xdr:row>257</xdr:row>
      <xdr:rowOff>514353</xdr:rowOff>
    </xdr:to>
    <xdr:sp macro="" textlink="">
      <xdr:nvSpPr>
        <xdr:cNvPr id="2" name="กล่องข้อความ 1"/>
        <xdr:cNvSpPr txBox="1"/>
      </xdr:nvSpPr>
      <xdr:spPr>
        <a:xfrm rot="5400000">
          <a:off x="11877672" y="84991577"/>
          <a:ext cx="1409703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18</xdr:row>
      <xdr:rowOff>9525</xdr:rowOff>
    </xdr:from>
    <xdr:to>
      <xdr:col>11</xdr:col>
      <xdr:colOff>1476375</xdr:colOff>
      <xdr:row>22</xdr:row>
      <xdr:rowOff>47625</xdr:rowOff>
    </xdr:to>
    <xdr:sp macro="" textlink="">
      <xdr:nvSpPr>
        <xdr:cNvPr id="3" name="กล่องข้อความ 2"/>
        <xdr:cNvSpPr txBox="1"/>
      </xdr:nvSpPr>
      <xdr:spPr>
        <a:xfrm rot="5400000">
          <a:off x="11825287" y="6443663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49</xdr:row>
      <xdr:rowOff>9526</xdr:rowOff>
    </xdr:from>
    <xdr:to>
      <xdr:col>11</xdr:col>
      <xdr:colOff>1476375</xdr:colOff>
      <xdr:row>53</xdr:row>
      <xdr:rowOff>19054</xdr:rowOff>
    </xdr:to>
    <xdr:sp macro="" textlink="">
      <xdr:nvSpPr>
        <xdr:cNvPr id="4" name="กล่องข้อความ 3"/>
        <xdr:cNvSpPr txBox="1"/>
      </xdr:nvSpPr>
      <xdr:spPr>
        <a:xfrm rot="5400000">
          <a:off x="11834811" y="16683040"/>
          <a:ext cx="1419228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79</xdr:row>
      <xdr:rowOff>9526</xdr:rowOff>
    </xdr:from>
    <xdr:to>
      <xdr:col>11</xdr:col>
      <xdr:colOff>1476375</xdr:colOff>
      <xdr:row>83</xdr:row>
      <xdr:rowOff>47628</xdr:rowOff>
    </xdr:to>
    <xdr:sp macro="" textlink="">
      <xdr:nvSpPr>
        <xdr:cNvPr id="5" name="กล่องข้อความ 4"/>
        <xdr:cNvSpPr txBox="1"/>
      </xdr:nvSpPr>
      <xdr:spPr>
        <a:xfrm rot="5400000">
          <a:off x="11825286" y="26560465"/>
          <a:ext cx="1438277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109</xdr:row>
      <xdr:rowOff>9525</xdr:rowOff>
    </xdr:from>
    <xdr:to>
      <xdr:col>11</xdr:col>
      <xdr:colOff>1476375</xdr:colOff>
      <xdr:row>112</xdr:row>
      <xdr:rowOff>533400</xdr:rowOff>
    </xdr:to>
    <xdr:sp macro="" textlink="">
      <xdr:nvSpPr>
        <xdr:cNvPr id="6" name="กล่องข้อความ 5"/>
        <xdr:cNvSpPr txBox="1"/>
      </xdr:nvSpPr>
      <xdr:spPr>
        <a:xfrm rot="5400000">
          <a:off x="11825287" y="36456938"/>
          <a:ext cx="143827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138</xdr:row>
      <xdr:rowOff>9525</xdr:rowOff>
    </xdr:from>
    <xdr:to>
      <xdr:col>11</xdr:col>
      <xdr:colOff>1476375</xdr:colOff>
      <xdr:row>142</xdr:row>
      <xdr:rowOff>66675</xdr:rowOff>
    </xdr:to>
    <xdr:sp macro="" textlink="">
      <xdr:nvSpPr>
        <xdr:cNvPr id="7" name="กล่องข้อความ 6"/>
        <xdr:cNvSpPr txBox="1"/>
      </xdr:nvSpPr>
      <xdr:spPr>
        <a:xfrm rot="5400000">
          <a:off x="11801475" y="46205775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168</xdr:row>
      <xdr:rowOff>9525</xdr:rowOff>
    </xdr:from>
    <xdr:to>
      <xdr:col>11</xdr:col>
      <xdr:colOff>1476375</xdr:colOff>
      <xdr:row>171</xdr:row>
      <xdr:rowOff>457203</xdr:rowOff>
    </xdr:to>
    <xdr:sp macro="" textlink="">
      <xdr:nvSpPr>
        <xdr:cNvPr id="8" name="กล่องข้อความ 7"/>
        <xdr:cNvSpPr txBox="1"/>
      </xdr:nvSpPr>
      <xdr:spPr>
        <a:xfrm rot="5400000">
          <a:off x="11863386" y="56040339"/>
          <a:ext cx="1362078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198</xdr:row>
      <xdr:rowOff>9526</xdr:rowOff>
    </xdr:from>
    <xdr:to>
      <xdr:col>11</xdr:col>
      <xdr:colOff>1476375</xdr:colOff>
      <xdr:row>201</xdr:row>
      <xdr:rowOff>533400</xdr:rowOff>
    </xdr:to>
    <xdr:sp macro="" textlink="">
      <xdr:nvSpPr>
        <xdr:cNvPr id="9" name="กล่องข้อความ 8"/>
        <xdr:cNvSpPr txBox="1"/>
      </xdr:nvSpPr>
      <xdr:spPr>
        <a:xfrm rot="5400000">
          <a:off x="11825288" y="66022538"/>
          <a:ext cx="1438274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1152525</xdr:colOff>
      <xdr:row>227</xdr:row>
      <xdr:rowOff>9525</xdr:rowOff>
    </xdr:from>
    <xdr:to>
      <xdr:col>11</xdr:col>
      <xdr:colOff>1476375</xdr:colOff>
      <xdr:row>231</xdr:row>
      <xdr:rowOff>219075</xdr:rowOff>
    </xdr:to>
    <xdr:sp macro="" textlink="">
      <xdr:nvSpPr>
        <xdr:cNvPr id="10" name="กล่องข้อความ 9"/>
        <xdr:cNvSpPr txBox="1"/>
      </xdr:nvSpPr>
      <xdr:spPr>
        <a:xfrm rot="5400000">
          <a:off x="11830050" y="75304650"/>
          <a:ext cx="142875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262"/>
  <sheetViews>
    <sheetView tabSelected="1" topLeftCell="A19" zoomScaleNormal="100" workbookViewId="0">
      <selection activeCell="D24" sqref="D24"/>
    </sheetView>
  </sheetViews>
  <sheetFormatPr defaultColWidth="9" defaultRowHeight="24"/>
  <cols>
    <col min="1" max="1" width="5.85546875" style="2" customWidth="1"/>
    <col min="2" max="2" width="12.85546875" style="19" customWidth="1"/>
    <col min="3" max="3" width="35.5703125" style="17" customWidth="1"/>
    <col min="4" max="4" width="37.42578125" style="2" customWidth="1"/>
    <col min="5" max="5" width="9.28515625" style="2" customWidth="1"/>
    <col min="6" max="6" width="9" style="2" customWidth="1"/>
    <col min="7" max="9" width="8.7109375" style="2" customWidth="1"/>
    <col min="10" max="10" width="15.140625" style="2" customWidth="1"/>
    <col min="11" max="11" width="17.140625" style="2" customWidth="1"/>
    <col min="12" max="12" width="25" style="19" customWidth="1"/>
    <col min="13" max="16384" width="9" style="2"/>
  </cols>
  <sheetData>
    <row r="1" spans="1:12">
      <c r="L1" s="19" t="s">
        <v>191</v>
      </c>
    </row>
    <row r="2" spans="1:12">
      <c r="A2" s="92" t="s">
        <v>5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</row>
    <row r="3" spans="1:12">
      <c r="A3" s="93" t="s">
        <v>6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>
      <c r="A4" s="94" t="s">
        <v>19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</row>
    <row r="5" spans="1:12" ht="28.5" customHeight="1">
      <c r="A5" s="95" t="s">
        <v>7</v>
      </c>
      <c r="B5" s="95" t="s">
        <v>18</v>
      </c>
      <c r="C5" s="95" t="s">
        <v>15</v>
      </c>
      <c r="D5" s="97" t="s">
        <v>0</v>
      </c>
      <c r="E5" s="95" t="s">
        <v>10</v>
      </c>
      <c r="F5" s="95" t="s">
        <v>9</v>
      </c>
      <c r="G5" s="99" t="s">
        <v>11</v>
      </c>
      <c r="H5" s="101" t="s">
        <v>1</v>
      </c>
      <c r="I5" s="102"/>
      <c r="J5" s="95" t="s">
        <v>14</v>
      </c>
      <c r="K5" s="95" t="s">
        <v>8</v>
      </c>
      <c r="L5" s="95" t="s">
        <v>13</v>
      </c>
    </row>
    <row r="6" spans="1:12" ht="48.75" customHeight="1">
      <c r="A6" s="96"/>
      <c r="B6" s="96"/>
      <c r="C6" s="96"/>
      <c r="D6" s="98"/>
      <c r="E6" s="96"/>
      <c r="F6" s="96"/>
      <c r="G6" s="100"/>
      <c r="H6" s="14" t="s">
        <v>12</v>
      </c>
      <c r="I6" s="13" t="s">
        <v>3</v>
      </c>
      <c r="J6" s="96"/>
      <c r="K6" s="96"/>
      <c r="L6" s="96"/>
    </row>
    <row r="7" spans="1:12">
      <c r="A7" s="10">
        <v>1</v>
      </c>
      <c r="B7" s="7" t="s">
        <v>20</v>
      </c>
      <c r="C7" s="3" t="s">
        <v>21</v>
      </c>
      <c r="D7" s="20" t="s">
        <v>22</v>
      </c>
      <c r="E7" s="23" t="s">
        <v>68</v>
      </c>
      <c r="F7" s="4">
        <v>25</v>
      </c>
      <c r="G7" s="4" t="s">
        <v>72</v>
      </c>
      <c r="H7" s="23">
        <v>331</v>
      </c>
      <c r="I7" s="23">
        <v>331</v>
      </c>
      <c r="J7" s="6">
        <v>500</v>
      </c>
      <c r="K7" s="6">
        <f>SUM(I7*J7)</f>
        <v>165500</v>
      </c>
      <c r="L7" s="88" t="s">
        <v>182</v>
      </c>
    </row>
    <row r="8" spans="1:12">
      <c r="A8" s="16">
        <v>2</v>
      </c>
      <c r="B8" s="7" t="s">
        <v>20</v>
      </c>
      <c r="C8" s="21" t="s">
        <v>23</v>
      </c>
      <c r="D8" s="22" t="s">
        <v>24</v>
      </c>
      <c r="E8" s="23" t="s">
        <v>68</v>
      </c>
      <c r="F8" s="4">
        <v>25</v>
      </c>
      <c r="G8" s="4" t="s">
        <v>72</v>
      </c>
      <c r="H8" s="23">
        <v>83</v>
      </c>
      <c r="I8" s="23">
        <v>83</v>
      </c>
      <c r="J8" s="26">
        <v>600</v>
      </c>
      <c r="K8" s="6">
        <f t="shared" ref="K8:K16" si="0">SUM(I8*J8)</f>
        <v>49800</v>
      </c>
      <c r="L8" s="88" t="s">
        <v>182</v>
      </c>
    </row>
    <row r="9" spans="1:12">
      <c r="A9" s="10">
        <v>3</v>
      </c>
      <c r="B9" s="7" t="s">
        <v>20</v>
      </c>
      <c r="C9" s="3" t="s">
        <v>25</v>
      </c>
      <c r="D9" s="1" t="s">
        <v>24</v>
      </c>
      <c r="E9" s="23" t="s">
        <v>69</v>
      </c>
      <c r="F9" s="4">
        <v>25</v>
      </c>
      <c r="G9" s="4" t="s">
        <v>72</v>
      </c>
      <c r="H9" s="23">
        <v>27</v>
      </c>
      <c r="I9" s="23">
        <v>27</v>
      </c>
      <c r="J9" s="27">
        <v>600</v>
      </c>
      <c r="K9" s="6">
        <f t="shared" si="0"/>
        <v>16200</v>
      </c>
      <c r="L9" s="88" t="s">
        <v>182</v>
      </c>
    </row>
    <row r="10" spans="1:12">
      <c r="A10" s="16">
        <v>4</v>
      </c>
      <c r="B10" s="7" t="s">
        <v>20</v>
      </c>
      <c r="C10" s="3" t="s">
        <v>26</v>
      </c>
      <c r="D10" s="1" t="s">
        <v>27</v>
      </c>
      <c r="E10" s="23" t="s">
        <v>68</v>
      </c>
      <c r="F10" s="4">
        <v>25</v>
      </c>
      <c r="G10" s="4" t="s">
        <v>72</v>
      </c>
      <c r="H10" s="23">
        <v>1</v>
      </c>
      <c r="I10" s="23">
        <v>1</v>
      </c>
      <c r="J10" s="27">
        <v>15000</v>
      </c>
      <c r="K10" s="6">
        <f t="shared" si="0"/>
        <v>15000</v>
      </c>
      <c r="L10" s="88" t="s">
        <v>182</v>
      </c>
    </row>
    <row r="11" spans="1:12">
      <c r="A11" s="10">
        <v>5</v>
      </c>
      <c r="B11" s="7" t="s">
        <v>20</v>
      </c>
      <c r="C11" s="3" t="s">
        <v>28</v>
      </c>
      <c r="D11" s="3" t="s">
        <v>29</v>
      </c>
      <c r="E11" s="23" t="s">
        <v>68</v>
      </c>
      <c r="F11" s="4">
        <v>25</v>
      </c>
      <c r="G11" s="4" t="s">
        <v>72</v>
      </c>
      <c r="H11" s="23">
        <v>2</v>
      </c>
      <c r="I11" s="23">
        <v>2</v>
      </c>
      <c r="J11" s="27">
        <v>2350</v>
      </c>
      <c r="K11" s="6">
        <f t="shared" si="0"/>
        <v>4700</v>
      </c>
      <c r="L11" s="88" t="s">
        <v>182</v>
      </c>
    </row>
    <row r="12" spans="1:12">
      <c r="A12" s="16">
        <v>6</v>
      </c>
      <c r="B12" s="7" t="s">
        <v>20</v>
      </c>
      <c r="C12" s="3" t="s">
        <v>30</v>
      </c>
      <c r="D12" s="3" t="s">
        <v>31</v>
      </c>
      <c r="E12" s="23" t="s">
        <v>68</v>
      </c>
      <c r="F12" s="4">
        <v>25</v>
      </c>
      <c r="G12" s="4" t="s">
        <v>72</v>
      </c>
      <c r="H12" s="23">
        <v>15</v>
      </c>
      <c r="I12" s="23">
        <v>15</v>
      </c>
      <c r="J12" s="27">
        <v>2250</v>
      </c>
      <c r="K12" s="6">
        <f t="shared" si="0"/>
        <v>33750</v>
      </c>
      <c r="L12" s="88" t="s">
        <v>182</v>
      </c>
    </row>
    <row r="13" spans="1:12">
      <c r="A13" s="10">
        <v>7</v>
      </c>
      <c r="B13" s="7" t="s">
        <v>20</v>
      </c>
      <c r="C13" s="3" t="s">
        <v>32</v>
      </c>
      <c r="D13" s="3" t="s">
        <v>33</v>
      </c>
      <c r="E13" s="23" t="s">
        <v>68</v>
      </c>
      <c r="F13" s="4">
        <v>25</v>
      </c>
      <c r="G13" s="4" t="s">
        <v>72</v>
      </c>
      <c r="H13" s="23">
        <v>1</v>
      </c>
      <c r="I13" s="23">
        <v>1</v>
      </c>
      <c r="J13" s="27">
        <v>3800</v>
      </c>
      <c r="K13" s="6">
        <f t="shared" si="0"/>
        <v>3800</v>
      </c>
      <c r="L13" s="88" t="s">
        <v>182</v>
      </c>
    </row>
    <row r="14" spans="1:12">
      <c r="A14" s="16">
        <v>8</v>
      </c>
      <c r="B14" s="7" t="s">
        <v>34</v>
      </c>
      <c r="C14" s="3" t="s">
        <v>35</v>
      </c>
      <c r="D14" s="1" t="s">
        <v>24</v>
      </c>
      <c r="E14" s="23" t="s">
        <v>68</v>
      </c>
      <c r="F14" s="4">
        <v>24</v>
      </c>
      <c r="G14" s="4" t="s">
        <v>72</v>
      </c>
      <c r="H14" s="23">
        <v>156</v>
      </c>
      <c r="I14" s="23">
        <v>156</v>
      </c>
      <c r="J14" s="27">
        <v>600</v>
      </c>
      <c r="K14" s="6">
        <f t="shared" si="0"/>
        <v>93600</v>
      </c>
      <c r="L14" s="88" t="s">
        <v>182</v>
      </c>
    </row>
    <row r="15" spans="1:12">
      <c r="A15" s="10">
        <v>9</v>
      </c>
      <c r="B15" s="7" t="s">
        <v>34</v>
      </c>
      <c r="C15" s="3" t="s">
        <v>36</v>
      </c>
      <c r="D15" s="1" t="s">
        <v>27</v>
      </c>
      <c r="E15" s="23" t="s">
        <v>68</v>
      </c>
      <c r="F15" s="4">
        <v>24</v>
      </c>
      <c r="G15" s="4" t="s">
        <v>72</v>
      </c>
      <c r="H15" s="25">
        <v>1</v>
      </c>
      <c r="I15" s="25">
        <v>1</v>
      </c>
      <c r="J15" s="27">
        <v>13000</v>
      </c>
      <c r="K15" s="6">
        <f t="shared" si="0"/>
        <v>13000</v>
      </c>
      <c r="L15" s="88" t="s">
        <v>182</v>
      </c>
    </row>
    <row r="16" spans="1:12">
      <c r="A16" s="16">
        <v>10</v>
      </c>
      <c r="B16" s="7" t="s">
        <v>34</v>
      </c>
      <c r="C16" s="3" t="s">
        <v>37</v>
      </c>
      <c r="D16" s="3" t="s">
        <v>38</v>
      </c>
      <c r="E16" s="23" t="s">
        <v>70</v>
      </c>
      <c r="F16" s="4">
        <v>24</v>
      </c>
      <c r="G16" s="4" t="s">
        <v>72</v>
      </c>
      <c r="H16" s="25">
        <v>1</v>
      </c>
      <c r="I16" s="25">
        <v>1</v>
      </c>
      <c r="J16" s="27">
        <v>3000</v>
      </c>
      <c r="K16" s="6">
        <f t="shared" si="0"/>
        <v>3000</v>
      </c>
      <c r="L16" s="88" t="s">
        <v>182</v>
      </c>
    </row>
    <row r="17" spans="1:12" ht="24.75" thickBot="1">
      <c r="A17" s="47"/>
      <c r="B17" s="48"/>
      <c r="C17" s="49"/>
      <c r="D17" s="49"/>
      <c r="E17" s="50"/>
      <c r="F17" s="51"/>
      <c r="G17" s="51"/>
      <c r="H17" s="52"/>
      <c r="I17" s="52"/>
      <c r="J17" s="54" t="s">
        <v>192</v>
      </c>
      <c r="K17" s="55">
        <f>SUM(K7:K16)</f>
        <v>398350</v>
      </c>
      <c r="L17" s="53"/>
    </row>
    <row r="18" spans="1:12" s="8" customFormat="1" ht="24.75" thickTop="1">
      <c r="A18" s="39"/>
      <c r="B18" s="84" t="s">
        <v>2</v>
      </c>
      <c r="C18" s="41" t="s">
        <v>16</v>
      </c>
      <c r="D18" s="41"/>
      <c r="E18" s="42"/>
      <c r="F18" s="18"/>
      <c r="G18" s="18"/>
      <c r="H18" s="43"/>
      <c r="I18" s="43"/>
      <c r="J18" s="44"/>
      <c r="K18" s="45"/>
      <c r="L18" s="46"/>
    </row>
    <row r="19" spans="1:12" s="8" customFormat="1">
      <c r="A19" s="39"/>
      <c r="B19" s="40"/>
      <c r="C19" s="41" t="s">
        <v>17</v>
      </c>
      <c r="D19" s="41"/>
      <c r="E19" s="42"/>
      <c r="F19" s="18"/>
      <c r="G19" s="18"/>
      <c r="H19" s="43"/>
      <c r="I19" s="43"/>
      <c r="J19" s="44"/>
      <c r="K19" s="45"/>
      <c r="L19" s="46"/>
    </row>
    <row r="20" spans="1:12" s="8" customFormat="1">
      <c r="A20" s="39"/>
      <c r="B20" s="40"/>
      <c r="C20" s="41"/>
      <c r="D20" s="41"/>
      <c r="E20" s="42"/>
      <c r="F20" s="18"/>
      <c r="G20" s="81" t="s">
        <v>201</v>
      </c>
      <c r="H20" s="91" t="s">
        <v>202</v>
      </c>
      <c r="I20" s="91"/>
      <c r="J20" s="91"/>
      <c r="K20" s="82" t="s">
        <v>203</v>
      </c>
      <c r="L20" s="46"/>
    </row>
    <row r="21" spans="1:12" s="8" customFormat="1">
      <c r="A21" s="39"/>
      <c r="B21" s="40"/>
      <c r="C21" s="41"/>
      <c r="D21" s="41"/>
      <c r="E21" s="42"/>
      <c r="F21" s="18"/>
      <c r="G21" s="81"/>
      <c r="H21" s="91" t="s">
        <v>204</v>
      </c>
      <c r="I21" s="91"/>
      <c r="J21" s="91"/>
      <c r="K21" s="82"/>
      <c r="L21" s="46"/>
    </row>
    <row r="22" spans="1:12" s="8" customFormat="1" ht="38.25" customHeight="1">
      <c r="A22" s="39"/>
      <c r="B22" s="40"/>
      <c r="C22" s="41"/>
      <c r="D22" s="41"/>
      <c r="E22" s="42"/>
      <c r="F22" s="18"/>
      <c r="G22" s="81" t="s">
        <v>201</v>
      </c>
      <c r="H22" s="91" t="s">
        <v>202</v>
      </c>
      <c r="I22" s="91"/>
      <c r="J22" s="91"/>
      <c r="K22" s="82" t="s">
        <v>205</v>
      </c>
      <c r="L22" s="46"/>
    </row>
    <row r="23" spans="1:12" s="8" customFormat="1">
      <c r="A23" s="39"/>
      <c r="B23" s="40"/>
      <c r="C23" s="41"/>
      <c r="D23" s="41"/>
      <c r="E23" s="42"/>
      <c r="F23" s="18"/>
      <c r="G23" s="81"/>
      <c r="H23" s="91" t="s">
        <v>206</v>
      </c>
      <c r="I23" s="91"/>
      <c r="J23" s="91"/>
      <c r="K23" s="82"/>
      <c r="L23" s="46"/>
    </row>
    <row r="24" spans="1:12" s="8" customFormat="1" ht="43.5" customHeight="1">
      <c r="A24" s="39"/>
      <c r="B24" s="40"/>
      <c r="C24" s="41"/>
      <c r="D24" s="41"/>
      <c r="E24" s="42"/>
      <c r="F24" s="18"/>
      <c r="G24" s="81" t="s">
        <v>201</v>
      </c>
      <c r="H24" s="91" t="s">
        <v>202</v>
      </c>
      <c r="I24" s="91"/>
      <c r="J24" s="91"/>
      <c r="K24" s="82" t="s">
        <v>207</v>
      </c>
      <c r="L24" s="46"/>
    </row>
    <row r="25" spans="1:12" s="8" customFormat="1" ht="24" customHeight="1">
      <c r="A25" s="39"/>
      <c r="B25" s="40"/>
      <c r="C25" s="41"/>
      <c r="D25" s="41"/>
      <c r="E25" s="42"/>
      <c r="F25" s="18"/>
      <c r="G25" s="81"/>
      <c r="H25" s="91" t="s">
        <v>208</v>
      </c>
      <c r="I25" s="91"/>
      <c r="J25" s="91"/>
      <c r="K25" s="45"/>
      <c r="L25" s="46"/>
    </row>
    <row r="26" spans="1:12" s="8" customFormat="1">
      <c r="A26" s="39"/>
      <c r="B26" s="40"/>
      <c r="C26" s="41"/>
      <c r="D26" s="41"/>
      <c r="E26" s="42"/>
      <c r="F26" s="18"/>
      <c r="G26" s="18"/>
      <c r="H26" s="43"/>
      <c r="I26" s="43"/>
      <c r="J26" s="44"/>
      <c r="K26" s="45"/>
      <c r="L26" s="46"/>
    </row>
    <row r="27" spans="1:12" s="8" customFormat="1">
      <c r="A27" s="39"/>
      <c r="B27" s="40"/>
      <c r="C27" s="41"/>
      <c r="D27" s="41"/>
      <c r="E27" s="42"/>
      <c r="F27" s="18"/>
      <c r="G27" s="18"/>
      <c r="H27" s="43"/>
      <c r="I27" s="43"/>
      <c r="J27" s="44"/>
      <c r="K27" s="45"/>
      <c r="L27" s="46"/>
    </row>
    <row r="28" spans="1:12" s="8" customFormat="1">
      <c r="A28" s="39"/>
      <c r="B28" s="40"/>
      <c r="C28" s="41"/>
      <c r="D28" s="41"/>
      <c r="E28" s="42"/>
      <c r="F28" s="18"/>
      <c r="G28" s="18"/>
      <c r="H28" s="43"/>
      <c r="I28" s="43"/>
      <c r="J28" s="44"/>
      <c r="K28" s="45"/>
      <c r="L28" s="46"/>
    </row>
    <row r="29" spans="1:12" s="8" customFormat="1">
      <c r="A29" s="39"/>
      <c r="B29" s="40"/>
      <c r="C29" s="41"/>
      <c r="D29" s="41"/>
      <c r="E29" s="42"/>
      <c r="F29" s="18"/>
      <c r="G29" s="18"/>
      <c r="H29" s="43"/>
      <c r="I29" s="43"/>
      <c r="J29" s="44"/>
      <c r="K29" s="45"/>
      <c r="L29" s="46"/>
    </row>
    <row r="30" spans="1:12" s="8" customFormat="1">
      <c r="A30" s="39"/>
      <c r="B30" s="40"/>
      <c r="C30" s="41"/>
      <c r="D30" s="41"/>
      <c r="E30" s="42"/>
      <c r="F30" s="18"/>
      <c r="G30" s="18"/>
      <c r="H30" s="43"/>
      <c r="I30" s="43"/>
      <c r="J30" s="44"/>
      <c r="K30" s="45"/>
      <c r="L30" s="46"/>
    </row>
    <row r="31" spans="1:12">
      <c r="L31" s="19" t="s">
        <v>194</v>
      </c>
    </row>
    <row r="32" spans="1:12">
      <c r="A32" s="92" t="s">
        <v>5</v>
      </c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</row>
    <row r="33" spans="1:12">
      <c r="A33" s="93" t="s">
        <v>6</v>
      </c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</row>
    <row r="34" spans="1:12">
      <c r="A34" s="94" t="s">
        <v>19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</row>
    <row r="35" spans="1:12">
      <c r="A35" s="95" t="s">
        <v>7</v>
      </c>
      <c r="B35" s="95" t="s">
        <v>18</v>
      </c>
      <c r="C35" s="95" t="s">
        <v>15</v>
      </c>
      <c r="D35" s="97" t="s">
        <v>0</v>
      </c>
      <c r="E35" s="95" t="s">
        <v>10</v>
      </c>
      <c r="F35" s="95" t="s">
        <v>9</v>
      </c>
      <c r="G35" s="99" t="s">
        <v>11</v>
      </c>
      <c r="H35" s="101" t="s">
        <v>1</v>
      </c>
      <c r="I35" s="102"/>
      <c r="J35" s="95" t="s">
        <v>14</v>
      </c>
      <c r="K35" s="95" t="s">
        <v>8</v>
      </c>
      <c r="L35" s="95" t="s">
        <v>13</v>
      </c>
    </row>
    <row r="36" spans="1:12" ht="51.75" customHeight="1">
      <c r="A36" s="96"/>
      <c r="B36" s="96"/>
      <c r="C36" s="96"/>
      <c r="D36" s="98"/>
      <c r="E36" s="96"/>
      <c r="F36" s="96"/>
      <c r="G36" s="100"/>
      <c r="H36" s="14" t="s">
        <v>12</v>
      </c>
      <c r="I36" s="13" t="s">
        <v>3</v>
      </c>
      <c r="J36" s="96"/>
      <c r="K36" s="96"/>
      <c r="L36" s="96"/>
    </row>
    <row r="37" spans="1:12">
      <c r="A37" s="16"/>
      <c r="B37" s="7"/>
      <c r="C37" s="3"/>
      <c r="D37" s="3"/>
      <c r="E37" s="23"/>
      <c r="F37" s="4"/>
      <c r="G37" s="4"/>
      <c r="H37" s="25"/>
      <c r="I37" s="25"/>
      <c r="J37" s="56" t="s">
        <v>193</v>
      </c>
      <c r="K37" s="57">
        <f>SUM(K17)</f>
        <v>398350</v>
      </c>
      <c r="L37" s="11"/>
    </row>
    <row r="38" spans="1:12">
      <c r="A38" s="10">
        <v>11</v>
      </c>
      <c r="B38" s="7" t="s">
        <v>34</v>
      </c>
      <c r="C38" s="3" t="s">
        <v>39</v>
      </c>
      <c r="D38" s="3" t="s">
        <v>38</v>
      </c>
      <c r="E38" s="23" t="s">
        <v>70</v>
      </c>
      <c r="F38" s="4">
        <v>24</v>
      </c>
      <c r="G38" s="4" t="s">
        <v>72</v>
      </c>
      <c r="H38" s="25">
        <v>1</v>
      </c>
      <c r="I38" s="25">
        <v>1</v>
      </c>
      <c r="J38" s="27">
        <v>2500</v>
      </c>
      <c r="K38" s="6">
        <f>SUM(I38*J38)</f>
        <v>2500</v>
      </c>
      <c r="L38" s="88" t="s">
        <v>182</v>
      </c>
    </row>
    <row r="39" spans="1:12">
      <c r="A39" s="16">
        <v>12</v>
      </c>
      <c r="B39" s="7" t="s">
        <v>34</v>
      </c>
      <c r="C39" s="3" t="s">
        <v>40</v>
      </c>
      <c r="D39" s="3" t="s">
        <v>31</v>
      </c>
      <c r="E39" s="23" t="s">
        <v>70</v>
      </c>
      <c r="F39" s="4">
        <v>24</v>
      </c>
      <c r="G39" s="4" t="s">
        <v>72</v>
      </c>
      <c r="H39" s="25">
        <v>1</v>
      </c>
      <c r="I39" s="25">
        <v>1</v>
      </c>
      <c r="J39" s="27">
        <v>2100</v>
      </c>
      <c r="K39" s="6">
        <f t="shared" ref="K39:K220" si="1">SUM(I39*J39)</f>
        <v>2100</v>
      </c>
      <c r="L39" s="88" t="s">
        <v>182</v>
      </c>
    </row>
    <row r="40" spans="1:12">
      <c r="A40" s="10">
        <v>13</v>
      </c>
      <c r="B40" s="7" t="s">
        <v>34</v>
      </c>
      <c r="C40" s="3" t="s">
        <v>41</v>
      </c>
      <c r="D40" s="3" t="s">
        <v>33</v>
      </c>
      <c r="E40" s="23" t="s">
        <v>70</v>
      </c>
      <c r="F40" s="4">
        <v>24</v>
      </c>
      <c r="G40" s="4" t="s">
        <v>72</v>
      </c>
      <c r="H40" s="25">
        <v>2</v>
      </c>
      <c r="I40" s="25">
        <v>2</v>
      </c>
      <c r="J40" s="27">
        <v>3500</v>
      </c>
      <c r="K40" s="6">
        <f t="shared" si="1"/>
        <v>7000</v>
      </c>
      <c r="L40" s="88" t="s">
        <v>182</v>
      </c>
    </row>
    <row r="41" spans="1:12">
      <c r="A41" s="16">
        <v>14</v>
      </c>
      <c r="B41" s="7" t="s">
        <v>34</v>
      </c>
      <c r="C41" s="3" t="s">
        <v>42</v>
      </c>
      <c r="D41" s="1" t="s">
        <v>43</v>
      </c>
      <c r="E41" s="23" t="s">
        <v>70</v>
      </c>
      <c r="F41" s="4">
        <v>24</v>
      </c>
      <c r="G41" s="4" t="s">
        <v>72</v>
      </c>
      <c r="H41" s="25">
        <v>5</v>
      </c>
      <c r="I41" s="25">
        <v>5</v>
      </c>
      <c r="J41" s="27">
        <v>23000</v>
      </c>
      <c r="K41" s="6">
        <f t="shared" si="1"/>
        <v>115000</v>
      </c>
      <c r="L41" s="88" t="s">
        <v>182</v>
      </c>
    </row>
    <row r="42" spans="1:12">
      <c r="A42" s="10">
        <v>15</v>
      </c>
      <c r="B42" s="9" t="s">
        <v>44</v>
      </c>
      <c r="C42" s="3" t="s">
        <v>45</v>
      </c>
      <c r="D42" s="3" t="s">
        <v>46</v>
      </c>
      <c r="E42" s="23" t="s">
        <v>69</v>
      </c>
      <c r="F42" s="4">
        <v>23</v>
      </c>
      <c r="G42" s="4" t="s">
        <v>72</v>
      </c>
      <c r="H42" s="25">
        <v>1</v>
      </c>
      <c r="I42" s="25">
        <v>1</v>
      </c>
      <c r="J42" s="27">
        <v>3500</v>
      </c>
      <c r="K42" s="6">
        <f t="shared" si="1"/>
        <v>3500</v>
      </c>
      <c r="L42" s="88" t="s">
        <v>182</v>
      </c>
    </row>
    <row r="43" spans="1:12">
      <c r="A43" s="16">
        <v>16</v>
      </c>
      <c r="B43" s="9" t="s">
        <v>44</v>
      </c>
      <c r="C43" s="3" t="s">
        <v>47</v>
      </c>
      <c r="D43" s="3" t="s">
        <v>48</v>
      </c>
      <c r="E43" s="23" t="s">
        <v>69</v>
      </c>
      <c r="F43" s="4">
        <v>23</v>
      </c>
      <c r="G43" s="4" t="s">
        <v>72</v>
      </c>
      <c r="H43" s="25">
        <v>1</v>
      </c>
      <c r="I43" s="25">
        <v>1</v>
      </c>
      <c r="J43" s="27">
        <v>9530</v>
      </c>
      <c r="K43" s="6">
        <f t="shared" si="1"/>
        <v>9530</v>
      </c>
      <c r="L43" s="88" t="s">
        <v>182</v>
      </c>
    </row>
    <row r="44" spans="1:12">
      <c r="A44" s="10">
        <v>17</v>
      </c>
      <c r="B44" s="9" t="s">
        <v>49</v>
      </c>
      <c r="C44" s="3" t="s">
        <v>50</v>
      </c>
      <c r="D44" s="3" t="s">
        <v>51</v>
      </c>
      <c r="E44" s="23" t="s">
        <v>69</v>
      </c>
      <c r="F44" s="4">
        <v>22</v>
      </c>
      <c r="G44" s="4" t="s">
        <v>72</v>
      </c>
      <c r="H44" s="25">
        <v>1</v>
      </c>
      <c r="I44" s="25">
        <v>1</v>
      </c>
      <c r="J44" s="27">
        <v>27500</v>
      </c>
      <c r="K44" s="6">
        <f t="shared" si="1"/>
        <v>27500</v>
      </c>
      <c r="L44" s="88" t="s">
        <v>182</v>
      </c>
    </row>
    <row r="45" spans="1:12">
      <c r="A45" s="16">
        <v>18</v>
      </c>
      <c r="B45" s="9" t="s">
        <v>49</v>
      </c>
      <c r="C45" s="3" t="s">
        <v>52</v>
      </c>
      <c r="D45" s="3" t="s">
        <v>53</v>
      </c>
      <c r="E45" s="23" t="s">
        <v>69</v>
      </c>
      <c r="F45" s="4">
        <v>22</v>
      </c>
      <c r="G45" s="4" t="s">
        <v>72</v>
      </c>
      <c r="H45" s="25">
        <v>1</v>
      </c>
      <c r="I45" s="25">
        <v>1</v>
      </c>
      <c r="J45" s="27">
        <v>1100</v>
      </c>
      <c r="K45" s="6">
        <f t="shared" si="1"/>
        <v>1100</v>
      </c>
      <c r="L45" s="88" t="s">
        <v>182</v>
      </c>
    </row>
    <row r="46" spans="1:12">
      <c r="A46" s="10">
        <v>19</v>
      </c>
      <c r="B46" s="9" t="s">
        <v>49</v>
      </c>
      <c r="C46" s="3" t="s">
        <v>54</v>
      </c>
      <c r="D46" s="3" t="s">
        <v>55</v>
      </c>
      <c r="E46" s="23" t="s">
        <v>71</v>
      </c>
      <c r="F46" s="4">
        <v>22</v>
      </c>
      <c r="G46" s="4" t="s">
        <v>72</v>
      </c>
      <c r="H46" s="25">
        <v>72</v>
      </c>
      <c r="I46" s="25">
        <v>72</v>
      </c>
      <c r="J46" s="27">
        <v>300</v>
      </c>
      <c r="K46" s="6">
        <f t="shared" si="1"/>
        <v>21600</v>
      </c>
      <c r="L46" s="88" t="s">
        <v>182</v>
      </c>
    </row>
    <row r="47" spans="1:12">
      <c r="A47" s="16">
        <v>20</v>
      </c>
      <c r="B47" s="9" t="s">
        <v>49</v>
      </c>
      <c r="C47" s="3" t="s">
        <v>56</v>
      </c>
      <c r="D47" s="3" t="s">
        <v>57</v>
      </c>
      <c r="E47" s="23" t="s">
        <v>71</v>
      </c>
      <c r="F47" s="4">
        <v>22</v>
      </c>
      <c r="G47" s="4" t="s">
        <v>72</v>
      </c>
      <c r="H47" s="25">
        <v>36</v>
      </c>
      <c r="I47" s="25">
        <v>36</v>
      </c>
      <c r="J47" s="27">
        <v>1100</v>
      </c>
      <c r="K47" s="6">
        <f t="shared" si="1"/>
        <v>39600</v>
      </c>
      <c r="L47" s="88" t="s">
        <v>182</v>
      </c>
    </row>
    <row r="48" spans="1:12" s="8" customFormat="1" ht="24.75" thickBot="1">
      <c r="A48" s="47"/>
      <c r="B48" s="59"/>
      <c r="C48" s="49"/>
      <c r="D48" s="49"/>
      <c r="E48" s="50"/>
      <c r="F48" s="51"/>
      <c r="G48" s="51"/>
      <c r="H48" s="52"/>
      <c r="I48" s="52"/>
      <c r="J48" s="54" t="s">
        <v>192</v>
      </c>
      <c r="K48" s="55">
        <f>SUM(K37:K47)</f>
        <v>627780</v>
      </c>
      <c r="L48" s="90"/>
    </row>
    <row r="49" spans="1:12" s="8" customFormat="1" ht="24.75" thickTop="1">
      <c r="A49" s="39"/>
      <c r="B49" s="84" t="s">
        <v>2</v>
      </c>
      <c r="C49" s="41" t="s">
        <v>16</v>
      </c>
      <c r="D49" s="41"/>
      <c r="E49" s="42"/>
      <c r="F49" s="18"/>
      <c r="G49" s="18"/>
      <c r="H49" s="43"/>
      <c r="I49" s="43"/>
      <c r="J49" s="44"/>
      <c r="K49" s="45"/>
      <c r="L49" s="46"/>
    </row>
    <row r="50" spans="1:12" s="8" customFormat="1">
      <c r="A50" s="39"/>
      <c r="B50" s="40"/>
      <c r="C50" s="41" t="s">
        <v>17</v>
      </c>
      <c r="D50" s="41"/>
      <c r="E50" s="42"/>
      <c r="F50" s="18"/>
      <c r="G50" s="18"/>
      <c r="H50" s="43"/>
      <c r="I50" s="43"/>
      <c r="J50" s="44"/>
      <c r="K50" s="45"/>
      <c r="L50" s="46"/>
    </row>
    <row r="51" spans="1:12" s="8" customFormat="1">
      <c r="A51" s="39"/>
      <c r="B51" s="40"/>
      <c r="C51" s="41"/>
      <c r="D51" s="41"/>
      <c r="E51" s="42"/>
      <c r="F51" s="18"/>
      <c r="G51" s="81" t="s">
        <v>201</v>
      </c>
      <c r="H51" s="91" t="s">
        <v>202</v>
      </c>
      <c r="I51" s="91"/>
      <c r="J51" s="91"/>
      <c r="K51" s="82" t="s">
        <v>203</v>
      </c>
      <c r="L51" s="46"/>
    </row>
    <row r="52" spans="1:12" s="8" customFormat="1">
      <c r="A52" s="39"/>
      <c r="B52" s="40"/>
      <c r="C52" s="41"/>
      <c r="D52" s="41"/>
      <c r="E52" s="42"/>
      <c r="F52" s="18"/>
      <c r="G52" s="81"/>
      <c r="H52" s="91" t="s">
        <v>204</v>
      </c>
      <c r="I52" s="91"/>
      <c r="J52" s="91"/>
      <c r="K52" s="82"/>
      <c r="L52" s="46"/>
    </row>
    <row r="53" spans="1:12" s="8" customFormat="1" ht="39" customHeight="1">
      <c r="A53" s="39"/>
      <c r="B53" s="40"/>
      <c r="C53" s="41"/>
      <c r="D53" s="41"/>
      <c r="E53" s="42"/>
      <c r="F53" s="18"/>
      <c r="G53" s="81" t="s">
        <v>201</v>
      </c>
      <c r="H53" s="91" t="s">
        <v>202</v>
      </c>
      <c r="I53" s="91"/>
      <c r="J53" s="91"/>
      <c r="K53" s="82" t="s">
        <v>205</v>
      </c>
      <c r="L53" s="46"/>
    </row>
    <row r="54" spans="1:12" s="8" customFormat="1">
      <c r="A54" s="39"/>
      <c r="B54" s="40"/>
      <c r="C54" s="41"/>
      <c r="D54" s="41"/>
      <c r="E54" s="42"/>
      <c r="F54" s="18"/>
      <c r="G54" s="81"/>
      <c r="H54" s="91" t="s">
        <v>206</v>
      </c>
      <c r="I54" s="91"/>
      <c r="J54" s="91"/>
      <c r="K54" s="82"/>
      <c r="L54" s="46"/>
    </row>
    <row r="55" spans="1:12" s="8" customFormat="1" ht="40.5" customHeight="1">
      <c r="A55" s="39"/>
      <c r="B55" s="40"/>
      <c r="C55" s="41"/>
      <c r="D55" s="41"/>
      <c r="E55" s="42"/>
      <c r="F55" s="18"/>
      <c r="G55" s="81" t="s">
        <v>201</v>
      </c>
      <c r="H55" s="91" t="s">
        <v>202</v>
      </c>
      <c r="I55" s="91"/>
      <c r="J55" s="91"/>
      <c r="K55" s="82" t="s">
        <v>207</v>
      </c>
      <c r="L55" s="46"/>
    </row>
    <row r="56" spans="1:12" s="8" customFormat="1">
      <c r="A56" s="39"/>
      <c r="B56" s="40"/>
      <c r="C56" s="41"/>
      <c r="D56" s="41"/>
      <c r="E56" s="42"/>
      <c r="F56" s="18"/>
      <c r="G56" s="81"/>
      <c r="H56" s="91" t="s">
        <v>208</v>
      </c>
      <c r="I56" s="91"/>
      <c r="J56" s="91"/>
      <c r="K56" s="45"/>
      <c r="L56" s="46"/>
    </row>
    <row r="57" spans="1:12" s="8" customFormat="1">
      <c r="A57" s="39"/>
      <c r="B57" s="40"/>
      <c r="C57" s="41"/>
      <c r="D57" s="41"/>
      <c r="E57" s="42"/>
      <c r="F57" s="18"/>
      <c r="G57" s="18"/>
      <c r="H57" s="43"/>
      <c r="I57" s="43"/>
      <c r="J57" s="44"/>
      <c r="K57" s="45"/>
      <c r="L57" s="46"/>
    </row>
    <row r="58" spans="1:12" s="8" customFormat="1">
      <c r="A58" s="39"/>
      <c r="B58" s="58"/>
      <c r="C58" s="41"/>
      <c r="D58" s="41"/>
      <c r="E58" s="42"/>
      <c r="F58" s="18"/>
      <c r="G58" s="18"/>
      <c r="H58" s="43"/>
      <c r="I58" s="43"/>
      <c r="J58" s="44"/>
      <c r="K58" s="45"/>
      <c r="L58" s="46"/>
    </row>
    <row r="59" spans="1:12" s="8" customFormat="1">
      <c r="A59" s="39"/>
      <c r="B59" s="58"/>
      <c r="C59" s="41"/>
      <c r="D59" s="41"/>
      <c r="E59" s="42"/>
      <c r="F59" s="18"/>
      <c r="G59" s="18"/>
      <c r="H59" s="43"/>
      <c r="I59" s="43"/>
      <c r="J59" s="44"/>
      <c r="K59" s="45"/>
      <c r="L59" s="46"/>
    </row>
    <row r="60" spans="1:12" s="8" customFormat="1">
      <c r="A60" s="39"/>
      <c r="B60" s="58"/>
      <c r="C60" s="41"/>
      <c r="D60" s="41"/>
      <c r="E60" s="42"/>
      <c r="F60" s="18"/>
      <c r="G60" s="18"/>
      <c r="H60" s="43"/>
      <c r="I60" s="43"/>
      <c r="J60" s="44"/>
      <c r="K60" s="45"/>
      <c r="L60" s="46"/>
    </row>
    <row r="61" spans="1:12">
      <c r="L61" s="19" t="s">
        <v>195</v>
      </c>
    </row>
    <row r="62" spans="1:12">
      <c r="A62" s="92" t="s">
        <v>5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</row>
    <row r="63" spans="1:12">
      <c r="A63" s="93" t="s">
        <v>6</v>
      </c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</row>
    <row r="64" spans="1:12">
      <c r="A64" s="94" t="s">
        <v>19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</row>
    <row r="65" spans="1:12">
      <c r="A65" s="95" t="s">
        <v>7</v>
      </c>
      <c r="B65" s="95" t="s">
        <v>18</v>
      </c>
      <c r="C65" s="95" t="s">
        <v>15</v>
      </c>
      <c r="D65" s="97" t="s">
        <v>0</v>
      </c>
      <c r="E65" s="95" t="s">
        <v>10</v>
      </c>
      <c r="F65" s="95" t="s">
        <v>9</v>
      </c>
      <c r="G65" s="99" t="s">
        <v>11</v>
      </c>
      <c r="H65" s="101" t="s">
        <v>1</v>
      </c>
      <c r="I65" s="102"/>
      <c r="J65" s="95" t="s">
        <v>14</v>
      </c>
      <c r="K65" s="95" t="s">
        <v>8</v>
      </c>
      <c r="L65" s="95" t="s">
        <v>13</v>
      </c>
    </row>
    <row r="66" spans="1:12" ht="48">
      <c r="A66" s="96"/>
      <c r="B66" s="96"/>
      <c r="C66" s="96"/>
      <c r="D66" s="98"/>
      <c r="E66" s="96"/>
      <c r="F66" s="96"/>
      <c r="G66" s="100"/>
      <c r="H66" s="14" t="s">
        <v>12</v>
      </c>
      <c r="I66" s="13" t="s">
        <v>3</v>
      </c>
      <c r="J66" s="96"/>
      <c r="K66" s="96"/>
      <c r="L66" s="96"/>
    </row>
    <row r="67" spans="1:12">
      <c r="A67" s="16"/>
      <c r="B67" s="7"/>
      <c r="C67" s="3"/>
      <c r="D67" s="3"/>
      <c r="E67" s="23"/>
      <c r="F67" s="4"/>
      <c r="G67" s="4"/>
      <c r="H67" s="25"/>
      <c r="I67" s="25"/>
      <c r="J67" s="56" t="s">
        <v>193</v>
      </c>
      <c r="K67" s="57">
        <f>SUM(K48)</f>
        <v>627780</v>
      </c>
      <c r="L67" s="11"/>
    </row>
    <row r="68" spans="1:12">
      <c r="A68" s="10">
        <v>21</v>
      </c>
      <c r="B68" s="9" t="s">
        <v>49</v>
      </c>
      <c r="C68" s="3" t="s">
        <v>58</v>
      </c>
      <c r="D68" s="3" t="s">
        <v>59</v>
      </c>
      <c r="E68" s="23" t="s">
        <v>71</v>
      </c>
      <c r="F68" s="4">
        <v>22</v>
      </c>
      <c r="G68" s="4" t="s">
        <v>72</v>
      </c>
      <c r="H68" s="25">
        <v>20</v>
      </c>
      <c r="I68" s="25">
        <v>20</v>
      </c>
      <c r="J68" s="27">
        <v>180</v>
      </c>
      <c r="K68" s="6">
        <f t="shared" si="1"/>
        <v>3600</v>
      </c>
      <c r="L68" s="88" t="s">
        <v>182</v>
      </c>
    </row>
    <row r="69" spans="1:12">
      <c r="A69" s="16">
        <v>22</v>
      </c>
      <c r="B69" s="15">
        <v>2543</v>
      </c>
      <c r="C69" s="3" t="s">
        <v>60</v>
      </c>
      <c r="D69" s="3" t="s">
        <v>61</v>
      </c>
      <c r="E69" s="24" t="s">
        <v>69</v>
      </c>
      <c r="F69" s="4">
        <v>21</v>
      </c>
      <c r="G69" s="4" t="s">
        <v>72</v>
      </c>
      <c r="H69" s="23">
        <v>15</v>
      </c>
      <c r="I69" s="23">
        <v>15</v>
      </c>
      <c r="J69" s="27">
        <v>1800</v>
      </c>
      <c r="K69" s="6">
        <f t="shared" si="1"/>
        <v>27000</v>
      </c>
      <c r="L69" s="88" t="s">
        <v>182</v>
      </c>
    </row>
    <row r="70" spans="1:12">
      <c r="A70" s="10">
        <v>23</v>
      </c>
      <c r="B70" s="15">
        <v>2543</v>
      </c>
      <c r="C70" s="3" t="s">
        <v>62</v>
      </c>
      <c r="D70" s="3" t="s">
        <v>61</v>
      </c>
      <c r="E70" s="23" t="s">
        <v>71</v>
      </c>
      <c r="F70" s="4">
        <v>21</v>
      </c>
      <c r="G70" s="4" t="s">
        <v>72</v>
      </c>
      <c r="H70" s="23">
        <v>15</v>
      </c>
      <c r="I70" s="23">
        <v>15</v>
      </c>
      <c r="J70" s="27">
        <v>1800</v>
      </c>
      <c r="K70" s="6">
        <f t="shared" si="1"/>
        <v>27000</v>
      </c>
      <c r="L70" s="88" t="s">
        <v>182</v>
      </c>
    </row>
    <row r="71" spans="1:12">
      <c r="A71" s="16">
        <v>24</v>
      </c>
      <c r="B71" s="15">
        <v>2543</v>
      </c>
      <c r="C71" s="3" t="s">
        <v>63</v>
      </c>
      <c r="D71" s="1" t="s">
        <v>24</v>
      </c>
      <c r="E71" s="24" t="s">
        <v>69</v>
      </c>
      <c r="F71" s="4">
        <v>21</v>
      </c>
      <c r="G71" s="4" t="s">
        <v>72</v>
      </c>
      <c r="H71" s="23">
        <v>45</v>
      </c>
      <c r="I71" s="23">
        <v>45</v>
      </c>
      <c r="J71" s="27">
        <v>580</v>
      </c>
      <c r="K71" s="6">
        <f t="shared" si="1"/>
        <v>26100</v>
      </c>
      <c r="L71" s="88" t="s">
        <v>182</v>
      </c>
    </row>
    <row r="72" spans="1:12">
      <c r="A72" s="10">
        <v>25</v>
      </c>
      <c r="B72" s="15">
        <v>2543</v>
      </c>
      <c r="C72" s="3" t="s">
        <v>64</v>
      </c>
      <c r="D72" s="1" t="s">
        <v>24</v>
      </c>
      <c r="E72" s="24" t="s">
        <v>69</v>
      </c>
      <c r="F72" s="4">
        <v>21</v>
      </c>
      <c r="G72" s="4" t="s">
        <v>72</v>
      </c>
      <c r="H72" s="23">
        <v>80</v>
      </c>
      <c r="I72" s="23">
        <v>80</v>
      </c>
      <c r="J72" s="27">
        <v>580</v>
      </c>
      <c r="K72" s="6">
        <f t="shared" si="1"/>
        <v>46400</v>
      </c>
      <c r="L72" s="88" t="s">
        <v>182</v>
      </c>
    </row>
    <row r="73" spans="1:12">
      <c r="A73" s="16">
        <v>26</v>
      </c>
      <c r="B73" s="15">
        <v>2543</v>
      </c>
      <c r="C73" s="3" t="s">
        <v>65</v>
      </c>
      <c r="D73" s="1" t="s">
        <v>66</v>
      </c>
      <c r="E73" s="24" t="s">
        <v>69</v>
      </c>
      <c r="F73" s="4">
        <v>21</v>
      </c>
      <c r="G73" s="4" t="s">
        <v>72</v>
      </c>
      <c r="H73" s="4">
        <v>1</v>
      </c>
      <c r="I73" s="5">
        <v>1</v>
      </c>
      <c r="J73" s="27">
        <v>5700</v>
      </c>
      <c r="K73" s="6">
        <f t="shared" si="1"/>
        <v>5700</v>
      </c>
      <c r="L73" s="85" t="s">
        <v>182</v>
      </c>
    </row>
    <row r="74" spans="1:12">
      <c r="A74" s="10">
        <v>27</v>
      </c>
      <c r="B74" s="15">
        <v>2543</v>
      </c>
      <c r="C74" s="3" t="s">
        <v>67</v>
      </c>
      <c r="D74" s="3" t="s">
        <v>38</v>
      </c>
      <c r="E74" s="24" t="s">
        <v>69</v>
      </c>
      <c r="F74" s="4">
        <v>21</v>
      </c>
      <c r="G74" s="4" t="s">
        <v>72</v>
      </c>
      <c r="H74" s="4">
        <v>1</v>
      </c>
      <c r="I74" s="5">
        <v>1</v>
      </c>
      <c r="J74" s="27">
        <v>2500</v>
      </c>
      <c r="K74" s="6">
        <f t="shared" si="1"/>
        <v>2500</v>
      </c>
      <c r="L74" s="85" t="s">
        <v>182</v>
      </c>
    </row>
    <row r="75" spans="1:12">
      <c r="A75" s="16">
        <v>28</v>
      </c>
      <c r="B75" s="15">
        <v>2543</v>
      </c>
      <c r="C75" s="3" t="s">
        <v>73</v>
      </c>
      <c r="D75" s="3" t="s">
        <v>29</v>
      </c>
      <c r="E75" s="23" t="s">
        <v>70</v>
      </c>
      <c r="F75" s="4">
        <v>21</v>
      </c>
      <c r="G75" s="4" t="s">
        <v>72</v>
      </c>
      <c r="H75" s="23">
        <v>4</v>
      </c>
      <c r="I75" s="23">
        <v>4</v>
      </c>
      <c r="J75" s="27">
        <v>3000</v>
      </c>
      <c r="K75" s="6">
        <f t="shared" si="1"/>
        <v>12000</v>
      </c>
      <c r="L75" s="85" t="s">
        <v>184</v>
      </c>
    </row>
    <row r="76" spans="1:12">
      <c r="A76" s="10">
        <v>29</v>
      </c>
      <c r="B76" s="15">
        <v>2543</v>
      </c>
      <c r="C76" s="3" t="s">
        <v>74</v>
      </c>
      <c r="D76" s="3" t="s">
        <v>75</v>
      </c>
      <c r="E76" s="28" t="s">
        <v>69</v>
      </c>
      <c r="F76" s="4">
        <v>21</v>
      </c>
      <c r="G76" s="4" t="s">
        <v>72</v>
      </c>
      <c r="H76" s="23">
        <v>2</v>
      </c>
      <c r="I76" s="23">
        <v>2</v>
      </c>
      <c r="J76" s="27">
        <v>3424</v>
      </c>
      <c r="K76" s="6">
        <f t="shared" si="1"/>
        <v>6848</v>
      </c>
      <c r="L76" s="85" t="s">
        <v>188</v>
      </c>
    </row>
    <row r="77" spans="1:12">
      <c r="A77" s="16">
        <v>30</v>
      </c>
      <c r="B77" s="15">
        <v>2543</v>
      </c>
      <c r="C77" s="3" t="s">
        <v>76</v>
      </c>
      <c r="D77" s="1" t="s">
        <v>77</v>
      </c>
      <c r="E77" s="28" t="s">
        <v>69</v>
      </c>
      <c r="F77" s="4">
        <v>21</v>
      </c>
      <c r="G77" s="4" t="s">
        <v>72</v>
      </c>
      <c r="H77" s="23">
        <v>1</v>
      </c>
      <c r="I77" s="23">
        <v>1</v>
      </c>
      <c r="J77" s="27">
        <v>10561</v>
      </c>
      <c r="K77" s="6">
        <f t="shared" si="1"/>
        <v>10561</v>
      </c>
      <c r="L77" s="85" t="s">
        <v>189</v>
      </c>
    </row>
    <row r="78" spans="1:12" ht="24.75" thickBot="1">
      <c r="A78" s="47"/>
      <c r="B78" s="63"/>
      <c r="C78" s="49"/>
      <c r="D78" s="64"/>
      <c r="E78" s="65"/>
      <c r="F78" s="51"/>
      <c r="G78" s="51"/>
      <c r="H78" s="50"/>
      <c r="I78" s="50"/>
      <c r="J78" s="54" t="s">
        <v>192</v>
      </c>
      <c r="K78" s="55">
        <f>SUM(K67:K77)</f>
        <v>795489</v>
      </c>
      <c r="L78" s="63"/>
    </row>
    <row r="79" spans="1:12" s="8" customFormat="1" ht="24.75" thickTop="1">
      <c r="A79" s="39"/>
      <c r="B79" s="84" t="s">
        <v>2</v>
      </c>
      <c r="C79" s="41" t="s">
        <v>16</v>
      </c>
      <c r="D79" s="41"/>
      <c r="E79" s="42"/>
      <c r="F79" s="18"/>
      <c r="G79" s="18"/>
      <c r="H79" s="43"/>
      <c r="I79" s="43"/>
      <c r="J79" s="44"/>
      <c r="K79" s="45"/>
      <c r="L79" s="46"/>
    </row>
    <row r="80" spans="1:12" s="8" customFormat="1">
      <c r="A80" s="39"/>
      <c r="B80" s="40"/>
      <c r="C80" s="41" t="s">
        <v>17</v>
      </c>
      <c r="D80" s="41"/>
      <c r="E80" s="42"/>
      <c r="F80" s="18"/>
      <c r="G80" s="18"/>
      <c r="H80" s="43"/>
      <c r="I80" s="43"/>
      <c r="J80" s="44"/>
      <c r="K80" s="45"/>
      <c r="L80" s="46"/>
    </row>
    <row r="81" spans="1:12" s="8" customFormat="1">
      <c r="A81" s="39"/>
      <c r="B81" s="40"/>
      <c r="C81" s="41"/>
      <c r="D81" s="41"/>
      <c r="E81" s="42"/>
      <c r="F81" s="18"/>
      <c r="G81" s="81" t="s">
        <v>201</v>
      </c>
      <c r="H81" s="91" t="s">
        <v>202</v>
      </c>
      <c r="I81" s="91"/>
      <c r="J81" s="91"/>
      <c r="K81" s="82" t="s">
        <v>203</v>
      </c>
      <c r="L81" s="46"/>
    </row>
    <row r="82" spans="1:12" s="8" customFormat="1">
      <c r="A82" s="39"/>
      <c r="B82" s="40"/>
      <c r="C82" s="41"/>
      <c r="D82" s="41"/>
      <c r="E82" s="42"/>
      <c r="F82" s="18"/>
      <c r="G82" s="81"/>
      <c r="H82" s="91" t="s">
        <v>204</v>
      </c>
      <c r="I82" s="91"/>
      <c r="J82" s="91"/>
      <c r="K82" s="82"/>
      <c r="L82" s="46"/>
    </row>
    <row r="83" spans="1:12" s="8" customFormat="1" ht="38.25" customHeight="1">
      <c r="A83" s="39"/>
      <c r="B83" s="40"/>
      <c r="C83" s="41"/>
      <c r="D83" s="41"/>
      <c r="E83" s="42"/>
      <c r="F83" s="18"/>
      <c r="G83" s="81" t="s">
        <v>201</v>
      </c>
      <c r="H83" s="91" t="s">
        <v>202</v>
      </c>
      <c r="I83" s="91"/>
      <c r="J83" s="91"/>
      <c r="K83" s="82" t="s">
        <v>205</v>
      </c>
      <c r="L83" s="46"/>
    </row>
    <row r="84" spans="1:12" s="8" customFormat="1">
      <c r="A84" s="39"/>
      <c r="B84" s="40"/>
      <c r="C84" s="41"/>
      <c r="D84" s="41"/>
      <c r="E84" s="42"/>
      <c r="F84" s="18"/>
      <c r="G84" s="81"/>
      <c r="H84" s="91" t="s">
        <v>206</v>
      </c>
      <c r="I84" s="91"/>
      <c r="J84" s="91"/>
      <c r="K84" s="82"/>
      <c r="L84" s="46"/>
    </row>
    <row r="85" spans="1:12" s="8" customFormat="1" ht="43.5" customHeight="1">
      <c r="A85" s="39"/>
      <c r="B85" s="40"/>
      <c r="C85" s="41"/>
      <c r="D85" s="41"/>
      <c r="E85" s="42"/>
      <c r="F85" s="18"/>
      <c r="G85" s="81" t="s">
        <v>201</v>
      </c>
      <c r="H85" s="91" t="s">
        <v>202</v>
      </c>
      <c r="I85" s="91"/>
      <c r="J85" s="91"/>
      <c r="K85" s="82" t="s">
        <v>207</v>
      </c>
      <c r="L85" s="46"/>
    </row>
    <row r="86" spans="1:12" s="8" customFormat="1">
      <c r="A86" s="39"/>
      <c r="B86" s="40"/>
      <c r="C86" s="41"/>
      <c r="D86" s="41"/>
      <c r="E86" s="42"/>
      <c r="F86" s="18"/>
      <c r="G86" s="81"/>
      <c r="H86" s="91" t="s">
        <v>208</v>
      </c>
      <c r="I86" s="91"/>
      <c r="J86" s="91"/>
      <c r="K86" s="45"/>
      <c r="L86" s="46"/>
    </row>
    <row r="87" spans="1:12" s="8" customFormat="1">
      <c r="A87" s="39"/>
      <c r="B87" s="40"/>
      <c r="C87" s="41"/>
      <c r="D87" s="41"/>
      <c r="E87" s="42"/>
      <c r="F87" s="18"/>
      <c r="G87" s="18"/>
      <c r="H87" s="43"/>
      <c r="I87" s="43"/>
      <c r="J87" s="44"/>
      <c r="K87" s="45"/>
      <c r="L87" s="46"/>
    </row>
    <row r="88" spans="1:12" s="8" customFormat="1">
      <c r="A88" s="39"/>
      <c r="B88" s="32"/>
      <c r="C88" s="41"/>
      <c r="D88" s="61"/>
      <c r="E88" s="62"/>
      <c r="F88" s="18"/>
      <c r="G88" s="18"/>
      <c r="H88" s="42"/>
      <c r="I88" s="42"/>
      <c r="J88" s="44"/>
      <c r="K88" s="45"/>
      <c r="L88" s="32"/>
    </row>
    <row r="89" spans="1:12" s="8" customFormat="1">
      <c r="A89" s="39"/>
      <c r="B89" s="32"/>
      <c r="C89" s="41"/>
      <c r="D89" s="61"/>
      <c r="E89" s="62"/>
      <c r="F89" s="18"/>
      <c r="G89" s="18"/>
      <c r="H89" s="42"/>
      <c r="I89" s="42"/>
      <c r="J89" s="44"/>
      <c r="K89" s="45"/>
      <c r="L89" s="32"/>
    </row>
    <row r="90" spans="1:12" s="8" customFormat="1">
      <c r="A90" s="39"/>
      <c r="B90" s="32"/>
      <c r="C90" s="41"/>
      <c r="D90" s="61"/>
      <c r="E90" s="62"/>
      <c r="F90" s="18"/>
      <c r="G90" s="18"/>
      <c r="H90" s="42"/>
      <c r="I90" s="42"/>
      <c r="J90" s="44"/>
      <c r="K90" s="45"/>
      <c r="L90" s="32"/>
    </row>
    <row r="91" spans="1:12">
      <c r="L91" s="19" t="s">
        <v>196</v>
      </c>
    </row>
    <row r="92" spans="1:12">
      <c r="A92" s="92" t="s">
        <v>5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</row>
    <row r="93" spans="1:12">
      <c r="A93" s="93" t="s">
        <v>6</v>
      </c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</row>
    <row r="94" spans="1:12">
      <c r="A94" s="94" t="s">
        <v>19</v>
      </c>
      <c r="B94" s="94"/>
      <c r="C94" s="94"/>
      <c r="D94" s="94"/>
      <c r="E94" s="94"/>
      <c r="F94" s="94"/>
      <c r="G94" s="94"/>
      <c r="H94" s="94"/>
      <c r="I94" s="94"/>
      <c r="J94" s="94"/>
      <c r="K94" s="94"/>
      <c r="L94" s="94"/>
    </row>
    <row r="95" spans="1:12" ht="24" customHeight="1">
      <c r="A95" s="95" t="s">
        <v>7</v>
      </c>
      <c r="B95" s="95" t="s">
        <v>18</v>
      </c>
      <c r="C95" s="95" t="s">
        <v>15</v>
      </c>
      <c r="D95" s="97" t="s">
        <v>0</v>
      </c>
      <c r="E95" s="95" t="s">
        <v>10</v>
      </c>
      <c r="F95" s="95" t="s">
        <v>9</v>
      </c>
      <c r="G95" s="99" t="s">
        <v>11</v>
      </c>
      <c r="H95" s="101" t="s">
        <v>1</v>
      </c>
      <c r="I95" s="102"/>
      <c r="J95" s="95" t="s">
        <v>14</v>
      </c>
      <c r="K95" s="95" t="s">
        <v>8</v>
      </c>
      <c r="L95" s="95" t="s">
        <v>13</v>
      </c>
    </row>
    <row r="96" spans="1:12" ht="48">
      <c r="A96" s="96"/>
      <c r="B96" s="96"/>
      <c r="C96" s="96"/>
      <c r="D96" s="98"/>
      <c r="E96" s="96"/>
      <c r="F96" s="96"/>
      <c r="G96" s="100"/>
      <c r="H96" s="14" t="s">
        <v>12</v>
      </c>
      <c r="I96" s="13" t="s">
        <v>3</v>
      </c>
      <c r="J96" s="96"/>
      <c r="K96" s="96"/>
      <c r="L96" s="96"/>
    </row>
    <row r="97" spans="1:12">
      <c r="A97" s="16"/>
      <c r="B97" s="7"/>
      <c r="C97" s="3"/>
      <c r="D97" s="3"/>
      <c r="E97" s="23"/>
      <c r="F97" s="4"/>
      <c r="G97" s="4"/>
      <c r="H97" s="25"/>
      <c r="I97" s="25"/>
      <c r="J97" s="56" t="s">
        <v>193</v>
      </c>
      <c r="K97" s="57">
        <f>SUM(K78)</f>
        <v>795489</v>
      </c>
      <c r="L97" s="11"/>
    </row>
    <row r="98" spans="1:12">
      <c r="A98" s="10">
        <v>31</v>
      </c>
      <c r="B98" s="15">
        <v>2543</v>
      </c>
      <c r="C98" s="3" t="s">
        <v>78</v>
      </c>
      <c r="D98" s="1" t="s">
        <v>79</v>
      </c>
      <c r="E98" s="23" t="s">
        <v>69</v>
      </c>
      <c r="F98" s="4">
        <v>21</v>
      </c>
      <c r="G98" s="4" t="s">
        <v>72</v>
      </c>
      <c r="H98" s="25">
        <v>1</v>
      </c>
      <c r="I98" s="25">
        <v>1</v>
      </c>
      <c r="J98" s="27">
        <v>11535.6</v>
      </c>
      <c r="K98" s="6">
        <f t="shared" si="1"/>
        <v>11535.6</v>
      </c>
      <c r="L98" s="85" t="s">
        <v>189</v>
      </c>
    </row>
    <row r="99" spans="1:12">
      <c r="A99" s="16">
        <v>32</v>
      </c>
      <c r="B99" s="15">
        <v>2543</v>
      </c>
      <c r="C99" s="3" t="s">
        <v>80</v>
      </c>
      <c r="D99" s="1" t="s">
        <v>81</v>
      </c>
      <c r="E99" s="23" t="s">
        <v>69</v>
      </c>
      <c r="F99" s="4">
        <v>21</v>
      </c>
      <c r="G99" s="4" t="s">
        <v>72</v>
      </c>
      <c r="H99" s="25">
        <v>1</v>
      </c>
      <c r="I99" s="25">
        <v>1</v>
      </c>
      <c r="J99" s="27">
        <v>25000</v>
      </c>
      <c r="K99" s="6">
        <f t="shared" si="1"/>
        <v>25000</v>
      </c>
      <c r="L99" s="85" t="s">
        <v>190</v>
      </c>
    </row>
    <row r="100" spans="1:12">
      <c r="A100" s="10">
        <v>33</v>
      </c>
      <c r="B100" s="7" t="s">
        <v>82</v>
      </c>
      <c r="C100" s="3" t="s">
        <v>83</v>
      </c>
      <c r="D100" s="1" t="s">
        <v>24</v>
      </c>
      <c r="E100" s="23" t="s">
        <v>68</v>
      </c>
      <c r="F100" s="4">
        <v>20</v>
      </c>
      <c r="G100" s="4" t="s">
        <v>72</v>
      </c>
      <c r="H100" s="25">
        <v>80</v>
      </c>
      <c r="I100" s="25">
        <v>80</v>
      </c>
      <c r="J100" s="29">
        <v>580</v>
      </c>
      <c r="K100" s="6">
        <f t="shared" si="1"/>
        <v>46400</v>
      </c>
      <c r="L100" s="88" t="s">
        <v>182</v>
      </c>
    </row>
    <row r="101" spans="1:12">
      <c r="A101" s="16">
        <v>34</v>
      </c>
      <c r="B101" s="7" t="s">
        <v>82</v>
      </c>
      <c r="C101" s="3" t="s">
        <v>84</v>
      </c>
      <c r="D101" s="3" t="s">
        <v>85</v>
      </c>
      <c r="E101" s="23" t="s">
        <v>69</v>
      </c>
      <c r="F101" s="4">
        <v>20</v>
      </c>
      <c r="G101" s="4" t="s">
        <v>72</v>
      </c>
      <c r="H101" s="25">
        <v>1</v>
      </c>
      <c r="I101" s="25">
        <v>1</v>
      </c>
      <c r="J101" s="29">
        <v>1400</v>
      </c>
      <c r="K101" s="6">
        <f t="shared" si="1"/>
        <v>1400</v>
      </c>
      <c r="L101" s="88" t="s">
        <v>182</v>
      </c>
    </row>
    <row r="102" spans="1:12">
      <c r="A102" s="10">
        <v>35</v>
      </c>
      <c r="B102" s="7" t="s">
        <v>82</v>
      </c>
      <c r="C102" s="3" t="s">
        <v>86</v>
      </c>
      <c r="D102" s="1" t="s">
        <v>87</v>
      </c>
      <c r="E102" s="23" t="s">
        <v>69</v>
      </c>
      <c r="F102" s="4">
        <v>20</v>
      </c>
      <c r="G102" s="4" t="s">
        <v>72</v>
      </c>
      <c r="H102" s="25">
        <v>1</v>
      </c>
      <c r="I102" s="25">
        <v>1</v>
      </c>
      <c r="J102" s="29">
        <v>2920</v>
      </c>
      <c r="K102" s="6">
        <f t="shared" si="1"/>
        <v>2920</v>
      </c>
      <c r="L102" s="88" t="s">
        <v>182</v>
      </c>
    </row>
    <row r="103" spans="1:12">
      <c r="A103" s="16">
        <v>36</v>
      </c>
      <c r="B103" s="7" t="s">
        <v>82</v>
      </c>
      <c r="C103" s="3" t="s">
        <v>88</v>
      </c>
      <c r="D103" s="3" t="s">
        <v>89</v>
      </c>
      <c r="E103" s="23" t="s">
        <v>69</v>
      </c>
      <c r="F103" s="4">
        <v>20</v>
      </c>
      <c r="G103" s="4" t="s">
        <v>72</v>
      </c>
      <c r="H103" s="25">
        <v>1</v>
      </c>
      <c r="I103" s="25">
        <v>1</v>
      </c>
      <c r="J103" s="29">
        <v>5880</v>
      </c>
      <c r="K103" s="6">
        <f t="shared" si="1"/>
        <v>5880</v>
      </c>
      <c r="L103" s="88" t="s">
        <v>182</v>
      </c>
    </row>
    <row r="104" spans="1:12">
      <c r="A104" s="10">
        <v>37</v>
      </c>
      <c r="B104" s="7" t="s">
        <v>90</v>
      </c>
      <c r="C104" s="3" t="s">
        <v>91</v>
      </c>
      <c r="D104" s="1" t="s">
        <v>92</v>
      </c>
      <c r="E104" s="23" t="s">
        <v>69</v>
      </c>
      <c r="F104" s="4">
        <v>19</v>
      </c>
      <c r="G104" s="4" t="s">
        <v>72</v>
      </c>
      <c r="H104" s="4">
        <v>1</v>
      </c>
      <c r="I104" s="5">
        <v>1</v>
      </c>
      <c r="J104" s="6">
        <v>5280.45</v>
      </c>
      <c r="K104" s="6">
        <f t="shared" si="1"/>
        <v>5280.45</v>
      </c>
      <c r="L104" s="88" t="s">
        <v>182</v>
      </c>
    </row>
    <row r="105" spans="1:12">
      <c r="A105" s="16">
        <v>38</v>
      </c>
      <c r="B105" s="7" t="s">
        <v>90</v>
      </c>
      <c r="C105" s="3" t="s">
        <v>93</v>
      </c>
      <c r="D105" s="3" t="s">
        <v>94</v>
      </c>
      <c r="E105" s="23" t="s">
        <v>69</v>
      </c>
      <c r="F105" s="4">
        <v>19</v>
      </c>
      <c r="G105" s="4" t="s">
        <v>72</v>
      </c>
      <c r="H105" s="4">
        <v>1</v>
      </c>
      <c r="I105" s="5">
        <v>1</v>
      </c>
      <c r="J105" s="6">
        <v>7700</v>
      </c>
      <c r="K105" s="6">
        <f t="shared" si="1"/>
        <v>7700</v>
      </c>
      <c r="L105" s="85" t="s">
        <v>185</v>
      </c>
    </row>
    <row r="106" spans="1:12">
      <c r="A106" s="10">
        <v>39</v>
      </c>
      <c r="B106" s="12" t="s">
        <v>95</v>
      </c>
      <c r="C106" s="3" t="s">
        <v>96</v>
      </c>
      <c r="D106" s="3" t="s">
        <v>97</v>
      </c>
      <c r="E106" s="23" t="s">
        <v>69</v>
      </c>
      <c r="F106" s="4">
        <v>18</v>
      </c>
      <c r="G106" s="4" t="s">
        <v>72</v>
      </c>
      <c r="H106" s="4">
        <v>4</v>
      </c>
      <c r="I106" s="5">
        <v>4</v>
      </c>
      <c r="J106" s="6">
        <v>1600</v>
      </c>
      <c r="K106" s="6">
        <f t="shared" si="1"/>
        <v>6400</v>
      </c>
      <c r="L106" s="85" t="s">
        <v>182</v>
      </c>
    </row>
    <row r="107" spans="1:12">
      <c r="A107" s="16">
        <v>40</v>
      </c>
      <c r="B107" s="12" t="s">
        <v>95</v>
      </c>
      <c r="C107" s="3" t="s">
        <v>98</v>
      </c>
      <c r="D107" s="1" t="s">
        <v>24</v>
      </c>
      <c r="E107" s="23" t="s">
        <v>69</v>
      </c>
      <c r="F107" s="4">
        <v>18</v>
      </c>
      <c r="G107" s="4" t="s">
        <v>72</v>
      </c>
      <c r="H107" s="4">
        <v>80</v>
      </c>
      <c r="I107" s="5">
        <v>80</v>
      </c>
      <c r="J107" s="6">
        <v>460</v>
      </c>
      <c r="K107" s="6">
        <f t="shared" si="1"/>
        <v>36800</v>
      </c>
      <c r="L107" s="88" t="s">
        <v>182</v>
      </c>
    </row>
    <row r="108" spans="1:12" ht="24.75" thickBot="1">
      <c r="A108" s="47"/>
      <c r="B108" s="68"/>
      <c r="C108" s="49"/>
      <c r="D108" s="64"/>
      <c r="E108" s="50"/>
      <c r="F108" s="51"/>
      <c r="G108" s="51"/>
      <c r="H108" s="51"/>
      <c r="I108" s="69"/>
      <c r="J108" s="54" t="s">
        <v>192</v>
      </c>
      <c r="K108" s="55">
        <f>SUM(K97:K107)</f>
        <v>944805.04999999993</v>
      </c>
      <c r="L108" s="90"/>
    </row>
    <row r="109" spans="1:12" s="8" customFormat="1" ht="24.75" thickTop="1">
      <c r="A109" s="39"/>
      <c r="B109" s="84" t="s">
        <v>2</v>
      </c>
      <c r="C109" s="41" t="s">
        <v>16</v>
      </c>
      <c r="D109" s="41"/>
      <c r="E109" s="42"/>
      <c r="F109" s="18"/>
      <c r="G109" s="18"/>
      <c r="H109" s="43"/>
      <c r="I109" s="43"/>
      <c r="J109" s="44"/>
      <c r="K109" s="45"/>
      <c r="L109" s="46"/>
    </row>
    <row r="110" spans="1:12" s="8" customFormat="1">
      <c r="A110" s="39"/>
      <c r="B110" s="40"/>
      <c r="C110" s="41" t="s">
        <v>17</v>
      </c>
      <c r="D110" s="41"/>
      <c r="E110" s="42"/>
      <c r="F110" s="18"/>
      <c r="G110" s="18"/>
      <c r="H110" s="43"/>
      <c r="I110" s="43"/>
      <c r="J110" s="44"/>
      <c r="K110" s="45"/>
      <c r="L110" s="46"/>
    </row>
    <row r="111" spans="1:12" s="8" customFormat="1">
      <c r="A111" s="39"/>
      <c r="B111" s="40"/>
      <c r="C111" s="41"/>
      <c r="D111" s="41"/>
      <c r="E111" s="42"/>
      <c r="F111" s="18"/>
      <c r="G111" s="81" t="s">
        <v>201</v>
      </c>
      <c r="H111" s="91" t="s">
        <v>202</v>
      </c>
      <c r="I111" s="91"/>
      <c r="J111" s="91"/>
      <c r="K111" s="82" t="s">
        <v>203</v>
      </c>
      <c r="L111" s="46"/>
    </row>
    <row r="112" spans="1:12" s="8" customFormat="1">
      <c r="A112" s="39"/>
      <c r="B112" s="40"/>
      <c r="C112" s="41"/>
      <c r="D112" s="41"/>
      <c r="E112" s="42"/>
      <c r="F112" s="18"/>
      <c r="G112" s="81"/>
      <c r="H112" s="91" t="s">
        <v>204</v>
      </c>
      <c r="I112" s="91"/>
      <c r="J112" s="91"/>
      <c r="K112" s="82"/>
      <c r="L112" s="46"/>
    </row>
    <row r="113" spans="1:12" s="8" customFormat="1" ht="46.5" customHeight="1">
      <c r="A113" s="39"/>
      <c r="B113" s="40"/>
      <c r="C113" s="41"/>
      <c r="D113" s="41"/>
      <c r="E113" s="42"/>
      <c r="F113" s="18"/>
      <c r="G113" s="81" t="s">
        <v>201</v>
      </c>
      <c r="H113" s="91" t="s">
        <v>202</v>
      </c>
      <c r="I113" s="91"/>
      <c r="J113" s="91"/>
      <c r="K113" s="82" t="s">
        <v>205</v>
      </c>
      <c r="L113" s="46"/>
    </row>
    <row r="114" spans="1:12" s="8" customFormat="1">
      <c r="A114" s="39"/>
      <c r="B114" s="40"/>
      <c r="C114" s="41"/>
      <c r="D114" s="41"/>
      <c r="E114" s="42"/>
      <c r="F114" s="18"/>
      <c r="G114" s="81"/>
      <c r="H114" s="91" t="s">
        <v>206</v>
      </c>
      <c r="I114" s="91"/>
      <c r="J114" s="91"/>
      <c r="K114" s="82"/>
      <c r="L114" s="46"/>
    </row>
    <row r="115" spans="1:12" s="8" customFormat="1" ht="45.75" customHeight="1">
      <c r="A115" s="39"/>
      <c r="B115" s="40"/>
      <c r="C115" s="41"/>
      <c r="D115" s="41"/>
      <c r="E115" s="42"/>
      <c r="F115" s="18"/>
      <c r="G115" s="81" t="s">
        <v>201</v>
      </c>
      <c r="H115" s="91" t="s">
        <v>202</v>
      </c>
      <c r="I115" s="91"/>
      <c r="J115" s="91"/>
      <c r="K115" s="82" t="s">
        <v>207</v>
      </c>
      <c r="L115" s="46"/>
    </row>
    <row r="116" spans="1:12" s="8" customFormat="1">
      <c r="A116" s="39"/>
      <c r="B116" s="40"/>
      <c r="C116" s="41"/>
      <c r="D116" s="41"/>
      <c r="E116" s="42"/>
      <c r="F116" s="18"/>
      <c r="G116" s="81"/>
      <c r="H116" s="91" t="s">
        <v>208</v>
      </c>
      <c r="I116" s="91"/>
      <c r="J116" s="91"/>
      <c r="K116" s="45"/>
      <c r="L116" s="46"/>
    </row>
    <row r="117" spans="1:12" s="8" customFormat="1">
      <c r="A117" s="39"/>
      <c r="B117" s="40"/>
      <c r="C117" s="41"/>
      <c r="D117" s="41"/>
      <c r="E117" s="42"/>
      <c r="F117" s="18"/>
      <c r="G117" s="18"/>
      <c r="H117" s="43"/>
      <c r="I117" s="43"/>
      <c r="J117" s="44"/>
      <c r="K117" s="45"/>
      <c r="L117" s="46"/>
    </row>
    <row r="118" spans="1:12" s="8" customFormat="1">
      <c r="A118" s="39"/>
      <c r="B118" s="66"/>
      <c r="C118" s="41"/>
      <c r="D118" s="61"/>
      <c r="E118" s="42"/>
      <c r="F118" s="18"/>
      <c r="G118" s="18"/>
      <c r="H118" s="18"/>
      <c r="I118" s="67"/>
      <c r="J118" s="45"/>
      <c r="K118" s="45"/>
      <c r="L118" s="46"/>
    </row>
    <row r="119" spans="1:12" s="8" customFormat="1">
      <c r="A119" s="39"/>
      <c r="B119" s="66"/>
      <c r="C119" s="41"/>
      <c r="D119" s="61"/>
      <c r="E119" s="42"/>
      <c r="F119" s="18"/>
      <c r="G119" s="18"/>
      <c r="H119" s="18"/>
      <c r="I119" s="67"/>
      <c r="J119" s="45"/>
      <c r="K119" s="45"/>
      <c r="L119" s="46"/>
    </row>
    <row r="120" spans="1:12">
      <c r="L120" s="19" t="s">
        <v>197</v>
      </c>
    </row>
    <row r="121" spans="1:12">
      <c r="A121" s="92" t="s">
        <v>5</v>
      </c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</row>
    <row r="122" spans="1:12">
      <c r="A122" s="93" t="s">
        <v>6</v>
      </c>
      <c r="B122" s="93"/>
      <c r="C122" s="93"/>
      <c r="D122" s="93"/>
      <c r="E122" s="93"/>
      <c r="F122" s="93"/>
      <c r="G122" s="93"/>
      <c r="H122" s="93"/>
      <c r="I122" s="93"/>
      <c r="J122" s="93"/>
      <c r="K122" s="93"/>
      <c r="L122" s="93"/>
    </row>
    <row r="123" spans="1:12">
      <c r="A123" s="94" t="s">
        <v>19</v>
      </c>
      <c r="B123" s="94"/>
      <c r="C123" s="94"/>
      <c r="D123" s="94"/>
      <c r="E123" s="94"/>
      <c r="F123" s="94"/>
      <c r="G123" s="94"/>
      <c r="H123" s="94"/>
      <c r="I123" s="94"/>
      <c r="J123" s="94"/>
      <c r="K123" s="94"/>
      <c r="L123" s="94"/>
    </row>
    <row r="124" spans="1:12">
      <c r="A124" s="95" t="s">
        <v>7</v>
      </c>
      <c r="B124" s="95" t="s">
        <v>18</v>
      </c>
      <c r="C124" s="95" t="s">
        <v>15</v>
      </c>
      <c r="D124" s="97" t="s">
        <v>0</v>
      </c>
      <c r="E124" s="95" t="s">
        <v>10</v>
      </c>
      <c r="F124" s="95" t="s">
        <v>9</v>
      </c>
      <c r="G124" s="99" t="s">
        <v>11</v>
      </c>
      <c r="H124" s="101" t="s">
        <v>1</v>
      </c>
      <c r="I124" s="102"/>
      <c r="J124" s="95" t="s">
        <v>14</v>
      </c>
      <c r="K124" s="95" t="s">
        <v>8</v>
      </c>
      <c r="L124" s="95" t="s">
        <v>13</v>
      </c>
    </row>
    <row r="125" spans="1:12" ht="48">
      <c r="A125" s="96"/>
      <c r="B125" s="96"/>
      <c r="C125" s="96"/>
      <c r="D125" s="98"/>
      <c r="E125" s="96"/>
      <c r="F125" s="96"/>
      <c r="G125" s="100"/>
      <c r="H125" s="14" t="s">
        <v>12</v>
      </c>
      <c r="I125" s="13" t="s">
        <v>3</v>
      </c>
      <c r="J125" s="96"/>
      <c r="K125" s="96"/>
      <c r="L125" s="96"/>
    </row>
    <row r="126" spans="1:12">
      <c r="A126" s="16"/>
      <c r="B126" s="7"/>
      <c r="C126" s="3"/>
      <c r="D126" s="3"/>
      <c r="E126" s="23"/>
      <c r="F126" s="4"/>
      <c r="G126" s="4"/>
      <c r="H126" s="25"/>
      <c r="I126" s="25"/>
      <c r="J126" s="56" t="s">
        <v>193</v>
      </c>
      <c r="K126" s="57">
        <f>SUM(K108)</f>
        <v>944805.04999999993</v>
      </c>
      <c r="L126" s="11"/>
    </row>
    <row r="127" spans="1:12">
      <c r="A127" s="10">
        <v>41</v>
      </c>
      <c r="B127" s="12" t="s">
        <v>95</v>
      </c>
      <c r="C127" s="3" t="s">
        <v>99</v>
      </c>
      <c r="D127" s="3" t="s">
        <v>31</v>
      </c>
      <c r="E127" s="23" t="s">
        <v>69</v>
      </c>
      <c r="F127" s="4">
        <v>18</v>
      </c>
      <c r="G127" s="4" t="s">
        <v>72</v>
      </c>
      <c r="H127" s="4">
        <v>2</v>
      </c>
      <c r="I127" s="5">
        <v>2</v>
      </c>
      <c r="J127" s="6">
        <v>2950</v>
      </c>
      <c r="K127" s="6">
        <f t="shared" si="1"/>
        <v>5900</v>
      </c>
      <c r="L127" s="88" t="s">
        <v>182</v>
      </c>
    </row>
    <row r="128" spans="1:12">
      <c r="A128" s="16">
        <v>42</v>
      </c>
      <c r="B128" s="12" t="s">
        <v>95</v>
      </c>
      <c r="C128" s="3" t="s">
        <v>100</v>
      </c>
      <c r="D128" s="3" t="s">
        <v>33</v>
      </c>
      <c r="E128" s="23" t="s">
        <v>69</v>
      </c>
      <c r="F128" s="4">
        <v>18</v>
      </c>
      <c r="G128" s="4" t="s">
        <v>72</v>
      </c>
      <c r="H128" s="4">
        <v>1</v>
      </c>
      <c r="I128" s="5">
        <v>1</v>
      </c>
      <c r="J128" s="6">
        <v>5700</v>
      </c>
      <c r="K128" s="6">
        <f t="shared" si="1"/>
        <v>5700</v>
      </c>
      <c r="L128" s="88" t="s">
        <v>182</v>
      </c>
    </row>
    <row r="129" spans="1:12">
      <c r="A129" s="10">
        <v>43</v>
      </c>
      <c r="B129" s="12" t="s">
        <v>95</v>
      </c>
      <c r="C129" s="3" t="s">
        <v>101</v>
      </c>
      <c r="D129" s="3" t="s">
        <v>102</v>
      </c>
      <c r="E129" s="23" t="s">
        <v>69</v>
      </c>
      <c r="F129" s="4">
        <v>18</v>
      </c>
      <c r="G129" s="4" t="s">
        <v>72</v>
      </c>
      <c r="H129" s="4">
        <v>1</v>
      </c>
      <c r="I129" s="5">
        <v>1</v>
      </c>
      <c r="J129" s="6">
        <v>19620</v>
      </c>
      <c r="K129" s="6">
        <f t="shared" si="1"/>
        <v>19620</v>
      </c>
      <c r="L129" s="88" t="s">
        <v>182</v>
      </c>
    </row>
    <row r="130" spans="1:12">
      <c r="A130" s="16">
        <v>44</v>
      </c>
      <c r="B130" s="12" t="s">
        <v>95</v>
      </c>
      <c r="C130" s="3" t="s">
        <v>103</v>
      </c>
      <c r="D130" s="3" t="s">
        <v>85</v>
      </c>
      <c r="E130" s="23" t="s">
        <v>70</v>
      </c>
      <c r="F130" s="4">
        <v>18</v>
      </c>
      <c r="G130" s="4" t="s">
        <v>72</v>
      </c>
      <c r="H130" s="4">
        <v>2</v>
      </c>
      <c r="I130" s="5">
        <v>2</v>
      </c>
      <c r="J130" s="6">
        <v>300</v>
      </c>
      <c r="K130" s="6">
        <f t="shared" si="1"/>
        <v>600</v>
      </c>
      <c r="L130" s="88" t="s">
        <v>182</v>
      </c>
    </row>
    <row r="131" spans="1:12">
      <c r="A131" s="10">
        <v>45</v>
      </c>
      <c r="B131" s="12" t="s">
        <v>95</v>
      </c>
      <c r="C131" s="3" t="s">
        <v>104</v>
      </c>
      <c r="D131" s="3" t="s">
        <v>85</v>
      </c>
      <c r="E131" s="23" t="s">
        <v>70</v>
      </c>
      <c r="F131" s="4">
        <v>18</v>
      </c>
      <c r="G131" s="4" t="s">
        <v>72</v>
      </c>
      <c r="H131" s="4">
        <v>16</v>
      </c>
      <c r="I131" s="5">
        <v>16</v>
      </c>
      <c r="J131" s="6">
        <v>1000</v>
      </c>
      <c r="K131" s="6">
        <f t="shared" si="1"/>
        <v>16000</v>
      </c>
      <c r="L131" s="88" t="s">
        <v>182</v>
      </c>
    </row>
    <row r="132" spans="1:12">
      <c r="A132" s="16">
        <v>46</v>
      </c>
      <c r="B132" s="12" t="s">
        <v>95</v>
      </c>
      <c r="C132" s="3" t="s">
        <v>105</v>
      </c>
      <c r="D132" s="3" t="s">
        <v>106</v>
      </c>
      <c r="E132" s="24" t="s">
        <v>69</v>
      </c>
      <c r="F132" s="4">
        <v>18</v>
      </c>
      <c r="G132" s="4" t="s">
        <v>72</v>
      </c>
      <c r="H132" s="4">
        <v>1</v>
      </c>
      <c r="I132" s="5">
        <v>1</v>
      </c>
      <c r="J132" s="6">
        <v>7420</v>
      </c>
      <c r="K132" s="6">
        <f t="shared" si="1"/>
        <v>7420</v>
      </c>
      <c r="L132" s="88" t="s">
        <v>182</v>
      </c>
    </row>
    <row r="133" spans="1:12">
      <c r="A133" s="16">
        <v>47</v>
      </c>
      <c r="B133" s="15">
        <v>2547</v>
      </c>
      <c r="C133" s="3" t="s">
        <v>107</v>
      </c>
      <c r="D133" s="3" t="s">
        <v>97</v>
      </c>
      <c r="E133" s="24" t="s">
        <v>69</v>
      </c>
      <c r="F133" s="25">
        <v>17</v>
      </c>
      <c r="G133" s="4" t="s">
        <v>72</v>
      </c>
      <c r="H133" s="25">
        <v>3</v>
      </c>
      <c r="I133" s="25">
        <v>3</v>
      </c>
      <c r="J133" s="6">
        <v>1600</v>
      </c>
      <c r="K133" s="6">
        <f t="shared" si="1"/>
        <v>4800</v>
      </c>
      <c r="L133" s="88" t="s">
        <v>182</v>
      </c>
    </row>
    <row r="134" spans="1:12">
      <c r="A134" s="10">
        <v>48</v>
      </c>
      <c r="B134" s="15">
        <v>2547</v>
      </c>
      <c r="C134" s="3" t="s">
        <v>108</v>
      </c>
      <c r="D134" s="3" t="s">
        <v>97</v>
      </c>
      <c r="E134" s="24" t="s">
        <v>69</v>
      </c>
      <c r="F134" s="25">
        <v>17</v>
      </c>
      <c r="G134" s="4" t="s">
        <v>72</v>
      </c>
      <c r="H134" s="25">
        <v>9</v>
      </c>
      <c r="I134" s="25">
        <v>9</v>
      </c>
      <c r="J134" s="6">
        <v>1600</v>
      </c>
      <c r="K134" s="6">
        <f t="shared" si="1"/>
        <v>14400</v>
      </c>
      <c r="L134" s="88" t="s">
        <v>182</v>
      </c>
    </row>
    <row r="135" spans="1:12">
      <c r="A135" s="16">
        <v>49</v>
      </c>
      <c r="B135" s="15">
        <v>2547</v>
      </c>
      <c r="C135" s="3" t="s">
        <v>109</v>
      </c>
      <c r="D135" s="3" t="s">
        <v>97</v>
      </c>
      <c r="E135" s="24" t="s">
        <v>69</v>
      </c>
      <c r="F135" s="25">
        <v>17</v>
      </c>
      <c r="G135" s="4" t="s">
        <v>72</v>
      </c>
      <c r="H135" s="25">
        <v>4</v>
      </c>
      <c r="I135" s="25">
        <v>4</v>
      </c>
      <c r="J135" s="6">
        <v>38000</v>
      </c>
      <c r="K135" s="6">
        <f t="shared" si="1"/>
        <v>152000</v>
      </c>
      <c r="L135" s="88" t="s">
        <v>182</v>
      </c>
    </row>
    <row r="136" spans="1:12">
      <c r="A136" s="16">
        <v>50</v>
      </c>
      <c r="B136" s="15">
        <v>2547</v>
      </c>
      <c r="C136" s="3" t="s">
        <v>110</v>
      </c>
      <c r="D136" s="1" t="s">
        <v>43</v>
      </c>
      <c r="E136" s="24" t="s">
        <v>69</v>
      </c>
      <c r="F136" s="25">
        <v>17</v>
      </c>
      <c r="G136" s="4" t="s">
        <v>72</v>
      </c>
      <c r="H136" s="25">
        <v>1</v>
      </c>
      <c r="I136" s="25">
        <v>1</v>
      </c>
      <c r="J136" s="6">
        <v>43500</v>
      </c>
      <c r="K136" s="6">
        <f t="shared" si="1"/>
        <v>43500</v>
      </c>
      <c r="L136" s="88" t="s">
        <v>182</v>
      </c>
    </row>
    <row r="137" spans="1:12" ht="24.75" thickBot="1">
      <c r="A137" s="47"/>
      <c r="B137" s="63"/>
      <c r="C137" s="49"/>
      <c r="D137" s="64"/>
      <c r="E137" s="71"/>
      <c r="F137" s="52"/>
      <c r="G137" s="51"/>
      <c r="H137" s="52"/>
      <c r="I137" s="52"/>
      <c r="J137" s="72" t="s">
        <v>192</v>
      </c>
      <c r="K137" s="72">
        <f>SUM(K126:K136)</f>
        <v>1214745.0499999998</v>
      </c>
      <c r="L137" s="53"/>
    </row>
    <row r="138" spans="1:12" s="8" customFormat="1" ht="24.75" thickTop="1">
      <c r="A138" s="39"/>
      <c r="B138" s="84" t="s">
        <v>2</v>
      </c>
      <c r="C138" s="41" t="s">
        <v>16</v>
      </c>
      <c r="D138" s="41"/>
      <c r="E138" s="42"/>
      <c r="F138" s="18"/>
      <c r="G138" s="18"/>
      <c r="H138" s="43"/>
      <c r="I138" s="43"/>
      <c r="J138" s="44"/>
      <c r="K138" s="45"/>
      <c r="L138" s="46"/>
    </row>
    <row r="139" spans="1:12" s="8" customFormat="1">
      <c r="A139" s="39"/>
      <c r="B139" s="40"/>
      <c r="C139" s="41" t="s">
        <v>17</v>
      </c>
      <c r="D139" s="41"/>
      <c r="E139" s="42"/>
      <c r="F139" s="18"/>
      <c r="G139" s="18"/>
      <c r="H139" s="43"/>
      <c r="I139" s="43"/>
      <c r="J139" s="44"/>
      <c r="K139" s="45"/>
      <c r="L139" s="46"/>
    </row>
    <row r="140" spans="1:12" s="8" customFormat="1">
      <c r="A140" s="39"/>
      <c r="B140" s="40"/>
      <c r="C140" s="41"/>
      <c r="D140" s="41"/>
      <c r="E140" s="42"/>
      <c r="F140" s="18"/>
      <c r="G140" s="81" t="s">
        <v>201</v>
      </c>
      <c r="H140" s="91" t="s">
        <v>202</v>
      </c>
      <c r="I140" s="91"/>
      <c r="J140" s="91"/>
      <c r="K140" s="82" t="s">
        <v>203</v>
      </c>
      <c r="L140" s="46"/>
    </row>
    <row r="141" spans="1:12" s="8" customFormat="1">
      <c r="A141" s="39"/>
      <c r="B141" s="40"/>
      <c r="C141" s="41"/>
      <c r="D141" s="41"/>
      <c r="E141" s="42"/>
      <c r="F141" s="18"/>
      <c r="G141" s="81"/>
      <c r="H141" s="91" t="s">
        <v>204</v>
      </c>
      <c r="I141" s="91"/>
      <c r="J141" s="91"/>
      <c r="K141" s="82"/>
      <c r="L141" s="46"/>
    </row>
    <row r="142" spans="1:12" s="8" customFormat="1" ht="40.5" customHeight="1">
      <c r="A142" s="39"/>
      <c r="B142" s="40"/>
      <c r="C142" s="41"/>
      <c r="D142" s="41"/>
      <c r="E142" s="42"/>
      <c r="F142" s="18"/>
      <c r="G142" s="81" t="s">
        <v>201</v>
      </c>
      <c r="H142" s="91" t="s">
        <v>202</v>
      </c>
      <c r="I142" s="91"/>
      <c r="J142" s="91"/>
      <c r="K142" s="82" t="s">
        <v>205</v>
      </c>
      <c r="L142" s="46"/>
    </row>
    <row r="143" spans="1:12" s="8" customFormat="1">
      <c r="A143" s="39"/>
      <c r="B143" s="40"/>
      <c r="C143" s="41"/>
      <c r="D143" s="41"/>
      <c r="E143" s="42"/>
      <c r="F143" s="18"/>
      <c r="G143" s="81"/>
      <c r="H143" s="91" t="s">
        <v>206</v>
      </c>
      <c r="I143" s="91"/>
      <c r="J143" s="91"/>
      <c r="K143" s="82"/>
      <c r="L143" s="46"/>
    </row>
    <row r="144" spans="1:12" s="8" customFormat="1" ht="41.25" customHeight="1">
      <c r="A144" s="39"/>
      <c r="B144" s="40"/>
      <c r="C144" s="41"/>
      <c r="D144" s="41"/>
      <c r="E144" s="42"/>
      <c r="F144" s="18"/>
      <c r="G144" s="81" t="s">
        <v>201</v>
      </c>
      <c r="H144" s="91" t="s">
        <v>202</v>
      </c>
      <c r="I144" s="91"/>
      <c r="J144" s="91"/>
      <c r="K144" s="82" t="s">
        <v>207</v>
      </c>
      <c r="L144" s="46"/>
    </row>
    <row r="145" spans="1:12" s="8" customFormat="1">
      <c r="A145" s="39"/>
      <c r="B145" s="40"/>
      <c r="C145" s="41"/>
      <c r="D145" s="41"/>
      <c r="E145" s="42"/>
      <c r="F145" s="18"/>
      <c r="G145" s="81"/>
      <c r="H145" s="91" t="s">
        <v>208</v>
      </c>
      <c r="I145" s="91"/>
      <c r="J145" s="91"/>
      <c r="K145" s="45"/>
      <c r="L145" s="46"/>
    </row>
    <row r="146" spans="1:12" s="8" customFormat="1">
      <c r="A146" s="39"/>
      <c r="B146" s="40"/>
      <c r="C146" s="41"/>
      <c r="D146" s="41"/>
      <c r="E146" s="42"/>
      <c r="F146" s="18"/>
      <c r="G146" s="18"/>
      <c r="H146" s="43"/>
      <c r="I146" s="43"/>
      <c r="J146" s="44"/>
      <c r="K146" s="45"/>
      <c r="L146" s="46"/>
    </row>
    <row r="147" spans="1:12" s="8" customFormat="1">
      <c r="A147" s="39"/>
      <c r="B147" s="32"/>
      <c r="C147" s="41"/>
      <c r="D147" s="61"/>
      <c r="E147" s="70"/>
      <c r="F147" s="43"/>
      <c r="G147" s="18"/>
      <c r="H147" s="43"/>
      <c r="I147" s="43"/>
      <c r="J147" s="45"/>
      <c r="K147" s="45"/>
      <c r="L147" s="46"/>
    </row>
    <row r="148" spans="1:12" s="8" customFormat="1">
      <c r="A148" s="39"/>
      <c r="B148" s="32"/>
      <c r="C148" s="41"/>
      <c r="D148" s="61"/>
      <c r="E148" s="70"/>
      <c r="F148" s="43"/>
      <c r="G148" s="18"/>
      <c r="H148" s="43"/>
      <c r="I148" s="43"/>
      <c r="J148" s="45"/>
      <c r="K148" s="45"/>
      <c r="L148" s="46"/>
    </row>
    <row r="149" spans="1:12" s="8" customFormat="1">
      <c r="A149" s="39"/>
      <c r="B149" s="32"/>
      <c r="C149" s="41"/>
      <c r="D149" s="61"/>
      <c r="E149" s="70"/>
      <c r="F149" s="43"/>
      <c r="G149" s="18"/>
      <c r="H149" s="43"/>
      <c r="I149" s="43"/>
      <c r="J149" s="45"/>
      <c r="K149" s="45"/>
      <c r="L149" s="46"/>
    </row>
    <row r="150" spans="1:12">
      <c r="L150" s="19" t="s">
        <v>198</v>
      </c>
    </row>
    <row r="151" spans="1:12">
      <c r="A151" s="92" t="s">
        <v>5</v>
      </c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</row>
    <row r="152" spans="1:12">
      <c r="A152" s="93" t="s">
        <v>6</v>
      </c>
      <c r="B152" s="93"/>
      <c r="C152" s="93"/>
      <c r="D152" s="93"/>
      <c r="E152" s="93"/>
      <c r="F152" s="93"/>
      <c r="G152" s="93"/>
      <c r="H152" s="93"/>
      <c r="I152" s="93"/>
      <c r="J152" s="93"/>
      <c r="K152" s="93"/>
      <c r="L152" s="93"/>
    </row>
    <row r="153" spans="1:12">
      <c r="A153" s="94" t="s">
        <v>19</v>
      </c>
      <c r="B153" s="94"/>
      <c r="C153" s="94"/>
      <c r="D153" s="94"/>
      <c r="E153" s="94"/>
      <c r="F153" s="94"/>
      <c r="G153" s="94"/>
      <c r="H153" s="94"/>
      <c r="I153" s="94"/>
      <c r="J153" s="94"/>
      <c r="K153" s="94"/>
      <c r="L153" s="94"/>
    </row>
    <row r="154" spans="1:12">
      <c r="A154" s="95" t="s">
        <v>7</v>
      </c>
      <c r="B154" s="95" t="s">
        <v>18</v>
      </c>
      <c r="C154" s="95" t="s">
        <v>15</v>
      </c>
      <c r="D154" s="97" t="s">
        <v>0</v>
      </c>
      <c r="E154" s="95" t="s">
        <v>10</v>
      </c>
      <c r="F154" s="95" t="s">
        <v>9</v>
      </c>
      <c r="G154" s="99" t="s">
        <v>11</v>
      </c>
      <c r="H154" s="101" t="s">
        <v>1</v>
      </c>
      <c r="I154" s="102"/>
      <c r="J154" s="95" t="s">
        <v>14</v>
      </c>
      <c r="K154" s="95" t="s">
        <v>8</v>
      </c>
      <c r="L154" s="95" t="s">
        <v>13</v>
      </c>
    </row>
    <row r="155" spans="1:12" ht="48">
      <c r="A155" s="96"/>
      <c r="B155" s="96"/>
      <c r="C155" s="96"/>
      <c r="D155" s="98"/>
      <c r="E155" s="96"/>
      <c r="F155" s="96"/>
      <c r="G155" s="100"/>
      <c r="H155" s="14" t="s">
        <v>12</v>
      </c>
      <c r="I155" s="13" t="s">
        <v>3</v>
      </c>
      <c r="J155" s="96"/>
      <c r="K155" s="96"/>
      <c r="L155" s="96"/>
    </row>
    <row r="156" spans="1:12">
      <c r="A156" s="16"/>
      <c r="B156" s="7"/>
      <c r="C156" s="3"/>
      <c r="D156" s="3"/>
      <c r="E156" s="23"/>
      <c r="F156" s="4"/>
      <c r="G156" s="4"/>
      <c r="H156" s="25"/>
      <c r="I156" s="25"/>
      <c r="J156" s="56" t="s">
        <v>193</v>
      </c>
      <c r="K156" s="57">
        <f>SUM(K137)</f>
        <v>1214745.0499999998</v>
      </c>
      <c r="L156" s="11"/>
    </row>
    <row r="157" spans="1:12">
      <c r="A157" s="16">
        <v>51</v>
      </c>
      <c r="B157" s="15">
        <v>2547</v>
      </c>
      <c r="C157" s="3" t="s">
        <v>111</v>
      </c>
      <c r="D157" s="1" t="s">
        <v>43</v>
      </c>
      <c r="E157" s="24" t="s">
        <v>69</v>
      </c>
      <c r="F157" s="25">
        <v>17</v>
      </c>
      <c r="G157" s="4" t="s">
        <v>72</v>
      </c>
      <c r="H157" s="25">
        <v>2</v>
      </c>
      <c r="I157" s="25">
        <v>2</v>
      </c>
      <c r="J157" s="6">
        <v>43500</v>
      </c>
      <c r="K157" s="6">
        <f t="shared" si="1"/>
        <v>87000</v>
      </c>
      <c r="L157" s="88" t="s">
        <v>182</v>
      </c>
    </row>
    <row r="158" spans="1:12">
      <c r="A158" s="16">
        <v>52</v>
      </c>
      <c r="B158" s="15">
        <v>2547</v>
      </c>
      <c r="C158" s="3" t="s">
        <v>112</v>
      </c>
      <c r="D158" s="1" t="s">
        <v>43</v>
      </c>
      <c r="E158" s="24" t="s">
        <v>69</v>
      </c>
      <c r="F158" s="25">
        <v>17</v>
      </c>
      <c r="G158" s="4" t="s">
        <v>72</v>
      </c>
      <c r="H158" s="25">
        <v>2</v>
      </c>
      <c r="I158" s="25">
        <v>2</v>
      </c>
      <c r="J158" s="6">
        <v>43500</v>
      </c>
      <c r="K158" s="6">
        <f t="shared" si="1"/>
        <v>87000</v>
      </c>
      <c r="L158" s="88" t="s">
        <v>182</v>
      </c>
    </row>
    <row r="159" spans="1:12">
      <c r="A159" s="16">
        <v>53</v>
      </c>
      <c r="B159" s="15">
        <v>2547</v>
      </c>
      <c r="C159" s="3" t="s">
        <v>113</v>
      </c>
      <c r="D159" s="1" t="s">
        <v>43</v>
      </c>
      <c r="E159" s="23" t="s">
        <v>70</v>
      </c>
      <c r="F159" s="25">
        <v>17</v>
      </c>
      <c r="G159" s="4" t="s">
        <v>72</v>
      </c>
      <c r="H159" s="25">
        <v>1</v>
      </c>
      <c r="I159" s="25">
        <v>1</v>
      </c>
      <c r="J159" s="6">
        <v>38000</v>
      </c>
      <c r="K159" s="6">
        <f t="shared" si="1"/>
        <v>38000</v>
      </c>
      <c r="L159" s="88" t="s">
        <v>182</v>
      </c>
    </row>
    <row r="160" spans="1:12">
      <c r="A160" s="16">
        <v>54</v>
      </c>
      <c r="B160" s="15">
        <v>2548</v>
      </c>
      <c r="C160" s="3" t="s">
        <v>114</v>
      </c>
      <c r="D160" s="3" t="s">
        <v>97</v>
      </c>
      <c r="E160" s="24" t="s">
        <v>68</v>
      </c>
      <c r="F160" s="4">
        <v>16</v>
      </c>
      <c r="G160" s="4" t="s">
        <v>72</v>
      </c>
      <c r="H160" s="25">
        <v>5</v>
      </c>
      <c r="I160" s="25">
        <v>5</v>
      </c>
      <c r="J160" s="6">
        <v>1600</v>
      </c>
      <c r="K160" s="6">
        <f t="shared" si="1"/>
        <v>8000</v>
      </c>
      <c r="L160" s="88" t="s">
        <v>182</v>
      </c>
    </row>
    <row r="161" spans="1:12">
      <c r="A161" s="16">
        <v>55</v>
      </c>
      <c r="B161" s="15">
        <v>2548</v>
      </c>
      <c r="C161" s="3" t="s">
        <v>115</v>
      </c>
      <c r="D161" s="3" t="s">
        <v>116</v>
      </c>
      <c r="E161" s="23" t="s">
        <v>68</v>
      </c>
      <c r="F161" s="4">
        <v>16</v>
      </c>
      <c r="G161" s="4" t="s">
        <v>72</v>
      </c>
      <c r="H161" s="25">
        <v>280</v>
      </c>
      <c r="I161" s="25">
        <v>280</v>
      </c>
      <c r="J161" s="6">
        <v>200</v>
      </c>
      <c r="K161" s="6">
        <f t="shared" si="1"/>
        <v>56000</v>
      </c>
      <c r="L161" s="88" t="s">
        <v>182</v>
      </c>
    </row>
    <row r="162" spans="1:12">
      <c r="A162" s="16">
        <v>56</v>
      </c>
      <c r="B162" s="15">
        <v>2548</v>
      </c>
      <c r="C162" s="3" t="s">
        <v>117</v>
      </c>
      <c r="D162" s="3" t="s">
        <v>118</v>
      </c>
      <c r="E162" s="23" t="s">
        <v>68</v>
      </c>
      <c r="F162" s="4">
        <v>16</v>
      </c>
      <c r="G162" s="4" t="s">
        <v>72</v>
      </c>
      <c r="H162" s="25">
        <v>1</v>
      </c>
      <c r="I162" s="25">
        <v>1</v>
      </c>
      <c r="J162" s="6">
        <v>4534</v>
      </c>
      <c r="K162" s="6">
        <f t="shared" si="1"/>
        <v>4534</v>
      </c>
      <c r="L162" s="88" t="s">
        <v>182</v>
      </c>
    </row>
    <row r="163" spans="1:12">
      <c r="A163" s="16">
        <v>57</v>
      </c>
      <c r="B163" s="15">
        <v>2548</v>
      </c>
      <c r="C163" s="3" t="s">
        <v>119</v>
      </c>
      <c r="D163" s="3" t="s">
        <v>120</v>
      </c>
      <c r="E163" s="24" t="s">
        <v>69</v>
      </c>
      <c r="F163" s="4">
        <v>16</v>
      </c>
      <c r="G163" s="4" t="s">
        <v>72</v>
      </c>
      <c r="H163" s="25">
        <v>1</v>
      </c>
      <c r="I163" s="25">
        <v>1</v>
      </c>
      <c r="J163" s="27">
        <v>11490</v>
      </c>
      <c r="K163" s="6">
        <f t="shared" si="1"/>
        <v>11490</v>
      </c>
      <c r="L163" s="88" t="s">
        <v>186</v>
      </c>
    </row>
    <row r="164" spans="1:12">
      <c r="A164" s="16">
        <v>58</v>
      </c>
      <c r="B164" s="7" t="s">
        <v>121</v>
      </c>
      <c r="C164" s="3" t="s">
        <v>122</v>
      </c>
      <c r="D164" s="3" t="s">
        <v>97</v>
      </c>
      <c r="E164" s="23" t="s">
        <v>69</v>
      </c>
      <c r="F164" s="4">
        <v>15</v>
      </c>
      <c r="G164" s="4" t="s">
        <v>72</v>
      </c>
      <c r="H164" s="25">
        <v>20</v>
      </c>
      <c r="I164" s="25">
        <v>20</v>
      </c>
      <c r="J164" s="29">
        <v>1800</v>
      </c>
      <c r="K164" s="6">
        <f t="shared" si="1"/>
        <v>36000</v>
      </c>
      <c r="L164" s="88" t="s">
        <v>182</v>
      </c>
    </row>
    <row r="165" spans="1:12">
      <c r="A165" s="16">
        <v>59</v>
      </c>
      <c r="B165" s="33" t="s">
        <v>121</v>
      </c>
      <c r="C165" s="34" t="s">
        <v>123</v>
      </c>
      <c r="D165" s="60" t="s">
        <v>24</v>
      </c>
      <c r="E165" s="35" t="s">
        <v>69</v>
      </c>
      <c r="F165" s="4">
        <v>15</v>
      </c>
      <c r="G165" s="36" t="s">
        <v>72</v>
      </c>
      <c r="H165" s="37">
        <v>420</v>
      </c>
      <c r="I165" s="37">
        <v>420</v>
      </c>
      <c r="J165" s="74">
        <v>750</v>
      </c>
      <c r="K165" s="38">
        <f t="shared" si="1"/>
        <v>315000</v>
      </c>
      <c r="L165" s="89" t="s">
        <v>182</v>
      </c>
    </row>
    <row r="166" spans="1:12">
      <c r="A166" s="16">
        <v>60</v>
      </c>
      <c r="B166" s="7" t="s">
        <v>121</v>
      </c>
      <c r="C166" s="3" t="s">
        <v>124</v>
      </c>
      <c r="D166" s="3" t="s">
        <v>125</v>
      </c>
      <c r="E166" s="23" t="s">
        <v>69</v>
      </c>
      <c r="F166" s="4">
        <v>15</v>
      </c>
      <c r="G166" s="4" t="s">
        <v>72</v>
      </c>
      <c r="H166" s="25">
        <v>2</v>
      </c>
      <c r="I166" s="25">
        <v>2</v>
      </c>
      <c r="J166" s="27">
        <v>19320</v>
      </c>
      <c r="K166" s="6">
        <f t="shared" si="1"/>
        <v>38640</v>
      </c>
      <c r="L166" s="86" t="s">
        <v>184</v>
      </c>
    </row>
    <row r="167" spans="1:12" ht="24.75" thickBot="1">
      <c r="A167" s="47"/>
      <c r="B167" s="48"/>
      <c r="C167" s="49"/>
      <c r="D167" s="49"/>
      <c r="E167" s="50"/>
      <c r="F167" s="51"/>
      <c r="G167" s="51"/>
      <c r="H167" s="52"/>
      <c r="I167" s="52"/>
      <c r="J167" s="54" t="s">
        <v>192</v>
      </c>
      <c r="K167" s="55">
        <f>SUM(K156:K166)</f>
        <v>1896409.0499999998</v>
      </c>
      <c r="L167" s="75"/>
    </row>
    <row r="168" spans="1:12" s="8" customFormat="1" ht="24.75" thickTop="1">
      <c r="A168" s="39"/>
      <c r="B168" s="84" t="s">
        <v>2</v>
      </c>
      <c r="C168" s="41" t="s">
        <v>16</v>
      </c>
      <c r="D168" s="41"/>
      <c r="E168" s="42"/>
      <c r="F168" s="18"/>
      <c r="G168" s="18"/>
      <c r="H168" s="43"/>
      <c r="I168" s="43"/>
      <c r="J168" s="44"/>
      <c r="K168" s="45"/>
      <c r="L168" s="46"/>
    </row>
    <row r="169" spans="1:12" s="8" customFormat="1">
      <c r="A169" s="39"/>
      <c r="B169" s="40"/>
      <c r="C169" s="41" t="s">
        <v>17</v>
      </c>
      <c r="D169" s="41"/>
      <c r="E169" s="42"/>
      <c r="F169" s="18"/>
      <c r="G169" s="18"/>
      <c r="H169" s="43"/>
      <c r="I169" s="43"/>
      <c r="J169" s="44"/>
      <c r="K169" s="45"/>
      <c r="L169" s="46"/>
    </row>
    <row r="170" spans="1:12" s="8" customFormat="1">
      <c r="A170" s="39"/>
      <c r="B170" s="40"/>
      <c r="C170" s="41"/>
      <c r="D170" s="41"/>
      <c r="E170" s="42"/>
      <c r="F170" s="18"/>
      <c r="G170" s="81" t="s">
        <v>201</v>
      </c>
      <c r="H170" s="91" t="s">
        <v>202</v>
      </c>
      <c r="I170" s="91"/>
      <c r="J170" s="91"/>
      <c r="K170" s="82" t="s">
        <v>203</v>
      </c>
      <c r="L170" s="46"/>
    </row>
    <row r="171" spans="1:12" s="8" customFormat="1">
      <c r="A171" s="39"/>
      <c r="B171" s="40"/>
      <c r="C171" s="41"/>
      <c r="D171" s="41"/>
      <c r="E171" s="42"/>
      <c r="F171" s="18"/>
      <c r="G171" s="81"/>
      <c r="H171" s="91" t="s">
        <v>204</v>
      </c>
      <c r="I171" s="91"/>
      <c r="J171" s="91"/>
      <c r="K171" s="82"/>
      <c r="L171" s="46"/>
    </row>
    <row r="172" spans="1:12" s="8" customFormat="1" ht="42.75" customHeight="1">
      <c r="A172" s="39"/>
      <c r="B172" s="40"/>
      <c r="C172" s="41"/>
      <c r="D172" s="41"/>
      <c r="E172" s="42"/>
      <c r="F172" s="18"/>
      <c r="G172" s="81" t="s">
        <v>201</v>
      </c>
      <c r="H172" s="91" t="s">
        <v>202</v>
      </c>
      <c r="I172" s="91"/>
      <c r="J172" s="91"/>
      <c r="K172" s="82" t="s">
        <v>205</v>
      </c>
      <c r="L172" s="46"/>
    </row>
    <row r="173" spans="1:12" s="8" customFormat="1">
      <c r="A173" s="39"/>
      <c r="B173" s="40"/>
      <c r="C173" s="41"/>
      <c r="D173" s="41"/>
      <c r="E173" s="42"/>
      <c r="F173" s="18"/>
      <c r="G173" s="81"/>
      <c r="H173" s="91" t="s">
        <v>206</v>
      </c>
      <c r="I173" s="91"/>
      <c r="J173" s="91"/>
      <c r="K173" s="82"/>
      <c r="L173" s="46"/>
    </row>
    <row r="174" spans="1:12" s="8" customFormat="1" ht="42.75" customHeight="1">
      <c r="A174" s="39"/>
      <c r="B174" s="40"/>
      <c r="C174" s="41"/>
      <c r="D174" s="41"/>
      <c r="E174" s="42"/>
      <c r="F174" s="18"/>
      <c r="G174" s="81" t="s">
        <v>201</v>
      </c>
      <c r="H174" s="91" t="s">
        <v>202</v>
      </c>
      <c r="I174" s="91"/>
      <c r="J174" s="91"/>
      <c r="K174" s="82" t="s">
        <v>207</v>
      </c>
      <c r="L174" s="46"/>
    </row>
    <row r="175" spans="1:12" s="8" customFormat="1">
      <c r="A175" s="39"/>
      <c r="B175" s="40"/>
      <c r="C175" s="41"/>
      <c r="D175" s="41"/>
      <c r="E175" s="42"/>
      <c r="F175" s="18"/>
      <c r="G175" s="81"/>
      <c r="H175" s="91" t="s">
        <v>208</v>
      </c>
      <c r="I175" s="91"/>
      <c r="J175" s="91"/>
      <c r="K175" s="45"/>
      <c r="L175" s="46"/>
    </row>
    <row r="176" spans="1:12" s="8" customFormat="1">
      <c r="A176" s="39"/>
      <c r="B176" s="40"/>
      <c r="C176" s="41"/>
      <c r="D176" s="41"/>
      <c r="E176" s="42"/>
      <c r="F176" s="18"/>
      <c r="G176" s="18"/>
      <c r="H176" s="43"/>
      <c r="I176" s="43"/>
      <c r="J176" s="44"/>
      <c r="K176" s="45"/>
      <c r="L176" s="46"/>
    </row>
    <row r="177" spans="1:12" s="8" customFormat="1">
      <c r="A177" s="39"/>
      <c r="B177" s="40"/>
      <c r="C177" s="41"/>
      <c r="D177" s="41"/>
      <c r="E177" s="42"/>
      <c r="F177" s="18"/>
      <c r="G177" s="18"/>
      <c r="H177" s="43"/>
      <c r="I177" s="43"/>
      <c r="J177" s="44"/>
      <c r="K177" s="45"/>
      <c r="L177" s="73"/>
    </row>
    <row r="178" spans="1:12" s="8" customFormat="1">
      <c r="A178" s="39"/>
      <c r="B178" s="40"/>
      <c r="C178" s="41"/>
      <c r="D178" s="41"/>
      <c r="E178" s="42"/>
      <c r="F178" s="18"/>
      <c r="G178" s="18"/>
      <c r="H178" s="43"/>
      <c r="I178" s="43"/>
      <c r="J178" s="44"/>
      <c r="K178" s="45"/>
      <c r="L178" s="73"/>
    </row>
    <row r="179" spans="1:12" s="8" customFormat="1">
      <c r="A179" s="39"/>
      <c r="B179" s="40"/>
      <c r="C179" s="41"/>
      <c r="D179" s="41"/>
      <c r="E179" s="42"/>
      <c r="F179" s="18"/>
      <c r="G179" s="18"/>
      <c r="H179" s="43"/>
      <c r="I179" s="43"/>
      <c r="J179" s="44"/>
      <c r="K179" s="45"/>
      <c r="L179" s="73"/>
    </row>
    <row r="180" spans="1:12">
      <c r="L180" s="19" t="s">
        <v>199</v>
      </c>
    </row>
    <row r="181" spans="1:12">
      <c r="A181" s="92" t="s">
        <v>5</v>
      </c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</row>
    <row r="182" spans="1:12">
      <c r="A182" s="93" t="s">
        <v>6</v>
      </c>
      <c r="B182" s="93"/>
      <c r="C182" s="93"/>
      <c r="D182" s="93"/>
      <c r="E182" s="93"/>
      <c r="F182" s="93"/>
      <c r="G182" s="93"/>
      <c r="H182" s="93"/>
      <c r="I182" s="93"/>
      <c r="J182" s="93"/>
      <c r="K182" s="93"/>
      <c r="L182" s="93"/>
    </row>
    <row r="183" spans="1:12">
      <c r="A183" s="94" t="s">
        <v>19</v>
      </c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</row>
    <row r="184" spans="1:12">
      <c r="A184" s="95" t="s">
        <v>7</v>
      </c>
      <c r="B184" s="95" t="s">
        <v>18</v>
      </c>
      <c r="C184" s="95" t="s">
        <v>15</v>
      </c>
      <c r="D184" s="97" t="s">
        <v>0</v>
      </c>
      <c r="E184" s="95" t="s">
        <v>10</v>
      </c>
      <c r="F184" s="95" t="s">
        <v>9</v>
      </c>
      <c r="G184" s="99" t="s">
        <v>11</v>
      </c>
      <c r="H184" s="101" t="s">
        <v>1</v>
      </c>
      <c r="I184" s="102"/>
      <c r="J184" s="95" t="s">
        <v>14</v>
      </c>
      <c r="K184" s="95" t="s">
        <v>8</v>
      </c>
      <c r="L184" s="95" t="s">
        <v>13</v>
      </c>
    </row>
    <row r="185" spans="1:12" ht="48">
      <c r="A185" s="96"/>
      <c r="B185" s="96"/>
      <c r="C185" s="96"/>
      <c r="D185" s="98"/>
      <c r="E185" s="96"/>
      <c r="F185" s="96"/>
      <c r="G185" s="100"/>
      <c r="H185" s="14" t="s">
        <v>12</v>
      </c>
      <c r="I185" s="13" t="s">
        <v>3</v>
      </c>
      <c r="J185" s="96"/>
      <c r="K185" s="96"/>
      <c r="L185" s="96"/>
    </row>
    <row r="186" spans="1:12">
      <c r="A186" s="16"/>
      <c r="B186" s="7"/>
      <c r="C186" s="3"/>
      <c r="D186" s="3"/>
      <c r="E186" s="23"/>
      <c r="F186" s="4"/>
      <c r="G186" s="4"/>
      <c r="H186" s="25"/>
      <c r="I186" s="25"/>
      <c r="J186" s="56" t="s">
        <v>193</v>
      </c>
      <c r="K186" s="57">
        <f>SUM(K167)</f>
        <v>1896409.0499999998</v>
      </c>
      <c r="L186" s="11"/>
    </row>
    <row r="187" spans="1:12">
      <c r="A187" s="16">
        <v>61</v>
      </c>
      <c r="B187" s="7" t="s">
        <v>121</v>
      </c>
      <c r="C187" s="3" t="s">
        <v>126</v>
      </c>
      <c r="D187" s="3" t="s">
        <v>127</v>
      </c>
      <c r="E187" s="23" t="s">
        <v>69</v>
      </c>
      <c r="F187" s="4">
        <v>15</v>
      </c>
      <c r="G187" s="4" t="s">
        <v>72</v>
      </c>
      <c r="H187" s="25">
        <v>2</v>
      </c>
      <c r="I187" s="25">
        <v>2</v>
      </c>
      <c r="J187" s="27">
        <v>23000</v>
      </c>
      <c r="K187" s="6">
        <f t="shared" si="1"/>
        <v>46000</v>
      </c>
      <c r="L187" s="86" t="s">
        <v>184</v>
      </c>
    </row>
    <row r="188" spans="1:12">
      <c r="A188" s="16">
        <v>62</v>
      </c>
      <c r="B188" s="7" t="s">
        <v>121</v>
      </c>
      <c r="C188" s="3" t="s">
        <v>128</v>
      </c>
      <c r="D188" s="3" t="s">
        <v>129</v>
      </c>
      <c r="E188" s="23" t="s">
        <v>69</v>
      </c>
      <c r="F188" s="4">
        <v>15</v>
      </c>
      <c r="G188" s="4" t="s">
        <v>72</v>
      </c>
      <c r="H188" s="25">
        <v>1</v>
      </c>
      <c r="I188" s="25">
        <v>1</v>
      </c>
      <c r="J188" s="27">
        <v>6500</v>
      </c>
      <c r="K188" s="6">
        <f t="shared" si="1"/>
        <v>6500</v>
      </c>
      <c r="L188" s="85" t="s">
        <v>187</v>
      </c>
    </row>
    <row r="189" spans="1:12">
      <c r="A189" s="16">
        <v>63</v>
      </c>
      <c r="B189" s="7" t="s">
        <v>121</v>
      </c>
      <c r="C189" s="3" t="s">
        <v>130</v>
      </c>
      <c r="D189" s="1" t="s">
        <v>43</v>
      </c>
      <c r="E189" s="23" t="s">
        <v>71</v>
      </c>
      <c r="F189" s="4">
        <v>15</v>
      </c>
      <c r="G189" s="4" t="s">
        <v>72</v>
      </c>
      <c r="H189" s="25">
        <v>2</v>
      </c>
      <c r="I189" s="25">
        <v>2</v>
      </c>
      <c r="J189" s="27">
        <v>39000</v>
      </c>
      <c r="K189" s="6">
        <f t="shared" si="1"/>
        <v>78000</v>
      </c>
      <c r="L189" s="85" t="s">
        <v>182</v>
      </c>
    </row>
    <row r="190" spans="1:12">
      <c r="A190" s="16">
        <v>64</v>
      </c>
      <c r="B190" s="12" t="s">
        <v>131</v>
      </c>
      <c r="C190" s="3" t="s">
        <v>132</v>
      </c>
      <c r="D190" s="1" t="s">
        <v>24</v>
      </c>
      <c r="E190" s="23" t="s">
        <v>71</v>
      </c>
      <c r="F190" s="4">
        <v>15</v>
      </c>
      <c r="G190" s="4" t="s">
        <v>72</v>
      </c>
      <c r="H190" s="25">
        <v>120</v>
      </c>
      <c r="I190" s="25">
        <v>120</v>
      </c>
      <c r="J190" s="29">
        <v>750</v>
      </c>
      <c r="K190" s="6">
        <f t="shared" si="1"/>
        <v>90000</v>
      </c>
      <c r="L190" s="85" t="s">
        <v>182</v>
      </c>
    </row>
    <row r="191" spans="1:12">
      <c r="A191" s="16">
        <v>65</v>
      </c>
      <c r="B191" s="12" t="s">
        <v>131</v>
      </c>
      <c r="C191" s="3" t="s">
        <v>133</v>
      </c>
      <c r="D191" s="3" t="s">
        <v>134</v>
      </c>
      <c r="E191" s="23" t="s">
        <v>69</v>
      </c>
      <c r="F191" s="4">
        <v>15</v>
      </c>
      <c r="G191" s="4" t="s">
        <v>72</v>
      </c>
      <c r="H191" s="25">
        <v>1</v>
      </c>
      <c r="I191" s="25">
        <v>1</v>
      </c>
      <c r="J191" s="29">
        <v>1980</v>
      </c>
      <c r="K191" s="6">
        <f t="shared" si="1"/>
        <v>1980</v>
      </c>
      <c r="L191" s="85" t="s">
        <v>185</v>
      </c>
    </row>
    <row r="192" spans="1:12">
      <c r="A192" s="16">
        <v>66</v>
      </c>
      <c r="B192" s="12" t="s">
        <v>131</v>
      </c>
      <c r="C192" s="3" t="s">
        <v>135</v>
      </c>
      <c r="D192" s="3" t="s">
        <v>136</v>
      </c>
      <c r="E192" s="23" t="s">
        <v>69</v>
      </c>
      <c r="F192" s="4">
        <v>15</v>
      </c>
      <c r="G192" s="4" t="s">
        <v>72</v>
      </c>
      <c r="H192" s="25">
        <v>1</v>
      </c>
      <c r="I192" s="25">
        <v>1</v>
      </c>
      <c r="J192" s="27">
        <v>17300</v>
      </c>
      <c r="K192" s="6">
        <f t="shared" si="1"/>
        <v>17300</v>
      </c>
      <c r="L192" s="85" t="s">
        <v>182</v>
      </c>
    </row>
    <row r="193" spans="1:12">
      <c r="A193" s="16">
        <v>67</v>
      </c>
      <c r="B193" s="12" t="s">
        <v>131</v>
      </c>
      <c r="C193" s="3" t="s">
        <v>137</v>
      </c>
      <c r="D193" s="3" t="s">
        <v>138</v>
      </c>
      <c r="E193" s="24" t="s">
        <v>69</v>
      </c>
      <c r="F193" s="4">
        <v>15</v>
      </c>
      <c r="G193" s="4" t="s">
        <v>72</v>
      </c>
      <c r="H193" s="25">
        <v>1</v>
      </c>
      <c r="I193" s="25">
        <v>1</v>
      </c>
      <c r="J193" s="26">
        <v>1700</v>
      </c>
      <c r="K193" s="6">
        <f t="shared" si="1"/>
        <v>1700</v>
      </c>
      <c r="L193" s="85" t="s">
        <v>182</v>
      </c>
    </row>
    <row r="194" spans="1:12">
      <c r="A194" s="16">
        <v>68</v>
      </c>
      <c r="B194" s="15">
        <v>2551</v>
      </c>
      <c r="C194" s="3" t="s">
        <v>139</v>
      </c>
      <c r="D194" s="3" t="s">
        <v>140</v>
      </c>
      <c r="E194" s="24" t="s">
        <v>71</v>
      </c>
      <c r="F194" s="4">
        <v>14</v>
      </c>
      <c r="G194" s="4" t="s">
        <v>72</v>
      </c>
      <c r="H194" s="25">
        <v>8</v>
      </c>
      <c r="I194" s="25">
        <v>8</v>
      </c>
      <c r="J194" s="29">
        <v>3000</v>
      </c>
      <c r="K194" s="6">
        <f t="shared" si="1"/>
        <v>24000</v>
      </c>
      <c r="L194" s="85" t="s">
        <v>182</v>
      </c>
    </row>
    <row r="195" spans="1:12">
      <c r="A195" s="16">
        <v>69</v>
      </c>
      <c r="B195" s="15">
        <v>2551</v>
      </c>
      <c r="C195" s="3" t="s">
        <v>141</v>
      </c>
      <c r="D195" s="1" t="s">
        <v>142</v>
      </c>
      <c r="E195" s="24" t="s">
        <v>69</v>
      </c>
      <c r="F195" s="4">
        <v>14</v>
      </c>
      <c r="G195" s="4" t="s">
        <v>72</v>
      </c>
      <c r="H195" s="25">
        <v>1</v>
      </c>
      <c r="I195" s="25">
        <v>1</v>
      </c>
      <c r="J195" s="27">
        <v>5684.5</v>
      </c>
      <c r="K195" s="6">
        <f t="shared" si="1"/>
        <v>5684.5</v>
      </c>
      <c r="L195" s="85" t="s">
        <v>182</v>
      </c>
    </row>
    <row r="196" spans="1:12">
      <c r="A196" s="16">
        <v>70</v>
      </c>
      <c r="B196" s="15">
        <v>2551</v>
      </c>
      <c r="C196" s="3" t="s">
        <v>143</v>
      </c>
      <c r="D196" s="1" t="s">
        <v>144</v>
      </c>
      <c r="E196" s="24" t="s">
        <v>69</v>
      </c>
      <c r="F196" s="4">
        <v>14</v>
      </c>
      <c r="G196" s="4" t="s">
        <v>72</v>
      </c>
      <c r="H196" s="25">
        <v>1</v>
      </c>
      <c r="I196" s="25">
        <v>1</v>
      </c>
      <c r="J196" s="27">
        <v>1006.25</v>
      </c>
      <c r="K196" s="6">
        <f t="shared" si="1"/>
        <v>1006.25</v>
      </c>
      <c r="L196" s="85" t="s">
        <v>182</v>
      </c>
    </row>
    <row r="197" spans="1:12" ht="24.75" thickBot="1">
      <c r="A197" s="47"/>
      <c r="B197" s="63"/>
      <c r="C197" s="49"/>
      <c r="D197" s="64"/>
      <c r="E197" s="71"/>
      <c r="F197" s="51"/>
      <c r="G197" s="51"/>
      <c r="H197" s="52"/>
      <c r="I197" s="52"/>
      <c r="J197" s="54" t="s">
        <v>192</v>
      </c>
      <c r="K197" s="55">
        <f>SUM(K186:K196)</f>
        <v>2168579.7999999998</v>
      </c>
      <c r="L197" s="63"/>
    </row>
    <row r="198" spans="1:12" s="8" customFormat="1" ht="24.75" thickTop="1">
      <c r="A198" s="39"/>
      <c r="B198" s="84" t="s">
        <v>2</v>
      </c>
      <c r="C198" s="41" t="s">
        <v>16</v>
      </c>
      <c r="D198" s="41"/>
      <c r="E198" s="42"/>
      <c r="F198" s="18"/>
      <c r="G198" s="18"/>
      <c r="H198" s="43"/>
      <c r="I198" s="43"/>
      <c r="J198" s="44"/>
      <c r="K198" s="45"/>
      <c r="L198" s="46"/>
    </row>
    <row r="199" spans="1:12" s="8" customFormat="1">
      <c r="A199" s="39"/>
      <c r="B199" s="40"/>
      <c r="C199" s="41" t="s">
        <v>17</v>
      </c>
      <c r="D199" s="41"/>
      <c r="E199" s="42"/>
      <c r="F199" s="18"/>
      <c r="G199" s="18"/>
      <c r="H199" s="43"/>
      <c r="I199" s="43"/>
      <c r="J199" s="44"/>
      <c r="K199" s="45"/>
      <c r="L199" s="46"/>
    </row>
    <row r="200" spans="1:12" s="8" customFormat="1">
      <c r="A200" s="39"/>
      <c r="B200" s="40"/>
      <c r="C200" s="41"/>
      <c r="D200" s="41"/>
      <c r="E200" s="42"/>
      <c r="F200" s="18"/>
      <c r="G200" s="81" t="s">
        <v>201</v>
      </c>
      <c r="H200" s="91" t="s">
        <v>202</v>
      </c>
      <c r="I200" s="91"/>
      <c r="J200" s="91"/>
      <c r="K200" s="82" t="s">
        <v>203</v>
      </c>
      <c r="L200" s="46"/>
    </row>
    <row r="201" spans="1:12" s="8" customFormat="1">
      <c r="A201" s="39"/>
      <c r="B201" s="40"/>
      <c r="C201" s="41"/>
      <c r="D201" s="41"/>
      <c r="E201" s="42"/>
      <c r="F201" s="18"/>
      <c r="G201" s="81"/>
      <c r="H201" s="91" t="s">
        <v>204</v>
      </c>
      <c r="I201" s="91"/>
      <c r="J201" s="91"/>
      <c r="K201" s="82"/>
      <c r="L201" s="46"/>
    </row>
    <row r="202" spans="1:12" s="8" customFormat="1" ht="51" customHeight="1">
      <c r="A202" s="39"/>
      <c r="B202" s="40"/>
      <c r="C202" s="41"/>
      <c r="D202" s="41"/>
      <c r="E202" s="42"/>
      <c r="F202" s="18"/>
      <c r="G202" s="81" t="s">
        <v>201</v>
      </c>
      <c r="H202" s="91" t="s">
        <v>202</v>
      </c>
      <c r="I202" s="91"/>
      <c r="J202" s="91"/>
      <c r="K202" s="82" t="s">
        <v>205</v>
      </c>
      <c r="L202" s="46"/>
    </row>
    <row r="203" spans="1:12" s="8" customFormat="1">
      <c r="A203" s="39"/>
      <c r="B203" s="40"/>
      <c r="C203" s="41"/>
      <c r="D203" s="41"/>
      <c r="E203" s="42"/>
      <c r="F203" s="18"/>
      <c r="G203" s="81"/>
      <c r="H203" s="91" t="s">
        <v>206</v>
      </c>
      <c r="I203" s="91"/>
      <c r="J203" s="91"/>
      <c r="K203" s="82"/>
      <c r="L203" s="46"/>
    </row>
    <row r="204" spans="1:12" s="8" customFormat="1" ht="51" customHeight="1">
      <c r="A204" s="39"/>
      <c r="B204" s="40"/>
      <c r="C204" s="41"/>
      <c r="D204" s="41"/>
      <c r="E204" s="42"/>
      <c r="F204" s="18"/>
      <c r="G204" s="81" t="s">
        <v>201</v>
      </c>
      <c r="H204" s="91" t="s">
        <v>202</v>
      </c>
      <c r="I204" s="91"/>
      <c r="J204" s="91"/>
      <c r="K204" s="82" t="s">
        <v>207</v>
      </c>
      <c r="L204" s="46"/>
    </row>
    <row r="205" spans="1:12" s="8" customFormat="1">
      <c r="A205" s="39"/>
      <c r="B205" s="40"/>
      <c r="C205" s="41"/>
      <c r="D205" s="41"/>
      <c r="E205" s="42"/>
      <c r="F205" s="18"/>
      <c r="G205" s="81"/>
      <c r="H205" s="91" t="s">
        <v>208</v>
      </c>
      <c r="I205" s="91"/>
      <c r="J205" s="91"/>
      <c r="K205" s="45"/>
      <c r="L205" s="46"/>
    </row>
    <row r="206" spans="1:12" s="8" customFormat="1">
      <c r="A206" s="39"/>
      <c r="B206" s="40"/>
      <c r="C206" s="41"/>
      <c r="D206" s="41"/>
      <c r="E206" s="42"/>
      <c r="F206" s="18"/>
      <c r="G206" s="18"/>
      <c r="H206" s="43"/>
      <c r="I206" s="43"/>
      <c r="J206" s="44"/>
      <c r="K206" s="45"/>
      <c r="L206" s="46"/>
    </row>
    <row r="207" spans="1:12" s="8" customFormat="1">
      <c r="A207" s="39"/>
      <c r="B207" s="32"/>
      <c r="C207" s="41"/>
      <c r="D207" s="61"/>
      <c r="E207" s="70"/>
      <c r="F207" s="18"/>
      <c r="G207" s="18"/>
      <c r="H207" s="43"/>
      <c r="I207" s="43"/>
      <c r="J207" s="44"/>
      <c r="K207" s="45"/>
      <c r="L207" s="32"/>
    </row>
    <row r="208" spans="1:12" s="8" customFormat="1">
      <c r="A208" s="39"/>
      <c r="B208" s="32"/>
      <c r="C208" s="41"/>
      <c r="D208" s="61"/>
      <c r="E208" s="70"/>
      <c r="F208" s="18"/>
      <c r="G208" s="18"/>
      <c r="H208" s="43"/>
      <c r="I208" s="43"/>
      <c r="J208" s="44"/>
      <c r="K208" s="45"/>
      <c r="L208" s="32"/>
    </row>
    <row r="209" spans="1:12">
      <c r="L209" s="19" t="s">
        <v>200</v>
      </c>
    </row>
    <row r="210" spans="1:12">
      <c r="A210" s="92" t="s">
        <v>5</v>
      </c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</row>
    <row r="211" spans="1:12">
      <c r="A211" s="93" t="s">
        <v>6</v>
      </c>
      <c r="B211" s="93"/>
      <c r="C211" s="93"/>
      <c r="D211" s="93"/>
      <c r="E211" s="93"/>
      <c r="F211" s="93"/>
      <c r="G211" s="93"/>
      <c r="H211" s="93"/>
      <c r="I211" s="93"/>
      <c r="J211" s="93"/>
      <c r="K211" s="93"/>
      <c r="L211" s="93"/>
    </row>
    <row r="212" spans="1:12">
      <c r="A212" s="94" t="s">
        <v>19</v>
      </c>
      <c r="B212" s="94"/>
      <c r="C212" s="94"/>
      <c r="D212" s="94"/>
      <c r="E212" s="94"/>
      <c r="F212" s="94"/>
      <c r="G212" s="94"/>
      <c r="H212" s="94"/>
      <c r="I212" s="94"/>
      <c r="J212" s="94"/>
      <c r="K212" s="94"/>
      <c r="L212" s="94"/>
    </row>
    <row r="213" spans="1:12">
      <c r="A213" s="95" t="s">
        <v>7</v>
      </c>
      <c r="B213" s="95" t="s">
        <v>18</v>
      </c>
      <c r="C213" s="95" t="s">
        <v>15</v>
      </c>
      <c r="D213" s="97" t="s">
        <v>0</v>
      </c>
      <c r="E213" s="95" t="s">
        <v>10</v>
      </c>
      <c r="F213" s="95" t="s">
        <v>9</v>
      </c>
      <c r="G213" s="99" t="s">
        <v>11</v>
      </c>
      <c r="H213" s="101" t="s">
        <v>1</v>
      </c>
      <c r="I213" s="102"/>
      <c r="J213" s="95" t="s">
        <v>14</v>
      </c>
      <c r="K213" s="95" t="s">
        <v>8</v>
      </c>
      <c r="L213" s="95" t="s">
        <v>13</v>
      </c>
    </row>
    <row r="214" spans="1:12" ht="48">
      <c r="A214" s="96"/>
      <c r="B214" s="96"/>
      <c r="C214" s="96"/>
      <c r="D214" s="98"/>
      <c r="E214" s="96"/>
      <c r="F214" s="96"/>
      <c r="G214" s="100"/>
      <c r="H214" s="14" t="s">
        <v>12</v>
      </c>
      <c r="I214" s="13" t="s">
        <v>3</v>
      </c>
      <c r="J214" s="96"/>
      <c r="K214" s="96"/>
      <c r="L214" s="96"/>
    </row>
    <row r="215" spans="1:12">
      <c r="A215" s="16"/>
      <c r="B215" s="7"/>
      <c r="C215" s="3"/>
      <c r="D215" s="3"/>
      <c r="E215" s="23"/>
      <c r="F215" s="4"/>
      <c r="G215" s="4"/>
      <c r="H215" s="25"/>
      <c r="I215" s="25"/>
      <c r="J215" s="56" t="s">
        <v>193</v>
      </c>
      <c r="K215" s="57">
        <f>SUM(K197)</f>
        <v>2168579.7999999998</v>
      </c>
      <c r="L215" s="11"/>
    </row>
    <row r="216" spans="1:12">
      <c r="A216" s="16">
        <v>71</v>
      </c>
      <c r="B216" s="15">
        <v>2552</v>
      </c>
      <c r="C216" s="3" t="s">
        <v>145</v>
      </c>
      <c r="D216" s="1" t="s">
        <v>146</v>
      </c>
      <c r="E216" s="24" t="s">
        <v>68</v>
      </c>
      <c r="F216" s="4">
        <v>13</v>
      </c>
      <c r="G216" s="4" t="s">
        <v>72</v>
      </c>
      <c r="H216" s="4">
        <v>7</v>
      </c>
      <c r="I216" s="5">
        <v>7</v>
      </c>
      <c r="J216" s="6">
        <v>3500</v>
      </c>
      <c r="K216" s="6">
        <f t="shared" si="1"/>
        <v>24500</v>
      </c>
      <c r="L216" s="85" t="s">
        <v>182</v>
      </c>
    </row>
    <row r="217" spans="1:12">
      <c r="A217" s="16">
        <v>72</v>
      </c>
      <c r="B217" s="15">
        <v>2552</v>
      </c>
      <c r="C217" s="3" t="s">
        <v>147</v>
      </c>
      <c r="D217" s="30" t="s">
        <v>148</v>
      </c>
      <c r="E217" s="24" t="s">
        <v>68</v>
      </c>
      <c r="F217" s="4">
        <v>13</v>
      </c>
      <c r="G217" s="4" t="s">
        <v>72</v>
      </c>
      <c r="H217" s="4">
        <v>1</v>
      </c>
      <c r="I217" s="5">
        <v>1</v>
      </c>
      <c r="J217" s="6">
        <v>17909.32</v>
      </c>
      <c r="K217" s="6">
        <f t="shared" si="1"/>
        <v>17909.32</v>
      </c>
      <c r="L217" s="85" t="s">
        <v>182</v>
      </c>
    </row>
    <row r="218" spans="1:12">
      <c r="A218" s="16">
        <v>73</v>
      </c>
      <c r="B218" s="15">
        <v>2553</v>
      </c>
      <c r="C218" s="3" t="s">
        <v>149</v>
      </c>
      <c r="D218" s="30" t="s">
        <v>150</v>
      </c>
      <c r="E218" s="24" t="s">
        <v>68</v>
      </c>
      <c r="F218" s="4">
        <v>12</v>
      </c>
      <c r="G218" s="4" t="s">
        <v>72</v>
      </c>
      <c r="H218" s="25">
        <v>1</v>
      </c>
      <c r="I218" s="25">
        <v>1</v>
      </c>
      <c r="J218" s="29">
        <v>3700</v>
      </c>
      <c r="K218" s="6">
        <f t="shared" si="1"/>
        <v>3700</v>
      </c>
      <c r="L218" s="85" t="s">
        <v>182</v>
      </c>
    </row>
    <row r="219" spans="1:12">
      <c r="A219" s="16">
        <v>74</v>
      </c>
      <c r="B219" s="15">
        <v>2553</v>
      </c>
      <c r="C219" s="3" t="s">
        <v>151</v>
      </c>
      <c r="D219" s="30" t="s">
        <v>152</v>
      </c>
      <c r="E219" s="24" t="s">
        <v>69</v>
      </c>
      <c r="F219" s="4">
        <v>12</v>
      </c>
      <c r="G219" s="4" t="s">
        <v>72</v>
      </c>
      <c r="H219" s="25">
        <v>9</v>
      </c>
      <c r="I219" s="25">
        <v>9</v>
      </c>
      <c r="J219" s="29">
        <v>11000</v>
      </c>
      <c r="K219" s="6">
        <f t="shared" si="1"/>
        <v>99000</v>
      </c>
      <c r="L219" s="85" t="s">
        <v>182</v>
      </c>
    </row>
    <row r="220" spans="1:12">
      <c r="A220" s="16">
        <v>75</v>
      </c>
      <c r="B220" s="15">
        <v>2553</v>
      </c>
      <c r="C220" s="3" t="s">
        <v>153</v>
      </c>
      <c r="D220" s="30" t="s">
        <v>154</v>
      </c>
      <c r="E220" s="24" t="s">
        <v>68</v>
      </c>
      <c r="F220" s="4">
        <v>12</v>
      </c>
      <c r="G220" s="4" t="s">
        <v>72</v>
      </c>
      <c r="H220" s="25">
        <v>2</v>
      </c>
      <c r="I220" s="25">
        <v>2</v>
      </c>
      <c r="J220" s="29">
        <v>4000</v>
      </c>
      <c r="K220" s="6">
        <f t="shared" si="1"/>
        <v>8000</v>
      </c>
      <c r="L220" s="85" t="s">
        <v>182</v>
      </c>
    </row>
    <row r="221" spans="1:12">
      <c r="A221" s="16">
        <v>76</v>
      </c>
      <c r="B221" s="15">
        <v>2553</v>
      </c>
      <c r="C221" s="3" t="s">
        <v>155</v>
      </c>
      <c r="D221" s="30" t="s">
        <v>156</v>
      </c>
      <c r="E221" s="23" t="s">
        <v>68</v>
      </c>
      <c r="F221" s="4">
        <v>12</v>
      </c>
      <c r="G221" s="4" t="s">
        <v>72</v>
      </c>
      <c r="H221" s="25">
        <v>2</v>
      </c>
      <c r="I221" s="25">
        <v>2</v>
      </c>
      <c r="J221" s="29">
        <v>4000</v>
      </c>
      <c r="K221" s="6">
        <f t="shared" ref="K221:K252" si="2">SUM(I221*J221)</f>
        <v>8000</v>
      </c>
      <c r="L221" s="85" t="s">
        <v>182</v>
      </c>
    </row>
    <row r="222" spans="1:12">
      <c r="A222" s="16">
        <v>77</v>
      </c>
      <c r="B222" s="15">
        <v>2553</v>
      </c>
      <c r="C222" s="3" t="s">
        <v>157</v>
      </c>
      <c r="D222" s="30" t="s">
        <v>158</v>
      </c>
      <c r="E222" s="23" t="s">
        <v>68</v>
      </c>
      <c r="F222" s="4">
        <v>12</v>
      </c>
      <c r="G222" s="4" t="s">
        <v>72</v>
      </c>
      <c r="H222" s="25">
        <v>2</v>
      </c>
      <c r="I222" s="25">
        <v>2</v>
      </c>
      <c r="J222" s="29">
        <v>2500</v>
      </c>
      <c r="K222" s="6">
        <f t="shared" si="2"/>
        <v>5000</v>
      </c>
      <c r="L222" s="85" t="s">
        <v>182</v>
      </c>
    </row>
    <row r="223" spans="1:12">
      <c r="A223" s="16">
        <v>78</v>
      </c>
      <c r="B223" s="15">
        <v>2553</v>
      </c>
      <c r="C223" s="3" t="s">
        <v>159</v>
      </c>
      <c r="D223" s="30" t="s">
        <v>160</v>
      </c>
      <c r="E223" s="23" t="s">
        <v>68</v>
      </c>
      <c r="F223" s="4">
        <v>12</v>
      </c>
      <c r="G223" s="4" t="s">
        <v>72</v>
      </c>
      <c r="H223" s="25">
        <v>2</v>
      </c>
      <c r="I223" s="25">
        <v>2</v>
      </c>
      <c r="J223" s="29">
        <v>1000</v>
      </c>
      <c r="K223" s="6">
        <f t="shared" si="2"/>
        <v>2000</v>
      </c>
      <c r="L223" s="85" t="s">
        <v>182</v>
      </c>
    </row>
    <row r="224" spans="1:12">
      <c r="A224" s="16">
        <v>79</v>
      </c>
      <c r="B224" s="15">
        <v>2553</v>
      </c>
      <c r="C224" s="3" t="s">
        <v>161</v>
      </c>
      <c r="D224" s="30" t="s">
        <v>162</v>
      </c>
      <c r="E224" s="23" t="s">
        <v>68</v>
      </c>
      <c r="F224" s="4">
        <v>12</v>
      </c>
      <c r="G224" s="4" t="s">
        <v>72</v>
      </c>
      <c r="H224" s="25">
        <v>2</v>
      </c>
      <c r="I224" s="25">
        <v>2</v>
      </c>
      <c r="J224" s="29">
        <v>4000</v>
      </c>
      <c r="K224" s="6">
        <f t="shared" si="2"/>
        <v>8000</v>
      </c>
      <c r="L224" s="85" t="s">
        <v>182</v>
      </c>
    </row>
    <row r="225" spans="1:12">
      <c r="A225" s="16">
        <v>80</v>
      </c>
      <c r="B225" s="15">
        <v>2553</v>
      </c>
      <c r="C225" s="3" t="s">
        <v>163</v>
      </c>
      <c r="D225" s="30" t="s">
        <v>164</v>
      </c>
      <c r="E225" s="23" t="s">
        <v>68</v>
      </c>
      <c r="F225" s="4">
        <v>12</v>
      </c>
      <c r="G225" s="4" t="s">
        <v>72</v>
      </c>
      <c r="H225" s="25">
        <v>2</v>
      </c>
      <c r="I225" s="25">
        <v>2</v>
      </c>
      <c r="J225" s="29">
        <v>3200</v>
      </c>
      <c r="K225" s="6">
        <f t="shared" si="2"/>
        <v>6400</v>
      </c>
      <c r="L225" s="85" t="s">
        <v>182</v>
      </c>
    </row>
    <row r="226" spans="1:12" ht="24.75" thickBot="1">
      <c r="A226" s="47"/>
      <c r="B226" s="63"/>
      <c r="C226" s="49"/>
      <c r="D226" s="83"/>
      <c r="E226" s="50"/>
      <c r="F226" s="51"/>
      <c r="G226" s="51"/>
      <c r="H226" s="52"/>
      <c r="I226" s="52"/>
      <c r="J226" s="54" t="s">
        <v>192</v>
      </c>
      <c r="K226" s="55">
        <f>SUM(K215:K225)</f>
        <v>2351089.1199999996</v>
      </c>
      <c r="L226" s="87"/>
    </row>
    <row r="227" spans="1:12" ht="24.75" thickTop="1">
      <c r="A227" s="39"/>
      <c r="B227" s="84" t="s">
        <v>2</v>
      </c>
      <c r="C227" s="41" t="s">
        <v>16</v>
      </c>
      <c r="D227" s="41"/>
      <c r="E227" s="42"/>
      <c r="F227" s="18"/>
      <c r="G227" s="18"/>
      <c r="H227" s="43"/>
      <c r="I227" s="43"/>
      <c r="J227" s="44"/>
      <c r="K227" s="45"/>
      <c r="L227" s="46"/>
    </row>
    <row r="228" spans="1:12">
      <c r="A228" s="39"/>
      <c r="B228" s="40"/>
      <c r="C228" s="41" t="s">
        <v>17</v>
      </c>
      <c r="D228" s="41"/>
      <c r="E228" s="42"/>
      <c r="F228" s="18"/>
      <c r="G228" s="18"/>
      <c r="H228" s="43"/>
      <c r="I228" s="43"/>
      <c r="J228" s="44"/>
      <c r="K228" s="45"/>
      <c r="L228" s="46"/>
    </row>
    <row r="229" spans="1:12">
      <c r="A229" s="39"/>
      <c r="B229" s="40"/>
      <c r="C229" s="41"/>
      <c r="D229" s="41"/>
      <c r="E229" s="42"/>
      <c r="F229" s="18"/>
      <c r="G229" s="81" t="s">
        <v>201</v>
      </c>
      <c r="H229" s="91" t="s">
        <v>202</v>
      </c>
      <c r="I229" s="91"/>
      <c r="J229" s="91"/>
      <c r="K229" s="82" t="s">
        <v>203</v>
      </c>
      <c r="L229" s="46"/>
    </row>
    <row r="230" spans="1:12">
      <c r="A230" s="39"/>
      <c r="B230" s="40"/>
      <c r="C230" s="41"/>
      <c r="D230" s="41"/>
      <c r="E230" s="42"/>
      <c r="F230" s="18"/>
      <c r="G230" s="81"/>
      <c r="H230" s="91" t="s">
        <v>204</v>
      </c>
      <c r="I230" s="91"/>
      <c r="J230" s="91"/>
      <c r="K230" s="82"/>
      <c r="L230" s="46"/>
    </row>
    <row r="231" spans="1:12" ht="46.5" customHeight="1">
      <c r="A231" s="39"/>
      <c r="B231" s="40"/>
      <c r="C231" s="41"/>
      <c r="D231" s="41"/>
      <c r="E231" s="42"/>
      <c r="F231" s="18"/>
      <c r="G231" s="81" t="s">
        <v>201</v>
      </c>
      <c r="H231" s="91" t="s">
        <v>202</v>
      </c>
      <c r="I231" s="91"/>
      <c r="J231" s="91"/>
      <c r="K231" s="82" t="s">
        <v>205</v>
      </c>
      <c r="L231" s="46"/>
    </row>
    <row r="232" spans="1:12">
      <c r="A232" s="39"/>
      <c r="B232" s="40"/>
      <c r="C232" s="41"/>
      <c r="D232" s="41"/>
      <c r="E232" s="42"/>
      <c r="F232" s="18"/>
      <c r="G232" s="81"/>
      <c r="H232" s="91" t="s">
        <v>206</v>
      </c>
      <c r="I232" s="91"/>
      <c r="J232" s="91"/>
      <c r="K232" s="82"/>
      <c r="L232" s="46"/>
    </row>
    <row r="233" spans="1:12" ht="46.5" customHeight="1">
      <c r="A233" s="39"/>
      <c r="B233" s="40"/>
      <c r="C233" s="41"/>
      <c r="D233" s="41"/>
      <c r="E233" s="42"/>
      <c r="F233" s="18"/>
      <c r="G233" s="81" t="s">
        <v>201</v>
      </c>
      <c r="H233" s="91" t="s">
        <v>202</v>
      </c>
      <c r="I233" s="91"/>
      <c r="J233" s="91"/>
      <c r="K233" s="82" t="s">
        <v>207</v>
      </c>
      <c r="L233" s="46"/>
    </row>
    <row r="234" spans="1:12">
      <c r="A234" s="39"/>
      <c r="B234" s="40"/>
      <c r="C234" s="41"/>
      <c r="D234" s="41"/>
      <c r="E234" s="42"/>
      <c r="F234" s="18"/>
      <c r="G234" s="81"/>
      <c r="H234" s="91" t="s">
        <v>208</v>
      </c>
      <c r="I234" s="91"/>
      <c r="J234" s="91"/>
      <c r="K234" s="45"/>
      <c r="L234" s="46"/>
    </row>
    <row r="235" spans="1:12">
      <c r="A235" s="39"/>
      <c r="B235" s="40"/>
      <c r="C235" s="41"/>
      <c r="D235" s="41"/>
      <c r="E235" s="42"/>
      <c r="F235" s="18"/>
      <c r="G235" s="18"/>
      <c r="H235" s="43"/>
      <c r="I235" s="43"/>
      <c r="J235" s="44"/>
      <c r="K235" s="45"/>
      <c r="L235" s="46"/>
    </row>
    <row r="236" spans="1:12">
      <c r="A236" s="39"/>
      <c r="B236" s="32"/>
      <c r="C236" s="41"/>
      <c r="D236" s="76"/>
      <c r="E236" s="42"/>
      <c r="F236" s="18"/>
      <c r="G236" s="18"/>
      <c r="H236" s="43"/>
      <c r="I236" s="43"/>
      <c r="J236" s="77"/>
      <c r="K236" s="45"/>
      <c r="L236" s="32"/>
    </row>
    <row r="237" spans="1:12">
      <c r="A237" s="39"/>
      <c r="B237" s="32"/>
      <c r="C237" s="41"/>
      <c r="D237" s="76"/>
      <c r="E237" s="42"/>
      <c r="F237" s="18"/>
      <c r="G237" s="18"/>
      <c r="H237" s="43"/>
      <c r="I237" s="43"/>
      <c r="J237" s="77"/>
      <c r="K237" s="45"/>
      <c r="L237" s="32"/>
    </row>
    <row r="238" spans="1:12">
      <c r="L238" s="19" t="s">
        <v>209</v>
      </c>
    </row>
    <row r="239" spans="1:12">
      <c r="A239" s="92" t="s">
        <v>5</v>
      </c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</row>
    <row r="240" spans="1:12">
      <c r="A240" s="93" t="s">
        <v>6</v>
      </c>
      <c r="B240" s="93"/>
      <c r="C240" s="93"/>
      <c r="D240" s="93"/>
      <c r="E240" s="93"/>
      <c r="F240" s="93"/>
      <c r="G240" s="93"/>
      <c r="H240" s="93"/>
      <c r="I240" s="93"/>
      <c r="J240" s="93"/>
      <c r="K240" s="93"/>
      <c r="L240" s="93"/>
    </row>
    <row r="241" spans="1:12">
      <c r="A241" s="94" t="s">
        <v>19</v>
      </c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</row>
    <row r="242" spans="1:12">
      <c r="A242" s="95" t="s">
        <v>7</v>
      </c>
      <c r="B242" s="95" t="s">
        <v>18</v>
      </c>
      <c r="C242" s="95" t="s">
        <v>15</v>
      </c>
      <c r="D242" s="97" t="s">
        <v>0</v>
      </c>
      <c r="E242" s="95" t="s">
        <v>10</v>
      </c>
      <c r="F242" s="95" t="s">
        <v>9</v>
      </c>
      <c r="G242" s="99" t="s">
        <v>11</v>
      </c>
      <c r="H242" s="101" t="s">
        <v>1</v>
      </c>
      <c r="I242" s="102"/>
      <c r="J242" s="95" t="s">
        <v>14</v>
      </c>
      <c r="K242" s="95" t="s">
        <v>8</v>
      </c>
      <c r="L242" s="95" t="s">
        <v>13</v>
      </c>
    </row>
    <row r="243" spans="1:12" ht="48">
      <c r="A243" s="96"/>
      <c r="B243" s="96"/>
      <c r="C243" s="96"/>
      <c r="D243" s="98"/>
      <c r="E243" s="96"/>
      <c r="F243" s="96"/>
      <c r="G243" s="100"/>
      <c r="H243" s="14" t="s">
        <v>12</v>
      </c>
      <c r="I243" s="13" t="s">
        <v>3</v>
      </c>
      <c r="J243" s="96"/>
      <c r="K243" s="96"/>
      <c r="L243" s="96"/>
    </row>
    <row r="244" spans="1:12">
      <c r="A244" s="16"/>
      <c r="B244" s="7"/>
      <c r="C244" s="3"/>
      <c r="D244" s="3"/>
      <c r="E244" s="23"/>
      <c r="F244" s="4"/>
      <c r="G244" s="4"/>
      <c r="H244" s="25"/>
      <c r="I244" s="25"/>
      <c r="J244" s="56" t="s">
        <v>193</v>
      </c>
      <c r="K244" s="57">
        <f>SUM(K226)</f>
        <v>2351089.1199999996</v>
      </c>
      <c r="L244" s="11"/>
    </row>
    <row r="245" spans="1:12">
      <c r="A245" s="16">
        <v>81</v>
      </c>
      <c r="B245" s="15">
        <v>2553</v>
      </c>
      <c r="C245" s="3" t="s">
        <v>165</v>
      </c>
      <c r="D245" s="30" t="s">
        <v>166</v>
      </c>
      <c r="E245" s="23" t="s">
        <v>68</v>
      </c>
      <c r="F245" s="4">
        <v>12</v>
      </c>
      <c r="G245" s="4" t="s">
        <v>72</v>
      </c>
      <c r="H245" s="25">
        <v>2</v>
      </c>
      <c r="I245" s="25">
        <v>2</v>
      </c>
      <c r="J245" s="29">
        <v>1300</v>
      </c>
      <c r="K245" s="6">
        <f t="shared" si="2"/>
        <v>2600</v>
      </c>
      <c r="L245" s="85" t="s">
        <v>182</v>
      </c>
    </row>
    <row r="246" spans="1:12">
      <c r="A246" s="16">
        <v>82</v>
      </c>
      <c r="B246" s="15">
        <v>2553</v>
      </c>
      <c r="C246" s="3" t="s">
        <v>167</v>
      </c>
      <c r="D246" s="30" t="s">
        <v>168</v>
      </c>
      <c r="E246" s="23" t="s">
        <v>68</v>
      </c>
      <c r="F246" s="4">
        <v>12</v>
      </c>
      <c r="G246" s="4" t="s">
        <v>72</v>
      </c>
      <c r="H246" s="4">
        <v>1</v>
      </c>
      <c r="I246" s="5">
        <v>1</v>
      </c>
      <c r="J246" s="6">
        <v>7900</v>
      </c>
      <c r="K246" s="6">
        <f t="shared" si="2"/>
        <v>7900</v>
      </c>
      <c r="L246" s="86" t="s">
        <v>181</v>
      </c>
    </row>
    <row r="247" spans="1:12">
      <c r="A247" s="16">
        <v>83</v>
      </c>
      <c r="B247" s="12" t="s">
        <v>169</v>
      </c>
      <c r="C247" s="3" t="s">
        <v>170</v>
      </c>
      <c r="D247" s="30" t="s">
        <v>171</v>
      </c>
      <c r="E247" s="23" t="s">
        <v>68</v>
      </c>
      <c r="F247" s="4">
        <v>9</v>
      </c>
      <c r="G247" s="4" t="s">
        <v>72</v>
      </c>
      <c r="H247" s="25">
        <v>2</v>
      </c>
      <c r="I247" s="25">
        <v>2</v>
      </c>
      <c r="J247" s="29">
        <v>49500</v>
      </c>
      <c r="K247" s="6">
        <f t="shared" si="2"/>
        <v>99000</v>
      </c>
      <c r="L247" s="85" t="s">
        <v>182</v>
      </c>
    </row>
    <row r="248" spans="1:12">
      <c r="A248" s="16">
        <v>84</v>
      </c>
      <c r="B248" s="12" t="s">
        <v>169</v>
      </c>
      <c r="C248" s="3" t="s">
        <v>172</v>
      </c>
      <c r="D248" s="30" t="s">
        <v>173</v>
      </c>
      <c r="E248" s="23" t="s">
        <v>68</v>
      </c>
      <c r="F248" s="4">
        <v>9</v>
      </c>
      <c r="G248" s="4" t="s">
        <v>72</v>
      </c>
      <c r="H248" s="25">
        <v>1</v>
      </c>
      <c r="I248" s="25">
        <v>1</v>
      </c>
      <c r="J248" s="29">
        <v>22440</v>
      </c>
      <c r="K248" s="6">
        <f t="shared" si="2"/>
        <v>22440</v>
      </c>
      <c r="L248" s="85" t="s">
        <v>182</v>
      </c>
    </row>
    <row r="249" spans="1:12">
      <c r="A249" s="16">
        <v>85</v>
      </c>
      <c r="B249" s="12" t="s">
        <v>169</v>
      </c>
      <c r="C249" s="3" t="s">
        <v>174</v>
      </c>
      <c r="D249" s="30" t="s">
        <v>175</v>
      </c>
      <c r="E249" s="23" t="s">
        <v>68</v>
      </c>
      <c r="F249" s="4">
        <v>9</v>
      </c>
      <c r="G249" s="4" t="s">
        <v>72</v>
      </c>
      <c r="H249" s="25">
        <v>1</v>
      </c>
      <c r="I249" s="25">
        <v>1</v>
      </c>
      <c r="J249" s="29">
        <v>12000</v>
      </c>
      <c r="K249" s="6">
        <f t="shared" si="2"/>
        <v>12000</v>
      </c>
      <c r="L249" s="85" t="s">
        <v>182</v>
      </c>
    </row>
    <row r="250" spans="1:12">
      <c r="A250" s="16">
        <v>86</v>
      </c>
      <c r="B250" s="12" t="s">
        <v>169</v>
      </c>
      <c r="C250" s="3" t="s">
        <v>176</v>
      </c>
      <c r="D250" s="30" t="s">
        <v>177</v>
      </c>
      <c r="E250" s="23" t="s">
        <v>68</v>
      </c>
      <c r="F250" s="4">
        <v>9</v>
      </c>
      <c r="G250" s="4" t="s">
        <v>72</v>
      </c>
      <c r="H250" s="25">
        <v>2</v>
      </c>
      <c r="I250" s="25">
        <v>2</v>
      </c>
      <c r="J250" s="29">
        <v>2000</v>
      </c>
      <c r="K250" s="6">
        <f t="shared" si="2"/>
        <v>4000</v>
      </c>
      <c r="L250" s="85" t="s">
        <v>183</v>
      </c>
    </row>
    <row r="251" spans="1:12">
      <c r="A251" s="16">
        <v>87</v>
      </c>
      <c r="B251" s="12" t="s">
        <v>169</v>
      </c>
      <c r="C251" s="3" t="s">
        <v>178</v>
      </c>
      <c r="D251" s="30" t="s">
        <v>210</v>
      </c>
      <c r="E251" s="23" t="s">
        <v>68</v>
      </c>
      <c r="F251" s="4">
        <v>9</v>
      </c>
      <c r="G251" s="4" t="s">
        <v>72</v>
      </c>
      <c r="H251" s="25">
        <v>2</v>
      </c>
      <c r="I251" s="25">
        <v>2</v>
      </c>
      <c r="J251" s="29">
        <v>31000</v>
      </c>
      <c r="K251" s="6">
        <f t="shared" si="2"/>
        <v>62000</v>
      </c>
      <c r="L251" s="85" t="s">
        <v>184</v>
      </c>
    </row>
    <row r="252" spans="1:12">
      <c r="A252" s="16">
        <v>88</v>
      </c>
      <c r="B252" s="10"/>
      <c r="C252" s="3"/>
      <c r="D252" s="31" t="s">
        <v>179</v>
      </c>
      <c r="E252" s="23" t="s">
        <v>69</v>
      </c>
      <c r="F252" s="4"/>
      <c r="G252" s="4" t="s">
        <v>72</v>
      </c>
      <c r="H252" s="28">
        <v>1</v>
      </c>
      <c r="I252" s="28">
        <v>1</v>
      </c>
      <c r="J252" s="6">
        <v>10500</v>
      </c>
      <c r="K252" s="6">
        <f t="shared" si="2"/>
        <v>10500</v>
      </c>
      <c r="L252" s="85" t="s">
        <v>180</v>
      </c>
    </row>
    <row r="253" spans="1:12" ht="24.75" thickBot="1">
      <c r="A253" s="78"/>
      <c r="B253" s="79"/>
      <c r="C253" s="79"/>
      <c r="D253" s="79"/>
      <c r="E253" s="79"/>
      <c r="F253" s="79"/>
      <c r="G253" s="79"/>
      <c r="H253" s="79"/>
      <c r="I253" s="79"/>
      <c r="J253" s="80" t="s">
        <v>4</v>
      </c>
      <c r="K253" s="72">
        <f>SUM(K244:K252)</f>
        <v>2571529.1199999996</v>
      </c>
      <c r="L253" s="63"/>
    </row>
    <row r="254" spans="1:12" ht="24.75" thickTop="1">
      <c r="A254" s="8"/>
      <c r="B254" s="84" t="s">
        <v>2</v>
      </c>
      <c r="C254" s="41" t="s">
        <v>16</v>
      </c>
      <c r="D254" s="41"/>
      <c r="E254" s="42"/>
      <c r="F254" s="18"/>
      <c r="G254" s="18"/>
      <c r="H254" s="43"/>
      <c r="I254" s="43"/>
      <c r="J254" s="44"/>
      <c r="K254" s="45"/>
      <c r="L254" s="46"/>
    </row>
    <row r="255" spans="1:12">
      <c r="A255" s="8"/>
      <c r="B255" s="40"/>
      <c r="C255" s="41" t="s">
        <v>17</v>
      </c>
      <c r="D255" s="41"/>
      <c r="E255" s="42"/>
      <c r="F255" s="18"/>
      <c r="G255" s="18"/>
      <c r="H255" s="43"/>
      <c r="I255" s="43"/>
      <c r="J255" s="44"/>
      <c r="K255" s="45"/>
      <c r="L255" s="46"/>
    </row>
    <row r="256" spans="1:12">
      <c r="A256" s="8"/>
      <c r="B256" s="40"/>
      <c r="C256" s="41"/>
      <c r="D256" s="41"/>
      <c r="E256" s="42"/>
      <c r="F256" s="18"/>
      <c r="G256" s="81" t="s">
        <v>201</v>
      </c>
      <c r="H256" s="91" t="s">
        <v>202</v>
      </c>
      <c r="I256" s="91"/>
      <c r="J256" s="91"/>
      <c r="K256" s="82" t="s">
        <v>203</v>
      </c>
      <c r="L256" s="46"/>
    </row>
    <row r="257" spans="1:12">
      <c r="A257" s="8"/>
      <c r="B257" s="40"/>
      <c r="C257" s="41"/>
      <c r="D257" s="41"/>
      <c r="E257" s="42"/>
      <c r="F257" s="18"/>
      <c r="G257" s="81"/>
      <c r="H257" s="91" t="s">
        <v>204</v>
      </c>
      <c r="I257" s="91"/>
      <c r="J257" s="91"/>
      <c r="K257" s="82"/>
      <c r="L257" s="46"/>
    </row>
    <row r="258" spans="1:12" ht="44.25" customHeight="1">
      <c r="B258" s="40"/>
      <c r="C258" s="41"/>
      <c r="D258" s="41"/>
      <c r="E258" s="42"/>
      <c r="F258" s="18"/>
      <c r="G258" s="81" t="s">
        <v>201</v>
      </c>
      <c r="H258" s="91" t="s">
        <v>202</v>
      </c>
      <c r="I258" s="91"/>
      <c r="J258" s="91"/>
      <c r="K258" s="82" t="s">
        <v>205</v>
      </c>
      <c r="L258" s="46"/>
    </row>
    <row r="259" spans="1:12">
      <c r="B259" s="40"/>
      <c r="C259" s="41"/>
      <c r="D259" s="41"/>
      <c r="E259" s="42"/>
      <c r="F259" s="18"/>
      <c r="G259" s="81"/>
      <c r="H259" s="91" t="s">
        <v>206</v>
      </c>
      <c r="I259" s="91"/>
      <c r="J259" s="91"/>
      <c r="K259" s="82"/>
      <c r="L259" s="46"/>
    </row>
    <row r="260" spans="1:12" ht="51.75" customHeight="1">
      <c r="B260" s="40"/>
      <c r="C260" s="41"/>
      <c r="D260" s="41"/>
      <c r="E260" s="42"/>
      <c r="F260" s="18"/>
      <c r="G260" s="81" t="s">
        <v>201</v>
      </c>
      <c r="H260" s="91" t="s">
        <v>202</v>
      </c>
      <c r="I260" s="91"/>
      <c r="J260" s="91"/>
      <c r="K260" s="82" t="s">
        <v>207</v>
      </c>
      <c r="L260" s="46"/>
    </row>
    <row r="261" spans="1:12">
      <c r="B261" s="40"/>
      <c r="C261" s="41"/>
      <c r="D261" s="41"/>
      <c r="E261" s="42"/>
      <c r="F261" s="18"/>
      <c r="G261" s="81"/>
      <c r="H261" s="91" t="s">
        <v>208</v>
      </c>
      <c r="I261" s="91"/>
      <c r="J261" s="91"/>
      <c r="K261" s="45"/>
      <c r="L261" s="46"/>
    </row>
    <row r="262" spans="1:12">
      <c r="B262" s="40"/>
      <c r="C262" s="41"/>
      <c r="D262" s="41"/>
      <c r="E262" s="42"/>
      <c r="F262" s="18"/>
      <c r="G262" s="18"/>
      <c r="H262" s="43"/>
      <c r="I262" s="43"/>
      <c r="J262" s="44"/>
      <c r="K262" s="45"/>
      <c r="L262" s="46"/>
    </row>
  </sheetData>
  <mergeCells count="180">
    <mergeCell ref="A181:L181"/>
    <mergeCell ref="A182:L182"/>
    <mergeCell ref="A183:L183"/>
    <mergeCell ref="A184:A185"/>
    <mergeCell ref="B184:B185"/>
    <mergeCell ref="C184:C185"/>
    <mergeCell ref="D184:D185"/>
    <mergeCell ref="E184:E185"/>
    <mergeCell ref="F184:F185"/>
    <mergeCell ref="G184:G185"/>
    <mergeCell ref="H184:I184"/>
    <mergeCell ref="J184:J185"/>
    <mergeCell ref="K184:K185"/>
    <mergeCell ref="L184:L185"/>
    <mergeCell ref="A92:L92"/>
    <mergeCell ref="A93:L93"/>
    <mergeCell ref="A94:L94"/>
    <mergeCell ref="A95:A96"/>
    <mergeCell ref="B95:B96"/>
    <mergeCell ref="C95:C96"/>
    <mergeCell ref="D95:D96"/>
    <mergeCell ref="E95:E96"/>
    <mergeCell ref="F95:F96"/>
    <mergeCell ref="G95:G96"/>
    <mergeCell ref="H95:I95"/>
    <mergeCell ref="J95:J96"/>
    <mergeCell ref="K95:K96"/>
    <mergeCell ref="L95:L96"/>
    <mergeCell ref="H5:I5"/>
    <mergeCell ref="J5:J6"/>
    <mergeCell ref="K5:K6"/>
    <mergeCell ref="L5:L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0:J20"/>
    <mergeCell ref="H21:J21"/>
    <mergeCell ref="H22:J22"/>
    <mergeCell ref="H23:J23"/>
    <mergeCell ref="H24:J24"/>
    <mergeCell ref="H25:J25"/>
    <mergeCell ref="H51:J51"/>
    <mergeCell ref="H52:J52"/>
    <mergeCell ref="H53:J53"/>
    <mergeCell ref="A32:L32"/>
    <mergeCell ref="A33:L33"/>
    <mergeCell ref="A34:L34"/>
    <mergeCell ref="A35:A36"/>
    <mergeCell ref="B35:B36"/>
    <mergeCell ref="C35:C36"/>
    <mergeCell ref="D35:D36"/>
    <mergeCell ref="E35:E36"/>
    <mergeCell ref="F35:F36"/>
    <mergeCell ref="G35:G36"/>
    <mergeCell ref="H35:I35"/>
    <mergeCell ref="J35:J36"/>
    <mergeCell ref="K35:K36"/>
    <mergeCell ref="L35:L36"/>
    <mergeCell ref="H54:J54"/>
    <mergeCell ref="H55:J55"/>
    <mergeCell ref="H56:J56"/>
    <mergeCell ref="H81:J81"/>
    <mergeCell ref="H82:J82"/>
    <mergeCell ref="H83:J83"/>
    <mergeCell ref="H84:J84"/>
    <mergeCell ref="H85:J85"/>
    <mergeCell ref="H86:J86"/>
    <mergeCell ref="A62:L62"/>
    <mergeCell ref="A63:L63"/>
    <mergeCell ref="A64:L64"/>
    <mergeCell ref="A65:A66"/>
    <mergeCell ref="B65:B66"/>
    <mergeCell ref="C65:C66"/>
    <mergeCell ref="D65:D66"/>
    <mergeCell ref="E65:E66"/>
    <mergeCell ref="F65:F66"/>
    <mergeCell ref="G65:G66"/>
    <mergeCell ref="H65:I65"/>
    <mergeCell ref="J65:J66"/>
    <mergeCell ref="K65:K66"/>
    <mergeCell ref="L65:L66"/>
    <mergeCell ref="H111:J111"/>
    <mergeCell ref="H112:J112"/>
    <mergeCell ref="H113:J113"/>
    <mergeCell ref="H114:J114"/>
    <mergeCell ref="H115:J115"/>
    <mergeCell ref="H116:J116"/>
    <mergeCell ref="H140:J140"/>
    <mergeCell ref="H141:J141"/>
    <mergeCell ref="H142:J142"/>
    <mergeCell ref="A121:L121"/>
    <mergeCell ref="A122:L122"/>
    <mergeCell ref="A123:L123"/>
    <mergeCell ref="A124:A125"/>
    <mergeCell ref="B124:B125"/>
    <mergeCell ref="C124:C125"/>
    <mergeCell ref="D124:D125"/>
    <mergeCell ref="E124:E125"/>
    <mergeCell ref="F124:F125"/>
    <mergeCell ref="G124:G125"/>
    <mergeCell ref="H124:I124"/>
    <mergeCell ref="J124:J125"/>
    <mergeCell ref="K124:K125"/>
    <mergeCell ref="L124:L125"/>
    <mergeCell ref="H143:J143"/>
    <mergeCell ref="H144:J144"/>
    <mergeCell ref="H145:J145"/>
    <mergeCell ref="H170:J170"/>
    <mergeCell ref="H171:J171"/>
    <mergeCell ref="H172:J172"/>
    <mergeCell ref="H173:J173"/>
    <mergeCell ref="H174:J174"/>
    <mergeCell ref="H175:J175"/>
    <mergeCell ref="A151:L151"/>
    <mergeCell ref="A152:L152"/>
    <mergeCell ref="A153:L153"/>
    <mergeCell ref="A154:A155"/>
    <mergeCell ref="B154:B155"/>
    <mergeCell ref="C154:C155"/>
    <mergeCell ref="D154:D155"/>
    <mergeCell ref="E154:E155"/>
    <mergeCell ref="F154:F155"/>
    <mergeCell ref="G154:G155"/>
    <mergeCell ref="H154:I154"/>
    <mergeCell ref="J154:J155"/>
    <mergeCell ref="K154:K155"/>
    <mergeCell ref="L154:L155"/>
    <mergeCell ref="H200:J200"/>
    <mergeCell ref="H201:J201"/>
    <mergeCell ref="H202:J202"/>
    <mergeCell ref="H203:J203"/>
    <mergeCell ref="H204:J204"/>
    <mergeCell ref="H205:J205"/>
    <mergeCell ref="H229:J229"/>
    <mergeCell ref="H230:J230"/>
    <mergeCell ref="H231:J231"/>
    <mergeCell ref="A210:L210"/>
    <mergeCell ref="A211:L211"/>
    <mergeCell ref="A212:L212"/>
    <mergeCell ref="A213:A214"/>
    <mergeCell ref="B213:B214"/>
    <mergeCell ref="C213:C214"/>
    <mergeCell ref="D213:D214"/>
    <mergeCell ref="E213:E214"/>
    <mergeCell ref="F213:F214"/>
    <mergeCell ref="G213:G214"/>
    <mergeCell ref="H213:I213"/>
    <mergeCell ref="J213:J214"/>
    <mergeCell ref="K213:K214"/>
    <mergeCell ref="L213:L214"/>
    <mergeCell ref="H232:J232"/>
    <mergeCell ref="H233:J233"/>
    <mergeCell ref="H234:J234"/>
    <mergeCell ref="H256:J256"/>
    <mergeCell ref="H257:J257"/>
    <mergeCell ref="H258:J258"/>
    <mergeCell ref="H259:J259"/>
    <mergeCell ref="H260:J260"/>
    <mergeCell ref="H261:J261"/>
    <mergeCell ref="A239:L239"/>
    <mergeCell ref="A240:L240"/>
    <mergeCell ref="A241:L241"/>
    <mergeCell ref="A242:A243"/>
    <mergeCell ref="B242:B243"/>
    <mergeCell ref="C242:C243"/>
    <mergeCell ref="D242:D243"/>
    <mergeCell ref="E242:E243"/>
    <mergeCell ref="F242:F243"/>
    <mergeCell ref="G242:G243"/>
    <mergeCell ref="H242:I242"/>
    <mergeCell ref="J242:J243"/>
    <mergeCell ref="K242:K243"/>
    <mergeCell ref="L242:L243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2021-11-19T08:03:12Z</cp:lastPrinted>
  <dcterms:created xsi:type="dcterms:W3CDTF">2017-11-14T01:32:33Z</dcterms:created>
  <dcterms:modified xsi:type="dcterms:W3CDTF">2021-11-19T08:22:29Z</dcterms:modified>
</cp:coreProperties>
</file>