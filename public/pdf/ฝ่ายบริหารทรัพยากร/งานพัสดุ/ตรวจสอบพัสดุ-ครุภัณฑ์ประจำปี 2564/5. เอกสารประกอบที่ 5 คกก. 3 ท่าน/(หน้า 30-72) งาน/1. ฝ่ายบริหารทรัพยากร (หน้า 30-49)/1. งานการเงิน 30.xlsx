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4\เอกสารประกอบที่ 5 คกก. 3 ท่าน\งาน\1. ฝ่ายบริหารทรัพยากร\"/>
    </mc:Choice>
  </mc:AlternateContent>
  <xr:revisionPtr revIDLastSave="0" documentId="13_ncr:1_{BF2CCAF3-E7D7-4D50-87A8-3B74A2D56B92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การเงิน" sheetId="4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8" i="46" l="1"/>
  <c r="K9" i="46"/>
  <c r="K10" i="46"/>
  <c r="K11" i="46"/>
  <c r="K12" i="46"/>
  <c r="K13" i="46"/>
  <c r="K14" i="46"/>
  <c r="K15" i="46"/>
  <c r="K7" i="46"/>
  <c r="K16" i="46" l="1"/>
</calcChain>
</file>

<file path=xl/sharedStrings.xml><?xml version="1.0" encoding="utf-8"?>
<sst xmlns="http://schemas.openxmlformats.org/spreadsheetml/2006/main" count="70" uniqueCount="58">
  <si>
    <t>รายการ ขนาด ลักษณะ</t>
  </si>
  <si>
    <t>จำนวน</t>
  </si>
  <si>
    <t>หมายเหตุ</t>
  </si>
  <si>
    <t>ชำรุด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</si>
  <si>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</si>
  <si>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</si>
  <si>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</si>
  <si>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</si>
  <si>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</si>
  <si>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</si>
  <si>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</si>
  <si>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</si>
  <si>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</si>
  <si>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</si>
  <si>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</si>
  <si>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</si>
  <si>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</si>
  <si>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</si>
  <si>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</si>
  <si>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ประจำปี 2564 สิ้นงวดเมื่อวันที่ 30 กันยายน 2564 ของงานการเงิน</t>
  </si>
  <si>
    <t>2540</t>
  </si>
  <si>
    <t>7430-008-0001/401-006</t>
  </si>
  <si>
    <t>7430-008-0002/481-012</t>
  </si>
  <si>
    <t>5815-001-0001/502-003</t>
  </si>
  <si>
    <t>7440-001-0001/502-057</t>
  </si>
  <si>
    <t>7430-008-0004/513-004</t>
  </si>
  <si>
    <t>7430-008-0002/531-019</t>
  </si>
  <si>
    <t>7440-001-0001/531-141</t>
  </si>
  <si>
    <t>7430-003-0007/582-001</t>
  </si>
  <si>
    <t>เครื่องปริ้น OK1391</t>
  </si>
  <si>
    <t>เครื่องคอมพิวเตอร์ DTK</t>
  </si>
  <si>
    <t>เครื่องปริ้น เลเซอร์ HP1010</t>
  </si>
  <si>
    <t>เครื่องโทรสาร HP 3455</t>
  </si>
  <si>
    <t>เครื่องปริ้น CANON 4800*1200 DPIPIXMA</t>
  </si>
  <si>
    <t>เครื่องปริ้นเตอร์ HP Laserjet P1102</t>
  </si>
  <si>
    <t>เครื่องคอมพิวเตอร์พร้อมโต๊ะเก้าอี้</t>
  </si>
  <si>
    <t>เครื่องปริ้นเตอร์ Kyoccra FS-P2135w</t>
  </si>
  <si>
    <t>งปม.</t>
  </si>
  <si>
    <t>บริจาค</t>
  </si>
  <si>
    <t>บกศ.</t>
  </si>
  <si>
    <t>หมึกแห้งปิดกั้นหัวฉีด</t>
  </si>
  <si>
    <t>ฮาร์ดดิสก์พัง</t>
  </si>
  <si>
    <t>หัวพิมพ์อุดตัน</t>
  </si>
  <si>
    <t>เฟืองดูดกระดาษพัง</t>
  </si>
  <si>
    <t>หมึกแห้งและหัวฮีดพัง</t>
  </si>
  <si>
    <t>กระดาษติดเฟืองพัง</t>
  </si>
  <si>
    <t>เปิดเครื่องไม่ติด</t>
  </si>
  <si>
    <t>หมึกแห้ง</t>
  </si>
  <si>
    <t>เอกสารหมายเลข 30</t>
  </si>
  <si>
    <t>ลงชื่อ</t>
  </si>
  <si>
    <t>.........................................................</t>
  </si>
  <si>
    <t>ประธานกรรมการ</t>
  </si>
  <si>
    <t>กรรมการ</t>
  </si>
  <si>
    <t>กรรมการและเลขานุการ</t>
  </si>
  <si>
    <t>(นายบุญแต่ง  ป้องหิน)</t>
  </si>
  <si>
    <t>(นางสาวพิมพ์ภัทรา  เลิศเรืองศิริ)</t>
  </si>
  <si>
    <t>(นางสาวไพรินทร์  ทองกันยา)</t>
  </si>
  <si>
    <t>7440-001-0001/473-003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</si>
</sst>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9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43" fontId="3" fillId="0" borderId="1" xfId="1" applyFont="1" applyBorder="1"/>
    <xf numFmtId="0" fontId="4" fillId="0" borderId="0" xfId="0" applyFont="1" applyBorder="1"/>
    <xf numFmtId="0" fontId="3" fillId="0" borderId="1" xfId="0" applyFont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Border="1" applyAlignment="1"/>
    <xf numFmtId="0" fontId="3" fillId="0" borderId="0" xfId="2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15" fontId="3" fillId="0" borderId="4" xfId="0" applyNumberFormat="1" applyFont="1" applyBorder="1" applyAlignment="1">
      <alignment horizontal="center"/>
    </xf>
    <xf numFmtId="0" fontId="3" fillId="0" borderId="4" xfId="6" applyFont="1" applyBorder="1" applyAlignment="1">
      <alignment horizontal="left"/>
    </xf>
    <xf numFmtId="0" fontId="3" fillId="0" borderId="4" xfId="6" applyFont="1" applyBorder="1"/>
    <xf numFmtId="0" fontId="3" fillId="0" borderId="4" xfId="2" applyFont="1" applyBorder="1" applyAlignment="1">
      <alignment horizontal="center"/>
    </xf>
    <xf numFmtId="0" fontId="3" fillId="0" borderId="4" xfId="6" applyFont="1" applyBorder="1" applyAlignment="1">
      <alignment horizontal="center"/>
    </xf>
    <xf numFmtId="43" fontId="3" fillId="0" borderId="4" xfId="1" applyFont="1" applyBorder="1"/>
    <xf numFmtId="0" fontId="4" fillId="0" borderId="6" xfId="0" applyFont="1" applyBorder="1"/>
    <xf numFmtId="0" fontId="5" fillId="0" borderId="6" xfId="0" applyFont="1" applyBorder="1" applyAlignment="1"/>
    <xf numFmtId="0" fontId="4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43" fontId="5" fillId="0" borderId="6" xfId="0" applyNumberFormat="1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4" fillId="0" borderId="0" xfId="0" applyFont="1" applyAlignment="1">
      <alignment horizontal="right"/>
    </xf>
    <xf numFmtId="43" fontId="3" fillId="0" borderId="1" xfId="11" applyNumberFormat="1" applyFont="1" applyBorder="1" applyAlignment="1">
      <alignment horizontal="left"/>
    </xf>
    <xf numFmtId="43" fontId="3" fillId="0" borderId="4" xfId="11" applyNumberFormat="1" applyFont="1" applyBorder="1" applyAlignment="1">
      <alignment horizontal="left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0" borderId="0" xfId="8" applyFont="1" applyAlignment="1">
      <alignment horizontal="center" vertical="center"/>
    </xf>
    <xf numFmtId="0" fontId="5" fillId="0" borderId="0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3">
    <cellStyle name="เครื่องหมายจุลภาค 9" xfId="11" xr:uid="{00000000-0005-0000-0000-000001000000}"/>
    <cellStyle name="จุลภาค" xfId="1" builtinId="3"/>
    <cellStyle name="ปกติ" xfId="0" builtinId="0"/>
    <cellStyle name="ปกติ 10" xfId="4" xr:uid="{00000000-0005-0000-0000-000003000000}"/>
    <cellStyle name="ปกติ 12" xfId="7" xr:uid="{00000000-0005-0000-0000-000004000000}"/>
    <cellStyle name="ปกติ 14" xfId="3" xr:uid="{00000000-0005-0000-0000-000005000000}"/>
    <cellStyle name="ปกติ 19" xfId="12" xr:uid="{00000000-0005-0000-0000-000006000000}"/>
    <cellStyle name="ปกติ 21" xfId="2" xr:uid="{00000000-0005-0000-0000-000007000000}"/>
    <cellStyle name="ปกติ 22" xfId="5" xr:uid="{00000000-0005-0000-0000-000008000000}"/>
    <cellStyle name="ปกติ 3" xfId="8" xr:uid="{00000000-0005-0000-0000-000009000000}"/>
    <cellStyle name="ปกติ 4" xfId="9" xr:uid="{00000000-0005-0000-0000-00000A000000}"/>
    <cellStyle name="ปกติ 5" xfId="10" xr:uid="{00000000-0005-0000-0000-00000B000000}"/>
    <cellStyle name="ปกติ_รายการครุภัณฑ์ ปี 52 ที่แก้ไขเรียงลำดับใหม่ 23 ก.พ.53" xfId="6" xr:uid="{00000000-0005-0000-0000-00000C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1495425</xdr:colOff>
      <xdr:row>17</xdr:row>
      <xdr:rowOff>9525</xdr:rowOff>
    </xdr:from>
    <xdr:to>
      <xdr:col>11</xdr:col>
      <xdr:colOff>1819275</xdr:colOff>
      <xdr:row>20</xdr:row>
      <xdr:rowOff>495300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1863387" y="6072188"/>
          <a:ext cx="140017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24"/>
  <sheetViews>
    <sheetView tabSelected="1" zoomScaleNormal="100" workbookViewId="0">
      <selection activeCell="D9" sqref="D9"/>
    </sheetView>
  </sheetViews>
  <sheetFormatPr defaultColWidth="9" defaultRowHeight="24"/>
  <cols>
    <col min="1" max="1" width="5.28515625" style="2" customWidth="1"/>
    <col min="2" max="2" width="12.7109375" style="18" customWidth="1"/>
    <col min="3" max="3" width="31.42578125" style="14" customWidth="1"/>
    <col min="4" max="4" width="44.42578125" style="2" customWidth="1"/>
    <col min="5" max="5" width="7.5703125" style="2" customWidth="1"/>
    <col min="6" max="6" width="8.5703125" style="2" customWidth="1"/>
    <col min="7" max="9" width="8.28515625" style="2" customWidth="1"/>
    <col min="10" max="10" width="13.7109375" style="2" customWidth="1"/>
    <col min="11" max="11" width="15" style="2" customWidth="1"/>
    <col min="12" max="12" width="29.7109375" style="18" customWidth="1"/>
    <col min="13" max="16384" width="9" style="2"/>
  </cols>
  <sheetData>
    <row r="1" spans="1:12">
      <c r="L1" s="18" t="s">
        <v>48</v>
      </c>
    </row>
    <row r="2" spans="1:12">
      <c r="A2" s="39" t="s">
        <v>5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2">
      <c r="A3" s="40" t="s">
        <v>6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</row>
    <row r="4" spans="1:12">
      <c r="A4" s="41" t="s">
        <v>19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</row>
    <row r="5" spans="1:12" ht="28.5" customHeight="1">
      <c r="A5" s="37" t="s">
        <v>7</v>
      </c>
      <c r="B5" s="37" t="s">
        <v>18</v>
      </c>
      <c r="C5" s="37" t="s">
        <v>15</v>
      </c>
      <c r="D5" s="42" t="s">
        <v>0</v>
      </c>
      <c r="E5" s="37" t="s">
        <v>10</v>
      </c>
      <c r="F5" s="37" t="s">
        <v>9</v>
      </c>
      <c r="G5" s="44" t="s">
        <v>11</v>
      </c>
      <c r="H5" s="47" t="s">
        <v>1</v>
      </c>
      <c r="I5" s="48"/>
      <c r="J5" s="37" t="s">
        <v>14</v>
      </c>
      <c r="K5" s="37" t="s">
        <v>8</v>
      </c>
      <c r="L5" s="37" t="s">
        <v>13</v>
      </c>
    </row>
    <row r="6" spans="1:12" ht="45" customHeight="1">
      <c r="A6" s="38"/>
      <c r="B6" s="38"/>
      <c r="C6" s="38"/>
      <c r="D6" s="43"/>
      <c r="E6" s="38"/>
      <c r="F6" s="38"/>
      <c r="G6" s="45"/>
      <c r="H6" s="11" t="s">
        <v>12</v>
      </c>
      <c r="I6" s="10" t="s">
        <v>3</v>
      </c>
      <c r="J6" s="38"/>
      <c r="K6" s="38"/>
      <c r="L6" s="38"/>
    </row>
    <row r="7" spans="1:12">
      <c r="A7" s="12">
        <v>1</v>
      </c>
      <c r="B7" s="9" t="s">
        <v>20</v>
      </c>
      <c r="C7" s="3" t="s">
        <v>21</v>
      </c>
      <c r="D7" s="1" t="s">
        <v>29</v>
      </c>
      <c r="E7" s="4" t="s">
        <v>37</v>
      </c>
      <c r="F7" s="4">
        <v>24</v>
      </c>
      <c r="G7" s="4">
        <v>0</v>
      </c>
      <c r="H7" s="4">
        <v>1</v>
      </c>
      <c r="I7" s="5">
        <v>1</v>
      </c>
      <c r="J7" s="6">
        <v>17000</v>
      </c>
      <c r="K7" s="6">
        <f>SUM(I7*J7)</f>
        <v>17000</v>
      </c>
      <c r="L7" s="34" t="s">
        <v>40</v>
      </c>
    </row>
    <row r="8" spans="1:12">
      <c r="A8" s="12">
        <v>2</v>
      </c>
      <c r="B8" s="8">
        <v>2547</v>
      </c>
      <c r="C8" s="3" t="s">
        <v>57</v>
      </c>
      <c r="D8" s="1" t="s">
        <v>30</v>
      </c>
      <c r="E8" s="4" t="s">
        <v>38</v>
      </c>
      <c r="F8" s="4">
        <v>17</v>
      </c>
      <c r="G8" s="4">
        <v>0</v>
      </c>
      <c r="H8" s="4">
        <v>1</v>
      </c>
      <c r="I8" s="5">
        <v>1</v>
      </c>
      <c r="J8" s="6">
        <v>29000</v>
      </c>
      <c r="K8" s="6">
        <f t="shared" ref="K8:K15" si="0">SUM(I8*J8)</f>
        <v>29000</v>
      </c>
      <c r="L8" s="34" t="s">
        <v>41</v>
      </c>
    </row>
    <row r="9" spans="1:12">
      <c r="A9" s="12">
        <v>3</v>
      </c>
      <c r="B9" s="8">
        <v>2548</v>
      </c>
      <c r="C9" s="3" t="s">
        <v>22</v>
      </c>
      <c r="D9" s="1" t="s">
        <v>31</v>
      </c>
      <c r="E9" s="4" t="s">
        <v>37</v>
      </c>
      <c r="F9" s="4">
        <v>16</v>
      </c>
      <c r="G9" s="4">
        <v>0</v>
      </c>
      <c r="H9" s="4">
        <v>1</v>
      </c>
      <c r="I9" s="5">
        <v>1</v>
      </c>
      <c r="J9" s="6">
        <v>7000</v>
      </c>
      <c r="K9" s="6">
        <f t="shared" si="0"/>
        <v>7000</v>
      </c>
      <c r="L9" s="34" t="s">
        <v>42</v>
      </c>
    </row>
    <row r="10" spans="1:12">
      <c r="A10" s="12">
        <v>4</v>
      </c>
      <c r="B10" s="8">
        <v>2550</v>
      </c>
      <c r="C10" s="3" t="s">
        <v>23</v>
      </c>
      <c r="D10" s="1" t="s">
        <v>32</v>
      </c>
      <c r="E10" s="4" t="s">
        <v>39</v>
      </c>
      <c r="F10" s="4">
        <v>14</v>
      </c>
      <c r="G10" s="4">
        <v>0</v>
      </c>
      <c r="H10" s="4">
        <v>1</v>
      </c>
      <c r="I10" s="5">
        <v>1</v>
      </c>
      <c r="J10" s="6">
        <v>5500</v>
      </c>
      <c r="K10" s="6">
        <f t="shared" si="0"/>
        <v>5500</v>
      </c>
      <c r="L10" s="34" t="s">
        <v>43</v>
      </c>
    </row>
    <row r="11" spans="1:12">
      <c r="A11" s="12">
        <v>5</v>
      </c>
      <c r="B11" s="8">
        <v>2550</v>
      </c>
      <c r="C11" s="3" t="s">
        <v>24</v>
      </c>
      <c r="D11" s="1" t="s">
        <v>30</v>
      </c>
      <c r="E11" s="4" t="s">
        <v>39</v>
      </c>
      <c r="F11" s="4">
        <v>14</v>
      </c>
      <c r="G11" s="4">
        <v>0</v>
      </c>
      <c r="H11" s="4">
        <v>1</v>
      </c>
      <c r="I11" s="5">
        <v>1</v>
      </c>
      <c r="J11" s="6">
        <v>17300</v>
      </c>
      <c r="K11" s="6">
        <f t="shared" si="0"/>
        <v>17300</v>
      </c>
      <c r="L11" s="34" t="s">
        <v>41</v>
      </c>
    </row>
    <row r="12" spans="1:12">
      <c r="A12" s="12">
        <v>6</v>
      </c>
      <c r="B12" s="8">
        <v>2551</v>
      </c>
      <c r="C12" s="3" t="s">
        <v>25</v>
      </c>
      <c r="D12" s="1" t="s">
        <v>33</v>
      </c>
      <c r="E12" s="4" t="s">
        <v>38</v>
      </c>
      <c r="F12" s="4">
        <v>13</v>
      </c>
      <c r="G12" s="4">
        <v>0</v>
      </c>
      <c r="H12" s="4">
        <v>1</v>
      </c>
      <c r="I12" s="5">
        <v>1</v>
      </c>
      <c r="J12" s="6">
        <v>4800</v>
      </c>
      <c r="K12" s="6">
        <f t="shared" si="0"/>
        <v>4800</v>
      </c>
      <c r="L12" s="34" t="s">
        <v>44</v>
      </c>
    </row>
    <row r="13" spans="1:12">
      <c r="A13" s="12">
        <v>7</v>
      </c>
      <c r="B13" s="8">
        <v>2553</v>
      </c>
      <c r="C13" s="3" t="s">
        <v>26</v>
      </c>
      <c r="D13" s="1" t="s">
        <v>34</v>
      </c>
      <c r="E13" s="4" t="s">
        <v>37</v>
      </c>
      <c r="F13" s="4">
        <v>11</v>
      </c>
      <c r="G13" s="4">
        <v>0</v>
      </c>
      <c r="H13" s="4">
        <v>1</v>
      </c>
      <c r="I13" s="5">
        <v>1</v>
      </c>
      <c r="J13" s="6">
        <v>3950</v>
      </c>
      <c r="K13" s="6">
        <f t="shared" si="0"/>
        <v>3950</v>
      </c>
      <c r="L13" s="34" t="s">
        <v>45</v>
      </c>
    </row>
    <row r="14" spans="1:12">
      <c r="A14" s="12">
        <v>8</v>
      </c>
      <c r="B14" s="8">
        <v>2553</v>
      </c>
      <c r="C14" s="3" t="s">
        <v>27</v>
      </c>
      <c r="D14" s="1" t="s">
        <v>35</v>
      </c>
      <c r="E14" s="4" t="s">
        <v>37</v>
      </c>
      <c r="F14" s="4">
        <v>11</v>
      </c>
      <c r="G14" s="4">
        <v>0</v>
      </c>
      <c r="H14" s="4">
        <v>1</v>
      </c>
      <c r="I14" s="5">
        <v>1</v>
      </c>
      <c r="J14" s="6">
        <v>17000</v>
      </c>
      <c r="K14" s="6">
        <f t="shared" si="0"/>
        <v>17000</v>
      </c>
      <c r="L14" s="34" t="s">
        <v>46</v>
      </c>
    </row>
    <row r="15" spans="1:12">
      <c r="A15" s="20">
        <v>9</v>
      </c>
      <c r="B15" s="21">
        <v>240364</v>
      </c>
      <c r="C15" s="22" t="s">
        <v>28</v>
      </c>
      <c r="D15" s="23" t="s">
        <v>36</v>
      </c>
      <c r="E15" s="24" t="s">
        <v>39</v>
      </c>
      <c r="F15" s="24">
        <v>6</v>
      </c>
      <c r="G15" s="24">
        <v>0</v>
      </c>
      <c r="H15" s="4">
        <v>1</v>
      </c>
      <c r="I15" s="25">
        <v>1</v>
      </c>
      <c r="J15" s="26">
        <v>18900</v>
      </c>
      <c r="K15" s="6">
        <f t="shared" si="0"/>
        <v>18900</v>
      </c>
      <c r="L15" s="35" t="s">
        <v>47</v>
      </c>
    </row>
    <row r="16" spans="1:12" ht="24.75" thickBot="1">
      <c r="A16" s="27"/>
      <c r="B16" s="28"/>
      <c r="C16" s="28"/>
      <c r="D16" s="28"/>
      <c r="E16" s="28"/>
      <c r="F16" s="28"/>
      <c r="G16" s="28"/>
      <c r="H16" s="28"/>
      <c r="I16" s="28"/>
      <c r="J16" s="30" t="s">
        <v>4</v>
      </c>
      <c r="K16" s="31">
        <f>SUM(K7:K15)</f>
        <v>120450</v>
      </c>
      <c r="L16" s="29"/>
    </row>
    <row r="17" spans="1:12" ht="24.75" thickTop="1">
      <c r="A17" s="7"/>
      <c r="B17" s="17" t="s">
        <v>2</v>
      </c>
      <c r="C17" s="13" t="s">
        <v>16</v>
      </c>
      <c r="D17" s="7"/>
      <c r="E17" s="7"/>
      <c r="F17" s="7"/>
      <c r="G17" s="7"/>
      <c r="H17" s="7"/>
      <c r="I17" s="16"/>
      <c r="J17" s="7"/>
      <c r="K17" s="7"/>
      <c r="L17" s="19"/>
    </row>
    <row r="18" spans="1:12">
      <c r="A18" s="7"/>
      <c r="B18" s="19"/>
      <c r="C18" s="13" t="s">
        <v>17</v>
      </c>
      <c r="D18" s="7"/>
      <c r="E18" s="7"/>
      <c r="F18" s="7"/>
      <c r="G18" s="7"/>
      <c r="H18" s="15"/>
      <c r="I18" s="15"/>
      <c r="J18" s="15"/>
      <c r="K18" s="15"/>
      <c r="L18" s="15"/>
    </row>
    <row r="19" spans="1:12">
      <c r="A19" s="7"/>
      <c r="B19" s="19"/>
      <c r="C19" s="13"/>
      <c r="D19" s="7"/>
      <c r="E19" s="7"/>
      <c r="F19" s="7"/>
      <c r="G19" s="32" t="s">
        <v>49</v>
      </c>
      <c r="H19" s="46" t="s">
        <v>50</v>
      </c>
      <c r="I19" s="46"/>
      <c r="J19" s="46"/>
      <c r="K19" s="13" t="s">
        <v>51</v>
      </c>
      <c r="L19" s="15"/>
    </row>
    <row r="20" spans="1:12">
      <c r="A20" s="7"/>
      <c r="B20" s="19"/>
      <c r="C20" s="13"/>
      <c r="D20" s="7"/>
      <c r="E20" s="7"/>
      <c r="F20" s="7"/>
      <c r="G20" s="32"/>
      <c r="H20" s="46" t="s">
        <v>54</v>
      </c>
      <c r="I20" s="46"/>
      <c r="J20" s="46"/>
      <c r="K20" s="13"/>
      <c r="L20" s="15"/>
    </row>
    <row r="21" spans="1:12" ht="41.25" customHeight="1">
      <c r="G21" s="33" t="s">
        <v>49</v>
      </c>
      <c r="H21" s="46" t="s">
        <v>50</v>
      </c>
      <c r="I21" s="46"/>
      <c r="J21" s="46"/>
      <c r="K21" s="13" t="s">
        <v>52</v>
      </c>
    </row>
    <row r="22" spans="1:12">
      <c r="G22" s="33"/>
      <c r="H22" s="46" t="s">
        <v>55</v>
      </c>
      <c r="I22" s="46"/>
      <c r="J22" s="46"/>
      <c r="K22" s="13"/>
    </row>
    <row r="23" spans="1:12" ht="41.25" customHeight="1">
      <c r="G23" s="33" t="s">
        <v>49</v>
      </c>
      <c r="H23" s="36" t="s">
        <v>50</v>
      </c>
      <c r="I23" s="36"/>
      <c r="J23" s="36"/>
      <c r="K23" s="14" t="s">
        <v>53</v>
      </c>
    </row>
    <row r="24" spans="1:12">
      <c r="H24" s="36" t="s">
        <v>56</v>
      </c>
      <c r="I24" s="36"/>
      <c r="J24" s="36"/>
    </row>
  </sheetData>
  <mergeCells count="20">
    <mergeCell ref="K5:K6"/>
    <mergeCell ref="H21:J21"/>
    <mergeCell ref="H22:J22"/>
    <mergeCell ref="H23:J23"/>
    <mergeCell ref="H24:J24"/>
    <mergeCell ref="L5:L6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19:J19"/>
    <mergeCell ref="H20:J20"/>
    <mergeCell ref="H5:I5"/>
    <mergeCell ref="J5:J6"/>
  </mergeCells>
  <printOptions horizontalCentered="1"/>
  <pageMargins left="0.19685039370078741" right="0.19685039370078741" top="0.19685039370078741" bottom="0.19685039370078741" header="0" footer="0"/>
  <pageSetup paperSize="9" scale="7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งานการเงิน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2021-11-19T03:57:00Z</cp:lastPrinted>
  <dcterms:created xsi:type="dcterms:W3CDTF">2017-11-14T01:32:33Z</dcterms:created>
  <dcterms:modified xsi:type="dcterms:W3CDTF">2022-06-16T07:37:28Z</dcterms:modified>
</cp:coreProperties>
</file>