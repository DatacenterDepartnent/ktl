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5 คกก. 3 ท่าน\งาน\1. ฝ่ายบริหารทรัพยากร\"/>
    </mc:Choice>
  </mc:AlternateContent>
  <xr:revisionPtr revIDLastSave="0" documentId="13_ncr:1_{B931D41F-7440-4064-B65D-74C3063F77C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ระชาสัมพันธ์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9" i="33" l="1"/>
  <c r="K40" i="33"/>
  <c r="K41" i="33"/>
  <c r="K42" i="33"/>
  <c r="K43" i="33"/>
  <c r="K16" i="33"/>
  <c r="K8" i="33"/>
  <c r="K9" i="33"/>
  <c r="K10" i="33"/>
  <c r="K11" i="33"/>
  <c r="K12" i="33"/>
  <c r="K13" i="33"/>
  <c r="K14" i="33"/>
  <c r="K15" i="33"/>
  <c r="K38" i="33"/>
  <c r="K7" i="33"/>
  <c r="K17" i="33"/>
  <c r="K37" i="33"/>
  <c r="K44" i="33"/>
</calcChain>
</file>

<file path=xl/sharedStrings.xml><?xml version="1.0" encoding="utf-8"?>
<sst xmlns="http://schemas.openxmlformats.org/spreadsheetml/2006/main" count="149" uniqueCount="69">
  <si>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</si>
  <si>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</si>
  <si>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</si>
  <si>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</si>
  <si>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</si>
  <si>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</si>
  <si>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</si>
  <si>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</si>
  <si>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</si>
  <si>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</si>
  <si>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</si>
  <si>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</si>
  <si>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</si>
  <si>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</si>
  <si>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</si>
  <si>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</si>
  <si>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</si>
  <si>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</si>
  <si>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</si>
  <si>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7430-008-002/492-006</t>
  </si>
  <si>
    <t>เครื่องปริ้นเตอร์ HP PSC 1315</t>
  </si>
  <si>
    <t>บกศ</t>
  </si>
  <si>
    <t>7440-0010-0001/492/001</t>
  </si>
  <si>
    <t>ซาวด์การ์ด</t>
  </si>
  <si>
    <t>7440-010-002/492-007</t>
  </si>
  <si>
    <t>เครื่องไรท์ ซีดี</t>
  </si>
  <si>
    <t>ประจำปี 2564 สิ้นงวดเมื่อวันที่ 30 กันยายน 2564 ของงานประชาสัมพันธ์</t>
  </si>
  <si>
    <t>7440-010-003/492-001</t>
  </si>
  <si>
    <t>ฮาร์ดดิส80</t>
  </si>
  <si>
    <t>7440-010-004/492-001</t>
  </si>
  <si>
    <t>ลำโพง</t>
  </si>
  <si>
    <t>5965-003-0001/491-001-006</t>
  </si>
  <si>
    <t>หูฟังพร้อมไมค์</t>
  </si>
  <si>
    <t>ไม่พบ</t>
  </si>
  <si>
    <t>8350-001-001/491-001-006</t>
  </si>
  <si>
    <t>ผ้าม่าน ขนาด 0.8*2 เมตร</t>
  </si>
  <si>
    <t>งปม</t>
  </si>
  <si>
    <t>8350-001-001/491-001</t>
  </si>
  <si>
    <t>ผ้าม่าน ขนาด 0.7*1.8 เมตร</t>
  </si>
  <si>
    <t>ผ้าม่าน ขนาด 0.9*1.85 เมตร</t>
  </si>
  <si>
    <t>ผ้าม่าน ขนาด 1*1.35 เมตร</t>
  </si>
  <si>
    <t>ผ้าม่าน ขนาด 0.9*45 เมตร</t>
  </si>
  <si>
    <t>7110-006-0006/531-010</t>
  </si>
  <si>
    <t>เก้าอี้ ขาเหล็ก 5 แฉก</t>
  </si>
  <si>
    <t>7430-008-0002/531-022</t>
  </si>
  <si>
    <t>เครื่องปริ้นเตอร์ CANNON LBp3050</t>
  </si>
  <si>
    <t>7440-001-0001//531-148</t>
  </si>
  <si>
    <t>เครื่องคอมพิวเตอร์พร้อมโต๊ะเก้าอี้</t>
  </si>
  <si>
    <t>6760-0802-6002/602-001</t>
  </si>
  <si>
    <t>แฟลต speedlite yn 568ex2</t>
  </si>
  <si>
    <t>6760-0802-6003/602-001</t>
  </si>
  <si>
    <t>ขาตั้งกล้อง</t>
  </si>
  <si>
    <t>-</t>
  </si>
  <si>
    <t>ชำรุด ขาเก้าอี้หัก</t>
  </si>
  <si>
    <t>ชำรุด ดอกลำโพงขาด</t>
  </si>
  <si>
    <t>เครื่องเปิดไม่ติด/ไม่พบโต๊ะเก้าอี้</t>
  </si>
  <si>
    <t>ลงชื่อ</t>
  </si>
  <si>
    <t>..................................................................</t>
  </si>
  <si>
    <t>ประธานกรรมการ</t>
  </si>
  <si>
    <t>(นายบุญแต่ง  ป้องหิน)</t>
  </si>
  <si>
    <t>กรรมการ</t>
  </si>
  <si>
    <t>(นางสาวพิมพ์ภัทรา  เลิศเรืองศิริ)</t>
  </si>
  <si>
    <t>กรรมการและเลขานุการ</t>
  </si>
  <si>
    <t>(นางสาวไพรินทร์  ทองกันยา)</t>
  </si>
  <si>
    <t xml:space="preserve"> 31 ก.ค.60</t>
  </si>
  <si>
    <t>เอกสารหมายเลข 37</t>
  </si>
  <si>
    <t>เอกสารหมายเลข 38</t>
  </si>
  <si>
    <t>ยอดยกมา</t>
  </si>
  <si>
    <t>ยอดยกไป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</si>
</sst>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68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43" fontId="3" fillId="0" borderId="0" xfId="12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0" xfId="2" applyFont="1" applyBorder="1" applyAlignment="1">
      <alignment horizontal="center"/>
    </xf>
    <xf numFmtId="0" fontId="3" fillId="0" borderId="1" xfId="6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15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6" xfId="0" applyFont="1" applyBorder="1"/>
    <xf numFmtId="0" fontId="6" fillId="0" borderId="6" xfId="0" applyFont="1" applyBorder="1" applyAlignment="1"/>
    <xf numFmtId="0" fontId="6" fillId="0" borderId="6" xfId="0" applyFont="1" applyBorder="1" applyAlignment="1">
      <alignment horizontal="center"/>
    </xf>
    <xf numFmtId="43" fontId="6" fillId="0" borderId="6" xfId="0" applyNumberFormat="1" applyFont="1" applyBorder="1" applyAlignment="1">
      <alignment horizontal="center"/>
    </xf>
    <xf numFmtId="43" fontId="3" fillId="0" borderId="1" xfId="12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6" applyFont="1" applyFill="1" applyBorder="1" applyAlignment="1">
      <alignment horizontal="left"/>
    </xf>
    <xf numFmtId="0" fontId="3" fillId="0" borderId="0" xfId="6" applyFont="1" applyFill="1" applyBorder="1"/>
    <xf numFmtId="0" fontId="3" fillId="0" borderId="0" xfId="6" applyFont="1" applyFill="1" applyBorder="1" applyAlignment="1">
      <alignment horizontal="center"/>
    </xf>
    <xf numFmtId="43" fontId="3" fillId="0" borderId="0" xfId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6" xfId="6" applyFont="1" applyFill="1" applyBorder="1" applyAlignment="1">
      <alignment horizontal="left"/>
    </xf>
    <xf numFmtId="0" fontId="3" fillId="0" borderId="6" xfId="6" applyFont="1" applyFill="1" applyBorder="1"/>
    <xf numFmtId="0" fontId="3" fillId="0" borderId="6" xfId="2" applyFont="1" applyBorder="1" applyAlignment="1">
      <alignment horizontal="center"/>
    </xf>
    <xf numFmtId="0" fontId="3" fillId="0" borderId="6" xfId="6" applyFont="1" applyFill="1" applyBorder="1" applyAlignment="1">
      <alignment horizontal="center"/>
    </xf>
    <xf numFmtId="43" fontId="7" fillId="0" borderId="6" xfId="1" applyFont="1" applyFill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0" xfId="0" applyFont="1" applyAlignment="1"/>
    <xf numFmtId="43" fontId="7" fillId="0" borderId="1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1409699</xdr:colOff>
      <xdr:row>45</xdr:row>
      <xdr:rowOff>3</xdr:rowOff>
    </xdr:from>
    <xdr:to>
      <xdr:col>11</xdr:col>
      <xdr:colOff>1743074</xdr:colOff>
      <xdr:row>49</xdr:row>
      <xdr:rowOff>76204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696699" y="15297153"/>
          <a:ext cx="1457326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1419223</xdr:colOff>
      <xdr:row>18</xdr:row>
      <xdr:rowOff>19053</xdr:rowOff>
    </xdr:from>
    <xdr:to>
      <xdr:col>11</xdr:col>
      <xdr:colOff>1752598</xdr:colOff>
      <xdr:row>22</xdr:row>
      <xdr:rowOff>57152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11706224" y="6353177"/>
          <a:ext cx="1457324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52"/>
  <sheetViews>
    <sheetView tabSelected="1" topLeftCell="A31" zoomScaleNormal="100" workbookViewId="0">
      <selection activeCell="J38" sqref="J38"/>
    </sheetView>
  </sheetViews>
  <sheetFormatPr defaultColWidth="9" defaultRowHeight="24" customHeight="1"/>
  <cols>
    <col min="1" max="1" width="6.28515625" style="2" customWidth="1"/>
    <col min="2" max="2" width="14" style="2" customWidth="1"/>
    <col min="3" max="3" width="33.42578125" style="2" customWidth="1"/>
    <col min="4" max="4" width="37.42578125" style="2" customWidth="1"/>
    <col min="5" max="5" width="8.7109375" style="2" customWidth="1"/>
    <col min="6" max="6" width="8.85546875" style="2" customWidth="1"/>
    <col min="7" max="9" width="8" style="2" customWidth="1"/>
    <col min="10" max="10" width="14.5703125" style="2" customWidth="1"/>
    <col min="11" max="11" width="15.42578125" style="2" customWidth="1"/>
    <col min="12" max="12" width="30.42578125" style="7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 ht="24" customHeight="1">
      <c r="L1" s="28" t="s">
        <v>65</v>
      </c>
    </row>
    <row r="2" spans="1:14" ht="24" customHeight="1">
      <c r="A2" s="55" t="s">
        <v>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28"/>
    </row>
    <row r="3" spans="1:14" ht="24" customHeight="1">
      <c r="A3" s="56" t="s">
        <v>18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29"/>
    </row>
    <row r="4" spans="1:14" ht="24" customHeight="1">
      <c r="A4" s="57" t="s">
        <v>26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26"/>
    </row>
    <row r="5" spans="1:14" ht="24" customHeight="1">
      <c r="A5" s="58" t="s">
        <v>6</v>
      </c>
      <c r="B5" s="58" t="s">
        <v>17</v>
      </c>
      <c r="C5" s="58" t="s">
        <v>14</v>
      </c>
      <c r="D5" s="60" t="s">
        <v>0</v>
      </c>
      <c r="E5" s="58" t="s">
        <v>9</v>
      </c>
      <c r="F5" s="58" t="s">
        <v>8</v>
      </c>
      <c r="G5" s="62" t="s">
        <v>10</v>
      </c>
      <c r="H5" s="64" t="s">
        <v>1</v>
      </c>
      <c r="I5" s="65"/>
      <c r="J5" s="58" t="s">
        <v>13</v>
      </c>
      <c r="K5" s="58" t="s">
        <v>7</v>
      </c>
      <c r="L5" s="58" t="s">
        <v>12</v>
      </c>
      <c r="M5" s="27"/>
    </row>
    <row r="6" spans="1:14" ht="46.5" customHeight="1">
      <c r="A6" s="59"/>
      <c r="B6" s="59"/>
      <c r="C6" s="59"/>
      <c r="D6" s="61"/>
      <c r="E6" s="59"/>
      <c r="F6" s="59"/>
      <c r="G6" s="63"/>
      <c r="H6" s="13" t="s">
        <v>11</v>
      </c>
      <c r="I6" s="11" t="s">
        <v>3</v>
      </c>
      <c r="J6" s="59"/>
      <c r="K6" s="59"/>
      <c r="L6" s="59"/>
      <c r="M6" s="19"/>
      <c r="N6" s="15"/>
    </row>
    <row r="7" spans="1:14" ht="24" customHeight="1">
      <c r="A7" s="8">
        <v>1</v>
      </c>
      <c r="B7" s="14">
        <v>2549</v>
      </c>
      <c r="C7" s="23" t="s">
        <v>19</v>
      </c>
      <c r="D7" s="12" t="s">
        <v>20</v>
      </c>
      <c r="E7" s="4" t="s">
        <v>21</v>
      </c>
      <c r="F7" s="4">
        <v>15</v>
      </c>
      <c r="G7" s="4" t="s">
        <v>52</v>
      </c>
      <c r="H7" s="10">
        <v>1</v>
      </c>
      <c r="I7" s="10">
        <v>1</v>
      </c>
      <c r="J7" s="9">
        <v>5900</v>
      </c>
      <c r="K7" s="9">
        <f>SUM(I7*J7)</f>
        <v>5900</v>
      </c>
      <c r="L7" s="36" t="s">
        <v>33</v>
      </c>
      <c r="M7" s="19"/>
      <c r="N7" s="15"/>
    </row>
    <row r="8" spans="1:14" ht="24" customHeight="1">
      <c r="A8" s="8">
        <v>2</v>
      </c>
      <c r="B8" s="14">
        <v>2549</v>
      </c>
      <c r="C8" s="23" t="s">
        <v>22</v>
      </c>
      <c r="D8" s="12" t="s">
        <v>23</v>
      </c>
      <c r="E8" s="4" t="s">
        <v>21</v>
      </c>
      <c r="F8" s="4">
        <v>15</v>
      </c>
      <c r="G8" s="4" t="s">
        <v>52</v>
      </c>
      <c r="H8" s="10">
        <v>1</v>
      </c>
      <c r="I8" s="10">
        <v>1</v>
      </c>
      <c r="J8" s="9">
        <v>900</v>
      </c>
      <c r="K8" s="9">
        <f t="shared" ref="K8:K15" si="0">SUM(I8*J8)</f>
        <v>900</v>
      </c>
      <c r="L8" s="36" t="s">
        <v>33</v>
      </c>
      <c r="M8" s="19"/>
      <c r="N8" s="15"/>
    </row>
    <row r="9" spans="1:14" ht="24" customHeight="1">
      <c r="A9" s="8">
        <v>3</v>
      </c>
      <c r="B9" s="14">
        <v>2549</v>
      </c>
      <c r="C9" s="23" t="s">
        <v>24</v>
      </c>
      <c r="D9" s="12" t="s">
        <v>25</v>
      </c>
      <c r="E9" s="4" t="s">
        <v>21</v>
      </c>
      <c r="F9" s="4">
        <v>15</v>
      </c>
      <c r="G9" s="4" t="s">
        <v>52</v>
      </c>
      <c r="H9" s="10">
        <v>1</v>
      </c>
      <c r="I9" s="10">
        <v>1</v>
      </c>
      <c r="J9" s="9">
        <v>1200</v>
      </c>
      <c r="K9" s="9">
        <f t="shared" si="0"/>
        <v>1200</v>
      </c>
      <c r="L9" s="36" t="s">
        <v>33</v>
      </c>
      <c r="M9" s="19"/>
      <c r="N9" s="15"/>
    </row>
    <row r="10" spans="1:14" ht="24" customHeight="1">
      <c r="A10" s="8">
        <v>4</v>
      </c>
      <c r="B10" s="14">
        <v>2549</v>
      </c>
      <c r="C10" s="23" t="s">
        <v>27</v>
      </c>
      <c r="D10" s="12" t="s">
        <v>28</v>
      </c>
      <c r="E10" s="4" t="s">
        <v>21</v>
      </c>
      <c r="F10" s="4">
        <v>15</v>
      </c>
      <c r="G10" s="4" t="s">
        <v>52</v>
      </c>
      <c r="H10" s="10">
        <v>1</v>
      </c>
      <c r="I10" s="10">
        <v>1</v>
      </c>
      <c r="J10" s="9">
        <v>2900</v>
      </c>
      <c r="K10" s="9">
        <f t="shared" si="0"/>
        <v>2900</v>
      </c>
      <c r="L10" s="36" t="s">
        <v>33</v>
      </c>
      <c r="M10" s="19"/>
      <c r="N10" s="15"/>
    </row>
    <row r="11" spans="1:14" ht="24" customHeight="1">
      <c r="A11" s="8">
        <v>5</v>
      </c>
      <c r="B11" s="14">
        <v>2549</v>
      </c>
      <c r="C11" s="3" t="s">
        <v>29</v>
      </c>
      <c r="D11" s="1" t="s">
        <v>30</v>
      </c>
      <c r="E11" s="4" t="s">
        <v>21</v>
      </c>
      <c r="F11" s="4">
        <v>15</v>
      </c>
      <c r="G11" s="4" t="s">
        <v>52</v>
      </c>
      <c r="H11" s="5">
        <v>1</v>
      </c>
      <c r="I11" s="5">
        <v>1</v>
      </c>
      <c r="J11" s="9">
        <v>1200</v>
      </c>
      <c r="K11" s="9">
        <f t="shared" si="0"/>
        <v>1200</v>
      </c>
      <c r="L11" s="37" t="s">
        <v>54</v>
      </c>
      <c r="M11" s="21"/>
      <c r="N11" s="15"/>
    </row>
    <row r="12" spans="1:14" ht="24" customHeight="1">
      <c r="A12" s="8">
        <v>6</v>
      </c>
      <c r="B12" s="14">
        <v>2549</v>
      </c>
      <c r="C12" s="23" t="s">
        <v>31</v>
      </c>
      <c r="D12" s="12" t="s">
        <v>32</v>
      </c>
      <c r="E12" s="4" t="s">
        <v>21</v>
      </c>
      <c r="F12" s="4">
        <v>15</v>
      </c>
      <c r="G12" s="4" t="s">
        <v>52</v>
      </c>
      <c r="H12" s="10">
        <v>1</v>
      </c>
      <c r="I12" s="10">
        <v>1</v>
      </c>
      <c r="J12" s="9">
        <v>250</v>
      </c>
      <c r="K12" s="9">
        <f t="shared" si="0"/>
        <v>250</v>
      </c>
      <c r="L12" s="37" t="s">
        <v>33</v>
      </c>
      <c r="M12" s="21"/>
      <c r="N12" s="15"/>
    </row>
    <row r="13" spans="1:14" ht="24" customHeight="1">
      <c r="A13" s="8">
        <v>7</v>
      </c>
      <c r="B13" s="14">
        <v>2549</v>
      </c>
      <c r="C13" s="23" t="s">
        <v>34</v>
      </c>
      <c r="D13" s="12" t="s">
        <v>35</v>
      </c>
      <c r="E13" s="4" t="s">
        <v>36</v>
      </c>
      <c r="F13" s="4">
        <v>15</v>
      </c>
      <c r="G13" s="4" t="s">
        <v>52</v>
      </c>
      <c r="H13" s="10">
        <v>6</v>
      </c>
      <c r="I13" s="10">
        <v>6</v>
      </c>
      <c r="J13" s="9">
        <v>500</v>
      </c>
      <c r="K13" s="9">
        <f t="shared" si="0"/>
        <v>3000</v>
      </c>
      <c r="L13" s="37" t="s">
        <v>33</v>
      </c>
      <c r="M13" s="21"/>
      <c r="N13" s="15"/>
    </row>
    <row r="14" spans="1:14" ht="24" customHeight="1">
      <c r="A14" s="8">
        <v>8</v>
      </c>
      <c r="B14" s="14">
        <v>2549</v>
      </c>
      <c r="C14" s="23" t="s">
        <v>37</v>
      </c>
      <c r="D14" s="12" t="s">
        <v>39</v>
      </c>
      <c r="E14" s="4" t="s">
        <v>36</v>
      </c>
      <c r="F14" s="4">
        <v>15</v>
      </c>
      <c r="G14" s="4" t="s">
        <v>52</v>
      </c>
      <c r="H14" s="10">
        <v>1</v>
      </c>
      <c r="I14" s="10">
        <v>1</v>
      </c>
      <c r="J14" s="9">
        <v>600</v>
      </c>
      <c r="K14" s="9">
        <f t="shared" si="0"/>
        <v>600</v>
      </c>
      <c r="L14" s="37" t="s">
        <v>33</v>
      </c>
      <c r="M14" s="21"/>
      <c r="N14" s="15"/>
    </row>
    <row r="15" spans="1:14" ht="24" customHeight="1">
      <c r="A15" s="8">
        <v>9</v>
      </c>
      <c r="B15" s="14">
        <v>2549</v>
      </c>
      <c r="C15" s="23" t="s">
        <v>37</v>
      </c>
      <c r="D15" s="12" t="s">
        <v>38</v>
      </c>
      <c r="E15" s="4" t="s">
        <v>36</v>
      </c>
      <c r="F15" s="4">
        <v>15</v>
      </c>
      <c r="G15" s="4" t="s">
        <v>52</v>
      </c>
      <c r="H15" s="10">
        <v>1</v>
      </c>
      <c r="I15" s="10">
        <v>1</v>
      </c>
      <c r="J15" s="9">
        <v>500</v>
      </c>
      <c r="K15" s="9">
        <f t="shared" si="0"/>
        <v>500</v>
      </c>
      <c r="L15" s="37" t="s">
        <v>33</v>
      </c>
      <c r="M15" s="21"/>
      <c r="N15" s="15"/>
    </row>
    <row r="16" spans="1:14" ht="24" customHeight="1">
      <c r="A16" s="8">
        <v>10</v>
      </c>
      <c r="B16" s="14">
        <v>2549</v>
      </c>
      <c r="C16" s="23" t="s">
        <v>37</v>
      </c>
      <c r="D16" s="12" t="s">
        <v>40</v>
      </c>
      <c r="E16" s="4" t="s">
        <v>36</v>
      </c>
      <c r="F16" s="4">
        <v>15</v>
      </c>
      <c r="G16" s="4" t="s">
        <v>52</v>
      </c>
      <c r="H16" s="10">
        <v>1</v>
      </c>
      <c r="I16" s="10">
        <v>1</v>
      </c>
      <c r="J16" s="9">
        <v>400</v>
      </c>
      <c r="K16" s="9">
        <f>SUM(I16*J16)</f>
        <v>400</v>
      </c>
      <c r="L16" s="37" t="s">
        <v>33</v>
      </c>
      <c r="M16" s="21"/>
      <c r="N16" s="15"/>
    </row>
    <row r="17" spans="1:14" ht="24" customHeight="1" thickBot="1">
      <c r="A17" s="45"/>
      <c r="B17" s="46"/>
      <c r="C17" s="47"/>
      <c r="D17" s="48"/>
      <c r="E17" s="49"/>
      <c r="F17" s="49"/>
      <c r="G17" s="49"/>
      <c r="H17" s="50"/>
      <c r="I17" s="50"/>
      <c r="J17" s="51" t="s">
        <v>68</v>
      </c>
      <c r="K17" s="51">
        <f ca="1">SUM(K7:K38)</f>
        <v>17250</v>
      </c>
      <c r="L17" s="38"/>
      <c r="M17" s="21"/>
      <c r="N17" s="15"/>
    </row>
    <row r="18" spans="1:14" s="6" customFormat="1" ht="24" customHeight="1" thickTop="1">
      <c r="A18" s="39"/>
      <c r="B18" s="24" t="s">
        <v>2</v>
      </c>
      <c r="C18" s="16" t="s">
        <v>15</v>
      </c>
      <c r="I18" s="2"/>
      <c r="J18" s="2"/>
      <c r="K18" s="2"/>
      <c r="L18" s="20"/>
      <c r="M18" s="21"/>
      <c r="N18" s="21"/>
    </row>
    <row r="19" spans="1:14" s="6" customFormat="1" ht="24" customHeight="1">
      <c r="A19" s="39"/>
      <c r="B19" s="31"/>
      <c r="C19" s="16" t="s">
        <v>16</v>
      </c>
      <c r="M19" s="21"/>
      <c r="N19" s="21"/>
    </row>
    <row r="20" spans="1:14" s="6" customFormat="1" ht="24" customHeight="1">
      <c r="A20" s="39"/>
      <c r="B20" s="2"/>
      <c r="C20" s="2"/>
      <c r="D20" s="17"/>
      <c r="E20" s="18"/>
      <c r="F20" s="18"/>
      <c r="G20" s="52" t="s">
        <v>56</v>
      </c>
      <c r="H20" s="67" t="s">
        <v>57</v>
      </c>
      <c r="I20" s="67"/>
      <c r="J20" s="67"/>
      <c r="K20" s="20" t="s">
        <v>58</v>
      </c>
      <c r="L20" s="20"/>
      <c r="M20" s="21"/>
      <c r="N20" s="21"/>
    </row>
    <row r="21" spans="1:14" s="6" customFormat="1" ht="24" customHeight="1">
      <c r="A21" s="39"/>
      <c r="B21" s="2"/>
      <c r="C21" s="2"/>
      <c r="D21" s="2"/>
      <c r="E21" s="2"/>
      <c r="F21" s="2"/>
      <c r="G21" s="52"/>
      <c r="H21" s="67" t="s">
        <v>59</v>
      </c>
      <c r="I21" s="67"/>
      <c r="J21" s="67"/>
      <c r="K21" s="20"/>
      <c r="L21" s="20"/>
      <c r="M21" s="21"/>
      <c r="N21" s="21"/>
    </row>
    <row r="22" spans="1:14" s="6" customFormat="1" ht="39.75" customHeight="1">
      <c r="A22" s="39"/>
      <c r="B22" s="2"/>
      <c r="C22" s="2"/>
      <c r="D22" s="2"/>
      <c r="E22" s="2"/>
      <c r="F22" s="2"/>
      <c r="G22" s="25" t="s">
        <v>56</v>
      </c>
      <c r="H22" s="66" t="s">
        <v>57</v>
      </c>
      <c r="I22" s="66"/>
      <c r="J22" s="66"/>
      <c r="K22" s="20" t="s">
        <v>60</v>
      </c>
      <c r="L22" s="7"/>
      <c r="M22" s="21"/>
      <c r="N22" s="21"/>
    </row>
    <row r="23" spans="1:14" s="6" customFormat="1" ht="24" customHeight="1">
      <c r="A23" s="39"/>
      <c r="B23" s="2"/>
      <c r="C23" s="2"/>
      <c r="D23" s="2"/>
      <c r="E23" s="2"/>
      <c r="F23" s="2"/>
      <c r="G23" s="25"/>
      <c r="H23" s="66" t="s">
        <v>61</v>
      </c>
      <c r="I23" s="66"/>
      <c r="J23" s="66"/>
      <c r="K23" s="53"/>
      <c r="L23" s="7"/>
      <c r="M23" s="21"/>
      <c r="N23" s="21"/>
    </row>
    <row r="24" spans="1:14" s="6" customFormat="1" ht="42" customHeight="1">
      <c r="A24" s="39"/>
      <c r="B24" s="2"/>
      <c r="C24" s="2"/>
      <c r="D24" s="2"/>
      <c r="E24" s="2"/>
      <c r="F24" s="2"/>
      <c r="G24" s="25" t="s">
        <v>56</v>
      </c>
      <c r="H24" s="66" t="s">
        <v>57</v>
      </c>
      <c r="I24" s="66"/>
      <c r="J24" s="66"/>
      <c r="K24" s="53" t="s">
        <v>62</v>
      </c>
      <c r="L24" s="7"/>
      <c r="M24" s="21"/>
      <c r="N24" s="21"/>
    </row>
    <row r="25" spans="1:14" s="6" customFormat="1" ht="24" customHeight="1">
      <c r="A25" s="39"/>
      <c r="B25" s="31"/>
      <c r="C25" s="40"/>
      <c r="D25" s="41"/>
      <c r="E25" s="22"/>
      <c r="F25" s="22"/>
      <c r="G25" s="2"/>
      <c r="H25" s="66" t="s">
        <v>63</v>
      </c>
      <c r="I25" s="66"/>
      <c r="J25" s="66"/>
      <c r="K25" s="2"/>
      <c r="L25" s="7"/>
      <c r="M25" s="21"/>
      <c r="N25" s="21"/>
    </row>
    <row r="26" spans="1:14" s="6" customFormat="1" ht="24" customHeight="1">
      <c r="A26" s="39"/>
      <c r="B26" s="31"/>
      <c r="C26" s="40"/>
      <c r="D26" s="41"/>
      <c r="E26" s="22"/>
      <c r="F26" s="22"/>
      <c r="G26" s="22"/>
      <c r="H26" s="42"/>
      <c r="I26" s="42"/>
      <c r="J26" s="43"/>
      <c r="K26" s="43"/>
      <c r="L26" s="44"/>
      <c r="M26" s="21"/>
      <c r="N26" s="21"/>
    </row>
    <row r="27" spans="1:14" s="6" customFormat="1" ht="24" customHeight="1">
      <c r="A27" s="39"/>
      <c r="B27" s="31"/>
      <c r="C27" s="40"/>
      <c r="D27" s="41"/>
      <c r="E27" s="22"/>
      <c r="F27" s="22"/>
      <c r="G27" s="22"/>
      <c r="H27" s="42"/>
      <c r="I27" s="42"/>
      <c r="J27" s="43"/>
      <c r="K27" s="43"/>
      <c r="L27" s="44"/>
      <c r="M27" s="21"/>
      <c r="N27" s="21"/>
    </row>
    <row r="28" spans="1:14" s="6" customFormat="1" ht="24" customHeight="1">
      <c r="A28" s="39"/>
      <c r="B28" s="31"/>
      <c r="C28" s="40"/>
      <c r="D28" s="41"/>
      <c r="E28" s="22"/>
      <c r="F28" s="22"/>
      <c r="G28" s="22"/>
      <c r="H28" s="42"/>
      <c r="I28" s="42"/>
      <c r="J28" s="43"/>
      <c r="K28" s="43"/>
      <c r="L28" s="44"/>
      <c r="M28" s="21"/>
      <c r="N28" s="21"/>
    </row>
    <row r="29" spans="1:14" s="6" customFormat="1" ht="24" customHeight="1">
      <c r="A29" s="39"/>
      <c r="B29" s="31"/>
      <c r="C29" s="40"/>
      <c r="D29" s="41"/>
      <c r="E29" s="22"/>
      <c r="F29" s="22"/>
      <c r="G29" s="22"/>
      <c r="H29" s="42"/>
      <c r="I29" s="42"/>
      <c r="J29" s="43"/>
      <c r="K29" s="43"/>
      <c r="L29" s="44"/>
      <c r="M29" s="21"/>
      <c r="N29" s="21"/>
    </row>
    <row r="30" spans="1:14" s="6" customFormat="1" ht="24" customHeight="1">
      <c r="A30" s="39"/>
      <c r="B30" s="31"/>
      <c r="C30" s="40"/>
      <c r="D30" s="41"/>
      <c r="E30" s="22"/>
      <c r="F30" s="22"/>
      <c r="G30" s="22"/>
      <c r="H30" s="42"/>
      <c r="I30" s="42"/>
      <c r="J30" s="43"/>
      <c r="K30" s="43"/>
      <c r="L30" s="44"/>
      <c r="M30" s="21"/>
      <c r="N30" s="21"/>
    </row>
    <row r="31" spans="1:14" s="6" customFormat="1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8" t="s">
        <v>66</v>
      </c>
      <c r="M31" s="21"/>
      <c r="N31" s="21"/>
    </row>
    <row r="32" spans="1:14" ht="24" customHeight="1">
      <c r="A32" s="55" t="s">
        <v>5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21"/>
      <c r="N32" s="15"/>
    </row>
    <row r="33" spans="1:14" ht="24" customHeight="1">
      <c r="A33" s="56" t="s">
        <v>18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21"/>
      <c r="N33" s="15"/>
    </row>
    <row r="34" spans="1:14" ht="24" customHeight="1">
      <c r="A34" s="57" t="s">
        <v>26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21"/>
      <c r="N34" s="15"/>
    </row>
    <row r="35" spans="1:14" ht="24" customHeight="1">
      <c r="A35" s="58" t="s">
        <v>6</v>
      </c>
      <c r="B35" s="58" t="s">
        <v>17</v>
      </c>
      <c r="C35" s="58" t="s">
        <v>14</v>
      </c>
      <c r="D35" s="60" t="s">
        <v>0</v>
      </c>
      <c r="E35" s="58" t="s">
        <v>9</v>
      </c>
      <c r="F35" s="58" t="s">
        <v>8</v>
      </c>
      <c r="G35" s="62" t="s">
        <v>10</v>
      </c>
      <c r="H35" s="64" t="s">
        <v>1</v>
      </c>
      <c r="I35" s="65"/>
      <c r="J35" s="58" t="s">
        <v>13</v>
      </c>
      <c r="K35" s="58" t="s">
        <v>7</v>
      </c>
      <c r="L35" s="58" t="s">
        <v>12</v>
      </c>
      <c r="M35" s="21"/>
      <c r="N35" s="15"/>
    </row>
    <row r="36" spans="1:14" ht="48" customHeight="1">
      <c r="A36" s="59"/>
      <c r="B36" s="59"/>
      <c r="C36" s="59"/>
      <c r="D36" s="61"/>
      <c r="E36" s="59"/>
      <c r="F36" s="59"/>
      <c r="G36" s="63"/>
      <c r="H36" s="13" t="s">
        <v>11</v>
      </c>
      <c r="I36" s="11" t="s">
        <v>3</v>
      </c>
      <c r="J36" s="59"/>
      <c r="K36" s="59"/>
      <c r="L36" s="59"/>
      <c r="M36" s="21"/>
      <c r="N36" s="15"/>
    </row>
    <row r="37" spans="1:14" ht="24" customHeight="1">
      <c r="A37" s="8"/>
      <c r="B37" s="14"/>
      <c r="C37" s="23"/>
      <c r="D37" s="12"/>
      <c r="E37" s="4"/>
      <c r="F37" s="4"/>
      <c r="G37" s="4"/>
      <c r="H37" s="10"/>
      <c r="I37" s="10"/>
      <c r="J37" s="54" t="s">
        <v>67</v>
      </c>
      <c r="K37" s="54">
        <f ca="1">SUM(K17)</f>
        <v>17250</v>
      </c>
      <c r="L37" s="37"/>
      <c r="M37" s="21"/>
      <c r="N37" s="15"/>
    </row>
    <row r="38" spans="1:14" ht="24" customHeight="1">
      <c r="A38" s="8">
        <v>10</v>
      </c>
      <c r="B38" s="14">
        <v>2549</v>
      </c>
      <c r="C38" s="23" t="s">
        <v>37</v>
      </c>
      <c r="D38" s="12" t="s">
        <v>41</v>
      </c>
      <c r="E38" s="4" t="s">
        <v>36</v>
      </c>
      <c r="F38" s="4">
        <v>15</v>
      </c>
      <c r="G38" s="4" t="s">
        <v>52</v>
      </c>
      <c r="H38" s="10">
        <v>1</v>
      </c>
      <c r="I38" s="10">
        <v>1</v>
      </c>
      <c r="J38" s="9">
        <v>500</v>
      </c>
      <c r="K38" s="9">
        <f>SUM(I38*J38)</f>
        <v>500</v>
      </c>
      <c r="L38" s="37" t="s">
        <v>33</v>
      </c>
      <c r="M38" s="21"/>
      <c r="N38" s="15"/>
    </row>
    <row r="39" spans="1:14" ht="24" customHeight="1">
      <c r="A39" s="8">
        <v>12</v>
      </c>
      <c r="B39" s="14">
        <v>2553</v>
      </c>
      <c r="C39" s="23" t="s">
        <v>42</v>
      </c>
      <c r="D39" s="12" t="s">
        <v>43</v>
      </c>
      <c r="E39" s="4" t="s">
        <v>36</v>
      </c>
      <c r="F39" s="4">
        <v>11</v>
      </c>
      <c r="G39" s="4" t="s">
        <v>52</v>
      </c>
      <c r="H39" s="10">
        <v>1</v>
      </c>
      <c r="I39" s="10">
        <v>1</v>
      </c>
      <c r="J39" s="9">
        <v>1100</v>
      </c>
      <c r="K39" s="9">
        <f t="shared" ref="K39:K43" si="1">SUM(I39*J39)</f>
        <v>1100</v>
      </c>
      <c r="L39" s="37" t="s">
        <v>53</v>
      </c>
      <c r="M39" s="21"/>
      <c r="N39" s="15"/>
    </row>
    <row r="40" spans="1:14" ht="24" customHeight="1">
      <c r="A40" s="8">
        <v>13</v>
      </c>
      <c r="B40" s="14">
        <v>2553</v>
      </c>
      <c r="C40" s="23" t="s">
        <v>44</v>
      </c>
      <c r="D40" s="12" t="s">
        <v>45</v>
      </c>
      <c r="E40" s="4" t="s">
        <v>36</v>
      </c>
      <c r="F40" s="4">
        <v>11</v>
      </c>
      <c r="G40" s="4" t="s">
        <v>52</v>
      </c>
      <c r="H40" s="10">
        <v>1</v>
      </c>
      <c r="I40" s="10">
        <v>1</v>
      </c>
      <c r="J40" s="9">
        <v>5350</v>
      </c>
      <c r="K40" s="9">
        <f t="shared" si="1"/>
        <v>5350</v>
      </c>
      <c r="L40" s="37" t="s">
        <v>33</v>
      </c>
      <c r="M40" s="21"/>
      <c r="N40" s="15"/>
    </row>
    <row r="41" spans="1:14" ht="24" customHeight="1">
      <c r="A41" s="8">
        <v>14</v>
      </c>
      <c r="B41" s="14">
        <v>2553</v>
      </c>
      <c r="C41" s="23" t="s">
        <v>46</v>
      </c>
      <c r="D41" s="12" t="s">
        <v>47</v>
      </c>
      <c r="E41" s="4" t="s">
        <v>36</v>
      </c>
      <c r="F41" s="4">
        <v>11</v>
      </c>
      <c r="G41" s="4" t="s">
        <v>52</v>
      </c>
      <c r="H41" s="10">
        <v>1</v>
      </c>
      <c r="I41" s="10">
        <v>1</v>
      </c>
      <c r="J41" s="9">
        <v>17000</v>
      </c>
      <c r="K41" s="9">
        <f t="shared" si="1"/>
        <v>17000</v>
      </c>
      <c r="L41" s="37" t="s">
        <v>55</v>
      </c>
      <c r="M41" s="21"/>
      <c r="N41" s="15"/>
    </row>
    <row r="42" spans="1:14" ht="24" customHeight="1">
      <c r="A42" s="8">
        <v>15</v>
      </c>
      <c r="B42" s="30" t="s">
        <v>64</v>
      </c>
      <c r="C42" s="23" t="s">
        <v>48</v>
      </c>
      <c r="D42" s="12" t="s">
        <v>49</v>
      </c>
      <c r="E42" s="4" t="s">
        <v>21</v>
      </c>
      <c r="F42" s="4">
        <v>4</v>
      </c>
      <c r="G42" s="4" t="s">
        <v>52</v>
      </c>
      <c r="H42" s="10">
        <v>1</v>
      </c>
      <c r="I42" s="10">
        <v>1</v>
      </c>
      <c r="J42" s="9">
        <v>5900</v>
      </c>
      <c r="K42" s="9">
        <f t="shared" si="1"/>
        <v>5900</v>
      </c>
      <c r="L42" s="37" t="s">
        <v>33</v>
      </c>
      <c r="M42" s="21"/>
      <c r="N42" s="15"/>
    </row>
    <row r="43" spans="1:14" ht="24" customHeight="1">
      <c r="A43" s="8">
        <v>16</v>
      </c>
      <c r="B43" s="30" t="s">
        <v>64</v>
      </c>
      <c r="C43" s="23" t="s">
        <v>50</v>
      </c>
      <c r="D43" s="12" t="s">
        <v>51</v>
      </c>
      <c r="E43" s="4" t="s">
        <v>21</v>
      </c>
      <c r="F43" s="4">
        <v>4</v>
      </c>
      <c r="G43" s="4" t="s">
        <v>52</v>
      </c>
      <c r="H43" s="10">
        <v>1</v>
      </c>
      <c r="I43" s="10">
        <v>1</v>
      </c>
      <c r="J43" s="9">
        <v>3900</v>
      </c>
      <c r="K43" s="9">
        <f t="shared" si="1"/>
        <v>3900</v>
      </c>
      <c r="L43" s="37" t="s">
        <v>33</v>
      </c>
      <c r="M43" s="21"/>
      <c r="N43" s="15"/>
    </row>
    <row r="44" spans="1:14" ht="24" customHeight="1" thickBot="1">
      <c r="A44" s="32"/>
      <c r="B44" s="33"/>
      <c r="C44" s="33"/>
      <c r="D44" s="33"/>
      <c r="E44" s="33"/>
      <c r="F44" s="33"/>
      <c r="G44" s="33"/>
      <c r="H44" s="33"/>
      <c r="I44" s="33"/>
      <c r="J44" s="34" t="s">
        <v>4</v>
      </c>
      <c r="K44" s="35">
        <f ca="1">SUM(K37:K43)</f>
        <v>50500</v>
      </c>
      <c r="L44" s="38"/>
      <c r="M44" s="26"/>
    </row>
    <row r="45" spans="1:14" ht="24" customHeight="1" thickTop="1">
      <c r="A45" s="6"/>
      <c r="B45" s="24" t="s">
        <v>2</v>
      </c>
      <c r="C45" s="16" t="s">
        <v>15</v>
      </c>
      <c r="D45" s="6"/>
      <c r="E45" s="6"/>
      <c r="F45" s="6"/>
      <c r="G45" s="6"/>
      <c r="H45" s="6"/>
      <c r="L45" s="20"/>
      <c r="M45" s="26"/>
    </row>
    <row r="46" spans="1:14" ht="24" customHeight="1">
      <c r="A46" s="6"/>
      <c r="B46" s="26"/>
      <c r="C46" s="16" t="s">
        <v>16</v>
      </c>
      <c r="D46" s="6"/>
      <c r="E46" s="6"/>
      <c r="F46" s="6"/>
      <c r="L46" s="2"/>
    </row>
    <row r="47" spans="1:14" ht="24" customHeight="1">
      <c r="A47" s="6"/>
      <c r="D47" s="17"/>
      <c r="E47" s="18"/>
      <c r="F47" s="18"/>
      <c r="G47" s="52" t="s">
        <v>56</v>
      </c>
      <c r="H47" s="67" t="s">
        <v>57</v>
      </c>
      <c r="I47" s="67"/>
      <c r="J47" s="67"/>
      <c r="K47" s="16" t="s">
        <v>58</v>
      </c>
      <c r="L47" s="20"/>
    </row>
    <row r="48" spans="1:14" ht="24" customHeight="1">
      <c r="G48" s="52"/>
      <c r="H48" s="67" t="s">
        <v>59</v>
      </c>
      <c r="I48" s="67"/>
      <c r="J48" s="67"/>
      <c r="K48" s="16"/>
      <c r="L48" s="20"/>
    </row>
    <row r="49" spans="7:11" ht="36.75" customHeight="1">
      <c r="G49" s="25" t="s">
        <v>56</v>
      </c>
      <c r="H49" s="66" t="s">
        <v>57</v>
      </c>
      <c r="I49" s="66"/>
      <c r="J49" s="66"/>
      <c r="K49" s="16" t="s">
        <v>60</v>
      </c>
    </row>
    <row r="50" spans="7:11" ht="24" customHeight="1">
      <c r="G50" s="25"/>
      <c r="H50" s="66" t="s">
        <v>61</v>
      </c>
      <c r="I50" s="66"/>
      <c r="J50" s="66"/>
      <c r="K50" s="17"/>
    </row>
    <row r="51" spans="7:11" ht="41.25" customHeight="1">
      <c r="G51" s="25" t="s">
        <v>56</v>
      </c>
      <c r="H51" s="66" t="s">
        <v>57</v>
      </c>
      <c r="I51" s="66"/>
      <c r="J51" s="66"/>
      <c r="K51" s="17" t="s">
        <v>62</v>
      </c>
    </row>
    <row r="52" spans="7:11" ht="24" customHeight="1">
      <c r="H52" s="66" t="s">
        <v>63</v>
      </c>
      <c r="I52" s="66"/>
      <c r="J52" s="66"/>
    </row>
  </sheetData>
  <mergeCells count="40">
    <mergeCell ref="H52:J52"/>
    <mergeCell ref="H47:J47"/>
    <mergeCell ref="H48:J48"/>
    <mergeCell ref="H49:J49"/>
    <mergeCell ref="H50:J50"/>
    <mergeCell ref="H51:J51"/>
    <mergeCell ref="H25:J25"/>
    <mergeCell ref="H20:J20"/>
    <mergeCell ref="H21:J21"/>
    <mergeCell ref="H22:J22"/>
    <mergeCell ref="H23:J23"/>
    <mergeCell ref="H24:J24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32:L32"/>
    <mergeCell ref="A33:L33"/>
    <mergeCell ref="A34:L34"/>
    <mergeCell ref="A35:A36"/>
    <mergeCell ref="B35:B36"/>
    <mergeCell ref="C35:C36"/>
    <mergeCell ref="D35:D36"/>
    <mergeCell ref="E35:E36"/>
    <mergeCell ref="F35:F36"/>
    <mergeCell ref="G35:G36"/>
    <mergeCell ref="H35:I35"/>
    <mergeCell ref="J35:J36"/>
    <mergeCell ref="K35:K36"/>
    <mergeCell ref="L35:L36"/>
  </mergeCells>
  <printOptions horizontalCentered="1"/>
  <pageMargins left="0.19685039370078741" right="0.19685039370078741" top="0.19685039370078741" bottom="0.19685039370078741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งานประชาสัมพันธ์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2021-11-19T07:38:24Z</cp:lastPrinted>
  <dcterms:created xsi:type="dcterms:W3CDTF">2017-11-14T01:32:33Z</dcterms:created>
  <dcterms:modified xsi:type="dcterms:W3CDTF">2022-10-17T04:02:27Z</dcterms:modified>
</cp:coreProperties>
</file>