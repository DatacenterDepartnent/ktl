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5 คกก. 3 ท่าน\งาน\4. ฝ่ายพัฒนากิจการนักเรียน นักศึกษา\"/>
    </mc:Choice>
  </mc:AlternateContent>
  <xr:revisionPtr revIDLastSave="0" documentId="13_ncr:1_{198D216E-45DD-4403-BDE6-B8AF80342FB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13" i="46"/>
  <c r="K14" i="46"/>
  <c r="K15" i="46"/>
  <c r="K16" i="46"/>
  <c r="K7" i="46"/>
  <c r="K17" i="46" l="1"/>
  <c r="K37" i="46" s="1"/>
  <c r="K42" i="46" s="1"/>
</calcChain>
</file>

<file path=xl/sharedStrings.xml><?xml version="1.0" encoding="utf-8"?>
<sst xmlns="http://schemas.openxmlformats.org/spreadsheetml/2006/main" count="128" uniqueCount="78">
  <si>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</si>
  <si>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</si>
  <si>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</si>
  <si>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</si>
  <si>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</si>
  <si>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</si>
  <si>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</si>
  <si>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</si>
  <si>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</si>
  <si>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</si>
  <si>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</si>
  <si>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</si>
  <si>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</si>
  <si>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</si>
  <si>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</si>
  <si>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</si>
  <si>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</si>
  <si>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</si>
  <si>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</si>
  <si>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ประจำปี 2564 สิ้นงวดเมื่อวันที่ 30 กันยายน 2564 ของงานกิจกรรมนักเรียน นักศึกษา</t>
  </si>
  <si>
    <t>7810-012-0001/442-001</t>
  </si>
  <si>
    <t>โต๊ะปิงปอง 20 มม.</t>
  </si>
  <si>
    <t>บกศ.</t>
  </si>
  <si>
    <t>4140-001-0001/442-009</t>
  </si>
  <si>
    <t>พัดลมตั้งพื้น 16"สีเทา โตซิบา</t>
  </si>
  <si>
    <t>7440-001-0001/463-001</t>
  </si>
  <si>
    <t>คอมพิวเตอร์</t>
  </si>
  <si>
    <t>บริจาค</t>
  </si>
  <si>
    <t>4140-001-0001/493-036</t>
  </si>
  <si>
    <t xml:space="preserve">พัดลมตั้งพื้น 16" TORY </t>
  </si>
  <si>
    <t>6720-005-0002/531-003</t>
  </si>
  <si>
    <t xml:space="preserve">กล้องถ่ายภาพนิ่ง  </t>
  </si>
  <si>
    <t>งปม.</t>
  </si>
  <si>
    <t>6730-001-0003/531-013,014</t>
  </si>
  <si>
    <t>เครื่องโปรเจคเตอร์พร้อมจอรับภาพ</t>
  </si>
  <si>
    <t>7125-004-0001/531-001-002</t>
  </si>
  <si>
    <t>ชั้นเอนกประสงค์</t>
  </si>
  <si>
    <t>7110-015-0001/531-001-002</t>
  </si>
  <si>
    <t>ราวตากผ้าแสตนเลส  ขนาด 150*60*180</t>
  </si>
  <si>
    <t>7105-006-0001/531-001-002</t>
  </si>
  <si>
    <t xml:space="preserve">โต๊ะรีดผ้า  </t>
  </si>
  <si>
    <t>7210-015-0002/531-001-002</t>
  </si>
  <si>
    <t>เตารีด  พานาโซนิค</t>
  </si>
  <si>
    <t>7110-007-0008/541-031</t>
  </si>
  <si>
    <t>โต๊ะคอมพิวเตอร์</t>
  </si>
  <si>
    <t>7730-005-0002/541-002</t>
  </si>
  <si>
    <t>ทีวี 21" LG</t>
  </si>
  <si>
    <t>7110-007-0011/541-001-020</t>
  </si>
  <si>
    <t>โต๊ะประชุม 20 ที่นั่ง พร้อมเก้าอี้ 20 ตัว</t>
  </si>
  <si>
    <t>4120-001-0002/541-007</t>
  </si>
  <si>
    <t>เครื่องปรับอากาศ  PANASONIC 1800BTU</t>
  </si>
  <si>
    <t>ขาหัก/พื้นไม้ผุบวม</t>
  </si>
  <si>
    <t>ขดลวดไหม้</t>
  </si>
  <si>
    <t>จอดับ/บอร์ดเสีย</t>
  </si>
  <si>
    <t>ใบแตก/คอหัก</t>
  </si>
  <si>
    <t>เปิด-ปิดไม่ได้</t>
  </si>
  <si>
    <t>จอขาด/ขั้วหลอดไฟเสีย</t>
  </si>
  <si>
    <t>ไม้บวม/ฉีกหัก</t>
  </si>
  <si>
    <t>โค้งงอเสียรูปทรง</t>
  </si>
  <si>
    <t>ผุบวม/พื้นไหม้</t>
  </si>
  <si>
    <t>ไหม้</t>
  </si>
  <si>
    <t>ไม้บวมผุ</t>
  </si>
  <si>
    <t>หลอดภาพเสีย</t>
  </si>
  <si>
    <t>หัก/ไม่ครบ</t>
  </si>
  <si>
    <t>บอร์ดเสีย</t>
  </si>
  <si>
    <t>เอกสารหมายเลข 66</t>
  </si>
  <si>
    <t>ยอดยกไป</t>
  </si>
  <si>
    <t xml:space="preserve"> -</t>
  </si>
  <si>
    <t>ลงชื่อ</t>
  </si>
  <si>
    <t>.........................................................</t>
  </si>
  <si>
    <t>ประธานกรรมการ</t>
  </si>
  <si>
    <t>กรรมการ</t>
  </si>
  <si>
    <t>กรรมการและเลขานุการ</t>
  </si>
  <si>
    <t>ยอดยกมา</t>
  </si>
  <si>
    <t>(นางสาวเพ็ญธิดา  แก้วคำ)</t>
  </si>
  <si>
    <t>(นางสาวคำโฮม  คูณสว่าง)</t>
  </si>
  <si>
    <t>(นายชัยศิริ  ตุ้มคง)</t>
  </si>
  <si>
    <t>เอกสารหมายเลข 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</si>
</sst>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6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94">
    <xf numFmtId="0" fontId="0" fillId="0" borderId="0" xfId="0"/>
    <xf numFmtId="0" fontId="4" fillId="0" borderId="0" xfId="0" applyFont="1"/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2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1" xfId="6" applyFont="1" applyBorder="1"/>
    <xf numFmtId="0" fontId="3" fillId="0" borderId="1" xfId="6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4" fontId="4" fillId="0" borderId="0" xfId="0" applyNumberFormat="1" applyFont="1"/>
    <xf numFmtId="4" fontId="3" fillId="0" borderId="1" xfId="1" applyNumberFormat="1" applyFont="1" applyBorder="1"/>
    <xf numFmtId="0" fontId="3" fillId="3" borderId="0" xfId="0" applyFont="1" applyFill="1" applyBorder="1" applyAlignment="1">
      <alignment horizontal="center" vertical="center"/>
    </xf>
    <xf numFmtId="0" fontId="3" fillId="0" borderId="0" xfId="6" applyFont="1" applyBorder="1" applyAlignment="1">
      <alignment horizontal="left"/>
    </xf>
    <xf numFmtId="0" fontId="3" fillId="0" borderId="0" xfId="6" applyFont="1" applyBorder="1"/>
    <xf numFmtId="0" fontId="3" fillId="0" borderId="0" xfId="6" applyFont="1" applyBorder="1" applyAlignment="1">
      <alignment horizontal="center"/>
    </xf>
    <xf numFmtId="4" fontId="3" fillId="0" borderId="0" xfId="1" applyNumberFormat="1" applyFont="1" applyBorder="1"/>
    <xf numFmtId="43" fontId="3" fillId="0" borderId="0" xfId="12" applyNumberFormat="1" applyFont="1" applyBorder="1" applyAlignment="1">
      <alignment horizontal="left"/>
    </xf>
    <xf numFmtId="4" fontId="7" fillId="0" borderId="1" xfId="1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0" fontId="4" fillId="0" borderId="6" xfId="0" applyFont="1" applyBorder="1" applyAlignment="1">
      <alignment horizontal="left"/>
    </xf>
    <xf numFmtId="4" fontId="3" fillId="0" borderId="0" xfId="1" applyNumberFormat="1" applyFont="1" applyBorder="1" applyAlignment="1">
      <alignment horizontal="left"/>
    </xf>
    <xf numFmtId="0" fontId="3" fillId="0" borderId="0" xfId="2" applyFont="1" applyBorder="1" applyAlignment="1">
      <alignment horizontal="right"/>
    </xf>
    <xf numFmtId="4" fontId="7" fillId="0" borderId="1" xfId="1" applyNumberFormat="1" applyFont="1" applyBorder="1" applyAlignment="1">
      <alignment horizontal="right"/>
    </xf>
    <xf numFmtId="4" fontId="6" fillId="0" borderId="6" xfId="0" applyNumberFormat="1" applyFont="1" applyBorder="1" applyAlignment="1">
      <alignment horizontal="right"/>
    </xf>
    <xf numFmtId="0" fontId="3" fillId="0" borderId="0" xfId="2" applyFont="1" applyBorder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4" fontId="4" fillId="0" borderId="4" xfId="0" applyNumberFormat="1" applyFont="1" applyBorder="1" applyAlignment="1">
      <alignment horizontal="center" vertical="center" wrapText="1"/>
    </xf>
    <xf numFmtId="4" fontId="4" fillId="0" borderId="5" xfId="0" applyNumberFormat="1" applyFont="1" applyBorder="1" applyAlignment="1">
      <alignment horizontal="center" vertical="center" wrapText="1"/>
    </xf>
  </cellXfs>
  <cellStyles count="16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เครื่องหมายจุลภาค 9 2" xfId="15" xr:uid="{00000000-0005-0000-0000-000003000000}"/>
    <cellStyle name="จุลภาค" xfId="1" builtinId="3"/>
    <cellStyle name="จุลภาค 2" xfId="14" xr:uid="{00000000-0005-0000-0000-000004000000}"/>
    <cellStyle name="ปกติ" xfId="0" builtinId="0"/>
    <cellStyle name="ปกติ 10" xfId="4" xr:uid="{00000000-0005-0000-0000-000006000000}"/>
    <cellStyle name="ปกติ 12" xfId="7" xr:uid="{00000000-0005-0000-0000-000007000000}"/>
    <cellStyle name="ปกติ 14" xfId="3" xr:uid="{00000000-0005-0000-0000-000008000000}"/>
    <cellStyle name="ปกติ 19" xfId="13" xr:uid="{00000000-0005-0000-0000-000009000000}"/>
    <cellStyle name="ปกติ 21" xfId="2" xr:uid="{00000000-0005-0000-0000-00000A000000}"/>
    <cellStyle name="ปกติ 22" xfId="5" xr:uid="{00000000-0005-0000-0000-00000B000000}"/>
    <cellStyle name="ปกติ 3" xfId="9" xr:uid="{00000000-0005-0000-0000-00000C000000}"/>
    <cellStyle name="ปกติ 4" xfId="10" xr:uid="{00000000-0005-0000-0000-00000D000000}"/>
    <cellStyle name="ปกติ 5" xfId="11" xr:uid="{00000000-0005-0000-0000-00000E000000}"/>
    <cellStyle name="ปกติ_รายการครุภัณฑ์ ปี 52 ที่แก้ไขเรียงลำดับใหม่ 23 ก.พ.53" xfId="6" xr:uid="{00000000-0005-0000-0000-00000F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1228725</xdr:colOff>
      <xdr:row>18</xdr:row>
      <xdr:rowOff>19051</xdr:rowOff>
    </xdr:from>
    <xdr:to>
      <xdr:col>11</xdr:col>
      <xdr:colOff>1571625</xdr:colOff>
      <xdr:row>22</xdr:row>
      <xdr:rowOff>104776</xdr:rowOff>
    </xdr:to>
    <xdr:sp macro="" textlink="">
      <xdr:nvSpPr>
        <xdr:cNvPr id="3" name="กล่องข้อความ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11749087" y="6462714"/>
          <a:ext cx="14573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  <xdr:twoCellAnchor>
    <xdr:from>
      <xdr:col>11</xdr:col>
      <xdr:colOff>1228725</xdr:colOff>
      <xdr:row>43</xdr:row>
      <xdr:rowOff>19051</xdr:rowOff>
    </xdr:from>
    <xdr:to>
      <xdr:col>11</xdr:col>
      <xdr:colOff>1571625</xdr:colOff>
      <xdr:row>47</xdr:row>
      <xdr:rowOff>104776</xdr:rowOff>
    </xdr:to>
    <xdr:sp macro="" textlink="">
      <xdr:nvSpPr>
        <xdr:cNvPr id="4" name="กล่องข้อความ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11749087" y="6462714"/>
          <a:ext cx="1457325" cy="342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51"/>
  <sheetViews>
    <sheetView tabSelected="1" zoomScaleNormal="100" workbookViewId="0">
      <selection activeCell="L11" sqref="L11"/>
    </sheetView>
  </sheetViews>
  <sheetFormatPr defaultColWidth="9" defaultRowHeight="24"/>
  <cols>
    <col min="1" max="1" width="6.28515625" style="1" customWidth="1"/>
    <col min="2" max="2" width="12.85546875" style="11" customWidth="1"/>
    <col min="3" max="3" width="31.85546875" style="8" customWidth="1"/>
    <col min="4" max="4" width="39.42578125" style="1" customWidth="1"/>
    <col min="5" max="5" width="8.85546875" style="1" customWidth="1"/>
    <col min="6" max="6" width="9.140625" style="1" customWidth="1"/>
    <col min="7" max="7" width="8.85546875" style="1" customWidth="1"/>
    <col min="8" max="9" width="9.42578125" style="1" customWidth="1"/>
    <col min="10" max="10" width="14.28515625" style="62" customWidth="1"/>
    <col min="11" max="11" width="15.7109375" style="62" customWidth="1"/>
    <col min="12" max="12" width="27.28515625" style="8" customWidth="1"/>
    <col min="13" max="16384" width="9" style="1"/>
  </cols>
  <sheetData>
    <row r="1" spans="1:12">
      <c r="L1" s="11" t="s">
        <v>65</v>
      </c>
    </row>
    <row r="2" spans="1:12">
      <c r="A2" s="90" t="s">
        <v>5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</row>
    <row r="3" spans="1:12">
      <c r="A3" s="91" t="s">
        <v>6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</row>
    <row r="4" spans="1:12">
      <c r="A4" s="81" t="s">
        <v>19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ht="28.5" customHeight="1">
      <c r="A5" s="82" t="s">
        <v>7</v>
      </c>
      <c r="B5" s="82" t="s">
        <v>18</v>
      </c>
      <c r="C5" s="82" t="s">
        <v>15</v>
      </c>
      <c r="D5" s="84" t="s">
        <v>0</v>
      </c>
      <c r="E5" s="82" t="s">
        <v>10</v>
      </c>
      <c r="F5" s="82" t="s">
        <v>9</v>
      </c>
      <c r="G5" s="86" t="s">
        <v>11</v>
      </c>
      <c r="H5" s="88" t="s">
        <v>1</v>
      </c>
      <c r="I5" s="89"/>
      <c r="J5" s="92" t="s">
        <v>14</v>
      </c>
      <c r="K5" s="92" t="s">
        <v>8</v>
      </c>
      <c r="L5" s="82" t="s">
        <v>13</v>
      </c>
    </row>
    <row r="6" spans="1:12" ht="51" customHeight="1">
      <c r="A6" s="83"/>
      <c r="B6" s="83"/>
      <c r="C6" s="83"/>
      <c r="D6" s="85"/>
      <c r="E6" s="83"/>
      <c r="F6" s="83"/>
      <c r="G6" s="87"/>
      <c r="H6" s="6" t="s">
        <v>12</v>
      </c>
      <c r="I6" s="5" t="s">
        <v>3</v>
      </c>
      <c r="J6" s="93"/>
      <c r="K6" s="93"/>
      <c r="L6" s="83"/>
    </row>
    <row r="7" spans="1:12">
      <c r="A7" s="7">
        <v>1</v>
      </c>
      <c r="B7" s="16">
        <v>2544</v>
      </c>
      <c r="C7" s="14" t="s">
        <v>20</v>
      </c>
      <c r="D7" s="13" t="s">
        <v>21</v>
      </c>
      <c r="E7" s="15" t="s">
        <v>22</v>
      </c>
      <c r="F7" s="2">
        <v>20</v>
      </c>
      <c r="G7" s="2">
        <v>1</v>
      </c>
      <c r="H7" s="2">
        <v>1</v>
      </c>
      <c r="I7" s="3">
        <v>1</v>
      </c>
      <c r="J7" s="63">
        <v>4200</v>
      </c>
      <c r="K7" s="63">
        <f>SUM(I7*J7)</f>
        <v>4200</v>
      </c>
      <c r="L7" s="59" t="s">
        <v>51</v>
      </c>
    </row>
    <row r="8" spans="1:12">
      <c r="A8" s="7">
        <v>2</v>
      </c>
      <c r="B8" s="20">
        <v>2544</v>
      </c>
      <c r="C8" s="18" t="s">
        <v>23</v>
      </c>
      <c r="D8" s="17" t="s">
        <v>24</v>
      </c>
      <c r="E8" s="19" t="s">
        <v>22</v>
      </c>
      <c r="F8" s="2">
        <v>20</v>
      </c>
      <c r="G8" s="2">
        <v>2</v>
      </c>
      <c r="H8" s="2">
        <v>1</v>
      </c>
      <c r="I8" s="3">
        <v>1</v>
      </c>
      <c r="J8" s="63">
        <v>1650</v>
      </c>
      <c r="K8" s="63">
        <f t="shared" ref="K8:K16" si="0">SUM(I8*J8)</f>
        <v>1650</v>
      </c>
      <c r="L8" s="59" t="s">
        <v>52</v>
      </c>
    </row>
    <row r="9" spans="1:12">
      <c r="A9" s="7">
        <v>3</v>
      </c>
      <c r="B9" s="24">
        <v>2546</v>
      </c>
      <c r="C9" s="22" t="s">
        <v>25</v>
      </c>
      <c r="D9" s="21" t="s">
        <v>26</v>
      </c>
      <c r="E9" s="23" t="s">
        <v>27</v>
      </c>
      <c r="F9" s="2">
        <v>18</v>
      </c>
      <c r="G9" s="2">
        <v>1</v>
      </c>
      <c r="H9" s="2">
        <v>1</v>
      </c>
      <c r="I9" s="3">
        <v>1</v>
      </c>
      <c r="J9" s="63">
        <v>12500</v>
      </c>
      <c r="K9" s="63">
        <f t="shared" si="0"/>
        <v>12500</v>
      </c>
      <c r="L9" s="59" t="s">
        <v>53</v>
      </c>
    </row>
    <row r="10" spans="1:12">
      <c r="A10" s="7">
        <v>4</v>
      </c>
      <c r="B10" s="28">
        <v>2549</v>
      </c>
      <c r="C10" s="26" t="s">
        <v>28</v>
      </c>
      <c r="D10" s="25" t="s">
        <v>29</v>
      </c>
      <c r="E10" s="27" t="s">
        <v>27</v>
      </c>
      <c r="F10" s="2">
        <v>15</v>
      </c>
      <c r="G10" s="2" t="s">
        <v>67</v>
      </c>
      <c r="H10" s="2">
        <v>1</v>
      </c>
      <c r="I10" s="3">
        <v>1</v>
      </c>
      <c r="J10" s="63">
        <v>1370</v>
      </c>
      <c r="K10" s="63">
        <f t="shared" si="0"/>
        <v>1370</v>
      </c>
      <c r="L10" s="59" t="s">
        <v>54</v>
      </c>
    </row>
    <row r="11" spans="1:12">
      <c r="A11" s="7">
        <v>5</v>
      </c>
      <c r="B11" s="32">
        <v>2553</v>
      </c>
      <c r="C11" s="30" t="s">
        <v>30</v>
      </c>
      <c r="D11" s="29" t="s">
        <v>31</v>
      </c>
      <c r="E11" s="31" t="s">
        <v>32</v>
      </c>
      <c r="F11" s="2">
        <v>11</v>
      </c>
      <c r="G11" s="45" t="s">
        <v>67</v>
      </c>
      <c r="H11" s="2">
        <v>1</v>
      </c>
      <c r="I11" s="3">
        <v>1</v>
      </c>
      <c r="J11" s="63">
        <v>7900</v>
      </c>
      <c r="K11" s="63">
        <f t="shared" si="0"/>
        <v>7900</v>
      </c>
      <c r="L11" s="59" t="s">
        <v>55</v>
      </c>
    </row>
    <row r="12" spans="1:12">
      <c r="A12" s="7">
        <v>6</v>
      </c>
      <c r="B12" s="36">
        <v>2553</v>
      </c>
      <c r="C12" s="34" t="s">
        <v>33</v>
      </c>
      <c r="D12" s="33" t="s">
        <v>34</v>
      </c>
      <c r="E12" s="35" t="s">
        <v>32</v>
      </c>
      <c r="F12" s="45">
        <v>11</v>
      </c>
      <c r="G12" s="45" t="s">
        <v>67</v>
      </c>
      <c r="H12" s="2">
        <v>2</v>
      </c>
      <c r="I12" s="3">
        <v>2</v>
      </c>
      <c r="J12" s="63">
        <v>32000</v>
      </c>
      <c r="K12" s="63">
        <f t="shared" si="0"/>
        <v>64000</v>
      </c>
      <c r="L12" s="59" t="s">
        <v>56</v>
      </c>
    </row>
    <row r="13" spans="1:12">
      <c r="A13" s="7">
        <v>7</v>
      </c>
      <c r="B13" s="40">
        <v>2553</v>
      </c>
      <c r="C13" s="38" t="s">
        <v>35</v>
      </c>
      <c r="D13" s="37" t="s">
        <v>36</v>
      </c>
      <c r="E13" s="39" t="s">
        <v>32</v>
      </c>
      <c r="F13" s="45">
        <v>11</v>
      </c>
      <c r="G13" s="2">
        <v>3</v>
      </c>
      <c r="H13" s="2">
        <v>2</v>
      </c>
      <c r="I13" s="3">
        <v>2</v>
      </c>
      <c r="J13" s="63">
        <v>3500</v>
      </c>
      <c r="K13" s="63">
        <f t="shared" si="0"/>
        <v>7000</v>
      </c>
      <c r="L13" s="59" t="s">
        <v>57</v>
      </c>
    </row>
    <row r="14" spans="1:12">
      <c r="A14" s="7">
        <v>8</v>
      </c>
      <c r="B14" s="44">
        <v>2553</v>
      </c>
      <c r="C14" s="42" t="s">
        <v>37</v>
      </c>
      <c r="D14" s="41" t="s">
        <v>38</v>
      </c>
      <c r="E14" s="43" t="s">
        <v>32</v>
      </c>
      <c r="F14" s="45">
        <v>11</v>
      </c>
      <c r="G14" s="2">
        <v>3</v>
      </c>
      <c r="H14" s="2">
        <v>2</v>
      </c>
      <c r="I14" s="3">
        <v>2</v>
      </c>
      <c r="J14" s="63">
        <v>1500</v>
      </c>
      <c r="K14" s="63">
        <f t="shared" si="0"/>
        <v>3000</v>
      </c>
      <c r="L14" s="59" t="s">
        <v>58</v>
      </c>
    </row>
    <row r="15" spans="1:12">
      <c r="A15" s="7">
        <v>9</v>
      </c>
      <c r="B15" s="57">
        <v>2553</v>
      </c>
      <c r="C15" s="56" t="s">
        <v>39</v>
      </c>
      <c r="D15" s="55" t="s">
        <v>40</v>
      </c>
      <c r="E15" s="45" t="s">
        <v>32</v>
      </c>
      <c r="F15" s="45">
        <v>11</v>
      </c>
      <c r="G15" s="45" t="s">
        <v>67</v>
      </c>
      <c r="H15" s="45">
        <v>2</v>
      </c>
      <c r="I15" s="3">
        <v>2</v>
      </c>
      <c r="J15" s="63">
        <v>450</v>
      </c>
      <c r="K15" s="63">
        <f t="shared" si="0"/>
        <v>900</v>
      </c>
      <c r="L15" s="59" t="s">
        <v>59</v>
      </c>
    </row>
    <row r="16" spans="1:12">
      <c r="A16" s="7">
        <v>10</v>
      </c>
      <c r="B16" s="57">
        <v>2553</v>
      </c>
      <c r="C16" s="56" t="s">
        <v>41</v>
      </c>
      <c r="D16" s="55" t="s">
        <v>42</v>
      </c>
      <c r="E16" s="45" t="s">
        <v>32</v>
      </c>
      <c r="F16" s="45">
        <v>11</v>
      </c>
      <c r="G16" s="45">
        <v>1</v>
      </c>
      <c r="H16" s="45">
        <v>2</v>
      </c>
      <c r="I16" s="3">
        <v>2</v>
      </c>
      <c r="J16" s="63">
        <v>680</v>
      </c>
      <c r="K16" s="63">
        <f t="shared" si="0"/>
        <v>1360</v>
      </c>
      <c r="L16" s="59" t="s">
        <v>60</v>
      </c>
    </row>
    <row r="17" spans="1:12">
      <c r="A17" s="7"/>
      <c r="B17" s="57"/>
      <c r="C17" s="56"/>
      <c r="D17" s="55"/>
      <c r="E17" s="45"/>
      <c r="F17" s="45"/>
      <c r="G17" s="45"/>
      <c r="H17" s="45"/>
      <c r="I17" s="3"/>
      <c r="J17" s="70" t="s">
        <v>66</v>
      </c>
      <c r="K17" s="78">
        <f>SUM(K7:K16)</f>
        <v>103880</v>
      </c>
      <c r="L17" s="59"/>
    </row>
    <row r="18" spans="1:12" s="4" customFormat="1">
      <c r="A18" s="64"/>
      <c r="B18" s="10" t="s">
        <v>2</v>
      </c>
      <c r="C18" s="65" t="s">
        <v>16</v>
      </c>
      <c r="D18" s="66"/>
      <c r="E18" s="9"/>
      <c r="F18" s="9"/>
      <c r="G18" s="9"/>
      <c r="H18" s="9"/>
      <c r="I18" s="67"/>
      <c r="J18" s="68"/>
      <c r="K18" s="68"/>
      <c r="L18" s="69"/>
    </row>
    <row r="19" spans="1:12" s="4" customFormat="1">
      <c r="A19" s="64"/>
      <c r="B19" s="58"/>
      <c r="C19" s="65" t="s">
        <v>17</v>
      </c>
      <c r="D19" s="66"/>
      <c r="E19" s="9"/>
      <c r="F19" s="9"/>
      <c r="G19" s="9"/>
      <c r="H19" s="9"/>
      <c r="I19" s="67"/>
      <c r="J19" s="68"/>
      <c r="K19" s="68"/>
      <c r="L19" s="69"/>
    </row>
    <row r="20" spans="1:12" s="4" customFormat="1">
      <c r="A20" s="64"/>
      <c r="B20" s="58"/>
      <c r="C20" s="65"/>
      <c r="D20" s="66"/>
      <c r="E20" s="9"/>
      <c r="F20" s="9"/>
      <c r="G20" s="77" t="s">
        <v>68</v>
      </c>
      <c r="H20" s="80" t="s">
        <v>69</v>
      </c>
      <c r="I20" s="80"/>
      <c r="J20" s="80"/>
      <c r="K20" s="76" t="s">
        <v>70</v>
      </c>
      <c r="L20" s="69"/>
    </row>
    <row r="21" spans="1:12" s="4" customFormat="1">
      <c r="A21" s="64"/>
      <c r="B21" s="58"/>
      <c r="C21" s="65"/>
      <c r="D21" s="66"/>
      <c r="E21" s="9"/>
      <c r="F21" s="9"/>
      <c r="G21" s="77"/>
      <c r="H21" s="80" t="s">
        <v>74</v>
      </c>
      <c r="I21" s="80"/>
      <c r="J21" s="80"/>
      <c r="K21" s="76"/>
      <c r="L21" s="69"/>
    </row>
    <row r="22" spans="1:12" s="4" customFormat="1" ht="36" customHeight="1">
      <c r="A22" s="64"/>
      <c r="B22" s="58"/>
      <c r="C22" s="65"/>
      <c r="D22" s="66"/>
      <c r="E22" s="9"/>
      <c r="F22" s="9"/>
      <c r="G22" s="77" t="s">
        <v>68</v>
      </c>
      <c r="H22" s="80" t="s">
        <v>69</v>
      </c>
      <c r="I22" s="80"/>
      <c r="J22" s="80"/>
      <c r="K22" s="76" t="s">
        <v>71</v>
      </c>
      <c r="L22" s="69"/>
    </row>
    <row r="23" spans="1:12" s="4" customFormat="1">
      <c r="A23" s="64"/>
      <c r="B23" s="58"/>
      <c r="C23" s="65"/>
      <c r="D23" s="66"/>
      <c r="E23" s="9"/>
      <c r="F23" s="9"/>
      <c r="G23" s="77"/>
      <c r="H23" s="80" t="s">
        <v>75</v>
      </c>
      <c r="I23" s="80"/>
      <c r="J23" s="80"/>
      <c r="K23" s="76"/>
      <c r="L23" s="69"/>
    </row>
    <row r="24" spans="1:12" s="4" customFormat="1" ht="42.75" customHeight="1">
      <c r="A24" s="64"/>
      <c r="B24" s="58"/>
      <c r="C24" s="65"/>
      <c r="D24" s="66"/>
      <c r="E24" s="9"/>
      <c r="F24" s="9"/>
      <c r="G24" s="77" t="s">
        <v>68</v>
      </c>
      <c r="H24" s="80" t="s">
        <v>69</v>
      </c>
      <c r="I24" s="80"/>
      <c r="J24" s="80"/>
      <c r="K24" s="76" t="s">
        <v>72</v>
      </c>
      <c r="L24" s="69"/>
    </row>
    <row r="25" spans="1:12" s="4" customFormat="1">
      <c r="A25" s="64"/>
      <c r="B25" s="58"/>
      <c r="C25" s="65"/>
      <c r="D25" s="66"/>
      <c r="E25" s="9"/>
      <c r="F25" s="9"/>
      <c r="G25" s="9"/>
      <c r="H25" s="80" t="s">
        <v>76</v>
      </c>
      <c r="I25" s="80"/>
      <c r="J25" s="80"/>
      <c r="K25" s="68"/>
      <c r="L25" s="69"/>
    </row>
    <row r="26" spans="1:12" s="4" customFormat="1">
      <c r="A26" s="64"/>
      <c r="B26" s="58"/>
      <c r="C26" s="65"/>
      <c r="D26" s="66"/>
      <c r="E26" s="9"/>
      <c r="F26" s="9"/>
      <c r="G26" s="9"/>
      <c r="H26" s="9"/>
      <c r="I26" s="67"/>
      <c r="J26" s="68"/>
      <c r="K26" s="68"/>
      <c r="L26" s="69"/>
    </row>
    <row r="27" spans="1:12" s="4" customFormat="1">
      <c r="A27" s="64"/>
      <c r="B27" s="58"/>
      <c r="C27" s="65"/>
      <c r="D27" s="66"/>
      <c r="E27" s="9"/>
      <c r="F27" s="9"/>
      <c r="G27" s="9"/>
      <c r="H27" s="9"/>
      <c r="I27" s="67"/>
      <c r="J27" s="68"/>
      <c r="K27" s="68"/>
      <c r="L27" s="69"/>
    </row>
    <row r="28" spans="1:12" s="4" customFormat="1">
      <c r="A28" s="64"/>
      <c r="B28" s="58"/>
      <c r="C28" s="65"/>
      <c r="D28" s="66"/>
      <c r="E28" s="9"/>
      <c r="F28" s="9"/>
      <c r="G28" s="9"/>
      <c r="H28" s="9"/>
      <c r="I28" s="67"/>
      <c r="J28" s="68"/>
      <c r="K28" s="68"/>
      <c r="L28" s="69"/>
    </row>
    <row r="29" spans="1:12" s="4" customFormat="1">
      <c r="A29" s="64"/>
      <c r="B29" s="58"/>
      <c r="C29" s="65"/>
      <c r="D29" s="66"/>
      <c r="E29" s="9"/>
      <c r="F29" s="9"/>
      <c r="G29" s="9"/>
      <c r="H29" s="9"/>
      <c r="I29" s="67"/>
      <c r="J29" s="68"/>
      <c r="K29" s="68"/>
      <c r="L29" s="69"/>
    </row>
    <row r="30" spans="1:12" s="4" customFormat="1">
      <c r="A30" s="64"/>
      <c r="B30" s="58"/>
      <c r="C30" s="65"/>
      <c r="D30" s="66"/>
      <c r="E30" s="9"/>
      <c r="F30" s="9"/>
      <c r="G30" s="9"/>
      <c r="H30" s="9"/>
      <c r="I30" s="67"/>
      <c r="J30" s="68"/>
      <c r="K30" s="68"/>
      <c r="L30" s="69"/>
    </row>
    <row r="31" spans="1:12">
      <c r="L31" s="11" t="s">
        <v>77</v>
      </c>
    </row>
    <row r="32" spans="1:12">
      <c r="A32" s="90" t="s">
        <v>5</v>
      </c>
      <c r="B32" s="90"/>
      <c r="C32" s="90"/>
      <c r="D32" s="90"/>
      <c r="E32" s="90"/>
      <c r="F32" s="90"/>
      <c r="G32" s="90"/>
      <c r="H32" s="90"/>
      <c r="I32" s="90"/>
      <c r="J32" s="90"/>
      <c r="K32" s="90"/>
      <c r="L32" s="90"/>
    </row>
    <row r="33" spans="1:12">
      <c r="A33" s="91" t="s">
        <v>6</v>
      </c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1"/>
    </row>
    <row r="34" spans="1:12">
      <c r="A34" s="81" t="s">
        <v>19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</row>
    <row r="35" spans="1:12">
      <c r="A35" s="82" t="s">
        <v>7</v>
      </c>
      <c r="B35" s="82" t="s">
        <v>18</v>
      </c>
      <c r="C35" s="82" t="s">
        <v>15</v>
      </c>
      <c r="D35" s="84" t="s">
        <v>0</v>
      </c>
      <c r="E35" s="82" t="s">
        <v>10</v>
      </c>
      <c r="F35" s="82" t="s">
        <v>9</v>
      </c>
      <c r="G35" s="86" t="s">
        <v>11</v>
      </c>
      <c r="H35" s="88" t="s">
        <v>1</v>
      </c>
      <c r="I35" s="89"/>
      <c r="J35" s="92" t="s">
        <v>14</v>
      </c>
      <c r="K35" s="92" t="s">
        <v>8</v>
      </c>
      <c r="L35" s="82" t="s">
        <v>13</v>
      </c>
    </row>
    <row r="36" spans="1:12" ht="48">
      <c r="A36" s="83"/>
      <c r="B36" s="83"/>
      <c r="C36" s="83"/>
      <c r="D36" s="85"/>
      <c r="E36" s="83"/>
      <c r="F36" s="83"/>
      <c r="G36" s="87"/>
      <c r="H36" s="6" t="s">
        <v>12</v>
      </c>
      <c r="I36" s="5" t="s">
        <v>3</v>
      </c>
      <c r="J36" s="93"/>
      <c r="K36" s="93"/>
      <c r="L36" s="83"/>
    </row>
    <row r="37" spans="1:12">
      <c r="A37" s="7"/>
      <c r="B37" s="57"/>
      <c r="C37" s="56"/>
      <c r="D37" s="55"/>
      <c r="E37" s="45"/>
      <c r="F37" s="45"/>
      <c r="G37" s="45"/>
      <c r="H37" s="45"/>
      <c r="I37" s="3"/>
      <c r="J37" s="70" t="s">
        <v>73</v>
      </c>
      <c r="K37" s="78">
        <f>SUM(K17)</f>
        <v>103880</v>
      </c>
      <c r="L37" s="59"/>
    </row>
    <row r="38" spans="1:12">
      <c r="A38" s="7">
        <v>11</v>
      </c>
      <c r="B38" s="48">
        <v>2554</v>
      </c>
      <c r="C38" s="47" t="s">
        <v>43</v>
      </c>
      <c r="D38" s="46" t="s">
        <v>44</v>
      </c>
      <c r="E38" s="48" t="s">
        <v>32</v>
      </c>
      <c r="F38" s="2">
        <v>10</v>
      </c>
      <c r="G38" s="2" t="s">
        <v>67</v>
      </c>
      <c r="H38" s="2">
        <v>1</v>
      </c>
      <c r="I38" s="3">
        <v>1</v>
      </c>
      <c r="J38" s="63">
        <v>900</v>
      </c>
      <c r="K38" s="63">
        <v>900</v>
      </c>
      <c r="L38" s="60" t="s">
        <v>61</v>
      </c>
    </row>
    <row r="39" spans="1:12">
      <c r="A39" s="7">
        <v>12</v>
      </c>
      <c r="B39" s="51">
        <v>2554</v>
      </c>
      <c r="C39" s="50" t="s">
        <v>45</v>
      </c>
      <c r="D39" s="49" t="s">
        <v>46</v>
      </c>
      <c r="E39" s="51" t="s">
        <v>32</v>
      </c>
      <c r="F39" s="45">
        <v>10</v>
      </c>
      <c r="G39" s="2">
        <v>1</v>
      </c>
      <c r="H39" s="2">
        <v>1</v>
      </c>
      <c r="I39" s="3">
        <v>1</v>
      </c>
      <c r="J39" s="63">
        <v>3500</v>
      </c>
      <c r="K39" s="63">
        <v>3500</v>
      </c>
      <c r="L39" s="59" t="s">
        <v>62</v>
      </c>
    </row>
    <row r="40" spans="1:12">
      <c r="A40" s="7">
        <v>13</v>
      </c>
      <c r="B40" s="54">
        <v>2554</v>
      </c>
      <c r="C40" s="53" t="s">
        <v>47</v>
      </c>
      <c r="D40" s="52" t="s">
        <v>48</v>
      </c>
      <c r="E40" s="2" t="s">
        <v>32</v>
      </c>
      <c r="F40" s="45">
        <v>10</v>
      </c>
      <c r="G40" s="2">
        <v>4</v>
      </c>
      <c r="H40" s="2">
        <v>1</v>
      </c>
      <c r="I40" s="3">
        <v>1</v>
      </c>
      <c r="J40" s="63">
        <v>26500</v>
      </c>
      <c r="K40" s="63">
        <v>26500</v>
      </c>
      <c r="L40" s="61" t="s">
        <v>63</v>
      </c>
    </row>
    <row r="41" spans="1:12">
      <c r="A41" s="7">
        <v>14</v>
      </c>
      <c r="B41" s="57">
        <v>2554</v>
      </c>
      <c r="C41" s="56" t="s">
        <v>49</v>
      </c>
      <c r="D41" s="55" t="s">
        <v>50</v>
      </c>
      <c r="E41" s="57" t="s">
        <v>32</v>
      </c>
      <c r="F41" s="45">
        <v>10</v>
      </c>
      <c r="G41" s="45">
        <v>1</v>
      </c>
      <c r="H41" s="57">
        <v>1</v>
      </c>
      <c r="I41" s="3">
        <v>1</v>
      </c>
      <c r="J41" s="63">
        <v>28900</v>
      </c>
      <c r="K41" s="63">
        <v>28900</v>
      </c>
      <c r="L41" s="71" t="s">
        <v>64</v>
      </c>
    </row>
    <row r="42" spans="1:12" ht="24.75" thickBot="1">
      <c r="A42" s="72"/>
      <c r="B42" s="73"/>
      <c r="C42" s="73"/>
      <c r="D42" s="73"/>
      <c r="E42" s="73"/>
      <c r="F42" s="73"/>
      <c r="G42" s="73"/>
      <c r="H42" s="73"/>
      <c r="I42" s="73"/>
      <c r="J42" s="74" t="s">
        <v>4</v>
      </c>
      <c r="K42" s="79">
        <f>SUM(K37:K41)</f>
        <v>163680</v>
      </c>
      <c r="L42" s="75"/>
    </row>
    <row r="43" spans="1:12" ht="24.75" thickTop="1">
      <c r="A43" s="12"/>
      <c r="B43" s="10" t="s">
        <v>2</v>
      </c>
      <c r="C43" s="65" t="s">
        <v>16</v>
      </c>
      <c r="D43" s="66"/>
      <c r="E43" s="9"/>
      <c r="F43" s="9"/>
      <c r="G43" s="9"/>
      <c r="H43" s="9"/>
      <c r="I43" s="67"/>
      <c r="J43" s="68"/>
      <c r="K43" s="68"/>
      <c r="L43" s="69"/>
    </row>
    <row r="44" spans="1:12">
      <c r="A44" s="4"/>
      <c r="B44" s="58"/>
      <c r="C44" s="65" t="s">
        <v>17</v>
      </c>
      <c r="D44" s="66"/>
      <c r="E44" s="9"/>
      <c r="F44" s="9"/>
      <c r="G44" s="9"/>
      <c r="H44" s="9"/>
      <c r="I44" s="67"/>
      <c r="J44" s="68"/>
      <c r="K44" s="68"/>
      <c r="L44" s="69"/>
    </row>
    <row r="45" spans="1:12">
      <c r="A45" s="4"/>
      <c r="B45" s="58"/>
      <c r="C45" s="65"/>
      <c r="D45" s="66"/>
      <c r="E45" s="9"/>
      <c r="F45" s="9"/>
      <c r="G45" s="77" t="s">
        <v>68</v>
      </c>
      <c r="H45" s="80" t="s">
        <v>69</v>
      </c>
      <c r="I45" s="80"/>
      <c r="J45" s="80"/>
      <c r="K45" s="76" t="s">
        <v>70</v>
      </c>
      <c r="L45" s="69"/>
    </row>
    <row r="46" spans="1:12">
      <c r="A46" s="4"/>
      <c r="B46" s="58"/>
      <c r="C46" s="65"/>
      <c r="D46" s="66"/>
      <c r="E46" s="9"/>
      <c r="F46" s="9"/>
      <c r="G46" s="77"/>
      <c r="H46" s="80" t="s">
        <v>74</v>
      </c>
      <c r="I46" s="80"/>
      <c r="J46" s="80"/>
      <c r="K46" s="76"/>
      <c r="L46" s="69"/>
    </row>
    <row r="47" spans="1:12" ht="39" customHeight="1">
      <c r="A47" s="4"/>
      <c r="B47" s="58"/>
      <c r="C47" s="65"/>
      <c r="D47" s="66"/>
      <c r="E47" s="9"/>
      <c r="F47" s="9"/>
      <c r="G47" s="77" t="s">
        <v>68</v>
      </c>
      <c r="H47" s="80" t="s">
        <v>69</v>
      </c>
      <c r="I47" s="80"/>
      <c r="J47" s="80"/>
      <c r="K47" s="76" t="s">
        <v>71</v>
      </c>
      <c r="L47" s="69"/>
    </row>
    <row r="48" spans="1:12">
      <c r="B48" s="58"/>
      <c r="C48" s="65"/>
      <c r="D48" s="66"/>
      <c r="E48" s="9"/>
      <c r="F48" s="9"/>
      <c r="G48" s="77"/>
      <c r="H48" s="80" t="s">
        <v>75</v>
      </c>
      <c r="I48" s="80"/>
      <c r="J48" s="80"/>
      <c r="K48" s="76"/>
      <c r="L48" s="69"/>
    </row>
    <row r="49" spans="2:12" ht="42.75" customHeight="1">
      <c r="B49" s="58"/>
      <c r="C49" s="65"/>
      <c r="D49" s="66"/>
      <c r="E49" s="9"/>
      <c r="F49" s="9"/>
      <c r="G49" s="77" t="s">
        <v>68</v>
      </c>
      <c r="H49" s="80" t="s">
        <v>69</v>
      </c>
      <c r="I49" s="80"/>
      <c r="J49" s="80"/>
      <c r="K49" s="76" t="s">
        <v>72</v>
      </c>
      <c r="L49" s="69"/>
    </row>
    <row r="50" spans="2:12">
      <c r="B50" s="58"/>
      <c r="C50" s="65"/>
      <c r="D50" s="66"/>
      <c r="E50" s="9"/>
      <c r="F50" s="9"/>
      <c r="G50" s="9"/>
      <c r="H50" s="80" t="s">
        <v>76</v>
      </c>
      <c r="I50" s="80"/>
      <c r="J50" s="80"/>
      <c r="K50" s="68"/>
      <c r="L50" s="69"/>
    </row>
    <row r="51" spans="2:12">
      <c r="B51" s="58"/>
      <c r="C51" s="65"/>
      <c r="D51" s="66"/>
      <c r="E51" s="9"/>
      <c r="F51" s="9"/>
      <c r="G51" s="9"/>
      <c r="H51" s="9"/>
      <c r="I51" s="67"/>
      <c r="J51" s="68"/>
      <c r="K51" s="68"/>
      <c r="L51" s="69"/>
    </row>
  </sheetData>
  <mergeCells count="40">
    <mergeCell ref="J35:J36"/>
    <mergeCell ref="K35:K36"/>
    <mergeCell ref="L35:L36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A32:L32"/>
    <mergeCell ref="A33:L33"/>
    <mergeCell ref="L5:L6"/>
    <mergeCell ref="H20:J20"/>
    <mergeCell ref="H21:J21"/>
    <mergeCell ref="H22:J22"/>
    <mergeCell ref="H23:J23"/>
    <mergeCell ref="H24:J24"/>
    <mergeCell ref="H49:J49"/>
    <mergeCell ref="H50:J50"/>
    <mergeCell ref="H25:J25"/>
    <mergeCell ref="H45:J45"/>
    <mergeCell ref="H46:J46"/>
    <mergeCell ref="H47:J47"/>
    <mergeCell ref="H48:J48"/>
    <mergeCell ref="A34:L34"/>
    <mergeCell ref="A35:A36"/>
    <mergeCell ref="B35:B36"/>
    <mergeCell ref="C35:C36"/>
    <mergeCell ref="D35:D36"/>
    <mergeCell ref="E35:E36"/>
    <mergeCell ref="F35:F36"/>
    <mergeCell ref="G35:G36"/>
    <mergeCell ref="H35:I35"/>
  </mergeCells>
  <printOptions horizontalCentered="1"/>
  <pageMargins left="0.19685039370078741" right="0.19685039370078741" top="0.19685039370078741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ต้นฉบับ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2021-11-22T07:51:34Z</cp:lastPrinted>
  <dcterms:created xsi:type="dcterms:W3CDTF">2017-11-14T01:32:33Z</dcterms:created>
  <dcterms:modified xsi:type="dcterms:W3CDTF">2022-05-30T07:18:17Z</dcterms:modified>
</cp:coreProperties>
</file>