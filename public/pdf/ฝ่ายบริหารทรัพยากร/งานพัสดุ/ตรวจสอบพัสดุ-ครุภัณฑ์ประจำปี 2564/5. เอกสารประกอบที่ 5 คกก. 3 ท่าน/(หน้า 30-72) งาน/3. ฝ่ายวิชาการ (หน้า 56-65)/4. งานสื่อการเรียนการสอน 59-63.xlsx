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งาน\3. ฝ่ายวิชาการ\"/>
    </mc:Choice>
  </mc:AlternateContent>
  <bookViews>
    <workbookView xWindow="0" yWindow="0" windowWidth="24000" windowHeight="9495" tabRatio="897"/>
  </bookViews>
  <sheets>
    <sheet name="งานสือการเรียนการสอน" sheetId="46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32" i="46" l="1"/>
  <c r="K129" i="46"/>
  <c r="K130" i="46"/>
  <c r="K131" i="46"/>
  <c r="K128" i="46"/>
  <c r="K99" i="46"/>
  <c r="K100" i="46"/>
  <c r="K101" i="46"/>
  <c r="K102" i="46"/>
  <c r="K103" i="46"/>
  <c r="K104" i="46"/>
  <c r="K105" i="46"/>
  <c r="K106" i="46"/>
  <c r="K107" i="46"/>
  <c r="K98" i="46"/>
  <c r="K69" i="46"/>
  <c r="K70" i="46"/>
  <c r="K71" i="46"/>
  <c r="K72" i="46"/>
  <c r="K73" i="46"/>
  <c r="K74" i="46"/>
  <c r="K75" i="46"/>
  <c r="K76" i="46"/>
  <c r="K77" i="46"/>
  <c r="K68" i="46"/>
  <c r="K39" i="46"/>
  <c r="K40" i="46"/>
  <c r="K41" i="46"/>
  <c r="K42" i="46"/>
  <c r="K43" i="46"/>
  <c r="K44" i="46"/>
  <c r="K45" i="46"/>
  <c r="K46" i="46"/>
  <c r="K47" i="46"/>
  <c r="K38" i="46"/>
  <c r="K8" i="46"/>
  <c r="K9" i="46"/>
  <c r="K10" i="46"/>
  <c r="K11" i="46"/>
  <c r="K12" i="46"/>
  <c r="K13" i="46"/>
  <c r="K14" i="46"/>
  <c r="K15" i="46"/>
  <c r="K16" i="46"/>
  <c r="K7" i="46"/>
  <c r="K17" i="46" l="1"/>
  <c r="K37" i="46" s="1"/>
  <c r="K48" i="46" s="1"/>
  <c r="K67" i="46" s="1"/>
  <c r="K78" i="46" s="1"/>
  <c r="K97" i="46" s="1"/>
  <c r="K108" i="46" s="1"/>
  <c r="K127" i="46" s="1"/>
</calcChain>
</file>

<file path=xl/sharedStrings.xml><?xml version="1.0" encoding="utf-8"?>
<sst xmlns="http://schemas.openxmlformats.org/spreadsheetml/2006/main" count="389" uniqueCount="134">
  <si>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</si>
  <si>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</si>
  <si>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</si>
  <si>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</si>
  <si>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</si>
  <si>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</si>
  <si>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</si>
  <si>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</si>
  <si>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</si>
  <si>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</si>
  <si>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</si>
  <si>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</si>
  <si>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</si>
  <si>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</si>
  <si>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</si>
  <si>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</si>
  <si>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</si>
  <si>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</si>
  <si>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</si>
  <si>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ประจำปี 2564 สิ้นงวดเมื่อวันที่ 30 กันยายน 2564 ของงานสื่อการเรียนการสอน</t>
  </si>
  <si>
    <t>6730-002-0001/391-002</t>
  </si>
  <si>
    <t>จอรับภาพ 175 * 175</t>
  </si>
  <si>
    <t>6730-001-0002/391-001</t>
  </si>
  <si>
    <t>เครื่องฉายภาพทึบแสง</t>
  </si>
  <si>
    <t>5820-015-0003/391-001</t>
  </si>
  <si>
    <t>เครื่องวีดีโอแบบเล่นและบันทึกเทป</t>
  </si>
  <si>
    <t>5825-020-0001/391-001</t>
  </si>
  <si>
    <t>โทรทัศน์สี 20 "</t>
  </si>
  <si>
    <t>6710-004-0001/412-001</t>
  </si>
  <si>
    <t>กล้องบันทึกภาพ วีดีโอ</t>
  </si>
  <si>
    <t>6730-001-0001/412-001-003</t>
  </si>
  <si>
    <t>เครื่องฉายภาพข้ามศรีษะ</t>
  </si>
  <si>
    <t>6730-001-0001/442-004-007</t>
  </si>
  <si>
    <t>6730-002-0001/442-001-004</t>
  </si>
  <si>
    <t>5825-020-0001/444-001</t>
  </si>
  <si>
    <t>โทรทัศน์สี 29 "</t>
  </si>
  <si>
    <t>6720-008-0001/442-001</t>
  </si>
  <si>
    <t>กล้องสีครบชุด</t>
  </si>
  <si>
    <t>7110-002-0006/442-001</t>
  </si>
  <si>
    <t>ตู้บานเลื่อนกระจก ขนาด 4 ฟุต</t>
  </si>
  <si>
    <t>5820-015-0001/452-003</t>
  </si>
  <si>
    <t>วีดีโอ 2 หัวเทป/จูนเนอร์</t>
  </si>
  <si>
    <t>5820-015-0002/452-002</t>
  </si>
  <si>
    <t>วีดีโอ ซีวีดี ซีดี</t>
  </si>
  <si>
    <t>7730-006-0001/452-001-002</t>
  </si>
  <si>
    <t>เทปใบ้แบบคู่</t>
  </si>
  <si>
    <t>6730-001-0003/461-001</t>
  </si>
  <si>
    <t>เครื่องมัลติมีเดียโปรเจคเตอร์</t>
  </si>
  <si>
    <t>7440-001-0002/461-001</t>
  </si>
  <si>
    <t>COMPUTER NOTEBOOK เจ จี</t>
  </si>
  <si>
    <t>7440-010-0001/481-001</t>
  </si>
  <si>
    <t>ศูนย์การเรียนรู้ด้วยตัวเอง</t>
  </si>
  <si>
    <t>4210-001-0001/484-001</t>
  </si>
  <si>
    <t>เครื่องปรับอากาศชนิดแขวน 38000 บีทียู</t>
  </si>
  <si>
    <t>7440-001-0001/484-001-006</t>
  </si>
  <si>
    <t>เครื่องคอมพิวเตอร์</t>
  </si>
  <si>
    <t>6720-005-0002/492-007</t>
  </si>
  <si>
    <t>กล้องดิจิตอล  CANON</t>
  </si>
  <si>
    <t>6930-013-0001/521-001</t>
  </si>
  <si>
    <t>ชุดครุภัณฑ์ปฎิบัติการวิชาชีพพื้นฐานและวิชาชีพพื้นฐาน</t>
  </si>
  <si>
    <t>7110-006-0006/531-014</t>
  </si>
  <si>
    <t>เก้าอี้(ขาเหล็ก)  5  แฉก</t>
  </si>
  <si>
    <t>7110-006-0006/531-028</t>
  </si>
  <si>
    <t>ตู้เหล็ก  2  บานเปิด</t>
  </si>
  <si>
    <t>7110-007-0004/531-011</t>
  </si>
  <si>
    <t>โต๊ะเหล็ก  4  ฟุต</t>
  </si>
  <si>
    <t>7440-001-0001/531-072-100</t>
  </si>
  <si>
    <t>ชุดคอมพิวเตอร์ พร้อมโต๊ะเก้าอี้</t>
  </si>
  <si>
    <t>7440-001-0001/531-103-122</t>
  </si>
  <si>
    <t>เครื่องคอมพิวเตอร์พร้อมโต๊ะเก้าอี้</t>
  </si>
  <si>
    <t>6730-001-0003/531-005</t>
  </si>
  <si>
    <t>โปรเจคเตอร์</t>
  </si>
  <si>
    <t>7440-001-0001/531-153</t>
  </si>
  <si>
    <t>7440-001-0001/541-157-166</t>
  </si>
  <si>
    <t>7440-001-0001/541-167</t>
  </si>
  <si>
    <t>เครื่องคอมพิวเตอร์แม่ข่าย</t>
  </si>
  <si>
    <t>7110-006-0006/551-022-023</t>
  </si>
  <si>
    <t>เก้าอี้ประชุม</t>
  </si>
  <si>
    <t>7110-007-0016/551-001-005</t>
  </si>
  <si>
    <t>โต๊ะประชุมขนาด 400*250</t>
  </si>
  <si>
    <t>7110-006-0007/551-001-005</t>
  </si>
  <si>
    <t>เก้าอี้ประชุมแบบโยกได้</t>
  </si>
  <si>
    <t>711-006-0008/551-001-027</t>
  </si>
  <si>
    <t>เก้าอี้บุนวม</t>
  </si>
  <si>
    <t>6310-003-0001/551-001</t>
  </si>
  <si>
    <t>ตู้สาขาโทรศัพท์</t>
  </si>
  <si>
    <t>6730-001-0001/551-004</t>
  </si>
  <si>
    <t>โปรแจคเตอร์</t>
  </si>
  <si>
    <t>7110-006-0008/551-001-007</t>
  </si>
  <si>
    <t>7440-001-0001/551-173-179</t>
  </si>
  <si>
    <t xml:space="preserve">เครื่องคอมพิวเตอร์ </t>
  </si>
  <si>
    <t>7730-005-0001/566-009-012</t>
  </si>
  <si>
    <t>TV LG Phasma 50 นิ้ว PA4500</t>
  </si>
  <si>
    <t>6720-005-0003/566-001-002</t>
  </si>
  <si>
    <t>กล้องถ่ายภาพนิ่งความละเอียดสูง</t>
  </si>
  <si>
    <t>6720-005-002/566-001</t>
  </si>
  <si>
    <t>กล้องถ่ายภาพนิ่ง</t>
  </si>
  <si>
    <t>6760-004-0001/566-001</t>
  </si>
  <si>
    <t>เลนส์กล้องถ่ายภาพนิ่งระยะไกล</t>
  </si>
  <si>
    <t>6760-004-0002/566-001</t>
  </si>
  <si>
    <t>เลนส์กล้องถ่ายภาพนิ่ง</t>
  </si>
  <si>
    <t>6760-008-0001/566-001</t>
  </si>
  <si>
    <t>แฟลชกล้องถ่ายภาพนิ่ง 566-001</t>
  </si>
  <si>
    <t>งปม.</t>
  </si>
  <si>
    <t>บกศ.</t>
  </si>
  <si>
    <t>ปกอ.</t>
  </si>
  <si>
    <t>อุดหนุน</t>
  </si>
  <si>
    <t>-</t>
  </si>
  <si>
    <t>ไม่พบซาก</t>
  </si>
  <si>
    <t>ลงชื่อ</t>
  </si>
  <si>
    <t>.........................................................</t>
  </si>
  <si>
    <t>ประธานกรรมการ</t>
  </si>
  <si>
    <t>(นางสาวทราทิตย์  ชิดชม)</t>
  </si>
  <si>
    <t>กรรมการ</t>
  </si>
  <si>
    <t>(นางคนองรักษ์  ป้อมหิน)</t>
  </si>
  <si>
    <t>กรรมการและเลขานุการ</t>
  </si>
  <si>
    <t>(นายชินาธิป  พรมชา)</t>
  </si>
  <si>
    <t>เอกสารหมายเลข 59</t>
  </si>
  <si>
    <t>ยอดยกมา</t>
  </si>
  <si>
    <t>เอกสารหมายเลข 60</t>
  </si>
  <si>
    <t>ยอดยกไป</t>
  </si>
  <si>
    <t>เอกสารหมายเลข 61</t>
  </si>
  <si>
    <t>เอกสารหมายเลข 62</t>
  </si>
  <si>
    <t>เอกสารหมายเลข 63</t>
  </si>
  <si>
    <t>ชำรุดใช้งานไม่ได้ ห้องเก็บของพัสดุ</t>
  </si>
  <si>
    <t>ตู้เหล็กบานเลื่อนชำรุดปิดไม่ได้ (แผนกอิเล็กฯ)</t>
  </si>
  <si>
    <t>ชำรุดเปิดไม่ติด (อยู่ที่งานวิทยบริการฯ)</t>
  </si>
  <si>
    <t>ชำรุดเปิดไม่ติด (อยู่แผนกคอมฯ, อิเล็กฯ)</t>
  </si>
  <si>
    <t>ชำรุดประตูปิดไม่ได้ (อยู่แผนกอิเล็กฯ)</t>
  </si>
  <si>
    <t>ชำรุดเปิดไม่ติด (อยู่แผนกอิเล็กฯ)</t>
  </si>
  <si>
    <t>ชำรุดเปิดไม่ติด (อยู่แผนกคอมฯ)</t>
  </si>
  <si>
    <t>ชำรุดเปิดไม่ติด (อยู่งานทะเบียน)</t>
  </si>
  <si>
    <t>ชำรุดเก้าอี้พัง (ห้องเก็บของงานพัสดุ)</t>
  </si>
  <si>
    <t>ชำรุดใช้งานไม่ได้(ห้องใต้บันไดอาคารอำนวยการ)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</si>
</sst>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5"/>
      <color theme="1"/>
      <name val="TH SarabunPSK"/>
      <family val="2"/>
    </font>
    <font>
      <sz val="15"/>
      <name val="TH SarabunPSK"/>
      <family val="2"/>
    </font>
    <font>
      <sz val="16"/>
      <name val="Wingdings"/>
      <charset val="2"/>
    </font>
    <font>
      <b/>
      <sz val="15"/>
      <name val="TH SarabunPSK"/>
      <family val="2"/>
    </font>
    <font>
      <sz val="14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73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6" applyFont="1" applyBorder="1" applyAlignment="1">
      <alignment horizontal="left"/>
    </xf>
    <xf numFmtId="0" fontId="9" fillId="0" borderId="1" xfId="6" applyFont="1" applyBorder="1"/>
    <xf numFmtId="49" fontId="9" fillId="0" borderId="1" xfId="6" applyNumberFormat="1" applyFont="1" applyBorder="1" applyAlignment="1">
      <alignment horizontal="left"/>
    </xf>
    <xf numFmtId="0" fontId="9" fillId="0" borderId="1" xfId="6" applyFont="1" applyFill="1" applyBorder="1" applyAlignment="1">
      <alignment horizontal="left"/>
    </xf>
    <xf numFmtId="0" fontId="9" fillId="0" borderId="1" xfId="6" applyFont="1" applyFill="1" applyBorder="1"/>
    <xf numFmtId="0" fontId="9" fillId="0" borderId="1" xfId="6" applyFont="1" applyBorder="1" applyAlignment="1"/>
    <xf numFmtId="0" fontId="8" fillId="0" borderId="2" xfId="0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0" fontId="9" fillId="0" borderId="5" xfId="2" applyFont="1" applyBorder="1" applyAlignment="1">
      <alignment horizontal="center"/>
    </xf>
    <xf numFmtId="43" fontId="9" fillId="0" borderId="1" xfId="1" applyFont="1" applyBorder="1"/>
    <xf numFmtId="43" fontId="9" fillId="0" borderId="1" xfId="1" applyFont="1" applyBorder="1" applyAlignment="1">
      <alignment horizontal="center"/>
    </xf>
    <xf numFmtId="43" fontId="9" fillId="0" borderId="1" xfId="1" applyFont="1" applyBorder="1" applyAlignment="1"/>
    <xf numFmtId="43" fontId="3" fillId="0" borderId="1" xfId="11" applyNumberFormat="1" applyFont="1" applyBorder="1" applyAlignment="1">
      <alignment horizontal="left"/>
    </xf>
    <xf numFmtId="43" fontId="3" fillId="0" borderId="1" xfId="11" applyNumberFormat="1" applyFont="1" applyBorder="1" applyAlignment="1"/>
    <xf numFmtId="0" fontId="4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9" fillId="0" borderId="0" xfId="6" applyFont="1" applyBorder="1" applyAlignment="1">
      <alignment horizontal="left"/>
    </xf>
    <xf numFmtId="0" fontId="9" fillId="0" borderId="0" xfId="6" applyFont="1" applyBorder="1"/>
    <xf numFmtId="0" fontId="9" fillId="0" borderId="0" xfId="2" applyFont="1" applyBorder="1" applyAlignment="1">
      <alignment horizontal="center"/>
    </xf>
    <xf numFmtId="0" fontId="3" fillId="0" borderId="0" xfId="6" applyFont="1" applyBorder="1" applyAlignment="1">
      <alignment horizontal="center"/>
    </xf>
    <xf numFmtId="43" fontId="9" fillId="0" borderId="0" xfId="1" applyFont="1" applyBorder="1"/>
    <xf numFmtId="43" fontId="3" fillId="0" borderId="0" xfId="11" applyNumberFormat="1" applyFont="1" applyBorder="1" applyAlignment="1">
      <alignment horizontal="left"/>
    </xf>
    <xf numFmtId="0" fontId="8" fillId="0" borderId="6" xfId="0" applyFont="1" applyBorder="1" applyAlignment="1">
      <alignment horizontal="center"/>
    </xf>
    <xf numFmtId="0" fontId="9" fillId="0" borderId="6" xfId="6" applyFont="1" applyBorder="1" applyAlignment="1">
      <alignment horizontal="left"/>
    </xf>
    <xf numFmtId="0" fontId="9" fillId="0" borderId="6" xfId="6" applyFont="1" applyBorder="1"/>
    <xf numFmtId="0" fontId="9" fillId="0" borderId="6" xfId="2" applyFont="1" applyBorder="1" applyAlignment="1">
      <alignment horizontal="center"/>
    </xf>
    <xf numFmtId="0" fontId="3" fillId="0" borderId="6" xfId="2" applyFont="1" applyBorder="1" applyAlignment="1">
      <alignment horizontal="center"/>
    </xf>
    <xf numFmtId="0" fontId="3" fillId="0" borderId="6" xfId="6" applyFont="1" applyBorder="1" applyAlignment="1">
      <alignment horizontal="center"/>
    </xf>
    <xf numFmtId="43" fontId="3" fillId="0" borderId="6" xfId="11" applyNumberFormat="1" applyFont="1" applyBorder="1" applyAlignment="1">
      <alignment horizontal="left"/>
    </xf>
    <xf numFmtId="43" fontId="11" fillId="0" borderId="6" xfId="1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43" fontId="11" fillId="0" borderId="1" xfId="1" applyFont="1" applyBorder="1" applyAlignment="1">
      <alignment horizontal="center"/>
    </xf>
    <xf numFmtId="0" fontId="9" fillId="0" borderId="6" xfId="6" applyFont="1" applyFill="1" applyBorder="1" applyAlignment="1">
      <alignment horizontal="left"/>
    </xf>
    <xf numFmtId="0" fontId="9" fillId="0" borderId="6" xfId="6" applyFont="1" applyFill="1" applyBorder="1"/>
    <xf numFmtId="43" fontId="10" fillId="0" borderId="6" xfId="11" applyNumberFormat="1" applyFont="1" applyBorder="1" applyAlignment="1">
      <alignment horizontal="left"/>
    </xf>
    <xf numFmtId="0" fontId="4" fillId="2" borderId="1" xfId="0" applyFont="1" applyFill="1" applyBorder="1" applyAlignment="1"/>
    <xf numFmtId="43" fontId="11" fillId="0" borderId="6" xfId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8" applyFont="1" applyAlignment="1">
      <alignment horizontal="center" vertical="center"/>
    </xf>
    <xf numFmtId="0" fontId="5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43" fontId="12" fillId="0" borderId="1" xfId="11" applyNumberFormat="1" applyFont="1" applyBorder="1" applyAlignment="1">
      <alignment horizontal="left"/>
    </xf>
    <xf numFmtId="43" fontId="12" fillId="0" borderId="1" xfId="11" applyNumberFormat="1" applyFont="1" applyBorder="1" applyAlignment="1"/>
  </cellXfs>
  <cellStyles count="13">
    <cellStyle name="เครื่องหมายจุลภาค" xfId="1" builtinId="3"/>
    <cellStyle name="เครื่องหมายจุลภาค 9" xfId="11"/>
    <cellStyle name="ปกติ" xfId="0" builtinId="0"/>
    <cellStyle name="ปกติ 10" xfId="4"/>
    <cellStyle name="ปกติ 12" xfId="7"/>
    <cellStyle name="ปกติ 14" xfId="3"/>
    <cellStyle name="ปกติ 19" xfId="12"/>
    <cellStyle name="ปกติ 21" xfId="2"/>
    <cellStyle name="ปกติ 22" xfId="5"/>
    <cellStyle name="ปกติ 3" xfId="8"/>
    <cellStyle name="ปกติ 4" xfId="9"/>
    <cellStyle name="ปกติ 5" xfId="10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1362074</xdr:colOff>
      <xdr:row>49</xdr:row>
      <xdr:rowOff>28578</xdr:rowOff>
    </xdr:from>
    <xdr:to>
      <xdr:col>11</xdr:col>
      <xdr:colOff>1685924</xdr:colOff>
      <xdr:row>53</xdr:row>
      <xdr:rowOff>57150</xdr:rowOff>
    </xdr:to>
    <xdr:sp macro="" textlink="">
      <xdr:nvSpPr>
        <xdr:cNvPr id="2" name="กล่องข้อความ 1"/>
        <xdr:cNvSpPr txBox="1"/>
      </xdr:nvSpPr>
      <xdr:spPr>
        <a:xfrm rot="5400000">
          <a:off x="11806238" y="16692564"/>
          <a:ext cx="1457322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1362075</xdr:colOff>
      <xdr:row>18</xdr:row>
      <xdr:rowOff>19052</xdr:rowOff>
    </xdr:from>
    <xdr:to>
      <xdr:col>11</xdr:col>
      <xdr:colOff>1666873</xdr:colOff>
      <xdr:row>22</xdr:row>
      <xdr:rowOff>9528</xdr:rowOff>
    </xdr:to>
    <xdr:sp macro="" textlink="">
      <xdr:nvSpPr>
        <xdr:cNvPr id="3" name="กล่องข้อความ 2"/>
        <xdr:cNvSpPr txBox="1"/>
      </xdr:nvSpPr>
      <xdr:spPr>
        <a:xfrm rot="5400000">
          <a:off x="11830048" y="6429379"/>
          <a:ext cx="1390651" cy="3047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1438274</xdr:colOff>
      <xdr:row>79</xdr:row>
      <xdr:rowOff>19052</xdr:rowOff>
    </xdr:from>
    <xdr:to>
      <xdr:col>11</xdr:col>
      <xdr:colOff>1762124</xdr:colOff>
      <xdr:row>83</xdr:row>
      <xdr:rowOff>76199</xdr:rowOff>
    </xdr:to>
    <xdr:sp macro="" textlink="">
      <xdr:nvSpPr>
        <xdr:cNvPr id="4" name="กล่องข้อความ 3"/>
        <xdr:cNvSpPr txBox="1"/>
      </xdr:nvSpPr>
      <xdr:spPr>
        <a:xfrm rot="5400000">
          <a:off x="11925300" y="26546176"/>
          <a:ext cx="1371597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1438274</xdr:colOff>
      <xdr:row>109</xdr:row>
      <xdr:rowOff>19054</xdr:rowOff>
    </xdr:from>
    <xdr:to>
      <xdr:col>11</xdr:col>
      <xdr:colOff>1762124</xdr:colOff>
      <xdr:row>113</xdr:row>
      <xdr:rowOff>47628</xdr:rowOff>
    </xdr:to>
    <xdr:sp macro="" textlink="">
      <xdr:nvSpPr>
        <xdr:cNvPr id="5" name="กล่องข้อความ 4"/>
        <xdr:cNvSpPr txBox="1"/>
      </xdr:nvSpPr>
      <xdr:spPr>
        <a:xfrm rot="5400000">
          <a:off x="11915774" y="36299779"/>
          <a:ext cx="1390649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1323974</xdr:colOff>
      <xdr:row>133</xdr:row>
      <xdr:rowOff>9530</xdr:rowOff>
    </xdr:from>
    <xdr:to>
      <xdr:col>11</xdr:col>
      <xdr:colOff>1647824</xdr:colOff>
      <xdr:row>137</xdr:row>
      <xdr:rowOff>38103</xdr:rowOff>
    </xdr:to>
    <xdr:sp macro="" textlink="">
      <xdr:nvSpPr>
        <xdr:cNvPr id="6" name="กล่องข้อความ 5"/>
        <xdr:cNvSpPr txBox="1"/>
      </xdr:nvSpPr>
      <xdr:spPr>
        <a:xfrm rot="5400000">
          <a:off x="11791950" y="44310304"/>
          <a:ext cx="1409698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140"/>
  <sheetViews>
    <sheetView tabSelected="1" zoomScaleNormal="100" zoomScaleSheetLayoutView="100" workbookViewId="0">
      <selection activeCell="N3" sqref="N3"/>
    </sheetView>
  </sheetViews>
  <sheetFormatPr defaultColWidth="9" defaultRowHeight="24"/>
  <cols>
    <col min="1" max="1" width="6.140625" style="1" customWidth="1"/>
    <col min="2" max="2" width="11.140625" style="15" customWidth="1"/>
    <col min="3" max="3" width="27.42578125" style="9" customWidth="1"/>
    <col min="4" max="4" width="42.85546875" style="1" customWidth="1"/>
    <col min="5" max="5" width="7.5703125" style="1" customWidth="1"/>
    <col min="6" max="6" width="8.5703125" style="1" customWidth="1"/>
    <col min="7" max="7" width="7.7109375" style="1" customWidth="1"/>
    <col min="8" max="8" width="8" style="1" customWidth="1"/>
    <col min="9" max="9" width="7.85546875" style="1" customWidth="1"/>
    <col min="10" max="10" width="14.140625" style="1" customWidth="1"/>
    <col min="11" max="11" width="15.7109375" style="1" customWidth="1"/>
    <col min="12" max="12" width="35.5703125" style="15" customWidth="1"/>
    <col min="13" max="16384" width="9" style="1"/>
  </cols>
  <sheetData>
    <row r="1" spans="1:12">
      <c r="L1" s="15" t="s">
        <v>117</v>
      </c>
    </row>
    <row r="2" spans="1:12">
      <c r="A2" s="55" t="s">
        <v>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>
      <c r="A3" s="56" t="s">
        <v>6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</row>
    <row r="4" spans="1:12">
      <c r="A4" s="57" t="s">
        <v>19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</row>
    <row r="5" spans="1:12" ht="28.5" customHeight="1">
      <c r="A5" s="58" t="s">
        <v>7</v>
      </c>
      <c r="B5" s="58" t="s">
        <v>18</v>
      </c>
      <c r="C5" s="58" t="s">
        <v>15</v>
      </c>
      <c r="D5" s="60" t="s">
        <v>0</v>
      </c>
      <c r="E5" s="58" t="s">
        <v>10</v>
      </c>
      <c r="F5" s="58" t="s">
        <v>9</v>
      </c>
      <c r="G5" s="62" t="s">
        <v>11</v>
      </c>
      <c r="H5" s="65" t="s">
        <v>1</v>
      </c>
      <c r="I5" s="66"/>
      <c r="J5" s="58" t="s">
        <v>14</v>
      </c>
      <c r="K5" s="58" t="s">
        <v>8</v>
      </c>
      <c r="L5" s="58" t="s">
        <v>13</v>
      </c>
    </row>
    <row r="6" spans="1:12" ht="48" customHeight="1">
      <c r="A6" s="59"/>
      <c r="B6" s="59"/>
      <c r="C6" s="59"/>
      <c r="D6" s="61"/>
      <c r="E6" s="59"/>
      <c r="F6" s="59"/>
      <c r="G6" s="63"/>
      <c r="H6" s="6" t="s">
        <v>12</v>
      </c>
      <c r="I6" s="5" t="s">
        <v>3</v>
      </c>
      <c r="J6" s="59"/>
      <c r="K6" s="59"/>
      <c r="L6" s="59"/>
    </row>
    <row r="7" spans="1:12">
      <c r="A7" s="17">
        <v>1</v>
      </c>
      <c r="B7" s="17">
        <v>2539</v>
      </c>
      <c r="C7" s="18" t="s">
        <v>20</v>
      </c>
      <c r="D7" s="18" t="s">
        <v>21</v>
      </c>
      <c r="E7" s="25" t="s">
        <v>103</v>
      </c>
      <c r="F7" s="2">
        <v>25</v>
      </c>
      <c r="G7" s="2" t="s">
        <v>107</v>
      </c>
      <c r="H7" s="2">
        <v>1</v>
      </c>
      <c r="I7" s="3">
        <v>1</v>
      </c>
      <c r="J7" s="27">
        <v>3600</v>
      </c>
      <c r="K7" s="27">
        <f>SUM(I7*J7)</f>
        <v>3600</v>
      </c>
      <c r="L7" s="30" t="s">
        <v>124</v>
      </c>
    </row>
    <row r="8" spans="1:12">
      <c r="A8" s="17">
        <v>2</v>
      </c>
      <c r="B8" s="17">
        <v>2539</v>
      </c>
      <c r="C8" s="18" t="s">
        <v>22</v>
      </c>
      <c r="D8" s="18" t="s">
        <v>23</v>
      </c>
      <c r="E8" s="25" t="s">
        <v>103</v>
      </c>
      <c r="F8" s="2">
        <v>25</v>
      </c>
      <c r="G8" s="2" t="s">
        <v>107</v>
      </c>
      <c r="H8" s="2">
        <v>1</v>
      </c>
      <c r="I8" s="3">
        <v>1</v>
      </c>
      <c r="J8" s="27">
        <v>45000</v>
      </c>
      <c r="K8" s="27">
        <f t="shared" ref="K8:K16" si="0">SUM(I8*J8)</f>
        <v>45000</v>
      </c>
      <c r="L8" s="30" t="s">
        <v>108</v>
      </c>
    </row>
    <row r="9" spans="1:12">
      <c r="A9" s="17">
        <v>3</v>
      </c>
      <c r="B9" s="17">
        <v>2539</v>
      </c>
      <c r="C9" s="18" t="s">
        <v>24</v>
      </c>
      <c r="D9" s="19" t="s">
        <v>25</v>
      </c>
      <c r="E9" s="25" t="s">
        <v>103</v>
      </c>
      <c r="F9" s="2">
        <v>25</v>
      </c>
      <c r="G9" s="2" t="s">
        <v>107</v>
      </c>
      <c r="H9" s="2">
        <v>1</v>
      </c>
      <c r="I9" s="3">
        <v>1</v>
      </c>
      <c r="J9" s="27">
        <v>8500</v>
      </c>
      <c r="K9" s="27">
        <f t="shared" si="0"/>
        <v>8500</v>
      </c>
      <c r="L9" s="30" t="s">
        <v>108</v>
      </c>
    </row>
    <row r="10" spans="1:12">
      <c r="A10" s="17">
        <v>4</v>
      </c>
      <c r="B10" s="17">
        <v>2539</v>
      </c>
      <c r="C10" s="18" t="s">
        <v>26</v>
      </c>
      <c r="D10" s="19" t="s">
        <v>27</v>
      </c>
      <c r="E10" s="25" t="s">
        <v>103</v>
      </c>
      <c r="F10" s="2">
        <v>25</v>
      </c>
      <c r="G10" s="2" t="s">
        <v>107</v>
      </c>
      <c r="H10" s="2">
        <v>1</v>
      </c>
      <c r="I10" s="3">
        <v>1</v>
      </c>
      <c r="J10" s="27">
        <v>9000</v>
      </c>
      <c r="K10" s="27">
        <f t="shared" si="0"/>
        <v>9000</v>
      </c>
      <c r="L10" s="30" t="s">
        <v>108</v>
      </c>
    </row>
    <row r="11" spans="1:12">
      <c r="A11" s="17">
        <v>5</v>
      </c>
      <c r="B11" s="17">
        <v>2541</v>
      </c>
      <c r="C11" s="18" t="s">
        <v>28</v>
      </c>
      <c r="D11" s="19" t="s">
        <v>29</v>
      </c>
      <c r="E11" s="25" t="s">
        <v>104</v>
      </c>
      <c r="F11" s="2">
        <v>23</v>
      </c>
      <c r="G11" s="2" t="s">
        <v>107</v>
      </c>
      <c r="H11" s="2">
        <v>1</v>
      </c>
      <c r="I11" s="3">
        <v>1</v>
      </c>
      <c r="J11" s="27">
        <v>53900</v>
      </c>
      <c r="K11" s="27">
        <f t="shared" si="0"/>
        <v>53900</v>
      </c>
      <c r="L11" s="30" t="s">
        <v>108</v>
      </c>
    </row>
    <row r="12" spans="1:12">
      <c r="A12" s="17">
        <v>6</v>
      </c>
      <c r="B12" s="17">
        <v>2541</v>
      </c>
      <c r="C12" s="18" t="s">
        <v>30</v>
      </c>
      <c r="D12" s="18" t="s">
        <v>31</v>
      </c>
      <c r="E12" s="25" t="s">
        <v>104</v>
      </c>
      <c r="F12" s="2">
        <v>23</v>
      </c>
      <c r="G12" s="2" t="s">
        <v>107</v>
      </c>
      <c r="H12" s="2">
        <v>3</v>
      </c>
      <c r="I12" s="3">
        <v>3</v>
      </c>
      <c r="J12" s="27">
        <v>9400</v>
      </c>
      <c r="K12" s="27">
        <f t="shared" si="0"/>
        <v>28200</v>
      </c>
      <c r="L12" s="30" t="s">
        <v>108</v>
      </c>
    </row>
    <row r="13" spans="1:12">
      <c r="A13" s="17">
        <v>7</v>
      </c>
      <c r="B13" s="17">
        <v>2544</v>
      </c>
      <c r="C13" s="18" t="s">
        <v>32</v>
      </c>
      <c r="D13" s="18" t="s">
        <v>31</v>
      </c>
      <c r="E13" s="25" t="s">
        <v>104</v>
      </c>
      <c r="F13" s="2">
        <v>20</v>
      </c>
      <c r="G13" s="2" t="s">
        <v>107</v>
      </c>
      <c r="H13" s="2">
        <v>4</v>
      </c>
      <c r="I13" s="3">
        <v>4</v>
      </c>
      <c r="J13" s="27">
        <v>7650</v>
      </c>
      <c r="K13" s="27">
        <f t="shared" si="0"/>
        <v>30600</v>
      </c>
      <c r="L13" s="30" t="s">
        <v>108</v>
      </c>
    </row>
    <row r="14" spans="1:12">
      <c r="A14" s="17">
        <v>8</v>
      </c>
      <c r="B14" s="17">
        <v>2544</v>
      </c>
      <c r="C14" s="18" t="s">
        <v>33</v>
      </c>
      <c r="D14" s="18" t="s">
        <v>21</v>
      </c>
      <c r="E14" s="25" t="s">
        <v>104</v>
      </c>
      <c r="F14" s="2">
        <v>20</v>
      </c>
      <c r="G14" s="2" t="s">
        <v>107</v>
      </c>
      <c r="H14" s="2">
        <v>4</v>
      </c>
      <c r="I14" s="3">
        <v>4</v>
      </c>
      <c r="J14" s="27">
        <v>3600</v>
      </c>
      <c r="K14" s="27">
        <f t="shared" si="0"/>
        <v>14400</v>
      </c>
      <c r="L14" s="30" t="s">
        <v>108</v>
      </c>
    </row>
    <row r="15" spans="1:12">
      <c r="A15" s="17">
        <v>9</v>
      </c>
      <c r="B15" s="17">
        <v>2544</v>
      </c>
      <c r="C15" s="18" t="s">
        <v>34</v>
      </c>
      <c r="D15" s="19" t="s">
        <v>35</v>
      </c>
      <c r="E15" s="25" t="s">
        <v>105</v>
      </c>
      <c r="F15" s="2">
        <v>20</v>
      </c>
      <c r="G15" s="2" t="s">
        <v>107</v>
      </c>
      <c r="H15" s="2">
        <v>1</v>
      </c>
      <c r="I15" s="3">
        <v>1</v>
      </c>
      <c r="J15" s="27">
        <v>15500</v>
      </c>
      <c r="K15" s="27">
        <f t="shared" si="0"/>
        <v>15500</v>
      </c>
      <c r="L15" s="30" t="s">
        <v>108</v>
      </c>
    </row>
    <row r="16" spans="1:12">
      <c r="A16" s="17">
        <v>10</v>
      </c>
      <c r="B16" s="17">
        <v>2544</v>
      </c>
      <c r="C16" s="18" t="s">
        <v>36</v>
      </c>
      <c r="D16" s="19" t="s">
        <v>37</v>
      </c>
      <c r="E16" s="25" t="s">
        <v>104</v>
      </c>
      <c r="F16" s="2">
        <v>20</v>
      </c>
      <c r="G16" s="2" t="s">
        <v>107</v>
      </c>
      <c r="H16" s="2">
        <v>1</v>
      </c>
      <c r="I16" s="3">
        <v>1</v>
      </c>
      <c r="J16" s="27">
        <v>8700</v>
      </c>
      <c r="K16" s="27">
        <f t="shared" si="0"/>
        <v>8700</v>
      </c>
      <c r="L16" s="30" t="s">
        <v>108</v>
      </c>
    </row>
    <row r="17" spans="1:12" ht="24.75" thickBot="1">
      <c r="A17" s="40"/>
      <c r="B17" s="40"/>
      <c r="C17" s="41"/>
      <c r="D17" s="42"/>
      <c r="E17" s="43"/>
      <c r="F17" s="44"/>
      <c r="G17" s="44"/>
      <c r="H17" s="44"/>
      <c r="I17" s="45"/>
      <c r="J17" s="47" t="s">
        <v>120</v>
      </c>
      <c r="K17" s="47">
        <f>SUM(K7:K16)</f>
        <v>217400</v>
      </c>
      <c r="L17" s="46"/>
    </row>
    <row r="18" spans="1:12" s="4" customFormat="1" ht="24.75" thickTop="1">
      <c r="A18" s="33"/>
      <c r="B18" s="13" t="s">
        <v>2</v>
      </c>
      <c r="C18" s="8" t="s">
        <v>16</v>
      </c>
      <c r="D18" s="16"/>
      <c r="E18" s="16"/>
      <c r="F18" s="16"/>
      <c r="G18" s="16"/>
      <c r="H18" s="16"/>
      <c r="I18" s="12"/>
      <c r="J18" s="11"/>
      <c r="K18" s="11"/>
      <c r="L18" s="32"/>
    </row>
    <row r="19" spans="1:12" s="4" customFormat="1">
      <c r="A19" s="33"/>
      <c r="B19" s="13"/>
      <c r="C19" s="8" t="s">
        <v>17</v>
      </c>
      <c r="I19" s="12"/>
      <c r="L19" s="32"/>
    </row>
    <row r="20" spans="1:12" s="4" customFormat="1">
      <c r="A20" s="33"/>
      <c r="B20" s="32"/>
      <c r="C20" s="8"/>
      <c r="G20" s="48" t="s">
        <v>109</v>
      </c>
      <c r="H20" s="64" t="s">
        <v>110</v>
      </c>
      <c r="I20" s="64"/>
      <c r="J20" s="64"/>
      <c r="K20" s="8" t="s">
        <v>111</v>
      </c>
      <c r="L20" s="10"/>
    </row>
    <row r="21" spans="1:12" s="4" customFormat="1">
      <c r="A21" s="33"/>
      <c r="B21" s="32"/>
      <c r="C21" s="8"/>
      <c r="G21" s="48"/>
      <c r="H21" s="64" t="s">
        <v>112</v>
      </c>
      <c r="I21" s="64"/>
      <c r="J21" s="64"/>
      <c r="K21" s="8"/>
      <c r="L21" s="10"/>
    </row>
    <row r="22" spans="1:12" s="4" customFormat="1" ht="38.25" customHeight="1">
      <c r="A22" s="33"/>
      <c r="B22" s="32"/>
      <c r="C22" s="8"/>
      <c r="G22" s="48" t="s">
        <v>109</v>
      </c>
      <c r="H22" s="64" t="s">
        <v>110</v>
      </c>
      <c r="I22" s="64"/>
      <c r="J22" s="64"/>
      <c r="K22" s="8" t="s">
        <v>113</v>
      </c>
      <c r="L22" s="10"/>
    </row>
    <row r="23" spans="1:12" s="4" customFormat="1">
      <c r="A23" s="33"/>
      <c r="B23" s="32"/>
      <c r="C23" s="8"/>
      <c r="G23" s="48"/>
      <c r="H23" s="64" t="s">
        <v>114</v>
      </c>
      <c r="I23" s="64"/>
      <c r="J23" s="64"/>
      <c r="K23" s="8"/>
      <c r="L23" s="32"/>
    </row>
    <row r="24" spans="1:12" s="4" customFormat="1" ht="45.75" customHeight="1">
      <c r="A24" s="33"/>
      <c r="B24" s="32"/>
      <c r="C24" s="8"/>
      <c r="G24" s="48" t="s">
        <v>109</v>
      </c>
      <c r="H24" s="64" t="s">
        <v>110</v>
      </c>
      <c r="I24" s="64"/>
      <c r="J24" s="64"/>
      <c r="K24" s="8" t="s">
        <v>115</v>
      </c>
      <c r="L24" s="32"/>
    </row>
    <row r="25" spans="1:12" s="4" customFormat="1">
      <c r="A25" s="33"/>
      <c r="B25" s="32"/>
      <c r="C25" s="8"/>
      <c r="H25" s="64" t="s">
        <v>116</v>
      </c>
      <c r="I25" s="64"/>
      <c r="J25" s="64"/>
      <c r="L25" s="32"/>
    </row>
    <row r="26" spans="1:12" s="4" customFormat="1">
      <c r="A26" s="33"/>
      <c r="B26" s="33"/>
      <c r="C26" s="34"/>
      <c r="D26" s="35"/>
      <c r="E26" s="36"/>
      <c r="F26" s="12"/>
      <c r="G26" s="12"/>
      <c r="H26" s="12"/>
      <c r="I26" s="37"/>
      <c r="J26" s="38"/>
      <c r="K26" s="38"/>
      <c r="L26" s="39"/>
    </row>
    <row r="27" spans="1:12" s="4" customFormat="1">
      <c r="A27" s="33"/>
      <c r="B27" s="33"/>
      <c r="C27" s="34"/>
      <c r="D27" s="35"/>
      <c r="E27" s="36"/>
      <c r="F27" s="12"/>
      <c r="G27" s="12"/>
      <c r="H27" s="12"/>
      <c r="I27" s="37"/>
      <c r="J27" s="38"/>
      <c r="K27" s="38"/>
      <c r="L27" s="39"/>
    </row>
    <row r="28" spans="1:12" s="4" customFormat="1">
      <c r="A28" s="33"/>
      <c r="B28" s="33"/>
      <c r="C28" s="34"/>
      <c r="D28" s="35"/>
      <c r="E28" s="36"/>
      <c r="F28" s="12"/>
      <c r="G28" s="12"/>
      <c r="H28" s="12"/>
      <c r="I28" s="37"/>
      <c r="J28" s="38"/>
      <c r="K28" s="38"/>
      <c r="L28" s="39"/>
    </row>
    <row r="29" spans="1:12" s="4" customFormat="1">
      <c r="A29" s="33"/>
      <c r="B29" s="33"/>
      <c r="C29" s="34"/>
      <c r="D29" s="35"/>
      <c r="E29" s="36"/>
      <c r="F29" s="12"/>
      <c r="G29" s="12"/>
      <c r="H29" s="12"/>
      <c r="I29" s="37"/>
      <c r="J29" s="38"/>
      <c r="K29" s="38"/>
      <c r="L29" s="39"/>
    </row>
    <row r="30" spans="1:12" s="4" customFormat="1">
      <c r="A30" s="33"/>
      <c r="B30" s="33"/>
      <c r="C30" s="34"/>
      <c r="D30" s="35"/>
      <c r="E30" s="36"/>
      <c r="F30" s="12"/>
      <c r="G30" s="12"/>
      <c r="H30" s="12"/>
      <c r="I30" s="37"/>
      <c r="J30" s="38"/>
      <c r="K30" s="38"/>
      <c r="L30" s="39"/>
    </row>
    <row r="31" spans="1:12" s="4" customFormat="1">
      <c r="A31" s="1"/>
      <c r="B31" s="15"/>
      <c r="C31" s="9"/>
      <c r="D31" s="1"/>
      <c r="E31" s="1"/>
      <c r="F31" s="1"/>
      <c r="G31" s="1"/>
      <c r="H31" s="1"/>
      <c r="I31" s="1"/>
      <c r="J31" s="1"/>
      <c r="K31" s="1"/>
      <c r="L31" s="15" t="s">
        <v>119</v>
      </c>
    </row>
    <row r="32" spans="1:12" s="4" customFormat="1">
      <c r="A32" s="55" t="s">
        <v>5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</row>
    <row r="33" spans="1:12" s="4" customFormat="1">
      <c r="A33" s="56" t="s">
        <v>6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</row>
    <row r="34" spans="1:12" s="4" customFormat="1">
      <c r="A34" s="57" t="s">
        <v>19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</row>
    <row r="35" spans="1:12" s="4" customFormat="1">
      <c r="A35" s="67" t="s">
        <v>7</v>
      </c>
      <c r="B35" s="67" t="s">
        <v>18</v>
      </c>
      <c r="C35" s="67" t="s">
        <v>15</v>
      </c>
      <c r="D35" s="68" t="s">
        <v>0</v>
      </c>
      <c r="E35" s="67" t="s">
        <v>10</v>
      </c>
      <c r="F35" s="67" t="s">
        <v>9</v>
      </c>
      <c r="G35" s="69" t="s">
        <v>11</v>
      </c>
      <c r="H35" s="68" t="s">
        <v>1</v>
      </c>
      <c r="I35" s="68"/>
      <c r="J35" s="67" t="s">
        <v>14</v>
      </c>
      <c r="K35" s="67" t="s">
        <v>8</v>
      </c>
      <c r="L35" s="67" t="s">
        <v>13</v>
      </c>
    </row>
    <row r="36" spans="1:12" s="4" customFormat="1" ht="48">
      <c r="A36" s="67"/>
      <c r="B36" s="67"/>
      <c r="C36" s="67"/>
      <c r="D36" s="68"/>
      <c r="E36" s="67"/>
      <c r="F36" s="67"/>
      <c r="G36" s="69"/>
      <c r="H36" s="6" t="s">
        <v>12</v>
      </c>
      <c r="I36" s="5" t="s">
        <v>3</v>
      </c>
      <c r="J36" s="67"/>
      <c r="K36" s="67"/>
      <c r="L36" s="67"/>
    </row>
    <row r="37" spans="1:12">
      <c r="A37" s="17"/>
      <c r="B37" s="17"/>
      <c r="C37" s="18"/>
      <c r="D37" s="19"/>
      <c r="E37" s="25"/>
      <c r="F37" s="2"/>
      <c r="G37" s="2"/>
      <c r="H37" s="2"/>
      <c r="I37" s="3"/>
      <c r="J37" s="49" t="s">
        <v>118</v>
      </c>
      <c r="K37" s="49">
        <f>SUM(K17)</f>
        <v>217400</v>
      </c>
      <c r="L37" s="30"/>
    </row>
    <row r="38" spans="1:12">
      <c r="A38" s="17">
        <v>11</v>
      </c>
      <c r="B38" s="17">
        <v>2544</v>
      </c>
      <c r="C38" s="18" t="s">
        <v>38</v>
      </c>
      <c r="D38" s="19" t="s">
        <v>39</v>
      </c>
      <c r="E38" s="25" t="s">
        <v>104</v>
      </c>
      <c r="F38" s="2">
        <v>20</v>
      </c>
      <c r="G38" s="2" t="s">
        <v>107</v>
      </c>
      <c r="H38" s="2">
        <v>1</v>
      </c>
      <c r="I38" s="3">
        <v>1</v>
      </c>
      <c r="J38" s="27">
        <v>3000</v>
      </c>
      <c r="K38" s="27">
        <f>SUM(I38*J38)</f>
        <v>3000</v>
      </c>
      <c r="L38" s="30" t="s">
        <v>108</v>
      </c>
    </row>
    <row r="39" spans="1:12">
      <c r="A39" s="17">
        <v>12</v>
      </c>
      <c r="B39" s="17">
        <v>2545</v>
      </c>
      <c r="C39" s="18" t="s">
        <v>40</v>
      </c>
      <c r="D39" s="19" t="s">
        <v>41</v>
      </c>
      <c r="E39" s="25" t="s">
        <v>104</v>
      </c>
      <c r="F39" s="2">
        <v>19</v>
      </c>
      <c r="G39" s="2" t="s">
        <v>107</v>
      </c>
      <c r="H39" s="2">
        <v>1</v>
      </c>
      <c r="I39" s="3">
        <v>1</v>
      </c>
      <c r="J39" s="27">
        <v>5990</v>
      </c>
      <c r="K39" s="27">
        <f t="shared" ref="K39:K47" si="1">SUM(I39*J39)</f>
        <v>5990</v>
      </c>
      <c r="L39" s="30" t="s">
        <v>108</v>
      </c>
    </row>
    <row r="40" spans="1:12">
      <c r="A40" s="17">
        <v>13</v>
      </c>
      <c r="B40" s="17">
        <v>2545</v>
      </c>
      <c r="C40" s="18" t="s">
        <v>42</v>
      </c>
      <c r="D40" s="19" t="s">
        <v>43</v>
      </c>
      <c r="E40" s="25" t="s">
        <v>104</v>
      </c>
      <c r="F40" s="2">
        <v>19</v>
      </c>
      <c r="G40" s="2" t="s">
        <v>107</v>
      </c>
      <c r="H40" s="2">
        <v>1</v>
      </c>
      <c r="I40" s="3">
        <v>1</v>
      </c>
      <c r="J40" s="27">
        <v>2650</v>
      </c>
      <c r="K40" s="27">
        <f t="shared" si="1"/>
        <v>2650</v>
      </c>
      <c r="L40" s="30" t="s">
        <v>108</v>
      </c>
    </row>
    <row r="41" spans="1:12">
      <c r="A41" s="17">
        <v>14</v>
      </c>
      <c r="B41" s="17">
        <v>2545</v>
      </c>
      <c r="C41" s="18" t="s">
        <v>44</v>
      </c>
      <c r="D41" s="20" t="s">
        <v>45</v>
      </c>
      <c r="E41" s="25" t="s">
        <v>104</v>
      </c>
      <c r="F41" s="2">
        <v>19</v>
      </c>
      <c r="G41" s="2" t="s">
        <v>107</v>
      </c>
      <c r="H41" s="7">
        <v>2</v>
      </c>
      <c r="I41" s="3">
        <v>2</v>
      </c>
      <c r="J41" s="28">
        <v>4050</v>
      </c>
      <c r="K41" s="27">
        <f t="shared" si="1"/>
        <v>8100</v>
      </c>
      <c r="L41" s="30" t="s">
        <v>108</v>
      </c>
    </row>
    <row r="42" spans="1:12">
      <c r="A42" s="17">
        <v>15</v>
      </c>
      <c r="B42" s="17">
        <v>2546</v>
      </c>
      <c r="C42" s="18" t="s">
        <v>46</v>
      </c>
      <c r="D42" s="19" t="s">
        <v>47</v>
      </c>
      <c r="E42" s="25" t="s">
        <v>103</v>
      </c>
      <c r="F42" s="2">
        <v>18</v>
      </c>
      <c r="G42" s="2" t="s">
        <v>107</v>
      </c>
      <c r="H42" s="2">
        <v>1</v>
      </c>
      <c r="I42" s="3">
        <v>1</v>
      </c>
      <c r="J42" s="27">
        <v>130000</v>
      </c>
      <c r="K42" s="27">
        <f t="shared" si="1"/>
        <v>130000</v>
      </c>
      <c r="L42" s="30" t="s">
        <v>108</v>
      </c>
    </row>
    <row r="43" spans="1:12">
      <c r="A43" s="17">
        <v>16</v>
      </c>
      <c r="B43" s="17">
        <v>2546</v>
      </c>
      <c r="C43" s="18" t="s">
        <v>48</v>
      </c>
      <c r="D43" s="19" t="s">
        <v>49</v>
      </c>
      <c r="E43" s="25" t="s">
        <v>103</v>
      </c>
      <c r="F43" s="2">
        <v>18</v>
      </c>
      <c r="G43" s="2" t="s">
        <v>107</v>
      </c>
      <c r="H43" s="2">
        <v>1</v>
      </c>
      <c r="I43" s="3">
        <v>1</v>
      </c>
      <c r="J43" s="27">
        <v>35000</v>
      </c>
      <c r="K43" s="27">
        <f t="shared" si="1"/>
        <v>35000</v>
      </c>
      <c r="L43" s="30" t="s">
        <v>108</v>
      </c>
    </row>
    <row r="44" spans="1:12">
      <c r="A44" s="17">
        <v>17</v>
      </c>
      <c r="B44" s="17">
        <v>2548</v>
      </c>
      <c r="C44" s="18" t="s">
        <v>50</v>
      </c>
      <c r="D44" s="19" t="s">
        <v>51</v>
      </c>
      <c r="E44" s="25" t="s">
        <v>103</v>
      </c>
      <c r="F44" s="2">
        <v>16</v>
      </c>
      <c r="G44" s="2" t="s">
        <v>107</v>
      </c>
      <c r="H44" s="2">
        <v>1</v>
      </c>
      <c r="I44" s="3">
        <v>1</v>
      </c>
      <c r="J44" s="27">
        <v>462312</v>
      </c>
      <c r="K44" s="27">
        <f t="shared" si="1"/>
        <v>462312</v>
      </c>
      <c r="L44" s="71" t="s">
        <v>125</v>
      </c>
    </row>
    <row r="45" spans="1:12">
      <c r="A45" s="17">
        <v>18</v>
      </c>
      <c r="B45" s="17">
        <v>2548</v>
      </c>
      <c r="C45" s="18" t="s">
        <v>52</v>
      </c>
      <c r="D45" s="19" t="s">
        <v>53</v>
      </c>
      <c r="E45" s="25" t="s">
        <v>105</v>
      </c>
      <c r="F45" s="2">
        <v>16</v>
      </c>
      <c r="G45" s="2" t="s">
        <v>107</v>
      </c>
      <c r="H45" s="2">
        <v>1</v>
      </c>
      <c r="I45" s="3">
        <v>1</v>
      </c>
      <c r="J45" s="27">
        <v>42000</v>
      </c>
      <c r="K45" s="27">
        <f t="shared" si="1"/>
        <v>42000</v>
      </c>
      <c r="L45" s="30" t="s">
        <v>108</v>
      </c>
    </row>
    <row r="46" spans="1:12">
      <c r="A46" s="17">
        <v>19</v>
      </c>
      <c r="B46" s="17">
        <v>2548</v>
      </c>
      <c r="C46" s="18" t="s">
        <v>54</v>
      </c>
      <c r="D46" s="19" t="s">
        <v>55</v>
      </c>
      <c r="E46" s="25" t="s">
        <v>105</v>
      </c>
      <c r="F46" s="2">
        <v>16</v>
      </c>
      <c r="G46" s="2" t="s">
        <v>107</v>
      </c>
      <c r="H46" s="2">
        <v>6</v>
      </c>
      <c r="I46" s="3">
        <v>6</v>
      </c>
      <c r="J46" s="27">
        <v>20000</v>
      </c>
      <c r="K46" s="27">
        <f t="shared" si="1"/>
        <v>120000</v>
      </c>
      <c r="L46" s="30" t="s">
        <v>108</v>
      </c>
    </row>
    <row r="47" spans="1:12">
      <c r="A47" s="17">
        <v>20</v>
      </c>
      <c r="B47" s="17">
        <v>2549</v>
      </c>
      <c r="C47" s="21" t="s">
        <v>56</v>
      </c>
      <c r="D47" s="22" t="s">
        <v>57</v>
      </c>
      <c r="E47" s="17" t="s">
        <v>104</v>
      </c>
      <c r="F47" s="2">
        <v>15</v>
      </c>
      <c r="G47" s="2" t="s">
        <v>107</v>
      </c>
      <c r="H47" s="2">
        <v>1</v>
      </c>
      <c r="I47" s="3">
        <v>1</v>
      </c>
      <c r="J47" s="27">
        <v>12990</v>
      </c>
      <c r="K47" s="27">
        <f t="shared" si="1"/>
        <v>12990</v>
      </c>
      <c r="L47" s="30" t="s">
        <v>126</v>
      </c>
    </row>
    <row r="48" spans="1:12" ht="24.75" thickBot="1">
      <c r="A48" s="40"/>
      <c r="B48" s="40"/>
      <c r="C48" s="50"/>
      <c r="D48" s="51"/>
      <c r="E48" s="40"/>
      <c r="F48" s="44"/>
      <c r="G48" s="44"/>
      <c r="H48" s="44"/>
      <c r="I48" s="45"/>
      <c r="J48" s="47" t="s">
        <v>120</v>
      </c>
      <c r="K48" s="47">
        <f>SUM(K37:K47)</f>
        <v>1039442</v>
      </c>
      <c r="L48" s="52"/>
    </row>
    <row r="49" spans="1:12" ht="24.75" thickTop="1">
      <c r="A49" s="16"/>
      <c r="B49" s="13" t="s">
        <v>2</v>
      </c>
      <c r="C49" s="8" t="s">
        <v>16</v>
      </c>
      <c r="D49" s="16"/>
      <c r="E49" s="16"/>
      <c r="F49" s="16"/>
      <c r="G49" s="16"/>
      <c r="H49" s="16"/>
      <c r="I49" s="12"/>
      <c r="J49" s="11"/>
      <c r="K49" s="11"/>
      <c r="L49" s="32"/>
    </row>
    <row r="50" spans="1:12">
      <c r="A50" s="4"/>
      <c r="B50" s="13"/>
      <c r="C50" s="8" t="s">
        <v>17</v>
      </c>
      <c r="D50" s="4"/>
      <c r="E50" s="4"/>
      <c r="F50" s="4"/>
      <c r="G50" s="4"/>
      <c r="H50" s="4"/>
      <c r="I50" s="12"/>
      <c r="J50" s="4"/>
      <c r="K50" s="4"/>
      <c r="L50" s="32"/>
    </row>
    <row r="51" spans="1:12">
      <c r="A51" s="4"/>
      <c r="B51" s="32"/>
      <c r="C51" s="8"/>
      <c r="D51" s="4"/>
      <c r="E51" s="4"/>
      <c r="F51" s="4"/>
      <c r="G51" s="48" t="s">
        <v>109</v>
      </c>
      <c r="H51" s="64" t="s">
        <v>110</v>
      </c>
      <c r="I51" s="64"/>
      <c r="J51" s="64"/>
      <c r="K51" s="8" t="s">
        <v>111</v>
      </c>
      <c r="L51" s="10"/>
    </row>
    <row r="52" spans="1:12">
      <c r="A52" s="4"/>
      <c r="B52" s="32"/>
      <c r="C52" s="8"/>
      <c r="D52" s="4"/>
      <c r="E52" s="4"/>
      <c r="F52" s="4"/>
      <c r="G52" s="48"/>
      <c r="H52" s="64" t="s">
        <v>112</v>
      </c>
      <c r="I52" s="64"/>
      <c r="J52" s="64"/>
      <c r="K52" s="8"/>
      <c r="L52" s="10"/>
    </row>
    <row r="53" spans="1:12" ht="40.5" customHeight="1">
      <c r="A53" s="4"/>
      <c r="B53" s="32"/>
      <c r="C53" s="8"/>
      <c r="D53" s="4"/>
      <c r="E53" s="4"/>
      <c r="F53" s="4"/>
      <c r="G53" s="48" t="s">
        <v>109</v>
      </c>
      <c r="H53" s="64" t="s">
        <v>110</v>
      </c>
      <c r="I53" s="64"/>
      <c r="J53" s="64"/>
      <c r="K53" s="8" t="s">
        <v>113</v>
      </c>
      <c r="L53" s="10"/>
    </row>
    <row r="54" spans="1:12">
      <c r="G54" s="14"/>
      <c r="H54" s="64" t="s">
        <v>114</v>
      </c>
      <c r="I54" s="64"/>
      <c r="J54" s="64"/>
      <c r="K54" s="8"/>
    </row>
    <row r="55" spans="1:12" ht="42" customHeight="1">
      <c r="G55" s="14" t="s">
        <v>109</v>
      </c>
      <c r="H55" s="70" t="s">
        <v>110</v>
      </c>
      <c r="I55" s="70"/>
      <c r="J55" s="70"/>
      <c r="K55" s="9" t="s">
        <v>115</v>
      </c>
    </row>
    <row r="56" spans="1:12">
      <c r="H56" s="70" t="s">
        <v>116</v>
      </c>
      <c r="I56" s="70"/>
      <c r="J56" s="70"/>
    </row>
    <row r="61" spans="1:12">
      <c r="L61" s="15" t="s">
        <v>121</v>
      </c>
    </row>
    <row r="62" spans="1:12">
      <c r="A62" s="55" t="s">
        <v>5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</row>
    <row r="63" spans="1:12">
      <c r="A63" s="56" t="s">
        <v>6</v>
      </c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</row>
    <row r="64" spans="1:12">
      <c r="A64" s="57" t="s">
        <v>19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</row>
    <row r="65" spans="1:12">
      <c r="A65" s="67" t="s">
        <v>7</v>
      </c>
      <c r="B65" s="67" t="s">
        <v>18</v>
      </c>
      <c r="C65" s="67" t="s">
        <v>15</v>
      </c>
      <c r="D65" s="68" t="s">
        <v>0</v>
      </c>
      <c r="E65" s="67" t="s">
        <v>10</v>
      </c>
      <c r="F65" s="67" t="s">
        <v>9</v>
      </c>
      <c r="G65" s="69" t="s">
        <v>11</v>
      </c>
      <c r="H65" s="68" t="s">
        <v>1</v>
      </c>
      <c r="I65" s="68"/>
      <c r="J65" s="67" t="s">
        <v>14</v>
      </c>
      <c r="K65" s="67" t="s">
        <v>8</v>
      </c>
      <c r="L65" s="67" t="s">
        <v>13</v>
      </c>
    </row>
    <row r="66" spans="1:12" ht="48">
      <c r="A66" s="67"/>
      <c r="B66" s="67"/>
      <c r="C66" s="67"/>
      <c r="D66" s="68"/>
      <c r="E66" s="67"/>
      <c r="F66" s="67"/>
      <c r="G66" s="69"/>
      <c r="H66" s="6" t="s">
        <v>12</v>
      </c>
      <c r="I66" s="5" t="s">
        <v>3</v>
      </c>
      <c r="J66" s="67"/>
      <c r="K66" s="67"/>
      <c r="L66" s="67"/>
    </row>
    <row r="67" spans="1:12">
      <c r="A67" s="17"/>
      <c r="B67" s="17"/>
      <c r="C67" s="18"/>
      <c r="D67" s="19"/>
      <c r="E67" s="25"/>
      <c r="F67" s="2"/>
      <c r="G67" s="2"/>
      <c r="H67" s="2"/>
      <c r="I67" s="3"/>
      <c r="J67" s="49" t="s">
        <v>118</v>
      </c>
      <c r="K67" s="49">
        <f>SUM(K48)</f>
        <v>1039442</v>
      </c>
      <c r="L67" s="30"/>
    </row>
    <row r="68" spans="1:12">
      <c r="A68" s="17">
        <v>21</v>
      </c>
      <c r="B68" s="17">
        <v>2552</v>
      </c>
      <c r="C68" s="18" t="s">
        <v>58</v>
      </c>
      <c r="D68" s="19" t="s">
        <v>59</v>
      </c>
      <c r="E68" s="17" t="s">
        <v>103</v>
      </c>
      <c r="F68" s="2">
        <v>12</v>
      </c>
      <c r="G68" s="2" t="s">
        <v>107</v>
      </c>
      <c r="H68" s="2">
        <v>1</v>
      </c>
      <c r="I68" s="3">
        <v>1</v>
      </c>
      <c r="J68" s="27">
        <v>1694000</v>
      </c>
      <c r="K68" s="27">
        <f>SUM(I68*J68)</f>
        <v>1694000</v>
      </c>
      <c r="L68" s="30" t="s">
        <v>127</v>
      </c>
    </row>
    <row r="69" spans="1:12">
      <c r="A69" s="17">
        <v>22</v>
      </c>
      <c r="B69" s="17">
        <v>2553</v>
      </c>
      <c r="C69" s="18" t="s">
        <v>60</v>
      </c>
      <c r="D69" s="19" t="s">
        <v>61</v>
      </c>
      <c r="E69" s="17" t="s">
        <v>103</v>
      </c>
      <c r="F69" s="2">
        <v>11</v>
      </c>
      <c r="G69" s="2" t="s">
        <v>107</v>
      </c>
      <c r="H69" s="2">
        <v>1</v>
      </c>
      <c r="I69" s="3">
        <v>1</v>
      </c>
      <c r="J69" s="27">
        <v>1100</v>
      </c>
      <c r="K69" s="27">
        <f t="shared" ref="K69:K77" si="2">SUM(I69*J69)</f>
        <v>1100</v>
      </c>
      <c r="L69" s="30" t="s">
        <v>108</v>
      </c>
    </row>
    <row r="70" spans="1:12">
      <c r="A70" s="17">
        <v>23</v>
      </c>
      <c r="B70" s="17">
        <v>2553</v>
      </c>
      <c r="C70" s="18" t="s">
        <v>62</v>
      </c>
      <c r="D70" s="19" t="s">
        <v>63</v>
      </c>
      <c r="E70" s="17" t="s">
        <v>103</v>
      </c>
      <c r="F70" s="2">
        <v>11</v>
      </c>
      <c r="G70" s="2" t="s">
        <v>107</v>
      </c>
      <c r="H70" s="2">
        <v>1</v>
      </c>
      <c r="I70" s="3">
        <v>1</v>
      </c>
      <c r="J70" s="27">
        <v>3500</v>
      </c>
      <c r="K70" s="27">
        <f t="shared" si="2"/>
        <v>3500</v>
      </c>
      <c r="L70" s="30" t="s">
        <v>128</v>
      </c>
    </row>
    <row r="71" spans="1:12">
      <c r="A71" s="17">
        <v>24</v>
      </c>
      <c r="B71" s="17">
        <v>2553</v>
      </c>
      <c r="C71" s="18" t="s">
        <v>64</v>
      </c>
      <c r="D71" s="19" t="s">
        <v>65</v>
      </c>
      <c r="E71" s="17" t="s">
        <v>103</v>
      </c>
      <c r="F71" s="2">
        <v>11</v>
      </c>
      <c r="G71" s="2" t="s">
        <v>107</v>
      </c>
      <c r="H71" s="2">
        <v>1</v>
      </c>
      <c r="I71" s="3">
        <v>1</v>
      </c>
      <c r="J71" s="27">
        <v>3750</v>
      </c>
      <c r="K71" s="27">
        <f t="shared" si="2"/>
        <v>3750</v>
      </c>
      <c r="L71" s="30" t="s">
        <v>108</v>
      </c>
    </row>
    <row r="72" spans="1:12">
      <c r="A72" s="17">
        <v>25</v>
      </c>
      <c r="B72" s="17">
        <v>2553</v>
      </c>
      <c r="C72" s="18" t="s">
        <v>66</v>
      </c>
      <c r="D72" s="19" t="s">
        <v>67</v>
      </c>
      <c r="E72" s="17" t="s">
        <v>103</v>
      </c>
      <c r="F72" s="2">
        <v>11</v>
      </c>
      <c r="G72" s="2" t="s">
        <v>107</v>
      </c>
      <c r="H72" s="2">
        <v>28</v>
      </c>
      <c r="I72" s="3">
        <v>28</v>
      </c>
      <c r="J72" s="27">
        <v>16700</v>
      </c>
      <c r="K72" s="27">
        <f t="shared" si="2"/>
        <v>467600</v>
      </c>
      <c r="L72" s="30" t="s">
        <v>129</v>
      </c>
    </row>
    <row r="73" spans="1:12">
      <c r="A73" s="17">
        <v>26</v>
      </c>
      <c r="B73" s="17">
        <v>2553</v>
      </c>
      <c r="C73" s="21" t="s">
        <v>68</v>
      </c>
      <c r="D73" s="23" t="s">
        <v>69</v>
      </c>
      <c r="E73" s="17" t="s">
        <v>103</v>
      </c>
      <c r="F73" s="2">
        <v>11</v>
      </c>
      <c r="G73" s="2" t="s">
        <v>107</v>
      </c>
      <c r="H73" s="2">
        <v>20</v>
      </c>
      <c r="I73" s="3">
        <v>20</v>
      </c>
      <c r="J73" s="29">
        <v>18495</v>
      </c>
      <c r="K73" s="27">
        <f t="shared" si="2"/>
        <v>369900</v>
      </c>
      <c r="L73" s="30" t="s">
        <v>130</v>
      </c>
    </row>
    <row r="74" spans="1:12">
      <c r="A74" s="17">
        <v>27</v>
      </c>
      <c r="B74" s="17">
        <v>2553</v>
      </c>
      <c r="C74" s="18" t="s">
        <v>70</v>
      </c>
      <c r="D74" s="19" t="s">
        <v>71</v>
      </c>
      <c r="E74" s="17" t="s">
        <v>103</v>
      </c>
      <c r="F74" s="2">
        <v>11</v>
      </c>
      <c r="G74" s="2" t="s">
        <v>107</v>
      </c>
      <c r="H74" s="2">
        <v>1</v>
      </c>
      <c r="I74" s="3">
        <v>1</v>
      </c>
      <c r="J74" s="27">
        <v>30000</v>
      </c>
      <c r="K74" s="27">
        <f t="shared" si="2"/>
        <v>30000</v>
      </c>
      <c r="L74" s="53" t="s">
        <v>108</v>
      </c>
    </row>
    <row r="75" spans="1:12">
      <c r="A75" s="17">
        <v>28</v>
      </c>
      <c r="B75" s="17">
        <v>2553</v>
      </c>
      <c r="C75" s="18" t="s">
        <v>72</v>
      </c>
      <c r="D75" s="19" t="s">
        <v>69</v>
      </c>
      <c r="E75" s="17" t="s">
        <v>103</v>
      </c>
      <c r="F75" s="2">
        <v>11</v>
      </c>
      <c r="G75" s="2" t="s">
        <v>107</v>
      </c>
      <c r="H75" s="7">
        <v>1</v>
      </c>
      <c r="I75" s="3">
        <v>1</v>
      </c>
      <c r="J75" s="27">
        <v>17000</v>
      </c>
      <c r="K75" s="27">
        <f t="shared" si="2"/>
        <v>17000</v>
      </c>
      <c r="L75" s="30" t="s">
        <v>130</v>
      </c>
    </row>
    <row r="76" spans="1:12">
      <c r="A76" s="17">
        <v>29</v>
      </c>
      <c r="B76" s="17">
        <v>2554</v>
      </c>
      <c r="C76" s="18" t="s">
        <v>73</v>
      </c>
      <c r="D76" s="19" t="s">
        <v>69</v>
      </c>
      <c r="E76" s="17" t="s">
        <v>103</v>
      </c>
      <c r="F76" s="2">
        <v>10</v>
      </c>
      <c r="G76" s="2" t="s">
        <v>107</v>
      </c>
      <c r="H76" s="2">
        <v>10</v>
      </c>
      <c r="I76" s="3">
        <v>10</v>
      </c>
      <c r="J76" s="27">
        <v>19400</v>
      </c>
      <c r="K76" s="27">
        <f t="shared" si="2"/>
        <v>194000</v>
      </c>
      <c r="L76" s="30" t="s">
        <v>129</v>
      </c>
    </row>
    <row r="77" spans="1:12">
      <c r="A77" s="17">
        <v>30</v>
      </c>
      <c r="B77" s="17">
        <v>2554</v>
      </c>
      <c r="C77" s="18" t="s">
        <v>74</v>
      </c>
      <c r="D77" s="19" t="s">
        <v>75</v>
      </c>
      <c r="E77" s="17" t="s">
        <v>103</v>
      </c>
      <c r="F77" s="2">
        <v>10</v>
      </c>
      <c r="G77" s="2" t="s">
        <v>107</v>
      </c>
      <c r="H77" s="2">
        <v>1</v>
      </c>
      <c r="I77" s="3">
        <v>1</v>
      </c>
      <c r="J77" s="27">
        <v>70000</v>
      </c>
      <c r="K77" s="27">
        <f t="shared" si="2"/>
        <v>70000</v>
      </c>
      <c r="L77" s="30" t="s">
        <v>131</v>
      </c>
    </row>
    <row r="78" spans="1:12" ht="24.75" thickBot="1">
      <c r="A78" s="40"/>
      <c r="B78" s="40"/>
      <c r="C78" s="50"/>
      <c r="D78" s="51"/>
      <c r="E78" s="40"/>
      <c r="F78" s="44"/>
      <c r="G78" s="44"/>
      <c r="H78" s="44"/>
      <c r="I78" s="45"/>
      <c r="J78" s="47" t="s">
        <v>120</v>
      </c>
      <c r="K78" s="54">
        <f>SUM(K67:K77)</f>
        <v>3890292</v>
      </c>
      <c r="L78" s="52"/>
    </row>
    <row r="79" spans="1:12" ht="24.75" thickTop="1">
      <c r="B79" s="13" t="s">
        <v>2</v>
      </c>
      <c r="C79" s="8" t="s">
        <v>16</v>
      </c>
      <c r="D79" s="16"/>
      <c r="E79" s="16"/>
      <c r="F79" s="16"/>
      <c r="G79" s="16"/>
      <c r="H79" s="16"/>
      <c r="I79" s="12"/>
      <c r="J79" s="11"/>
      <c r="K79" s="11"/>
      <c r="L79" s="32"/>
    </row>
    <row r="80" spans="1:12">
      <c r="B80" s="13"/>
      <c r="C80" s="8" t="s">
        <v>17</v>
      </c>
      <c r="D80" s="4"/>
      <c r="E80" s="4"/>
      <c r="F80" s="4"/>
      <c r="G80" s="4"/>
      <c r="H80" s="4"/>
      <c r="I80" s="12"/>
      <c r="J80" s="4"/>
      <c r="K80" s="4"/>
      <c r="L80" s="32"/>
    </row>
    <row r="81" spans="1:12">
      <c r="B81" s="32"/>
      <c r="C81" s="8"/>
      <c r="D81" s="4"/>
      <c r="E81" s="4"/>
      <c r="F81" s="4"/>
      <c r="G81" s="48" t="s">
        <v>109</v>
      </c>
      <c r="H81" s="64" t="s">
        <v>110</v>
      </c>
      <c r="I81" s="64"/>
      <c r="J81" s="64"/>
      <c r="K81" s="8" t="s">
        <v>111</v>
      </c>
      <c r="L81" s="10"/>
    </row>
    <row r="82" spans="1:12">
      <c r="B82" s="32"/>
      <c r="C82" s="8"/>
      <c r="D82" s="4"/>
      <c r="E82" s="4"/>
      <c r="F82" s="4"/>
      <c r="G82" s="48"/>
      <c r="H82" s="64" t="s">
        <v>112</v>
      </c>
      <c r="I82" s="64"/>
      <c r="J82" s="64"/>
      <c r="K82" s="8"/>
      <c r="L82" s="10"/>
    </row>
    <row r="83" spans="1:12" ht="31.5" customHeight="1">
      <c r="B83" s="32"/>
      <c r="C83" s="8"/>
      <c r="D83" s="4"/>
      <c r="E83" s="4"/>
      <c r="F83" s="4"/>
      <c r="G83" s="48" t="s">
        <v>109</v>
      </c>
      <c r="H83" s="64" t="s">
        <v>110</v>
      </c>
      <c r="I83" s="64"/>
      <c r="J83" s="64"/>
      <c r="K83" s="8" t="s">
        <v>113</v>
      </c>
      <c r="L83" s="10"/>
    </row>
    <row r="84" spans="1:12">
      <c r="G84" s="14"/>
      <c r="H84" s="64" t="s">
        <v>114</v>
      </c>
      <c r="I84" s="64"/>
      <c r="J84" s="64"/>
      <c r="K84" s="8"/>
    </row>
    <row r="85" spans="1:12" ht="38.25" customHeight="1">
      <c r="G85" s="14" t="s">
        <v>109</v>
      </c>
      <c r="H85" s="70" t="s">
        <v>110</v>
      </c>
      <c r="I85" s="70"/>
      <c r="J85" s="70"/>
      <c r="K85" s="9" t="s">
        <v>115</v>
      </c>
    </row>
    <row r="86" spans="1:12">
      <c r="H86" s="70" t="s">
        <v>116</v>
      </c>
      <c r="I86" s="70"/>
      <c r="J86" s="70"/>
    </row>
    <row r="91" spans="1:12">
      <c r="L91" s="15" t="s">
        <v>122</v>
      </c>
    </row>
    <row r="92" spans="1:12">
      <c r="A92" s="55" t="s">
        <v>5</v>
      </c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</row>
    <row r="93" spans="1:12">
      <c r="A93" s="56" t="s">
        <v>6</v>
      </c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</row>
    <row r="94" spans="1:12">
      <c r="A94" s="57" t="s">
        <v>19</v>
      </c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</row>
    <row r="95" spans="1:12">
      <c r="A95" s="67" t="s">
        <v>7</v>
      </c>
      <c r="B95" s="67" t="s">
        <v>18</v>
      </c>
      <c r="C95" s="67" t="s">
        <v>15</v>
      </c>
      <c r="D95" s="68" t="s">
        <v>0</v>
      </c>
      <c r="E95" s="67" t="s">
        <v>10</v>
      </c>
      <c r="F95" s="67" t="s">
        <v>9</v>
      </c>
      <c r="G95" s="69" t="s">
        <v>11</v>
      </c>
      <c r="H95" s="68" t="s">
        <v>1</v>
      </c>
      <c r="I95" s="68"/>
      <c r="J95" s="67" t="s">
        <v>14</v>
      </c>
      <c r="K95" s="67" t="s">
        <v>8</v>
      </c>
      <c r="L95" s="67" t="s">
        <v>13</v>
      </c>
    </row>
    <row r="96" spans="1:12" ht="48">
      <c r="A96" s="67"/>
      <c r="B96" s="67"/>
      <c r="C96" s="67"/>
      <c r="D96" s="68"/>
      <c r="E96" s="67"/>
      <c r="F96" s="67"/>
      <c r="G96" s="69"/>
      <c r="H96" s="6" t="s">
        <v>12</v>
      </c>
      <c r="I96" s="5" t="s">
        <v>3</v>
      </c>
      <c r="J96" s="67"/>
      <c r="K96" s="67"/>
      <c r="L96" s="67"/>
    </row>
    <row r="97" spans="1:12">
      <c r="A97" s="17"/>
      <c r="B97" s="17"/>
      <c r="C97" s="18"/>
      <c r="D97" s="19"/>
      <c r="E97" s="25"/>
      <c r="F97" s="2"/>
      <c r="G97" s="2"/>
      <c r="H97" s="2"/>
      <c r="I97" s="3"/>
      <c r="J97" s="49" t="s">
        <v>118</v>
      </c>
      <c r="K97" s="49">
        <f>SUM(K78)</f>
        <v>3890292</v>
      </c>
      <c r="L97" s="30"/>
    </row>
    <row r="98" spans="1:12">
      <c r="A98" s="17">
        <v>31</v>
      </c>
      <c r="B98" s="17">
        <v>2555</v>
      </c>
      <c r="C98" s="18" t="s">
        <v>76</v>
      </c>
      <c r="D98" s="19" t="s">
        <v>77</v>
      </c>
      <c r="E98" s="26" t="s">
        <v>103</v>
      </c>
      <c r="F98" s="2">
        <v>9</v>
      </c>
      <c r="G98" s="2" t="s">
        <v>107</v>
      </c>
      <c r="H98" s="2">
        <v>2</v>
      </c>
      <c r="I98" s="3">
        <v>2</v>
      </c>
      <c r="J98" s="27">
        <v>858</v>
      </c>
      <c r="K98" s="27">
        <f>SUM(I98*J98)</f>
        <v>1716</v>
      </c>
      <c r="L98" s="31" t="s">
        <v>108</v>
      </c>
    </row>
    <row r="99" spans="1:12">
      <c r="A99" s="17">
        <v>32</v>
      </c>
      <c r="B99" s="17">
        <v>2555</v>
      </c>
      <c r="C99" s="18" t="s">
        <v>78</v>
      </c>
      <c r="D99" s="19" t="s">
        <v>79</v>
      </c>
      <c r="E99" s="26" t="s">
        <v>103</v>
      </c>
      <c r="F99" s="2">
        <v>9</v>
      </c>
      <c r="G99" s="2" t="s">
        <v>107</v>
      </c>
      <c r="H99" s="2">
        <v>2</v>
      </c>
      <c r="I99" s="3">
        <v>2</v>
      </c>
      <c r="J99" s="27">
        <v>4550</v>
      </c>
      <c r="K99" s="27">
        <f t="shared" ref="K99:K107" si="3">SUM(I99*J99)</f>
        <v>9100</v>
      </c>
      <c r="L99" s="31" t="s">
        <v>108</v>
      </c>
    </row>
    <row r="100" spans="1:12">
      <c r="A100" s="17">
        <v>33</v>
      </c>
      <c r="B100" s="17">
        <v>2555</v>
      </c>
      <c r="C100" s="18" t="s">
        <v>80</v>
      </c>
      <c r="D100" s="19" t="s">
        <v>81</v>
      </c>
      <c r="E100" s="26" t="s">
        <v>103</v>
      </c>
      <c r="F100" s="2">
        <v>9</v>
      </c>
      <c r="G100" s="2" t="s">
        <v>107</v>
      </c>
      <c r="H100" s="2">
        <v>5</v>
      </c>
      <c r="I100" s="3">
        <v>5</v>
      </c>
      <c r="J100" s="27">
        <v>3250</v>
      </c>
      <c r="K100" s="27">
        <f t="shared" si="3"/>
        <v>16250</v>
      </c>
      <c r="L100" s="31" t="s">
        <v>132</v>
      </c>
    </row>
    <row r="101" spans="1:12">
      <c r="A101" s="17">
        <v>34</v>
      </c>
      <c r="B101" s="17">
        <v>2555</v>
      </c>
      <c r="C101" s="18" t="s">
        <v>82</v>
      </c>
      <c r="D101" s="19" t="s">
        <v>83</v>
      </c>
      <c r="E101" s="26" t="s">
        <v>103</v>
      </c>
      <c r="F101" s="2">
        <v>9</v>
      </c>
      <c r="G101" s="2" t="s">
        <v>107</v>
      </c>
      <c r="H101" s="2">
        <v>27</v>
      </c>
      <c r="I101" s="3">
        <v>27</v>
      </c>
      <c r="J101" s="27">
        <v>858</v>
      </c>
      <c r="K101" s="27">
        <f t="shared" si="3"/>
        <v>23166</v>
      </c>
      <c r="L101" s="31" t="s">
        <v>108</v>
      </c>
    </row>
    <row r="102" spans="1:12">
      <c r="A102" s="17">
        <v>35</v>
      </c>
      <c r="B102" s="17">
        <v>2555</v>
      </c>
      <c r="C102" s="18" t="s">
        <v>84</v>
      </c>
      <c r="D102" s="19" t="s">
        <v>85</v>
      </c>
      <c r="E102" s="26" t="s">
        <v>103</v>
      </c>
      <c r="F102" s="2">
        <v>9</v>
      </c>
      <c r="G102" s="2" t="s">
        <v>107</v>
      </c>
      <c r="H102" s="2">
        <v>1</v>
      </c>
      <c r="I102" s="3">
        <v>1</v>
      </c>
      <c r="J102" s="27">
        <v>71050</v>
      </c>
      <c r="K102" s="27">
        <f t="shared" si="3"/>
        <v>71050</v>
      </c>
      <c r="L102" s="72" t="s">
        <v>133</v>
      </c>
    </row>
    <row r="103" spans="1:12">
      <c r="A103" s="17">
        <v>36</v>
      </c>
      <c r="B103" s="17">
        <v>2555</v>
      </c>
      <c r="C103" s="18" t="s">
        <v>86</v>
      </c>
      <c r="D103" s="19" t="s">
        <v>87</v>
      </c>
      <c r="E103" s="26" t="s">
        <v>103</v>
      </c>
      <c r="F103" s="2">
        <v>9</v>
      </c>
      <c r="G103" s="2" t="s">
        <v>107</v>
      </c>
      <c r="H103" s="2">
        <v>1</v>
      </c>
      <c r="I103" s="3">
        <v>1</v>
      </c>
      <c r="J103" s="27">
        <v>52000</v>
      </c>
      <c r="K103" s="27">
        <f t="shared" si="3"/>
        <v>52000</v>
      </c>
      <c r="L103" s="31" t="s">
        <v>129</v>
      </c>
    </row>
    <row r="104" spans="1:12">
      <c r="A104" s="17">
        <v>37</v>
      </c>
      <c r="B104" s="17">
        <v>2555</v>
      </c>
      <c r="C104" s="18" t="s">
        <v>88</v>
      </c>
      <c r="D104" s="19" t="s">
        <v>83</v>
      </c>
      <c r="E104" s="26" t="s">
        <v>103</v>
      </c>
      <c r="F104" s="2">
        <v>9</v>
      </c>
      <c r="G104" s="2" t="s">
        <v>107</v>
      </c>
      <c r="H104" s="2">
        <v>7</v>
      </c>
      <c r="I104" s="3">
        <v>7</v>
      </c>
      <c r="J104" s="27">
        <v>850</v>
      </c>
      <c r="K104" s="27">
        <f t="shared" si="3"/>
        <v>5950</v>
      </c>
      <c r="L104" s="31" t="s">
        <v>108</v>
      </c>
    </row>
    <row r="105" spans="1:12">
      <c r="A105" s="17">
        <v>38</v>
      </c>
      <c r="B105" s="17">
        <v>2555</v>
      </c>
      <c r="C105" s="18" t="s">
        <v>89</v>
      </c>
      <c r="D105" s="19" t="s">
        <v>90</v>
      </c>
      <c r="E105" s="26" t="s">
        <v>103</v>
      </c>
      <c r="F105" s="2">
        <v>9</v>
      </c>
      <c r="G105" s="2" t="s">
        <v>107</v>
      </c>
      <c r="H105" s="2">
        <v>7</v>
      </c>
      <c r="I105" s="3">
        <v>7</v>
      </c>
      <c r="J105" s="27">
        <v>18150</v>
      </c>
      <c r="K105" s="27">
        <f t="shared" si="3"/>
        <v>127050</v>
      </c>
      <c r="L105" s="31" t="s">
        <v>108</v>
      </c>
    </row>
    <row r="106" spans="1:12">
      <c r="A106" s="17">
        <v>39</v>
      </c>
      <c r="B106" s="17">
        <v>2556</v>
      </c>
      <c r="C106" s="21" t="s">
        <v>91</v>
      </c>
      <c r="D106" s="22" t="s">
        <v>92</v>
      </c>
      <c r="E106" s="25" t="s">
        <v>106</v>
      </c>
      <c r="F106" s="2">
        <v>8</v>
      </c>
      <c r="G106" s="2" t="s">
        <v>107</v>
      </c>
      <c r="H106" s="2">
        <v>1</v>
      </c>
      <c r="I106" s="3">
        <v>1</v>
      </c>
      <c r="J106" s="27">
        <v>24800</v>
      </c>
      <c r="K106" s="27">
        <f t="shared" si="3"/>
        <v>24800</v>
      </c>
      <c r="L106" s="31" t="s">
        <v>129</v>
      </c>
    </row>
    <row r="107" spans="1:12">
      <c r="A107" s="17">
        <v>40</v>
      </c>
      <c r="B107" s="17">
        <v>2556</v>
      </c>
      <c r="C107" s="21" t="s">
        <v>93</v>
      </c>
      <c r="D107" s="22" t="s">
        <v>94</v>
      </c>
      <c r="E107" s="25" t="s">
        <v>106</v>
      </c>
      <c r="F107" s="2">
        <v>8</v>
      </c>
      <c r="G107" s="2" t="s">
        <v>107</v>
      </c>
      <c r="H107" s="2">
        <v>2</v>
      </c>
      <c r="I107" s="3">
        <v>2</v>
      </c>
      <c r="J107" s="27">
        <v>40000</v>
      </c>
      <c r="K107" s="27">
        <f t="shared" si="3"/>
        <v>80000</v>
      </c>
      <c r="L107" s="31" t="s">
        <v>108</v>
      </c>
    </row>
    <row r="108" spans="1:12" ht="24.75" thickBot="1">
      <c r="A108" s="40"/>
      <c r="B108" s="40"/>
      <c r="C108" s="50"/>
      <c r="D108" s="51"/>
      <c r="E108" s="40"/>
      <c r="F108" s="44"/>
      <c r="G108" s="44"/>
      <c r="H108" s="44"/>
      <c r="I108" s="45"/>
      <c r="J108" s="47" t="s">
        <v>120</v>
      </c>
      <c r="K108" s="47">
        <f>SUM(K97:K107)</f>
        <v>4301374</v>
      </c>
      <c r="L108" s="52"/>
    </row>
    <row r="109" spans="1:12" ht="24.75" thickTop="1">
      <c r="B109" s="13" t="s">
        <v>2</v>
      </c>
      <c r="C109" s="8" t="s">
        <v>16</v>
      </c>
      <c r="D109" s="16"/>
      <c r="E109" s="16"/>
      <c r="F109" s="16"/>
      <c r="G109" s="16"/>
      <c r="H109" s="16"/>
      <c r="I109" s="12"/>
      <c r="J109" s="11"/>
      <c r="K109" s="11"/>
      <c r="L109" s="32"/>
    </row>
    <row r="110" spans="1:12">
      <c r="B110" s="13"/>
      <c r="C110" s="8" t="s">
        <v>17</v>
      </c>
      <c r="D110" s="4"/>
      <c r="E110" s="4"/>
      <c r="F110" s="4"/>
      <c r="G110" s="4"/>
      <c r="H110" s="4"/>
      <c r="I110" s="12"/>
      <c r="J110" s="4"/>
      <c r="K110" s="4"/>
      <c r="L110" s="32"/>
    </row>
    <row r="111" spans="1:12">
      <c r="B111" s="32"/>
      <c r="C111" s="8"/>
      <c r="D111" s="4"/>
      <c r="E111" s="4"/>
      <c r="F111" s="4"/>
      <c r="G111" s="48" t="s">
        <v>109</v>
      </c>
      <c r="H111" s="64" t="s">
        <v>110</v>
      </c>
      <c r="I111" s="64"/>
      <c r="J111" s="64"/>
      <c r="K111" s="8" t="s">
        <v>111</v>
      </c>
      <c r="L111" s="10"/>
    </row>
    <row r="112" spans="1:12">
      <c r="B112" s="32"/>
      <c r="C112" s="8"/>
      <c r="D112" s="4"/>
      <c r="E112" s="4"/>
      <c r="F112" s="4"/>
      <c r="G112" s="48"/>
      <c r="H112" s="64" t="s">
        <v>112</v>
      </c>
      <c r="I112" s="64"/>
      <c r="J112" s="64"/>
      <c r="K112" s="8"/>
      <c r="L112" s="10"/>
    </row>
    <row r="113" spans="1:12" ht="35.25" customHeight="1">
      <c r="B113" s="32"/>
      <c r="C113" s="8"/>
      <c r="D113" s="4"/>
      <c r="E113" s="4"/>
      <c r="F113" s="4"/>
      <c r="G113" s="48" t="s">
        <v>109</v>
      </c>
      <c r="H113" s="64" t="s">
        <v>110</v>
      </c>
      <c r="I113" s="64"/>
      <c r="J113" s="64"/>
      <c r="K113" s="8" t="s">
        <v>113</v>
      </c>
      <c r="L113" s="10"/>
    </row>
    <row r="114" spans="1:12">
      <c r="G114" s="14"/>
      <c r="H114" s="64" t="s">
        <v>114</v>
      </c>
      <c r="I114" s="64"/>
      <c r="J114" s="64"/>
      <c r="K114" s="8"/>
    </row>
    <row r="115" spans="1:12" ht="42" customHeight="1">
      <c r="G115" s="14" t="s">
        <v>109</v>
      </c>
      <c r="H115" s="70" t="s">
        <v>110</v>
      </c>
      <c r="I115" s="70"/>
      <c r="J115" s="70"/>
      <c r="K115" s="9" t="s">
        <v>115</v>
      </c>
    </row>
    <row r="116" spans="1:12">
      <c r="H116" s="70" t="s">
        <v>116</v>
      </c>
      <c r="I116" s="70"/>
      <c r="J116" s="70"/>
    </row>
    <row r="121" spans="1:12">
      <c r="L121" s="15" t="s">
        <v>123</v>
      </c>
    </row>
    <row r="122" spans="1:12">
      <c r="A122" s="55" t="s">
        <v>5</v>
      </c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</row>
    <row r="123" spans="1:12">
      <c r="A123" s="56" t="s">
        <v>6</v>
      </c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</row>
    <row r="124" spans="1:12">
      <c r="A124" s="57" t="s">
        <v>19</v>
      </c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</row>
    <row r="125" spans="1:12">
      <c r="A125" s="67" t="s">
        <v>7</v>
      </c>
      <c r="B125" s="67" t="s">
        <v>18</v>
      </c>
      <c r="C125" s="67" t="s">
        <v>15</v>
      </c>
      <c r="D125" s="68" t="s">
        <v>0</v>
      </c>
      <c r="E125" s="67" t="s">
        <v>10</v>
      </c>
      <c r="F125" s="67" t="s">
        <v>9</v>
      </c>
      <c r="G125" s="69" t="s">
        <v>11</v>
      </c>
      <c r="H125" s="68" t="s">
        <v>1</v>
      </c>
      <c r="I125" s="68"/>
      <c r="J125" s="67" t="s">
        <v>14</v>
      </c>
      <c r="K125" s="67" t="s">
        <v>8</v>
      </c>
      <c r="L125" s="67" t="s">
        <v>13</v>
      </c>
    </row>
    <row r="126" spans="1:12" ht="48">
      <c r="A126" s="67"/>
      <c r="B126" s="67"/>
      <c r="C126" s="67"/>
      <c r="D126" s="68"/>
      <c r="E126" s="67"/>
      <c r="F126" s="67"/>
      <c r="G126" s="69"/>
      <c r="H126" s="6" t="s">
        <v>12</v>
      </c>
      <c r="I126" s="5" t="s">
        <v>3</v>
      </c>
      <c r="J126" s="67"/>
      <c r="K126" s="67"/>
      <c r="L126" s="67"/>
    </row>
    <row r="127" spans="1:12">
      <c r="A127" s="17"/>
      <c r="B127" s="17"/>
      <c r="C127" s="18"/>
      <c r="D127" s="19"/>
      <c r="E127" s="25"/>
      <c r="F127" s="2"/>
      <c r="G127" s="2"/>
      <c r="H127" s="2"/>
      <c r="I127" s="3"/>
      <c r="J127" s="49" t="s">
        <v>118</v>
      </c>
      <c r="K127" s="49">
        <f>SUM(K108)</f>
        <v>4301374</v>
      </c>
      <c r="L127" s="30"/>
    </row>
    <row r="128" spans="1:12">
      <c r="A128" s="24">
        <v>41</v>
      </c>
      <c r="B128" s="17">
        <v>2556</v>
      </c>
      <c r="C128" s="18" t="s">
        <v>95</v>
      </c>
      <c r="D128" s="19" t="s">
        <v>96</v>
      </c>
      <c r="E128" s="25" t="s">
        <v>106</v>
      </c>
      <c r="F128" s="2">
        <v>8</v>
      </c>
      <c r="G128" s="2" t="s">
        <v>107</v>
      </c>
      <c r="H128" s="2">
        <v>1</v>
      </c>
      <c r="I128" s="3">
        <v>1</v>
      </c>
      <c r="J128" s="27">
        <v>12600</v>
      </c>
      <c r="K128" s="27">
        <f>SUM(I128*J128)</f>
        <v>12600</v>
      </c>
      <c r="L128" s="31" t="s">
        <v>108</v>
      </c>
    </row>
    <row r="129" spans="1:12">
      <c r="A129" s="24">
        <v>42</v>
      </c>
      <c r="B129" s="17">
        <v>2556</v>
      </c>
      <c r="C129" s="18" t="s">
        <v>97</v>
      </c>
      <c r="D129" s="19" t="s">
        <v>98</v>
      </c>
      <c r="E129" s="25" t="s">
        <v>106</v>
      </c>
      <c r="F129" s="2">
        <v>8</v>
      </c>
      <c r="G129" s="2" t="s">
        <v>107</v>
      </c>
      <c r="H129" s="2">
        <v>1</v>
      </c>
      <c r="I129" s="3">
        <v>1</v>
      </c>
      <c r="J129" s="27">
        <v>11900</v>
      </c>
      <c r="K129" s="27">
        <f t="shared" ref="K129:K131" si="4">SUM(I129*J129)</f>
        <v>11900</v>
      </c>
      <c r="L129" s="31" t="s">
        <v>108</v>
      </c>
    </row>
    <row r="130" spans="1:12">
      <c r="A130" s="24">
        <v>43</v>
      </c>
      <c r="B130" s="17">
        <v>2556</v>
      </c>
      <c r="C130" s="18" t="s">
        <v>99</v>
      </c>
      <c r="D130" s="19" t="s">
        <v>100</v>
      </c>
      <c r="E130" s="25" t="s">
        <v>106</v>
      </c>
      <c r="F130" s="2">
        <v>8</v>
      </c>
      <c r="G130" s="2" t="s">
        <v>107</v>
      </c>
      <c r="H130" s="2">
        <v>1</v>
      </c>
      <c r="I130" s="3">
        <v>1</v>
      </c>
      <c r="J130" s="27">
        <v>3500</v>
      </c>
      <c r="K130" s="27">
        <f t="shared" si="4"/>
        <v>3500</v>
      </c>
      <c r="L130" s="31" t="s">
        <v>108</v>
      </c>
    </row>
    <row r="131" spans="1:12">
      <c r="A131" s="24">
        <v>44</v>
      </c>
      <c r="B131" s="17">
        <v>2556</v>
      </c>
      <c r="C131" s="18" t="s">
        <v>101</v>
      </c>
      <c r="D131" s="19" t="s">
        <v>102</v>
      </c>
      <c r="E131" s="25" t="s">
        <v>106</v>
      </c>
      <c r="F131" s="2">
        <v>8</v>
      </c>
      <c r="G131" s="2" t="s">
        <v>107</v>
      </c>
      <c r="H131" s="2">
        <v>1</v>
      </c>
      <c r="I131" s="3">
        <v>1</v>
      </c>
      <c r="J131" s="27">
        <v>6000</v>
      </c>
      <c r="K131" s="27">
        <f t="shared" si="4"/>
        <v>6000</v>
      </c>
      <c r="L131" s="31" t="s">
        <v>108</v>
      </c>
    </row>
    <row r="132" spans="1:12" ht="24.75" thickBot="1">
      <c r="A132" s="40"/>
      <c r="B132" s="40"/>
      <c r="C132" s="50"/>
      <c r="D132" s="51"/>
      <c r="E132" s="40"/>
      <c r="F132" s="44"/>
      <c r="G132" s="44"/>
      <c r="H132" s="44"/>
      <c r="I132" s="45"/>
      <c r="J132" s="47" t="s">
        <v>4</v>
      </c>
      <c r="K132" s="47">
        <f>SUM(K127:K131)</f>
        <v>4335374</v>
      </c>
      <c r="L132" s="52"/>
    </row>
    <row r="133" spans="1:12" ht="24.75" thickTop="1">
      <c r="B133" s="13" t="s">
        <v>2</v>
      </c>
      <c r="C133" s="8" t="s">
        <v>16</v>
      </c>
      <c r="D133" s="16"/>
      <c r="E133" s="16"/>
      <c r="F133" s="16"/>
      <c r="G133" s="16"/>
      <c r="H133" s="16"/>
      <c r="I133" s="12"/>
      <c r="J133" s="11"/>
      <c r="K133" s="11"/>
      <c r="L133" s="32"/>
    </row>
    <row r="134" spans="1:12">
      <c r="B134" s="13"/>
      <c r="C134" s="8" t="s">
        <v>17</v>
      </c>
      <c r="D134" s="4"/>
      <c r="E134" s="4"/>
      <c r="F134" s="4"/>
      <c r="G134" s="4"/>
      <c r="H134" s="4"/>
      <c r="I134" s="12"/>
      <c r="J134" s="4"/>
      <c r="K134" s="4"/>
      <c r="L134" s="32"/>
    </row>
    <row r="135" spans="1:12">
      <c r="B135" s="32"/>
      <c r="C135" s="8"/>
      <c r="D135" s="4"/>
      <c r="E135" s="4"/>
      <c r="F135" s="4"/>
      <c r="G135" s="48" t="s">
        <v>109</v>
      </c>
      <c r="H135" s="64" t="s">
        <v>110</v>
      </c>
      <c r="I135" s="64"/>
      <c r="J135" s="64"/>
      <c r="K135" s="8" t="s">
        <v>111</v>
      </c>
      <c r="L135" s="10"/>
    </row>
    <row r="136" spans="1:12">
      <c r="B136" s="32"/>
      <c r="C136" s="8"/>
      <c r="D136" s="4"/>
      <c r="E136" s="4"/>
      <c r="F136" s="4"/>
      <c r="G136" s="48"/>
      <c r="H136" s="64" t="s">
        <v>112</v>
      </c>
      <c r="I136" s="64"/>
      <c r="J136" s="64"/>
      <c r="K136" s="8"/>
      <c r="L136" s="10"/>
    </row>
    <row r="137" spans="1:12" ht="36.75" customHeight="1">
      <c r="B137" s="32"/>
      <c r="C137" s="8"/>
      <c r="D137" s="4"/>
      <c r="E137" s="4"/>
      <c r="F137" s="4"/>
      <c r="G137" s="48" t="s">
        <v>109</v>
      </c>
      <c r="H137" s="64" t="s">
        <v>110</v>
      </c>
      <c r="I137" s="64"/>
      <c r="J137" s="64"/>
      <c r="K137" s="8" t="s">
        <v>113</v>
      </c>
      <c r="L137" s="10"/>
    </row>
    <row r="138" spans="1:12">
      <c r="G138" s="14"/>
      <c r="H138" s="64" t="s">
        <v>114</v>
      </c>
      <c r="I138" s="64"/>
      <c r="J138" s="64"/>
      <c r="K138" s="8"/>
    </row>
    <row r="139" spans="1:12" ht="43.5" customHeight="1">
      <c r="G139" s="14" t="s">
        <v>109</v>
      </c>
      <c r="H139" s="70" t="s">
        <v>110</v>
      </c>
      <c r="I139" s="70"/>
      <c r="J139" s="70"/>
      <c r="K139" s="9" t="s">
        <v>115</v>
      </c>
    </row>
    <row r="140" spans="1:12">
      <c r="H140" s="70" t="s">
        <v>116</v>
      </c>
      <c r="I140" s="70"/>
      <c r="J140" s="70"/>
    </row>
  </sheetData>
  <mergeCells count="100">
    <mergeCell ref="H139:J139"/>
    <mergeCell ref="H140:J140"/>
    <mergeCell ref="L125:L126"/>
    <mergeCell ref="H135:J135"/>
    <mergeCell ref="H136:J136"/>
    <mergeCell ref="H137:J137"/>
    <mergeCell ref="H138:J138"/>
    <mergeCell ref="F125:F126"/>
    <mergeCell ref="G125:G126"/>
    <mergeCell ref="H125:I125"/>
    <mergeCell ref="J125:J126"/>
    <mergeCell ref="K125:K126"/>
    <mergeCell ref="A125:A126"/>
    <mergeCell ref="B125:B126"/>
    <mergeCell ref="C125:C126"/>
    <mergeCell ref="D125:D126"/>
    <mergeCell ref="E125:E126"/>
    <mergeCell ref="H115:J115"/>
    <mergeCell ref="H116:J116"/>
    <mergeCell ref="A122:L122"/>
    <mergeCell ref="A123:L123"/>
    <mergeCell ref="A124:L124"/>
    <mergeCell ref="L95:L96"/>
    <mergeCell ref="H111:J111"/>
    <mergeCell ref="H112:J112"/>
    <mergeCell ref="H113:J113"/>
    <mergeCell ref="H114:J114"/>
    <mergeCell ref="F95:F96"/>
    <mergeCell ref="G95:G96"/>
    <mergeCell ref="H95:I95"/>
    <mergeCell ref="J95:J96"/>
    <mergeCell ref="K95:K96"/>
    <mergeCell ref="A95:A96"/>
    <mergeCell ref="B95:B96"/>
    <mergeCell ref="C95:C96"/>
    <mergeCell ref="D95:D96"/>
    <mergeCell ref="E95:E96"/>
    <mergeCell ref="H85:J85"/>
    <mergeCell ref="H86:J86"/>
    <mergeCell ref="A92:L92"/>
    <mergeCell ref="A93:L93"/>
    <mergeCell ref="A94:L94"/>
    <mergeCell ref="L65:L66"/>
    <mergeCell ref="H81:J81"/>
    <mergeCell ref="H82:J82"/>
    <mergeCell ref="H83:J83"/>
    <mergeCell ref="H84:J84"/>
    <mergeCell ref="F65:F66"/>
    <mergeCell ref="G65:G66"/>
    <mergeCell ref="H65:I65"/>
    <mergeCell ref="J65:J66"/>
    <mergeCell ref="K65:K66"/>
    <mergeCell ref="A65:A66"/>
    <mergeCell ref="B65:B66"/>
    <mergeCell ref="C65:C66"/>
    <mergeCell ref="D65:D66"/>
    <mergeCell ref="E65:E66"/>
    <mergeCell ref="H55:J55"/>
    <mergeCell ref="H56:J56"/>
    <mergeCell ref="A62:L62"/>
    <mergeCell ref="A63:L63"/>
    <mergeCell ref="A64:L64"/>
    <mergeCell ref="L35:L36"/>
    <mergeCell ref="H51:J51"/>
    <mergeCell ref="H52:J52"/>
    <mergeCell ref="H53:J53"/>
    <mergeCell ref="H54:J54"/>
    <mergeCell ref="F35:F36"/>
    <mergeCell ref="G35:G36"/>
    <mergeCell ref="H35:I35"/>
    <mergeCell ref="J35:J36"/>
    <mergeCell ref="K35:K36"/>
    <mergeCell ref="A35:A36"/>
    <mergeCell ref="B35:B36"/>
    <mergeCell ref="C35:C36"/>
    <mergeCell ref="D35:D36"/>
    <mergeCell ref="E35:E36"/>
    <mergeCell ref="H25:J25"/>
    <mergeCell ref="L5:L6"/>
    <mergeCell ref="H5:I5"/>
    <mergeCell ref="J5:J6"/>
    <mergeCell ref="K5:K6"/>
    <mergeCell ref="H20:J20"/>
    <mergeCell ref="H21:J21"/>
    <mergeCell ref="A32:L32"/>
    <mergeCell ref="A33:L33"/>
    <mergeCell ref="A34:L34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2:J22"/>
    <mergeCell ref="H23:J23"/>
    <mergeCell ref="H24:J24"/>
  </mergeCells>
  <printOptions horizontalCentered="1"/>
  <pageMargins left="0.19685039370078741" right="0.19685039370078741" top="0.19685039370078741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งานสือการเรียนการสอน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2021-11-22T03:46:46Z</cp:lastPrinted>
  <dcterms:created xsi:type="dcterms:W3CDTF">2017-11-14T01:32:33Z</dcterms:created>
  <dcterms:modified xsi:type="dcterms:W3CDTF">2021-11-22T04:45:39Z</dcterms:modified>
</cp:coreProperties>
</file>