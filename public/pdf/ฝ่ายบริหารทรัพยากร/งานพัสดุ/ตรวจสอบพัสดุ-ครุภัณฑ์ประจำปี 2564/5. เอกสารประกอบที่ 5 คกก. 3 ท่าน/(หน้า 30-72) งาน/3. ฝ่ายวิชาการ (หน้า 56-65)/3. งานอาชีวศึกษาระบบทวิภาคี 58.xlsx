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4\เอกสารประกอบที่ 5 คกก. 3 ท่าน\งาน\3. ฝ่ายวิชาการ\"/>
    </mc:Choice>
  </mc:AlternateContent>
  <bookViews>
    <workbookView xWindow="0" yWindow="0" windowWidth="24000" windowHeight="9495" tabRatio="897"/>
  </bookViews>
  <sheets>
    <sheet name="ทวิภาคี" sheetId="46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1" i="46" l="1"/>
  <c r="K8" i="46"/>
  <c r="K9" i="46"/>
  <c r="K10" i="46"/>
  <c r="K7" i="46"/>
</calcChain>
</file>

<file path=xl/sharedStrings.xml><?xml version="1.0" encoding="utf-8"?>
<sst xmlns="http://schemas.openxmlformats.org/spreadsheetml/2006/main" count="54" uniqueCount="42">
  <si>
    <t>รายการ ขนาด ลักษณะ</t>
  </si>
  <si>
    <t>จำนวน</t>
  </si>
  <si>
    <t>หมายเหตุ</t>
  </si>
  <si>
    <t>ชำรุด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</si>
  <si>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</si>
  <si>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</si>
  <si>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</si>
  <si>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</si>
  <si>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</si>
  <si>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</si>
  <si>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</si>
  <si>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</si>
  <si>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</si>
  <si>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</si>
  <si>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</si>
  <si>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</si>
  <si>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</si>
  <si>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</si>
  <si>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</si>
  <si>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2546</t>
  </si>
  <si>
    <t>6720-005-0002/531-005</t>
  </si>
  <si>
    <t>7440-001-0001/462-001</t>
  </si>
  <si>
    <t>4210-001-0001/531-006</t>
  </si>
  <si>
    <t>7440-001-0001/531-144</t>
  </si>
  <si>
    <t>เครื่องคอมพิวเตอร์</t>
  </si>
  <si>
    <t>กล้องถ่ายภาพนิ่ง</t>
  </si>
  <si>
    <t>เครื่องรับอากาศ ซัมซุง 13,000 บีทียู</t>
  </si>
  <si>
    <t>เครื่องคอมพิวเตอร์พร้อมโต๊ะเก้าอี้</t>
  </si>
  <si>
    <t>ชำรุด ใช้งานไม่ได้</t>
  </si>
  <si>
    <t>ประจำปี 2564 สิ้นงวดเมื่อวันที่ 30 กันยายน 2564 ของงานอาชีวศึกษาระบบทวิภาคี</t>
  </si>
  <si>
    <t>บกศ.</t>
  </si>
  <si>
    <t>งปม.</t>
  </si>
  <si>
    <t>ลงชื่อ</t>
  </si>
  <si>
    <t>.........................................................</t>
  </si>
  <si>
    <t>ประธานกรรมการ</t>
  </si>
  <si>
    <t>(นางสาวทราทิตย์  ชิดชม)</t>
  </si>
  <si>
    <t>กรรมการ</t>
  </si>
  <si>
    <t>(นางคนองรักษ์  ป้อมหิน)</t>
  </si>
  <si>
    <t>กรรมการและเลขานุการ</t>
  </si>
  <si>
    <t>(นายชินาธิป  พรมชา)</t>
  </si>
  <si>
    <t>เอกสารหมายเลข 58</t>
  </si>
  <si>
    <t xml:space="preserve">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</si>
</sst>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2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/>
    <xf numFmtId="0" fontId="4" fillId="0" borderId="0" xfId="0" applyFont="1" applyBorder="1"/>
    <xf numFmtId="0" fontId="3" fillId="0" borderId="1" xfId="0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Border="1" applyAlignment="1"/>
    <xf numFmtId="43" fontId="4" fillId="0" borderId="0" xfId="0" applyNumberFormat="1" applyFont="1" applyBorder="1" applyAlignment="1"/>
    <xf numFmtId="0" fontId="3" fillId="0" borderId="0" xfId="2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43" fontId="3" fillId="0" borderId="1" xfId="12" applyNumberFormat="1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/>
    </xf>
    <xf numFmtId="0" fontId="4" fillId="0" borderId="6" xfId="0" applyFont="1" applyBorder="1"/>
    <xf numFmtId="0" fontId="6" fillId="0" borderId="6" xfId="0" applyFont="1" applyBorder="1" applyAlignment="1"/>
    <xf numFmtId="0" fontId="6" fillId="0" borderId="6" xfId="0" applyFont="1" applyBorder="1" applyAlignment="1">
      <alignment horizontal="center"/>
    </xf>
    <xf numFmtId="43" fontId="6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14">
    <cellStyle name="Normal_ครุภัณฑ์ปี  2553" xfId="8"/>
    <cellStyle name="เครื่องหมายจุลภาค" xfId="1" builtinId="3"/>
    <cellStyle name="เครื่องหมายจุลภาค 9" xfId="12"/>
    <cellStyle name="ปกติ" xfId="0" builtinId="0"/>
    <cellStyle name="ปกติ 10" xfId="4"/>
    <cellStyle name="ปกติ 12" xfId="7"/>
    <cellStyle name="ปกติ 14" xfId="3"/>
    <cellStyle name="ปกติ 19" xfId="13"/>
    <cellStyle name="ปกติ 21" xfId="2"/>
    <cellStyle name="ปกติ 22" xfId="5"/>
    <cellStyle name="ปกติ 3" xfId="9"/>
    <cellStyle name="ปกติ 4" xfId="10"/>
    <cellStyle name="ปกติ 5" xfId="11"/>
    <cellStyle name="ปกติ_รายการครุภัณฑ์ ปี 52 ที่แก้ไขเรียงลำดับใหม่ 23 ก.พ.53" xfId="6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1409700</xdr:colOff>
      <xdr:row>12</xdr:row>
      <xdr:rowOff>19052</xdr:rowOff>
    </xdr:from>
    <xdr:to>
      <xdr:col>11</xdr:col>
      <xdr:colOff>1733550</xdr:colOff>
      <xdr:row>16</xdr:row>
      <xdr:rowOff>47629</xdr:rowOff>
    </xdr:to>
    <xdr:sp macro="" textlink="">
      <xdr:nvSpPr>
        <xdr:cNvPr id="2" name="กล่องข้อความ 1"/>
        <xdr:cNvSpPr txBox="1"/>
      </xdr:nvSpPr>
      <xdr:spPr>
        <a:xfrm rot="5400000">
          <a:off x="11730036" y="4567241"/>
          <a:ext cx="1419227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19"/>
  <sheetViews>
    <sheetView tabSelected="1" zoomScaleNormal="100" workbookViewId="0">
      <selection activeCell="E15" sqref="E15"/>
    </sheetView>
  </sheetViews>
  <sheetFormatPr defaultColWidth="9" defaultRowHeight="24"/>
  <cols>
    <col min="1" max="1" width="5.28515625" style="2" customWidth="1"/>
    <col min="2" max="2" width="12" style="18" customWidth="1"/>
    <col min="3" max="3" width="31" style="12" customWidth="1"/>
    <col min="4" max="4" width="42.7109375" style="2" customWidth="1"/>
    <col min="5" max="5" width="7.5703125" style="2" customWidth="1"/>
    <col min="6" max="6" width="8.5703125" style="2" customWidth="1"/>
    <col min="7" max="9" width="9.28515625" style="2" customWidth="1"/>
    <col min="10" max="11" width="14" style="2" customWidth="1"/>
    <col min="12" max="12" width="29.7109375" style="18" customWidth="1"/>
    <col min="13" max="16384" width="9" style="2"/>
  </cols>
  <sheetData>
    <row r="1" spans="1:12">
      <c r="L1" s="18" t="s">
        <v>40</v>
      </c>
    </row>
    <row r="2" spans="1:12">
      <c r="A2" s="31" t="s">
        <v>5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2">
      <c r="A3" s="32" t="s">
        <v>6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2">
      <c r="A4" s="33" t="s">
        <v>29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2" ht="28.5" customHeight="1">
      <c r="A5" s="29" t="s">
        <v>7</v>
      </c>
      <c r="B5" s="29" t="s">
        <v>18</v>
      </c>
      <c r="C5" s="29" t="s">
        <v>15</v>
      </c>
      <c r="D5" s="34" t="s">
        <v>0</v>
      </c>
      <c r="E5" s="29" t="s">
        <v>10</v>
      </c>
      <c r="F5" s="29" t="s">
        <v>9</v>
      </c>
      <c r="G5" s="36" t="s">
        <v>11</v>
      </c>
      <c r="H5" s="38" t="s">
        <v>1</v>
      </c>
      <c r="I5" s="39"/>
      <c r="J5" s="29" t="s">
        <v>14</v>
      </c>
      <c r="K5" s="29" t="s">
        <v>8</v>
      </c>
      <c r="L5" s="29" t="s">
        <v>13</v>
      </c>
    </row>
    <row r="6" spans="1:12" ht="45" customHeight="1">
      <c r="A6" s="30"/>
      <c r="B6" s="30"/>
      <c r="C6" s="30"/>
      <c r="D6" s="35"/>
      <c r="E6" s="30"/>
      <c r="F6" s="30"/>
      <c r="G6" s="37"/>
      <c r="H6" s="21" t="s">
        <v>12</v>
      </c>
      <c r="I6" s="22" t="s">
        <v>3</v>
      </c>
      <c r="J6" s="30"/>
      <c r="K6" s="30"/>
      <c r="L6" s="30"/>
    </row>
    <row r="7" spans="1:12">
      <c r="A7" s="10">
        <v>1</v>
      </c>
      <c r="B7" s="9" t="s">
        <v>19</v>
      </c>
      <c r="C7" s="3" t="s">
        <v>21</v>
      </c>
      <c r="D7" s="1" t="s">
        <v>24</v>
      </c>
      <c r="E7" s="4" t="s">
        <v>30</v>
      </c>
      <c r="F7" s="4">
        <v>18</v>
      </c>
      <c r="G7" s="4" t="s">
        <v>41</v>
      </c>
      <c r="H7" s="4">
        <v>1</v>
      </c>
      <c r="I7" s="5">
        <v>1</v>
      </c>
      <c r="J7" s="6">
        <v>33000</v>
      </c>
      <c r="K7" s="6">
        <f>SUM(I7*J7)</f>
        <v>33000</v>
      </c>
      <c r="L7" s="19" t="s">
        <v>28</v>
      </c>
    </row>
    <row r="8" spans="1:12">
      <c r="A8" s="10">
        <v>2</v>
      </c>
      <c r="B8" s="8">
        <v>2553</v>
      </c>
      <c r="C8" s="3" t="s">
        <v>20</v>
      </c>
      <c r="D8" s="1" t="s">
        <v>25</v>
      </c>
      <c r="E8" s="4" t="s">
        <v>31</v>
      </c>
      <c r="F8" s="4">
        <v>11</v>
      </c>
      <c r="G8" s="4" t="s">
        <v>41</v>
      </c>
      <c r="H8" s="4">
        <v>1</v>
      </c>
      <c r="I8" s="5">
        <v>1</v>
      </c>
      <c r="J8" s="6">
        <v>7900</v>
      </c>
      <c r="K8" s="6">
        <f t="shared" ref="K8:K10" si="0">SUM(I8*J8)</f>
        <v>7900</v>
      </c>
      <c r="L8" s="19" t="s">
        <v>28</v>
      </c>
    </row>
    <row r="9" spans="1:12">
      <c r="A9" s="10">
        <v>3</v>
      </c>
      <c r="B9" s="8">
        <v>2553</v>
      </c>
      <c r="C9" s="3" t="s">
        <v>22</v>
      </c>
      <c r="D9" s="1" t="s">
        <v>26</v>
      </c>
      <c r="E9" s="4" t="s">
        <v>31</v>
      </c>
      <c r="F9" s="4">
        <v>11</v>
      </c>
      <c r="G9" s="4" t="s">
        <v>41</v>
      </c>
      <c r="H9" s="4">
        <v>1</v>
      </c>
      <c r="I9" s="5">
        <v>1</v>
      </c>
      <c r="J9" s="6">
        <v>39500</v>
      </c>
      <c r="K9" s="6">
        <f t="shared" si="0"/>
        <v>39500</v>
      </c>
      <c r="L9" s="19" t="s">
        <v>28</v>
      </c>
    </row>
    <row r="10" spans="1:12">
      <c r="A10" s="10">
        <v>4</v>
      </c>
      <c r="B10" s="8">
        <v>2553</v>
      </c>
      <c r="C10" s="3" t="s">
        <v>23</v>
      </c>
      <c r="D10" s="1" t="s">
        <v>27</v>
      </c>
      <c r="E10" s="4" t="s">
        <v>31</v>
      </c>
      <c r="F10" s="4">
        <v>11</v>
      </c>
      <c r="G10" s="4" t="s">
        <v>41</v>
      </c>
      <c r="H10" s="4">
        <v>1</v>
      </c>
      <c r="I10" s="5">
        <v>1</v>
      </c>
      <c r="J10" s="6">
        <v>17000</v>
      </c>
      <c r="K10" s="6">
        <f t="shared" si="0"/>
        <v>17000</v>
      </c>
      <c r="L10" s="19" t="s">
        <v>28</v>
      </c>
    </row>
    <row r="11" spans="1:12" ht="24.75" thickBot="1">
      <c r="A11" s="23"/>
      <c r="B11" s="24"/>
      <c r="C11" s="24"/>
      <c r="D11" s="24"/>
      <c r="E11" s="24"/>
      <c r="F11" s="24"/>
      <c r="G11" s="24"/>
      <c r="H11" s="24"/>
      <c r="I11" s="24"/>
      <c r="J11" s="25" t="s">
        <v>4</v>
      </c>
      <c r="K11" s="26">
        <f>SUM(K7:K10)</f>
        <v>97400</v>
      </c>
      <c r="L11" s="27"/>
    </row>
    <row r="12" spans="1:12" ht="24.75" thickTop="1">
      <c r="A12" s="20"/>
      <c r="B12" s="16" t="s">
        <v>2</v>
      </c>
      <c r="C12" s="11" t="s">
        <v>16</v>
      </c>
      <c r="D12" s="20"/>
      <c r="E12" s="20"/>
      <c r="F12" s="20"/>
      <c r="G12" s="20"/>
      <c r="H12" s="20"/>
      <c r="I12" s="15"/>
      <c r="J12" s="14"/>
      <c r="K12" s="14"/>
      <c r="L12" s="20"/>
    </row>
    <row r="13" spans="1:12">
      <c r="A13" s="7"/>
      <c r="B13" s="16"/>
      <c r="C13" s="11" t="s">
        <v>17</v>
      </c>
      <c r="D13" s="7"/>
      <c r="E13" s="7"/>
      <c r="F13" s="7"/>
      <c r="G13" s="7"/>
      <c r="H13" s="7"/>
      <c r="I13" s="15"/>
      <c r="J13" s="7"/>
      <c r="K13" s="7"/>
      <c r="L13" s="20"/>
    </row>
    <row r="14" spans="1:12">
      <c r="A14" s="7"/>
      <c r="B14" s="20"/>
      <c r="C14" s="11"/>
      <c r="D14" s="7"/>
      <c r="E14" s="7"/>
      <c r="F14" s="7"/>
      <c r="G14" s="28" t="s">
        <v>32</v>
      </c>
      <c r="H14" s="40" t="s">
        <v>33</v>
      </c>
      <c r="I14" s="40"/>
      <c r="J14" s="40"/>
      <c r="K14" s="11" t="s">
        <v>34</v>
      </c>
      <c r="L14" s="13"/>
    </row>
    <row r="15" spans="1:12">
      <c r="A15" s="7"/>
      <c r="B15" s="20"/>
      <c r="C15" s="11"/>
      <c r="D15" s="7"/>
      <c r="E15" s="7"/>
      <c r="F15" s="7"/>
      <c r="G15" s="28"/>
      <c r="H15" s="40" t="s">
        <v>35</v>
      </c>
      <c r="I15" s="40"/>
      <c r="J15" s="40"/>
      <c r="K15" s="11"/>
      <c r="L15" s="13"/>
    </row>
    <row r="16" spans="1:12" ht="37.5" customHeight="1">
      <c r="A16" s="7"/>
      <c r="B16" s="20"/>
      <c r="C16" s="11"/>
      <c r="D16" s="7"/>
      <c r="E16" s="7"/>
      <c r="F16" s="7"/>
      <c r="G16" s="28" t="s">
        <v>32</v>
      </c>
      <c r="H16" s="40" t="s">
        <v>33</v>
      </c>
      <c r="I16" s="40"/>
      <c r="J16" s="40"/>
      <c r="K16" s="11" t="s">
        <v>36</v>
      </c>
      <c r="L16" s="13"/>
    </row>
    <row r="17" spans="7:11">
      <c r="G17" s="17"/>
      <c r="H17" s="40" t="s">
        <v>37</v>
      </c>
      <c r="I17" s="40"/>
      <c r="J17" s="40"/>
      <c r="K17" s="11"/>
    </row>
    <row r="18" spans="7:11" ht="41.25" customHeight="1">
      <c r="G18" s="17" t="s">
        <v>32</v>
      </c>
      <c r="H18" s="40" t="s">
        <v>33</v>
      </c>
      <c r="I18" s="40"/>
      <c r="J18" s="40"/>
      <c r="K18" s="11" t="s">
        <v>38</v>
      </c>
    </row>
    <row r="19" spans="7:11">
      <c r="H19" s="41" t="s">
        <v>39</v>
      </c>
      <c r="I19" s="41"/>
      <c r="J19" s="41"/>
    </row>
  </sheetData>
  <mergeCells count="20">
    <mergeCell ref="H19:J19"/>
    <mergeCell ref="H14:J14"/>
    <mergeCell ref="H15:J15"/>
    <mergeCell ref="H16:J16"/>
    <mergeCell ref="H17:J17"/>
    <mergeCell ref="H18:J18"/>
    <mergeCell ref="L5:L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</mergeCells>
  <printOptions horizontalCentered="1"/>
  <pageMargins left="0.19685039370078741" right="0.19685039370078741" top="0.19685039370078741" bottom="0.19685039370078741" header="0" footer="0"/>
  <pageSetup paperSize="9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ทวิภาคี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user</cp:lastModifiedBy>
  <cp:lastPrinted>2021-10-29T07:34:30Z</cp:lastPrinted>
  <dcterms:created xsi:type="dcterms:W3CDTF">2017-11-14T01:32:33Z</dcterms:created>
  <dcterms:modified xsi:type="dcterms:W3CDTF">2021-11-22T03:32:47Z</dcterms:modified>
</cp:coreProperties>
</file>