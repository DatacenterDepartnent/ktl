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3. ฝ่ายวิชาการ\"/>
    </mc:Choice>
  </mc:AlternateContent>
  <bookViews>
    <workbookView xWindow="0" yWindow="0" windowWidth="24000" windowHeight="9495" tabRatio="897"/>
  </bookViews>
  <sheets>
    <sheet name="งานวัดผลและประเมินผล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" i="46" l="1"/>
  <c r="K9" i="46"/>
  <c r="K7" i="46"/>
  <c r="K10" i="46" s="1"/>
</calcChain>
</file>

<file path=xl/sharedStrings.xml><?xml version="1.0" encoding="utf-8"?>
<sst xmlns="http://schemas.openxmlformats.org/spreadsheetml/2006/main" count="53" uniqueCount="44">
  <si>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</si>
  <si>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</si>
  <si>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</si>
  <si>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</si>
  <si>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</si>
  <si>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</si>
  <si>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</si>
  <si>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</si>
  <si>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</si>
  <si>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</si>
  <si>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</si>
  <si>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</si>
  <si>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</si>
  <si>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</si>
  <si>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</si>
  <si>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</si>
  <si>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</si>
  <si>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</si>
  <si>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</si>
  <si>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ของงานวัดผลและประเมินผล</t>
  </si>
  <si>
    <t>2550</t>
  </si>
  <si>
    <t>7440-001-0001/502-051</t>
  </si>
  <si>
    <t>ชุดคอมพิวเตอร์</t>
  </si>
  <si>
    <t>บกศ.</t>
  </si>
  <si>
    <t>7430-008-0006/531-027</t>
  </si>
  <si>
    <t>งปม.</t>
  </si>
  <si>
    <t>7440-001-0001/531-151</t>
  </si>
  <si>
    <t>เครื่องคอมพิวเตอร์พร้อมโต๊ะเก้าอี้</t>
  </si>
  <si>
    <t>Printer HP Laserjet M1522n MFP</t>
  </si>
  <si>
    <t>ชำรุด ใช้งานไม่ได้</t>
  </si>
  <si>
    <t>ไม่พบซากครุภัณฑ์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</si>
  <si>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</si>
  <si>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</si>
  <si>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</si>
  <si>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</si>
  <si>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</si>
  <si>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</si>
  <si>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เอกสารหมายเลข 56</t>
  </si>
  <si>
    <t>14</t>
  </si>
  <si>
    <t>11</t>
  </si>
  <si>
    <t xml:space="preserve"> </t>
  </si>
  <si>
    <t>(นางคนองรักษ์  ป้อมหิน)</t>
  </si>
  <si>
    <t>(นายชินาธิป  พรมชา)</t>
  </si>
  <si>
    <t>(นางสาวทราทิตย์  ชิดชม)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</si>
</sst>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6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43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43" fontId="6" fillId="0" borderId="6" xfId="0" applyNumberFormat="1" applyFont="1" applyBorder="1" applyAlignment="1">
      <alignment horizontal="center" vertical="center"/>
    </xf>
    <xf numFmtId="43" fontId="3" fillId="0" borderId="1" xfId="12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8"/>
  <sheetViews>
    <sheetView tabSelected="1" zoomScaleNormal="100" workbookViewId="0">
      <selection activeCell="D14" sqref="D14"/>
    </sheetView>
  </sheetViews>
  <sheetFormatPr defaultColWidth="9" defaultRowHeight="24" customHeight="1"/>
  <cols>
    <col min="1" max="1" width="6.140625" style="2" customWidth="1"/>
    <col min="2" max="2" width="12.42578125" style="3" customWidth="1"/>
    <col min="3" max="3" width="30.85546875" style="4" customWidth="1"/>
    <col min="4" max="4" width="39.85546875" style="2" customWidth="1"/>
    <col min="5" max="5" width="8.42578125" style="2" customWidth="1"/>
    <col min="6" max="6" width="8.5703125" style="2" customWidth="1"/>
    <col min="7" max="9" width="8.42578125" style="2" customWidth="1"/>
    <col min="10" max="11" width="14.28515625" style="2" customWidth="1"/>
    <col min="12" max="12" width="32.7109375" style="3" customWidth="1"/>
    <col min="13" max="16384" width="9" style="2"/>
  </cols>
  <sheetData>
    <row r="1" spans="1:12" ht="24" customHeight="1">
      <c r="L1" s="3" t="s">
        <v>37</v>
      </c>
    </row>
    <row r="2" spans="1:12" ht="24" customHeight="1">
      <c r="A2" s="30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24" customHeight="1">
      <c r="A3" s="31" t="s">
        <v>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24" customHeight="1">
      <c r="A4" s="32" t="s">
        <v>19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24" customHeight="1">
      <c r="A5" s="28" t="s">
        <v>7</v>
      </c>
      <c r="B5" s="28" t="s">
        <v>18</v>
      </c>
      <c r="C5" s="28" t="s">
        <v>15</v>
      </c>
      <c r="D5" s="33" t="s">
        <v>0</v>
      </c>
      <c r="E5" s="28" t="s">
        <v>10</v>
      </c>
      <c r="F5" s="28" t="s">
        <v>9</v>
      </c>
      <c r="G5" s="28" t="s">
        <v>11</v>
      </c>
      <c r="H5" s="35" t="s">
        <v>1</v>
      </c>
      <c r="I5" s="36"/>
      <c r="J5" s="28" t="s">
        <v>14</v>
      </c>
      <c r="K5" s="28" t="s">
        <v>8</v>
      </c>
      <c r="L5" s="28" t="s">
        <v>13</v>
      </c>
    </row>
    <row r="6" spans="1:12" ht="45" customHeight="1">
      <c r="A6" s="29"/>
      <c r="B6" s="29"/>
      <c r="C6" s="29"/>
      <c r="D6" s="34"/>
      <c r="E6" s="29"/>
      <c r="F6" s="29"/>
      <c r="G6" s="29"/>
      <c r="H6" s="5" t="s">
        <v>12</v>
      </c>
      <c r="I6" s="6" t="s">
        <v>3</v>
      </c>
      <c r="J6" s="29"/>
      <c r="K6" s="29"/>
      <c r="L6" s="29"/>
    </row>
    <row r="7" spans="1:12" ht="24" customHeight="1">
      <c r="A7" s="1">
        <v>1</v>
      </c>
      <c r="B7" s="7" t="s">
        <v>20</v>
      </c>
      <c r="C7" s="8" t="s">
        <v>21</v>
      </c>
      <c r="D7" s="9" t="s">
        <v>22</v>
      </c>
      <c r="E7" s="10" t="s">
        <v>23</v>
      </c>
      <c r="F7" s="18" t="s">
        <v>38</v>
      </c>
      <c r="G7" s="10" t="s">
        <v>31</v>
      </c>
      <c r="H7" s="10">
        <v>1</v>
      </c>
      <c r="I7" s="10">
        <v>1</v>
      </c>
      <c r="J7" s="11">
        <v>17300</v>
      </c>
      <c r="K7" s="11">
        <f>SUM(I7*J7)</f>
        <v>17300</v>
      </c>
      <c r="L7" s="27" t="s">
        <v>30</v>
      </c>
    </row>
    <row r="8" spans="1:12" ht="24" customHeight="1">
      <c r="A8" s="1">
        <v>2</v>
      </c>
      <c r="B8" s="12">
        <v>2553</v>
      </c>
      <c r="C8" s="8" t="s">
        <v>24</v>
      </c>
      <c r="D8" s="9" t="s">
        <v>28</v>
      </c>
      <c r="E8" s="10" t="s">
        <v>25</v>
      </c>
      <c r="F8" s="18" t="s">
        <v>39</v>
      </c>
      <c r="G8" s="10" t="s">
        <v>31</v>
      </c>
      <c r="H8" s="10">
        <v>1</v>
      </c>
      <c r="I8" s="10">
        <v>1</v>
      </c>
      <c r="J8" s="11">
        <v>10140</v>
      </c>
      <c r="K8" s="11">
        <f t="shared" ref="K8:K9" si="0">SUM(I8*J8)</f>
        <v>10140</v>
      </c>
      <c r="L8" s="27" t="s">
        <v>29</v>
      </c>
    </row>
    <row r="9" spans="1:12" ht="24" customHeight="1">
      <c r="A9" s="1">
        <v>3</v>
      </c>
      <c r="B9" s="12">
        <v>2553</v>
      </c>
      <c r="C9" s="8" t="s">
        <v>26</v>
      </c>
      <c r="D9" s="9" t="s">
        <v>27</v>
      </c>
      <c r="E9" s="10" t="s">
        <v>25</v>
      </c>
      <c r="F9" s="18" t="s">
        <v>39</v>
      </c>
      <c r="G9" s="10" t="s">
        <v>31</v>
      </c>
      <c r="H9" s="10">
        <v>1</v>
      </c>
      <c r="I9" s="10">
        <v>1</v>
      </c>
      <c r="J9" s="11">
        <v>17000</v>
      </c>
      <c r="K9" s="11">
        <f t="shared" si="0"/>
        <v>17000</v>
      </c>
      <c r="L9" s="27" t="s">
        <v>30</v>
      </c>
    </row>
    <row r="10" spans="1:12" ht="24" customHeight="1" thickBot="1">
      <c r="A10" s="22"/>
      <c r="B10" s="23"/>
      <c r="C10" s="24"/>
      <c r="D10" s="24"/>
      <c r="E10" s="24"/>
      <c r="F10" s="24"/>
      <c r="G10" s="24"/>
      <c r="H10" s="24"/>
      <c r="I10" s="24" t="s">
        <v>40</v>
      </c>
      <c r="J10" s="25" t="s">
        <v>4</v>
      </c>
      <c r="K10" s="26">
        <f>SUM(K7:K9)</f>
        <v>44440</v>
      </c>
      <c r="L10" s="23"/>
    </row>
    <row r="11" spans="1:12" ht="24" customHeight="1" thickTop="1">
      <c r="A11" s="19"/>
      <c r="B11" s="16" t="s">
        <v>2</v>
      </c>
      <c r="C11" s="17" t="s">
        <v>16</v>
      </c>
      <c r="D11" s="20"/>
      <c r="E11" s="20"/>
      <c r="F11" s="20"/>
      <c r="G11" s="20"/>
      <c r="H11" s="20"/>
      <c r="I11" s="13"/>
      <c r="J11" s="14"/>
      <c r="K11" s="14"/>
      <c r="L11" s="20"/>
    </row>
    <row r="12" spans="1:12" ht="24" customHeight="1">
      <c r="A12" s="15"/>
      <c r="B12" s="16"/>
      <c r="C12" s="17" t="s">
        <v>17</v>
      </c>
      <c r="D12" s="15"/>
      <c r="E12" s="15"/>
      <c r="F12" s="15"/>
      <c r="G12" s="15"/>
      <c r="H12" s="15"/>
      <c r="I12" s="13"/>
      <c r="J12" s="15"/>
      <c r="K12" s="15"/>
      <c r="L12" s="20"/>
    </row>
    <row r="13" spans="1:12" ht="24" customHeight="1">
      <c r="B13" s="21"/>
      <c r="G13" s="37" t="s">
        <v>32</v>
      </c>
      <c r="H13" s="38" t="s">
        <v>33</v>
      </c>
      <c r="I13" s="38"/>
      <c r="J13" s="38"/>
      <c r="K13" s="4" t="s">
        <v>34</v>
      </c>
      <c r="L13" s="21"/>
    </row>
    <row r="14" spans="1:12" ht="21" customHeight="1">
      <c r="B14" s="21"/>
      <c r="G14" s="37"/>
      <c r="H14" s="38" t="s">
        <v>43</v>
      </c>
      <c r="I14" s="38"/>
      <c r="J14" s="38"/>
      <c r="K14" s="4"/>
      <c r="L14" s="21"/>
    </row>
    <row r="15" spans="1:12" ht="51" customHeight="1">
      <c r="B15" s="21"/>
      <c r="G15" s="37" t="s">
        <v>32</v>
      </c>
      <c r="H15" s="38" t="s">
        <v>33</v>
      </c>
      <c r="I15" s="38"/>
      <c r="J15" s="38"/>
      <c r="K15" s="4" t="s">
        <v>35</v>
      </c>
      <c r="L15" s="21"/>
    </row>
    <row r="16" spans="1:12" ht="16.5" customHeight="1">
      <c r="B16" s="21"/>
      <c r="G16" s="37"/>
      <c r="H16" s="38" t="s">
        <v>41</v>
      </c>
      <c r="I16" s="38"/>
      <c r="J16" s="38"/>
      <c r="K16" s="4"/>
      <c r="L16" s="21"/>
    </row>
    <row r="17" spans="2:12" ht="47.25" customHeight="1">
      <c r="B17" s="21"/>
      <c r="G17" s="37" t="s">
        <v>32</v>
      </c>
      <c r="H17" s="38" t="s">
        <v>33</v>
      </c>
      <c r="I17" s="38"/>
      <c r="J17" s="38"/>
      <c r="K17" s="4" t="s">
        <v>36</v>
      </c>
      <c r="L17" s="21"/>
    </row>
    <row r="18" spans="2:12" ht="18" customHeight="1">
      <c r="B18" s="21"/>
      <c r="H18" s="38" t="s">
        <v>42</v>
      </c>
      <c r="I18" s="38"/>
      <c r="J18" s="38"/>
      <c r="L18" s="21"/>
    </row>
  </sheetData>
  <mergeCells count="20">
    <mergeCell ref="H18:J18"/>
    <mergeCell ref="H13:J13"/>
    <mergeCell ref="H14:J14"/>
    <mergeCell ref="H15:J15"/>
    <mergeCell ref="H16:J16"/>
    <mergeCell ref="H17:J17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งานวัดผลและประเมินผล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2021-11-22T02:52:42Z</cp:lastPrinted>
  <dcterms:created xsi:type="dcterms:W3CDTF">2017-11-14T01:32:33Z</dcterms:created>
  <dcterms:modified xsi:type="dcterms:W3CDTF">2021-11-22T03:17:59Z</dcterms:modified>
</cp:coreProperties>
</file>