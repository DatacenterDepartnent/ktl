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3. ฝ่ายวิชาการ\"/>
    </mc:Choice>
  </mc:AlternateContent>
  <bookViews>
    <workbookView xWindow="0" yWindow="0" windowWidth="24000" windowHeight="9495"/>
  </bookViews>
  <sheets>
    <sheet name="งานวิทยบริการ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1" i="2" l="1"/>
  <c r="K37" i="2"/>
  <c r="K38" i="2"/>
  <c r="K39" i="2"/>
  <c r="K40" i="2"/>
  <c r="K36" i="2"/>
  <c r="K8" i="2"/>
  <c r="K9" i="2"/>
  <c r="K10" i="2"/>
  <c r="K11" i="2"/>
  <c r="K12" i="2"/>
  <c r="K13" i="2"/>
  <c r="K14" i="2"/>
  <c r="K15" i="2"/>
  <c r="K16" i="2"/>
  <c r="K7" i="2"/>
  <c r="K17" i="2" l="1"/>
  <c r="K35" i="2" s="1"/>
  <c r="K42" i="2" s="1"/>
</calcChain>
</file>

<file path=xl/sharedStrings.xml><?xml version="1.0" encoding="utf-8"?>
<sst xmlns="http://schemas.openxmlformats.org/spreadsheetml/2006/main" count="147" uniqueCount="77">
  <si>
    <t>ลำดับ
ที่</t>
  </si>
  <si>
    <t>รายการ ขนาด ลักษณะ</t>
  </si>
  <si>
    <t>จำนวน</t>
  </si>
  <si>
    <t>เป็นเงิน</t>
  </si>
  <si>
    <t>หมายเหตุ</t>
  </si>
  <si>
    <t>7110-007-0006/391-001-391-008</t>
  </si>
  <si>
    <t>โต๊ะอ่านหนังสือ ขนาด 4 ที่นั่งพร้อมเก้าอี้ไม้</t>
  </si>
  <si>
    <t>งปม.</t>
  </si>
  <si>
    <t>7110-002-0001/391-001</t>
  </si>
  <si>
    <t>ตู้ดรรชนี 12 ลิ้นชัก</t>
  </si>
  <si>
    <t>7195-006-0001/391-001-391-002</t>
  </si>
  <si>
    <t>แท่นอ่านหนังสือพิมพ์</t>
  </si>
  <si>
    <t>บกศ.</t>
  </si>
  <si>
    <t>7110-002-0003/391-001</t>
  </si>
  <si>
    <t>ตู้เก็บบัตรรายการ  15  ลิ้นชัก</t>
  </si>
  <si>
    <t>7490-002-0001/391-001</t>
  </si>
  <si>
    <t>เครื่องตัดกระดาษหรือขอบหนังสือ</t>
  </si>
  <si>
    <t>7490-015-0002/462-001</t>
  </si>
  <si>
    <t>ประตูควบคุมทางเข้าออกแบบ 2 ทาง</t>
  </si>
  <si>
    <t>7440-001-0001/462-008</t>
  </si>
  <si>
    <t>ชุดเครื่องคอมพิวเตอร์</t>
  </si>
  <si>
    <t>7430-008-0001/472-003</t>
  </si>
  <si>
    <t>เครื่องปริ้นเลเซอร์แคนนอน 1210</t>
  </si>
  <si>
    <t>7105-006-0001/482-001-003</t>
  </si>
  <si>
    <t>โต๊ะญี่ปุ่น</t>
  </si>
  <si>
    <t>7105-006-0001/493-001</t>
  </si>
  <si>
    <t>7125-001-0004/493-001</t>
  </si>
  <si>
    <t>ตู้เก็บหนังสือ ขนาด 35*70 ซม.</t>
  </si>
  <si>
    <t>7051-006-0002/502-004-007</t>
  </si>
  <si>
    <t>7125-001-0005/502-001-005</t>
  </si>
  <si>
    <t>ตู้เก็บแผ่น VCD แบบไม้</t>
  </si>
  <si>
    <t>7440-001-0004/521-059-070</t>
  </si>
  <si>
    <t>ชุดเครื่องคอมพิวเตอร์ตั้งโต๊ะ (โต๊ะ+ เก้าอี้)</t>
  </si>
  <si>
    <t>7430-008-0002/531-025</t>
  </si>
  <si>
    <t>เครื่องปริ้นเตอร์  CANON LBP 3050</t>
  </si>
  <si>
    <t>7440-001-0001/531-152</t>
  </si>
  <si>
    <t>เครื่องคอมพิวเตอร์พร้อมโต๊ะเก้าอี้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</si>
  <si>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</si>
  <si>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</si>
  <si>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</si>
  <si>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วัน เดือน ปี 
ที่ได้มา</t>
  </si>
  <si>
    <t xml:space="preserve">หมายเลขประจำ
วัสดุครุภัณฑ์ </t>
  </si>
  <si>
    <t>ได้มา
โดยวิธีใด</t>
  </si>
  <si>
    <t>ระยะเวลา
ใช้งาน</t>
  </si>
  <si>
    <t>เคย
ซ่อม
กี่ครั้ง</t>
  </si>
  <si>
    <t>หน่วยละ</t>
  </si>
  <si>
    <t>คำชี้แจง
ประกอบ
ของชำรุด</t>
  </si>
  <si>
    <t>เต็มตาม
บัญชี</t>
  </si>
  <si>
    <t>ชำรุด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</si>
  <si>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</si>
  <si>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</si>
  <si>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-</t>
  </si>
  <si>
    <t>ขาเซ็นเซอร์หัก,drum เสีย ไม่มีอะไหล่เปลี่ยน</t>
  </si>
  <si>
    <t>ไม้อัดผุ เหล็กเป็นสนิม มีซาก</t>
  </si>
  <si>
    <t>ลิ้นชัก เปิด-ปิดไม่ได้ ไม้ผุ ไม่มีซาก</t>
  </si>
  <si>
    <t>ไม้อัดผุ เหล็กเป็นสนิม ไม่มีซาก</t>
  </si>
  <si>
    <t>แผงวงจรไหม้,ใบมีดไม่คม เป็นสนิม ไม่มีซาก</t>
  </si>
  <si>
    <t>เมนบอร์ด, ฮาร์ดดิสก์,การ์ดขยายไหม้ ไม่มีซาก</t>
  </si>
  <si>
    <t>ขาหัก ,ไม้อัดผุ ไม่มีซาก</t>
  </si>
  <si>
    <t>ไม้อัดผุ ไม่มีซาก</t>
  </si>
  <si>
    <t>ประจำปี 2564 สิ้นงวดเมื่อวันที่ 30 กันยายน 2564 ของงานวิทยบริการและห้องสมุด</t>
  </si>
  <si>
    <t>ลงชื่อ</t>
  </si>
  <si>
    <t>.........................................................</t>
  </si>
  <si>
    <t>ประธานกรรมการ</t>
  </si>
  <si>
    <t>(นางสาวทราทิตย์  ชิดชม)</t>
  </si>
  <si>
    <t>กรรมการ</t>
  </si>
  <si>
    <t>(นางคนองรักษ์  ป้อมหิน)</t>
  </si>
  <si>
    <t>กรรมการและเลขานุการ</t>
  </si>
  <si>
    <t>(นายชินาธิป  พรมชา)</t>
  </si>
  <si>
    <t>ควบคุมการเข้า-ออก ไม่ทำงาน  
ระบบนับจำนวนคน ไม่ทำงาน</t>
  </si>
  <si>
    <t>เอกสารหมายเลข 64</t>
  </si>
  <si>
    <t>ยอดยกไป</t>
  </si>
  <si>
    <t>เอกสารหมายเลข 65</t>
  </si>
  <si>
    <t>ยอดยกมา</t>
  </si>
  <si>
    <t>ขาเซ็นเซอร์หัก,drum เสีย ไม่มีอะไหล่เปลี่ยน ไม่มีซาก</t>
  </si>
  <si>
    <t>เมนบอร์ด, ฮาร์ดดิสก์,การ์ดขยายไหม้ พบซาก</t>
  </si>
  <si>
    <t>เมนบอร์ด, ฮาร์ดดิสก์,การ์ดขยายไหม้/ 
โต๊ะ ไม้อัดผุ เก้าอี้ ขาหัก พบซากอยู่ห้องวิทยบริการฯ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</si>
</sst>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rgb="FF333333"/>
      <name val="TH SarabunPSK"/>
      <family val="2"/>
    </font>
    <font>
      <sz val="16"/>
      <color rgb="FF303030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80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5" fillId="0" borderId="1" xfId="2" applyFont="1" applyFill="1" applyBorder="1" applyAlignment="1">
      <alignment horizontal="left"/>
    </xf>
    <xf numFmtId="0" fontId="5" fillId="0" borderId="1" xfId="2" applyFont="1" applyFill="1" applyBorder="1"/>
    <xf numFmtId="0" fontId="5" fillId="0" borderId="1" xfId="3" applyFont="1" applyFill="1" applyBorder="1" applyAlignment="1">
      <alignment horizontal="center"/>
    </xf>
    <xf numFmtId="164" fontId="5" fillId="0" borderId="2" xfId="1" applyFont="1" applyFill="1" applyBorder="1"/>
    <xf numFmtId="43" fontId="3" fillId="0" borderId="4" xfId="0" applyNumberFormat="1" applyFont="1" applyFill="1" applyBorder="1" applyAlignment="1">
      <alignment horizontal="center" vertical="center" wrapText="1"/>
    </xf>
    <xf numFmtId="43" fontId="5" fillId="0" borderId="1" xfId="6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/>
    </xf>
    <xf numFmtId="43" fontId="5" fillId="0" borderId="1" xfId="1" applyNumberFormat="1" applyFont="1" applyFill="1" applyBorder="1"/>
    <xf numFmtId="0" fontId="8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5" fillId="0" borderId="1" xfId="4" applyFont="1" applyFill="1" applyBorder="1" applyAlignment="1">
      <alignment horizontal="center"/>
    </xf>
    <xf numFmtId="0" fontId="5" fillId="0" borderId="4" xfId="3" applyFont="1" applyFill="1" applyBorder="1" applyAlignment="1">
      <alignment horizontal="center"/>
    </xf>
    <xf numFmtId="164" fontId="5" fillId="0" borderId="1" xfId="1" applyFont="1" applyFill="1" applyBorder="1"/>
    <xf numFmtId="0" fontId="2" fillId="0" borderId="0" xfId="0" applyFont="1" applyFill="1" applyBorder="1" applyAlignment="1">
      <alignment horizontal="center"/>
    </xf>
    <xf numFmtId="0" fontId="5" fillId="0" borderId="0" xfId="3" applyFont="1" applyFill="1" applyBorder="1" applyAlignment="1">
      <alignment horizontal="center"/>
    </xf>
    <xf numFmtId="43" fontId="3" fillId="0" borderId="0" xfId="0" applyNumberFormat="1" applyFont="1" applyFill="1" applyBorder="1" applyAlignment="1"/>
    <xf numFmtId="0" fontId="3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top"/>
    </xf>
    <xf numFmtId="0" fontId="5" fillId="0" borderId="1" xfId="2" applyFont="1" applyFill="1" applyBorder="1" applyAlignment="1">
      <alignment horizontal="left" vertical="top"/>
    </xf>
    <xf numFmtId="0" fontId="5" fillId="0" borderId="4" xfId="3" applyFont="1" applyFill="1" applyBorder="1" applyAlignment="1">
      <alignment horizontal="center" vertical="top"/>
    </xf>
    <xf numFmtId="0" fontId="5" fillId="0" borderId="1" xfId="3" applyFont="1" applyFill="1" applyBorder="1" applyAlignment="1">
      <alignment horizontal="center" vertical="top"/>
    </xf>
    <xf numFmtId="164" fontId="5" fillId="0" borderId="1" xfId="1" applyFont="1" applyFill="1" applyBorder="1" applyAlignment="1">
      <alignment vertical="top"/>
    </xf>
    <xf numFmtId="43" fontId="3" fillId="0" borderId="4" xfId="0" applyNumberFormat="1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vertical="top"/>
    </xf>
    <xf numFmtId="0" fontId="5" fillId="0" borderId="1" xfId="2" applyFont="1" applyFill="1" applyBorder="1" applyAlignment="1">
      <alignment horizontal="center" vertical="top"/>
    </xf>
    <xf numFmtId="164" fontId="5" fillId="0" borderId="2" xfId="1" applyFont="1" applyFill="1" applyBorder="1" applyAlignment="1">
      <alignment vertical="top"/>
    </xf>
    <xf numFmtId="0" fontId="9" fillId="0" borderId="1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left"/>
    </xf>
    <xf numFmtId="0" fontId="5" fillId="0" borderId="0" xfId="2" applyFont="1" applyFill="1" applyBorder="1" applyAlignment="1">
      <alignment horizontal="center"/>
    </xf>
    <xf numFmtId="164" fontId="5" fillId="0" borderId="0" xfId="1" applyFont="1" applyFill="1" applyBorder="1"/>
    <xf numFmtId="43" fontId="3" fillId="0" borderId="0" xfId="0" applyNumberFormat="1" applyFont="1" applyFill="1" applyBorder="1" applyAlignment="1">
      <alignment horizontal="center" vertical="center" wrapText="1"/>
    </xf>
    <xf numFmtId="43" fontId="5" fillId="0" borderId="0" xfId="6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vertical="top" wrapText="1"/>
    </xf>
    <xf numFmtId="0" fontId="3" fillId="0" borderId="6" xfId="0" applyFont="1" applyFill="1" applyBorder="1"/>
    <xf numFmtId="0" fontId="3" fillId="0" borderId="6" xfId="0" applyFont="1" applyFill="1" applyBorder="1" applyAlignment="1"/>
    <xf numFmtId="0" fontId="2" fillId="0" borderId="6" xfId="0" applyFont="1" applyFill="1" applyBorder="1" applyAlignment="1">
      <alignment horizontal="center"/>
    </xf>
    <xf numFmtId="43" fontId="2" fillId="0" borderId="6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left"/>
    </xf>
    <xf numFmtId="0" fontId="5" fillId="0" borderId="6" xfId="3" applyFont="1" applyFill="1" applyBorder="1" applyAlignment="1">
      <alignment horizontal="center"/>
    </xf>
    <xf numFmtId="0" fontId="5" fillId="0" borderId="6" xfId="2" applyFont="1" applyFill="1" applyBorder="1" applyAlignment="1">
      <alignment horizontal="center"/>
    </xf>
    <xf numFmtId="43" fontId="5" fillId="0" borderId="6" xfId="6" applyNumberFormat="1" applyFont="1" applyFill="1" applyBorder="1" applyAlignment="1">
      <alignment horizontal="left"/>
    </xf>
    <xf numFmtId="43" fontId="2" fillId="0" borderId="6" xfId="0" applyNumberFormat="1" applyFont="1" applyFill="1" applyBorder="1" applyAlignment="1">
      <alignment horizontal="center" vertical="center" wrapText="1"/>
    </xf>
    <xf numFmtId="164" fontId="6" fillId="0" borderId="7" xfId="1" applyFont="1" applyFill="1" applyBorder="1" applyAlignment="1">
      <alignment horizontal="center"/>
    </xf>
    <xf numFmtId="43" fontId="2" fillId="0" borderId="4" xfId="0" applyNumberFormat="1" applyFont="1" applyFill="1" applyBorder="1" applyAlignment="1">
      <alignment horizontal="center" vertical="center" wrapText="1"/>
    </xf>
    <xf numFmtId="164" fontId="6" fillId="0" borderId="2" xfId="1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6" fillId="0" borderId="0" xfId="5" applyFont="1" applyFill="1" applyAlignment="1">
      <alignment horizontal="center" vertical="center"/>
    </xf>
    <xf numFmtId="0" fontId="2" fillId="0" borderId="0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9">
    <cellStyle name="เครื่องหมายจุลภาค" xfId="1" builtinId="3"/>
    <cellStyle name="เครื่องหมายจุลภาค 9" xfId="6"/>
    <cellStyle name="ปกติ" xfId="0" builtinId="0"/>
    <cellStyle name="ปกติ 12" xfId="7"/>
    <cellStyle name="ปกติ 19" xfId="8"/>
    <cellStyle name="ปกติ 21" xfId="3"/>
    <cellStyle name="ปกติ 22" xfId="4"/>
    <cellStyle name="ปกติ 3" xfId="5"/>
    <cellStyle name="ปกติ_รายการครุภัณฑ์ ปี 52 ที่แก้ไขเรียงลำดับใหม่ 23 ก.พ.5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2918951</xdr:colOff>
      <xdr:row>42</xdr:row>
      <xdr:rowOff>235569</xdr:rowOff>
    </xdr:from>
    <xdr:to>
      <xdr:col>11</xdr:col>
      <xdr:colOff>3243927</xdr:colOff>
      <xdr:row>48</xdr:row>
      <xdr:rowOff>80710</xdr:rowOff>
    </xdr:to>
    <xdr:sp macro="" textlink="">
      <xdr:nvSpPr>
        <xdr:cNvPr id="2" name="กล่องข้อความ 1"/>
        <xdr:cNvSpPr txBox="1"/>
      </xdr:nvSpPr>
      <xdr:spPr>
        <a:xfrm rot="5400000">
          <a:off x="12407336" y="8250652"/>
          <a:ext cx="1688689" cy="324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2038145</xdr:colOff>
      <xdr:row>43</xdr:row>
      <xdr:rowOff>10244</xdr:rowOff>
    </xdr:from>
    <xdr:to>
      <xdr:col>11</xdr:col>
      <xdr:colOff>2342943</xdr:colOff>
      <xdr:row>47</xdr:row>
      <xdr:rowOff>81939</xdr:rowOff>
    </xdr:to>
    <xdr:sp macro="" textlink="">
      <xdr:nvSpPr>
        <xdr:cNvPr id="3" name="กล่องข้อความ 2"/>
        <xdr:cNvSpPr txBox="1"/>
      </xdr:nvSpPr>
      <xdr:spPr>
        <a:xfrm rot="5400000">
          <a:off x="11331471" y="15840386"/>
          <a:ext cx="1505566" cy="3047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2068871</xdr:colOff>
      <xdr:row>18</xdr:row>
      <xdr:rowOff>10244</xdr:rowOff>
    </xdr:from>
    <xdr:to>
      <xdr:col>11</xdr:col>
      <xdr:colOff>2373669</xdr:colOff>
      <xdr:row>22</xdr:row>
      <xdr:rowOff>81939</xdr:rowOff>
    </xdr:to>
    <xdr:sp macro="" textlink="">
      <xdr:nvSpPr>
        <xdr:cNvPr id="4" name="กล่องข้อความ 3"/>
        <xdr:cNvSpPr txBox="1"/>
      </xdr:nvSpPr>
      <xdr:spPr>
        <a:xfrm rot="5400000">
          <a:off x="11357076" y="6924781"/>
          <a:ext cx="1515808" cy="3047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7" zoomScale="93" zoomScaleNormal="93" workbookViewId="0">
      <selection activeCell="O17" sqref="O17"/>
    </sheetView>
  </sheetViews>
  <sheetFormatPr defaultColWidth="9" defaultRowHeight="24.75" customHeight="1" x14ac:dyDescent="0.55000000000000004"/>
  <cols>
    <col min="1" max="1" width="6" style="1" customWidth="1"/>
    <col min="2" max="2" width="11.7109375" style="2" customWidth="1"/>
    <col min="3" max="3" width="30" style="3" customWidth="1"/>
    <col min="4" max="4" width="35.42578125" style="1" customWidth="1"/>
    <col min="5" max="5" width="8.140625" style="1" customWidth="1"/>
    <col min="6" max="6" width="9.28515625" style="1" customWidth="1"/>
    <col min="7" max="7" width="6.7109375" style="1" customWidth="1"/>
    <col min="8" max="9" width="7.42578125" style="1" customWidth="1"/>
    <col min="10" max="11" width="13.140625" style="1" customWidth="1"/>
    <col min="12" max="12" width="44.28515625" style="2" customWidth="1"/>
    <col min="13" max="16384" width="9" style="1"/>
  </cols>
  <sheetData>
    <row r="1" spans="1:12" ht="24.75" customHeight="1" x14ac:dyDescent="0.55000000000000004">
      <c r="L1" s="2" t="s">
        <v>70</v>
      </c>
    </row>
    <row r="2" spans="1:12" ht="24.75" customHeight="1" x14ac:dyDescent="0.55000000000000004">
      <c r="A2" s="71" t="s">
        <v>38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4.75" customHeight="1" x14ac:dyDescent="0.55000000000000004">
      <c r="A3" s="72" t="s">
        <v>39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ht="24.75" customHeight="1" x14ac:dyDescent="0.55000000000000004">
      <c r="A4" s="73" t="s">
        <v>60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2" ht="24.75" customHeight="1" x14ac:dyDescent="0.55000000000000004">
      <c r="A5" s="69" t="s">
        <v>0</v>
      </c>
      <c r="B5" s="69" t="s">
        <v>40</v>
      </c>
      <c r="C5" s="69" t="s">
        <v>41</v>
      </c>
      <c r="D5" s="74" t="s">
        <v>1</v>
      </c>
      <c r="E5" s="69" t="s">
        <v>42</v>
      </c>
      <c r="F5" s="69" t="s">
        <v>43</v>
      </c>
      <c r="G5" s="76" t="s">
        <v>44</v>
      </c>
      <c r="H5" s="67" t="s">
        <v>2</v>
      </c>
      <c r="I5" s="68"/>
      <c r="J5" s="69" t="s">
        <v>45</v>
      </c>
      <c r="K5" s="69" t="s">
        <v>3</v>
      </c>
      <c r="L5" s="69" t="s">
        <v>46</v>
      </c>
    </row>
    <row r="6" spans="1:12" ht="50.25" customHeight="1" x14ac:dyDescent="0.55000000000000004">
      <c r="A6" s="70"/>
      <c r="B6" s="70"/>
      <c r="C6" s="70"/>
      <c r="D6" s="75"/>
      <c r="E6" s="70"/>
      <c r="F6" s="70"/>
      <c r="G6" s="77"/>
      <c r="H6" s="4" t="s">
        <v>47</v>
      </c>
      <c r="I6" s="5" t="s">
        <v>48</v>
      </c>
      <c r="J6" s="70"/>
      <c r="K6" s="70"/>
      <c r="L6" s="70"/>
    </row>
    <row r="7" spans="1:12" ht="24.75" customHeight="1" x14ac:dyDescent="0.55000000000000004">
      <c r="A7" s="6">
        <v>1</v>
      </c>
      <c r="B7" s="7">
        <v>2539</v>
      </c>
      <c r="C7" s="8" t="s">
        <v>5</v>
      </c>
      <c r="D7" s="9" t="s">
        <v>6</v>
      </c>
      <c r="E7" s="10" t="s">
        <v>7</v>
      </c>
      <c r="F7" s="7">
        <v>25</v>
      </c>
      <c r="G7" s="2" t="s">
        <v>51</v>
      </c>
      <c r="H7" s="10">
        <v>6</v>
      </c>
      <c r="I7" s="2">
        <v>2</v>
      </c>
      <c r="J7" s="11">
        <v>6500</v>
      </c>
      <c r="K7" s="12">
        <f>SUM(I7*J7)</f>
        <v>13000</v>
      </c>
      <c r="L7" s="13" t="s">
        <v>53</v>
      </c>
    </row>
    <row r="8" spans="1:12" ht="24.75" customHeight="1" x14ac:dyDescent="0.55000000000000004">
      <c r="A8" s="14">
        <v>2</v>
      </c>
      <c r="B8" s="7">
        <v>2539</v>
      </c>
      <c r="C8" s="8" t="s">
        <v>8</v>
      </c>
      <c r="D8" s="9" t="s">
        <v>9</v>
      </c>
      <c r="E8" s="10" t="s">
        <v>7</v>
      </c>
      <c r="F8" s="10">
        <v>25</v>
      </c>
      <c r="G8" s="10" t="s">
        <v>51</v>
      </c>
      <c r="H8" s="10">
        <v>1</v>
      </c>
      <c r="I8" s="15">
        <v>1</v>
      </c>
      <c r="J8" s="11">
        <v>5300</v>
      </c>
      <c r="K8" s="12">
        <f t="shared" ref="K8:K16" si="0">SUM(I8*J8)</f>
        <v>5300</v>
      </c>
      <c r="L8" s="13" t="s">
        <v>54</v>
      </c>
    </row>
    <row r="9" spans="1:12" ht="24.75" customHeight="1" x14ac:dyDescent="0.55000000000000004">
      <c r="A9" s="6">
        <v>3</v>
      </c>
      <c r="B9" s="7">
        <v>2539</v>
      </c>
      <c r="C9" s="8" t="s">
        <v>10</v>
      </c>
      <c r="D9" s="9" t="s">
        <v>11</v>
      </c>
      <c r="E9" s="10" t="s">
        <v>7</v>
      </c>
      <c r="F9" s="10">
        <v>25</v>
      </c>
      <c r="G9" s="10" t="s">
        <v>51</v>
      </c>
      <c r="H9" s="10">
        <v>2</v>
      </c>
      <c r="I9" s="15">
        <v>2</v>
      </c>
      <c r="J9" s="11">
        <v>3000</v>
      </c>
      <c r="K9" s="12">
        <f t="shared" si="0"/>
        <v>6000</v>
      </c>
      <c r="L9" s="13" t="s">
        <v>55</v>
      </c>
    </row>
    <row r="10" spans="1:12" ht="24.75" customHeight="1" x14ac:dyDescent="0.55000000000000004">
      <c r="A10" s="14">
        <v>4</v>
      </c>
      <c r="B10" s="7">
        <v>2539</v>
      </c>
      <c r="C10" s="8" t="s">
        <v>13</v>
      </c>
      <c r="D10" s="9" t="s">
        <v>14</v>
      </c>
      <c r="E10" s="10" t="s">
        <v>7</v>
      </c>
      <c r="F10" s="10">
        <v>25</v>
      </c>
      <c r="G10" s="10" t="s">
        <v>51</v>
      </c>
      <c r="H10" s="10">
        <v>1</v>
      </c>
      <c r="I10" s="15">
        <v>1</v>
      </c>
      <c r="J10" s="11">
        <v>5000</v>
      </c>
      <c r="K10" s="12">
        <f t="shared" si="0"/>
        <v>5000</v>
      </c>
      <c r="L10" s="13" t="s">
        <v>54</v>
      </c>
    </row>
    <row r="11" spans="1:12" ht="24.75" customHeight="1" x14ac:dyDescent="0.55000000000000004">
      <c r="A11" s="6">
        <v>5</v>
      </c>
      <c r="B11" s="7">
        <v>2539</v>
      </c>
      <c r="C11" s="8" t="s">
        <v>15</v>
      </c>
      <c r="D11" s="9" t="s">
        <v>16</v>
      </c>
      <c r="E11" s="10" t="s">
        <v>7</v>
      </c>
      <c r="F11" s="10">
        <v>25</v>
      </c>
      <c r="G11" s="10" t="s">
        <v>51</v>
      </c>
      <c r="H11" s="10">
        <v>1</v>
      </c>
      <c r="I11" s="15">
        <v>1</v>
      </c>
      <c r="J11" s="11">
        <v>35000</v>
      </c>
      <c r="K11" s="12">
        <f t="shared" si="0"/>
        <v>35000</v>
      </c>
      <c r="L11" s="17" t="s">
        <v>56</v>
      </c>
    </row>
    <row r="12" spans="1:12" s="37" customFormat="1" ht="46.5" customHeight="1" x14ac:dyDescent="0.25">
      <c r="A12" s="31">
        <v>6</v>
      </c>
      <c r="B12" s="5">
        <v>2546</v>
      </c>
      <c r="C12" s="32" t="s">
        <v>17</v>
      </c>
      <c r="D12" s="40" t="s">
        <v>18</v>
      </c>
      <c r="E12" s="34" t="s">
        <v>12</v>
      </c>
      <c r="F12" s="34">
        <v>18</v>
      </c>
      <c r="G12" s="34" t="s">
        <v>51</v>
      </c>
      <c r="H12" s="34">
        <v>1</v>
      </c>
      <c r="I12" s="41">
        <v>1</v>
      </c>
      <c r="J12" s="42">
        <v>31559.65</v>
      </c>
      <c r="K12" s="36">
        <f t="shared" si="0"/>
        <v>31559.65</v>
      </c>
      <c r="L12" s="43" t="s">
        <v>69</v>
      </c>
    </row>
    <row r="13" spans="1:12" ht="24.75" customHeight="1" x14ac:dyDescent="0.55000000000000004">
      <c r="A13" s="6">
        <v>7</v>
      </c>
      <c r="B13" s="7">
        <v>2546</v>
      </c>
      <c r="C13" s="8" t="s">
        <v>19</v>
      </c>
      <c r="D13" s="8" t="s">
        <v>20</v>
      </c>
      <c r="E13" s="10" t="s">
        <v>12</v>
      </c>
      <c r="F13" s="10">
        <v>18</v>
      </c>
      <c r="G13" s="10" t="s">
        <v>51</v>
      </c>
      <c r="H13" s="10">
        <v>1</v>
      </c>
      <c r="I13" s="15">
        <v>1</v>
      </c>
      <c r="J13" s="11">
        <v>33000</v>
      </c>
      <c r="K13" s="12">
        <f t="shared" si="0"/>
        <v>33000</v>
      </c>
      <c r="L13" s="18" t="s">
        <v>57</v>
      </c>
    </row>
    <row r="14" spans="1:12" ht="24.75" customHeight="1" x14ac:dyDescent="0.55000000000000004">
      <c r="A14" s="14">
        <v>8</v>
      </c>
      <c r="B14" s="7">
        <v>2547</v>
      </c>
      <c r="C14" s="8" t="s">
        <v>21</v>
      </c>
      <c r="D14" s="8" t="s">
        <v>22</v>
      </c>
      <c r="E14" s="10" t="s">
        <v>12</v>
      </c>
      <c r="F14" s="10">
        <v>17</v>
      </c>
      <c r="G14" s="10" t="s">
        <v>51</v>
      </c>
      <c r="H14" s="10">
        <v>1</v>
      </c>
      <c r="I14" s="15">
        <v>1</v>
      </c>
      <c r="J14" s="11">
        <v>8290</v>
      </c>
      <c r="K14" s="12">
        <f t="shared" si="0"/>
        <v>8290</v>
      </c>
      <c r="L14" s="19" t="s">
        <v>74</v>
      </c>
    </row>
    <row r="15" spans="1:12" ht="24.75" customHeight="1" x14ac:dyDescent="0.55000000000000004">
      <c r="A15" s="6">
        <v>9</v>
      </c>
      <c r="B15" s="7">
        <v>2548</v>
      </c>
      <c r="C15" s="8" t="s">
        <v>23</v>
      </c>
      <c r="D15" s="8" t="s">
        <v>24</v>
      </c>
      <c r="E15" s="7" t="s">
        <v>12</v>
      </c>
      <c r="F15" s="10">
        <v>16</v>
      </c>
      <c r="G15" s="10" t="s">
        <v>51</v>
      </c>
      <c r="H15" s="10">
        <v>3</v>
      </c>
      <c r="I15" s="15">
        <v>3</v>
      </c>
      <c r="J15" s="11">
        <v>300</v>
      </c>
      <c r="K15" s="12">
        <f t="shared" si="0"/>
        <v>900</v>
      </c>
      <c r="L15" s="13" t="s">
        <v>58</v>
      </c>
    </row>
    <row r="16" spans="1:12" ht="24.75" customHeight="1" x14ac:dyDescent="0.55000000000000004">
      <c r="A16" s="14">
        <v>10</v>
      </c>
      <c r="B16" s="7">
        <v>2549</v>
      </c>
      <c r="C16" s="8" t="s">
        <v>25</v>
      </c>
      <c r="D16" s="8" t="s">
        <v>24</v>
      </c>
      <c r="E16" s="7" t="s">
        <v>12</v>
      </c>
      <c r="F16" s="10">
        <v>15</v>
      </c>
      <c r="G16" s="10" t="s">
        <v>51</v>
      </c>
      <c r="H16" s="10">
        <v>1</v>
      </c>
      <c r="I16" s="15">
        <v>1</v>
      </c>
      <c r="J16" s="11">
        <v>300</v>
      </c>
      <c r="K16" s="12">
        <f t="shared" si="0"/>
        <v>300</v>
      </c>
      <c r="L16" s="13" t="s">
        <v>58</v>
      </c>
    </row>
    <row r="17" spans="1:12" ht="24.75" customHeight="1" thickBot="1" x14ac:dyDescent="0.6">
      <c r="A17" s="56"/>
      <c r="B17" s="55"/>
      <c r="C17" s="57"/>
      <c r="D17" s="57"/>
      <c r="E17" s="55"/>
      <c r="F17" s="58"/>
      <c r="G17" s="58"/>
      <c r="H17" s="58"/>
      <c r="I17" s="59"/>
      <c r="J17" s="62" t="s">
        <v>71</v>
      </c>
      <c r="K17" s="61">
        <f>SUM(K7:K16)</f>
        <v>138349.65</v>
      </c>
      <c r="L17" s="60"/>
    </row>
    <row r="18" spans="1:12" s="26" customFormat="1" ht="24.75" customHeight="1" thickTop="1" x14ac:dyDescent="0.55000000000000004">
      <c r="A18" s="44"/>
      <c r="B18" s="27" t="s">
        <v>4</v>
      </c>
      <c r="C18" s="28" t="s">
        <v>49</v>
      </c>
      <c r="D18" s="23"/>
      <c r="E18" s="23"/>
      <c r="F18" s="23"/>
      <c r="G18" s="23"/>
      <c r="H18" s="23"/>
      <c r="I18" s="24"/>
      <c r="J18" s="25"/>
      <c r="K18" s="25"/>
      <c r="L18" s="30"/>
    </row>
    <row r="19" spans="1:12" s="26" customFormat="1" ht="24.75" customHeight="1" x14ac:dyDescent="0.55000000000000004">
      <c r="A19" s="44"/>
      <c r="B19" s="27"/>
      <c r="C19" s="28" t="s">
        <v>50</v>
      </c>
      <c r="I19" s="24"/>
      <c r="L19" s="30"/>
    </row>
    <row r="20" spans="1:12" s="26" customFormat="1" ht="24.75" customHeight="1" x14ac:dyDescent="0.55000000000000004">
      <c r="A20" s="44"/>
      <c r="B20" s="30"/>
      <c r="C20" s="28"/>
      <c r="G20" s="65" t="s">
        <v>61</v>
      </c>
      <c r="H20" s="79" t="s">
        <v>62</v>
      </c>
      <c r="I20" s="79"/>
      <c r="J20" s="79"/>
      <c r="K20" s="28" t="s">
        <v>63</v>
      </c>
      <c r="L20" s="29"/>
    </row>
    <row r="21" spans="1:12" s="26" customFormat="1" ht="24.75" customHeight="1" x14ac:dyDescent="0.55000000000000004">
      <c r="A21" s="44"/>
      <c r="B21" s="30"/>
      <c r="C21" s="28"/>
      <c r="G21" s="65"/>
      <c r="H21" s="79" t="s">
        <v>64</v>
      </c>
      <c r="I21" s="79"/>
      <c r="J21" s="79"/>
      <c r="K21" s="28"/>
      <c r="L21" s="29"/>
    </row>
    <row r="22" spans="1:12" s="26" customFormat="1" ht="39" customHeight="1" x14ac:dyDescent="0.55000000000000004">
      <c r="A22" s="44"/>
      <c r="B22" s="30"/>
      <c r="C22" s="28"/>
      <c r="G22" s="65" t="s">
        <v>61</v>
      </c>
      <c r="H22" s="79" t="s">
        <v>62</v>
      </c>
      <c r="I22" s="79"/>
      <c r="J22" s="79"/>
      <c r="K22" s="28" t="s">
        <v>65</v>
      </c>
      <c r="L22" s="29"/>
    </row>
    <row r="23" spans="1:12" s="26" customFormat="1" ht="24.75" customHeight="1" x14ac:dyDescent="0.55000000000000004">
      <c r="A23" s="44"/>
      <c r="B23" s="2"/>
      <c r="C23" s="3"/>
      <c r="D23" s="1"/>
      <c r="E23" s="1"/>
      <c r="F23" s="1"/>
      <c r="G23" s="66"/>
      <c r="H23" s="79" t="s">
        <v>66</v>
      </c>
      <c r="I23" s="79"/>
      <c r="J23" s="79"/>
      <c r="K23" s="28"/>
      <c r="L23" s="2"/>
    </row>
    <row r="24" spans="1:12" s="26" customFormat="1" ht="40.5" customHeight="1" x14ac:dyDescent="0.55000000000000004">
      <c r="A24" s="44"/>
      <c r="B24" s="2"/>
      <c r="C24" s="3"/>
      <c r="D24" s="1"/>
      <c r="E24" s="1"/>
      <c r="F24" s="1"/>
      <c r="G24" s="66" t="s">
        <v>61</v>
      </c>
      <c r="H24" s="79" t="s">
        <v>62</v>
      </c>
      <c r="I24" s="79"/>
      <c r="J24" s="79"/>
      <c r="K24" s="28" t="s">
        <v>67</v>
      </c>
      <c r="L24" s="2"/>
    </row>
    <row r="25" spans="1:12" s="26" customFormat="1" ht="24.75" customHeight="1" x14ac:dyDescent="0.55000000000000004">
      <c r="A25" s="44"/>
      <c r="B25" s="2"/>
      <c r="C25" s="3"/>
      <c r="D25" s="1"/>
      <c r="E25" s="1"/>
      <c r="F25" s="1"/>
      <c r="G25" s="1"/>
      <c r="H25" s="78" t="s">
        <v>68</v>
      </c>
      <c r="I25" s="78"/>
      <c r="J25" s="78"/>
      <c r="K25" s="1"/>
      <c r="L25" s="2"/>
    </row>
    <row r="26" spans="1:12" s="26" customFormat="1" ht="24.75" customHeight="1" x14ac:dyDescent="0.55000000000000004">
      <c r="A26" s="44"/>
      <c r="B26" s="2"/>
      <c r="C26" s="3"/>
      <c r="D26" s="1"/>
      <c r="E26" s="1"/>
      <c r="F26" s="1"/>
      <c r="G26" s="1"/>
      <c r="H26" s="1"/>
      <c r="I26" s="1"/>
      <c r="J26" s="1"/>
      <c r="K26" s="1"/>
      <c r="L26" s="2"/>
    </row>
    <row r="27" spans="1:12" s="26" customFormat="1" ht="24.75" customHeight="1" x14ac:dyDescent="0.55000000000000004">
      <c r="A27" s="44"/>
      <c r="B27" s="30"/>
      <c r="C27" s="45"/>
      <c r="D27" s="45"/>
      <c r="E27" s="30"/>
      <c r="F27" s="24"/>
      <c r="G27" s="24"/>
      <c r="H27" s="24"/>
      <c r="I27" s="46"/>
      <c r="J27" s="47"/>
      <c r="K27" s="48"/>
      <c r="L27" s="49"/>
    </row>
    <row r="28" spans="1:12" s="26" customFormat="1" ht="24.75" customHeight="1" x14ac:dyDescent="0.55000000000000004">
      <c r="A28" s="44"/>
      <c r="B28" s="30"/>
      <c r="C28" s="45"/>
      <c r="D28" s="45"/>
      <c r="E28" s="30"/>
      <c r="F28" s="24"/>
      <c r="G28" s="24"/>
      <c r="H28" s="24"/>
      <c r="I28" s="46"/>
      <c r="J28" s="47"/>
      <c r="K28" s="48"/>
      <c r="L28" s="49"/>
    </row>
    <row r="29" spans="1:12" ht="24.75" customHeight="1" x14ac:dyDescent="0.55000000000000004">
      <c r="L29" s="2" t="s">
        <v>72</v>
      </c>
    </row>
    <row r="30" spans="1:12" ht="24.75" customHeight="1" x14ac:dyDescent="0.55000000000000004">
      <c r="A30" s="71" t="s">
        <v>38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</row>
    <row r="31" spans="1:12" ht="24.75" customHeight="1" x14ac:dyDescent="0.55000000000000004">
      <c r="A31" s="72" t="s">
        <v>39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</row>
    <row r="32" spans="1:12" ht="24.75" customHeight="1" x14ac:dyDescent="0.55000000000000004">
      <c r="A32" s="73" t="s">
        <v>60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ht="24.75" customHeight="1" x14ac:dyDescent="0.55000000000000004">
      <c r="A33" s="69" t="s">
        <v>0</v>
      </c>
      <c r="B33" s="69" t="s">
        <v>40</v>
      </c>
      <c r="C33" s="69" t="s">
        <v>41</v>
      </c>
      <c r="D33" s="74" t="s">
        <v>1</v>
      </c>
      <c r="E33" s="69" t="s">
        <v>42</v>
      </c>
      <c r="F33" s="69" t="s">
        <v>43</v>
      </c>
      <c r="G33" s="76" t="s">
        <v>44</v>
      </c>
      <c r="H33" s="67" t="s">
        <v>2</v>
      </c>
      <c r="I33" s="68"/>
      <c r="J33" s="69" t="s">
        <v>45</v>
      </c>
      <c r="K33" s="69" t="s">
        <v>3</v>
      </c>
      <c r="L33" s="69" t="s">
        <v>46</v>
      </c>
    </row>
    <row r="34" spans="1:12" ht="51" customHeight="1" x14ac:dyDescent="0.55000000000000004">
      <c r="A34" s="70"/>
      <c r="B34" s="70"/>
      <c r="C34" s="70"/>
      <c r="D34" s="75"/>
      <c r="E34" s="70"/>
      <c r="F34" s="70"/>
      <c r="G34" s="77"/>
      <c r="H34" s="4" t="s">
        <v>47</v>
      </c>
      <c r="I34" s="5" t="s">
        <v>48</v>
      </c>
      <c r="J34" s="70"/>
      <c r="K34" s="70"/>
      <c r="L34" s="70"/>
    </row>
    <row r="35" spans="1:12" ht="24.75" customHeight="1" x14ac:dyDescent="0.55000000000000004">
      <c r="A35" s="39"/>
      <c r="B35" s="7"/>
      <c r="C35" s="8"/>
      <c r="D35" s="8"/>
      <c r="E35" s="7"/>
      <c r="F35" s="10"/>
      <c r="G35" s="10"/>
      <c r="H35" s="10"/>
      <c r="I35" s="15"/>
      <c r="J35" s="64" t="s">
        <v>73</v>
      </c>
      <c r="K35" s="63">
        <f>SUM(K17)</f>
        <v>138349.65</v>
      </c>
      <c r="L35" s="13"/>
    </row>
    <row r="36" spans="1:12" ht="24.75" customHeight="1" x14ac:dyDescent="0.55000000000000004">
      <c r="A36" s="6">
        <v>11</v>
      </c>
      <c r="B36" s="7">
        <v>2549</v>
      </c>
      <c r="C36" s="8" t="s">
        <v>26</v>
      </c>
      <c r="D36" s="8" t="s">
        <v>27</v>
      </c>
      <c r="E36" s="7" t="s">
        <v>12</v>
      </c>
      <c r="F36" s="10">
        <v>15</v>
      </c>
      <c r="G36" s="10" t="s">
        <v>51</v>
      </c>
      <c r="H36" s="10">
        <v>1</v>
      </c>
      <c r="I36" s="20">
        <v>1</v>
      </c>
      <c r="J36" s="11">
        <v>340</v>
      </c>
      <c r="K36" s="12">
        <f>SUM(I36*J36)</f>
        <v>340</v>
      </c>
      <c r="L36" s="13" t="s">
        <v>59</v>
      </c>
    </row>
    <row r="37" spans="1:12" ht="24.75" customHeight="1" x14ac:dyDescent="0.55000000000000004">
      <c r="A37" s="14">
        <v>12</v>
      </c>
      <c r="B37" s="7">
        <v>2550</v>
      </c>
      <c r="C37" s="8" t="s">
        <v>28</v>
      </c>
      <c r="D37" s="8" t="s">
        <v>24</v>
      </c>
      <c r="E37" s="7" t="s">
        <v>12</v>
      </c>
      <c r="F37" s="10">
        <v>14</v>
      </c>
      <c r="G37" s="10" t="s">
        <v>51</v>
      </c>
      <c r="H37" s="10">
        <v>4</v>
      </c>
      <c r="I37" s="15">
        <v>4</v>
      </c>
      <c r="J37" s="16">
        <v>750</v>
      </c>
      <c r="K37" s="12">
        <f t="shared" ref="K37:K41" si="1">SUM(I37*J37)</f>
        <v>3000</v>
      </c>
      <c r="L37" s="13" t="s">
        <v>58</v>
      </c>
    </row>
    <row r="38" spans="1:12" ht="24.75" customHeight="1" x14ac:dyDescent="0.55000000000000004">
      <c r="A38" s="38">
        <v>13</v>
      </c>
      <c r="B38" s="7">
        <v>2550</v>
      </c>
      <c r="C38" s="8" t="s">
        <v>29</v>
      </c>
      <c r="D38" s="8" t="s">
        <v>30</v>
      </c>
      <c r="E38" s="7" t="s">
        <v>12</v>
      </c>
      <c r="F38" s="10">
        <v>14</v>
      </c>
      <c r="G38" s="10" t="s">
        <v>51</v>
      </c>
      <c r="H38" s="20">
        <v>5</v>
      </c>
      <c r="I38" s="20">
        <v>5</v>
      </c>
      <c r="J38" s="11">
        <v>350</v>
      </c>
      <c r="K38" s="12">
        <f t="shared" si="1"/>
        <v>1750</v>
      </c>
      <c r="L38" s="13" t="s">
        <v>59</v>
      </c>
    </row>
    <row r="39" spans="1:12" s="37" customFormat="1" ht="24.75" customHeight="1" x14ac:dyDescent="0.25">
      <c r="A39" s="14">
        <v>14</v>
      </c>
      <c r="B39" s="5">
        <v>2552</v>
      </c>
      <c r="C39" s="32" t="s">
        <v>31</v>
      </c>
      <c r="D39" s="32" t="s">
        <v>32</v>
      </c>
      <c r="E39" s="33" t="s">
        <v>7</v>
      </c>
      <c r="F39" s="34">
        <v>12</v>
      </c>
      <c r="G39" s="34" t="s">
        <v>51</v>
      </c>
      <c r="H39" s="34">
        <v>12</v>
      </c>
      <c r="I39" s="34">
        <v>12</v>
      </c>
      <c r="J39" s="35">
        <v>15750</v>
      </c>
      <c r="K39" s="36">
        <f t="shared" si="1"/>
        <v>189000</v>
      </c>
      <c r="L39" s="50" t="s">
        <v>75</v>
      </c>
    </row>
    <row r="40" spans="1:12" ht="24.75" customHeight="1" x14ac:dyDescent="0.55000000000000004">
      <c r="A40" s="38">
        <v>15</v>
      </c>
      <c r="B40" s="7">
        <v>2553</v>
      </c>
      <c r="C40" s="8" t="s">
        <v>33</v>
      </c>
      <c r="D40" s="8" t="s">
        <v>34</v>
      </c>
      <c r="E40" s="21" t="s">
        <v>7</v>
      </c>
      <c r="F40" s="10">
        <v>11</v>
      </c>
      <c r="G40" s="10" t="s">
        <v>51</v>
      </c>
      <c r="H40" s="10">
        <v>1</v>
      </c>
      <c r="I40" s="10">
        <v>1</v>
      </c>
      <c r="J40" s="22">
        <v>5350</v>
      </c>
      <c r="K40" s="12">
        <f t="shared" si="1"/>
        <v>5350</v>
      </c>
      <c r="L40" s="19" t="s">
        <v>52</v>
      </c>
    </row>
    <row r="41" spans="1:12" s="37" customFormat="1" ht="47.25" customHeight="1" x14ac:dyDescent="0.25">
      <c r="A41" s="31">
        <v>16</v>
      </c>
      <c r="B41" s="5">
        <v>2553</v>
      </c>
      <c r="C41" s="32" t="s">
        <v>35</v>
      </c>
      <c r="D41" s="40" t="s">
        <v>36</v>
      </c>
      <c r="E41" s="34" t="s">
        <v>7</v>
      </c>
      <c r="F41" s="34">
        <v>11</v>
      </c>
      <c r="G41" s="34" t="s">
        <v>51</v>
      </c>
      <c r="H41" s="34">
        <v>1</v>
      </c>
      <c r="I41" s="34">
        <v>1</v>
      </c>
      <c r="J41" s="35">
        <v>17000</v>
      </c>
      <c r="K41" s="36">
        <f t="shared" si="1"/>
        <v>17000</v>
      </c>
      <c r="L41" s="50" t="s">
        <v>76</v>
      </c>
    </row>
    <row r="42" spans="1:12" ht="24.75" customHeight="1" thickBot="1" x14ac:dyDescent="0.6">
      <c r="A42" s="51"/>
      <c r="B42" s="52"/>
      <c r="C42" s="52"/>
      <c r="D42" s="52"/>
      <c r="E42" s="52"/>
      <c r="F42" s="52"/>
      <c r="G42" s="52"/>
      <c r="H42" s="52"/>
      <c r="I42" s="52"/>
      <c r="J42" s="53" t="s">
        <v>37</v>
      </c>
      <c r="K42" s="54">
        <f>SUM(K35:K41)</f>
        <v>354789.65</v>
      </c>
      <c r="L42" s="55"/>
    </row>
    <row r="43" spans="1:12" ht="24.75" customHeight="1" thickTop="1" x14ac:dyDescent="0.55000000000000004">
      <c r="A43" s="23"/>
      <c r="B43" s="27" t="s">
        <v>4</v>
      </c>
      <c r="C43" s="28" t="s">
        <v>49</v>
      </c>
      <c r="D43" s="23"/>
      <c r="E43" s="23"/>
      <c r="F43" s="23"/>
      <c r="G43" s="23"/>
      <c r="H43" s="23"/>
      <c r="I43" s="24"/>
      <c r="J43" s="25"/>
      <c r="K43" s="25"/>
      <c r="L43" s="30"/>
    </row>
    <row r="44" spans="1:12" ht="24.75" customHeight="1" x14ac:dyDescent="0.55000000000000004">
      <c r="A44" s="26"/>
      <c r="B44" s="27"/>
      <c r="C44" s="28" t="s">
        <v>50</v>
      </c>
      <c r="D44" s="26"/>
      <c r="E44" s="26"/>
      <c r="F44" s="26"/>
      <c r="G44" s="26"/>
      <c r="H44" s="26"/>
      <c r="I44" s="24"/>
      <c r="J44" s="26"/>
      <c r="K44" s="26"/>
      <c r="L44" s="30"/>
    </row>
    <row r="45" spans="1:12" ht="24.75" customHeight="1" x14ac:dyDescent="0.55000000000000004">
      <c r="A45" s="26"/>
      <c r="B45" s="30"/>
      <c r="C45" s="28"/>
      <c r="D45" s="26"/>
      <c r="E45" s="26"/>
      <c r="F45" s="26"/>
      <c r="G45" s="65" t="s">
        <v>61</v>
      </c>
      <c r="H45" s="79" t="s">
        <v>62</v>
      </c>
      <c r="I45" s="79"/>
      <c r="J45" s="79"/>
      <c r="K45" s="28" t="s">
        <v>63</v>
      </c>
      <c r="L45" s="29"/>
    </row>
    <row r="46" spans="1:12" ht="24.75" customHeight="1" x14ac:dyDescent="0.55000000000000004">
      <c r="A46" s="26"/>
      <c r="B46" s="30"/>
      <c r="C46" s="28"/>
      <c r="D46" s="26"/>
      <c r="E46" s="26"/>
      <c r="F46" s="26"/>
      <c r="G46" s="65"/>
      <c r="H46" s="79" t="s">
        <v>64</v>
      </c>
      <c r="I46" s="79"/>
      <c r="J46" s="79"/>
      <c r="K46" s="28"/>
      <c r="L46" s="29"/>
    </row>
    <row r="47" spans="1:12" ht="38.25" customHeight="1" x14ac:dyDescent="0.55000000000000004">
      <c r="A47" s="26"/>
      <c r="B47" s="30"/>
      <c r="C47" s="28"/>
      <c r="D47" s="26"/>
      <c r="E47" s="26"/>
      <c r="F47" s="26"/>
      <c r="G47" s="65" t="s">
        <v>61</v>
      </c>
      <c r="H47" s="79" t="s">
        <v>62</v>
      </c>
      <c r="I47" s="79"/>
      <c r="J47" s="79"/>
      <c r="K47" s="28" t="s">
        <v>65</v>
      </c>
      <c r="L47" s="29"/>
    </row>
    <row r="48" spans="1:12" ht="24.75" customHeight="1" x14ac:dyDescent="0.55000000000000004">
      <c r="G48" s="66"/>
      <c r="H48" s="79" t="s">
        <v>66</v>
      </c>
      <c r="I48" s="79"/>
      <c r="J48" s="79"/>
      <c r="K48" s="28"/>
    </row>
    <row r="49" spans="7:11" ht="37.5" customHeight="1" x14ac:dyDescent="0.55000000000000004">
      <c r="G49" s="66" t="s">
        <v>61</v>
      </c>
      <c r="H49" s="79" t="s">
        <v>62</v>
      </c>
      <c r="I49" s="79"/>
      <c r="J49" s="79"/>
      <c r="K49" s="28" t="s">
        <v>67</v>
      </c>
    </row>
    <row r="50" spans="7:11" ht="24.75" customHeight="1" x14ac:dyDescent="0.55000000000000004">
      <c r="H50" s="78" t="s">
        <v>68</v>
      </c>
      <c r="I50" s="78"/>
      <c r="J50" s="78"/>
    </row>
  </sheetData>
  <mergeCells count="40">
    <mergeCell ref="H50:J50"/>
    <mergeCell ref="H20:J20"/>
    <mergeCell ref="H21:J21"/>
    <mergeCell ref="H22:J22"/>
    <mergeCell ref="H23:J23"/>
    <mergeCell ref="H24:J24"/>
    <mergeCell ref="H25:J25"/>
    <mergeCell ref="H45:J45"/>
    <mergeCell ref="H46:J46"/>
    <mergeCell ref="H47:J47"/>
    <mergeCell ref="H48:J48"/>
    <mergeCell ref="H49:J49"/>
    <mergeCell ref="A30:L30"/>
    <mergeCell ref="A31:L31"/>
    <mergeCell ref="A32:L32"/>
    <mergeCell ref="A33:A34"/>
    <mergeCell ref="B33:B34"/>
    <mergeCell ref="C33:C34"/>
    <mergeCell ref="D33:D34"/>
    <mergeCell ref="E33:E34"/>
    <mergeCell ref="F33:F34"/>
    <mergeCell ref="G33:G34"/>
    <mergeCell ref="H33:I33"/>
    <mergeCell ref="J33:J34"/>
    <mergeCell ref="K33:K34"/>
    <mergeCell ref="L33:L34"/>
    <mergeCell ref="H5:I5"/>
    <mergeCell ref="J5:J6"/>
    <mergeCell ref="K5:K6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19685039370078741" bottom="0.19685039370078741" header="0" footer="0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2021-11-22T06:48:03Z</cp:lastPrinted>
  <dcterms:created xsi:type="dcterms:W3CDTF">2021-09-23T11:27:12Z</dcterms:created>
  <dcterms:modified xsi:type="dcterms:W3CDTF">2021-11-22T06:48:04Z</dcterms:modified>
</cp:coreProperties>
</file>