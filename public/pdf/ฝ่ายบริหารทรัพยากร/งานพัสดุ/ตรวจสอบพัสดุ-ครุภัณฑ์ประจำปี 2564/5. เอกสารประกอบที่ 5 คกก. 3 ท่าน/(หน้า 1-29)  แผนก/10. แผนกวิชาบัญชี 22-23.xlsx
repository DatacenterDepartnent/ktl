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A2CA95B2-6FC0-4E9C-8999-744C8A492CFA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46" l="1"/>
  <c r="K40" i="46"/>
  <c r="K41" i="46"/>
  <c r="K42" i="46"/>
  <c r="K43" i="46"/>
  <c r="K44" i="46"/>
  <c r="K45" i="46"/>
  <c r="K46" i="46"/>
  <c r="K47" i="46"/>
  <c r="K38" i="46"/>
  <c r="K8" i="46"/>
  <c r="K9" i="46"/>
  <c r="K10" i="46"/>
  <c r="K11" i="46"/>
  <c r="K12" i="46"/>
  <c r="K13" i="46"/>
  <c r="K14" i="46"/>
  <c r="K15" i="46"/>
  <c r="K16" i="46"/>
  <c r="K7" i="46"/>
  <c r="K17" i="46" s="1"/>
  <c r="K37" i="46" s="1"/>
  <c r="K48" i="46" l="1"/>
</calcChain>
</file>

<file path=xl/sharedStrings.xml><?xml version="1.0" encoding="utf-8"?>
<sst xmlns="http://schemas.openxmlformats.org/spreadsheetml/2006/main" count="173" uniqueCount="86">
  <si>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</si>
  <si>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</si>
  <si>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</si>
  <si>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วัน เดือน ปี 
ที่ได้มา</t>
  </si>
  <si>
    <t xml:space="preserve">หมายเลขประจำ
วัสดุครุภัณฑ์ </t>
  </si>
  <si>
    <t>รายการ ขนาด ลักษณะ</t>
  </si>
  <si>
    <t>ได้มา
โดยวิธีใด</t>
  </si>
  <si>
    <t>ระยะเวลา
ใช้งาน</t>
  </si>
  <si>
    <t>เคย
ซ่อม
กี่ครั้ง</t>
  </si>
  <si>
    <t>จำนวน</t>
  </si>
  <si>
    <t>หน่วยละ</t>
  </si>
  <si>
    <t>เป็นเงิน</t>
  </si>
  <si>
    <t>คำชี้แจง
ประกอบ
ของชำรุด</t>
  </si>
  <si>
    <t>เต็มตาม
บัญชี</t>
  </si>
  <si>
    <t>ชำรุด</t>
  </si>
  <si>
    <t>2539</t>
  </si>
  <si>
    <t>7430-001-0006/391-002-391-016</t>
  </si>
  <si>
    <t>เครื่องพิมพ์ดีดไฟฟ้าชนิดไม่มีหน่วยความจำ</t>
  </si>
  <si>
    <t>งปม.</t>
  </si>
  <si>
    <t>-</t>
  </si>
  <si>
    <t>7430-001-0003/391-002-391-026</t>
  </si>
  <si>
    <t>เครื่องพิมพ์ดีดภาษาอังกฤษแคร่ 15"</t>
  </si>
  <si>
    <t>7430-001-0005/391-003-391-027</t>
  </si>
  <si>
    <t>เครื่องพิมพ์ดีดแบบธรรมดาภาษาไทย 15"</t>
  </si>
  <si>
    <t>7110-007-0004/391-004-006</t>
  </si>
  <si>
    <t>โต๊ะพิมพ์ดีด</t>
  </si>
  <si>
    <t>เครื่องคำนวณเลข 12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</si>
  <si>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</si>
  <si>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</si>
  <si>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</si>
  <si>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</si>
  <si>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</si>
  <si>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</si>
  <si>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</si>
  <si>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</si>
  <si>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2540</t>
  </si>
  <si>
    <t>7430-001-0001/401-027-401-051</t>
  </si>
  <si>
    <t>เครื่องพิมพ์ดีดภาษาอังกฤษแคร่ 18"</t>
  </si>
  <si>
    <t>7430-001-0007/401-002,024</t>
  </si>
  <si>
    <t>เครื่องพิมพ์ดีดแบบธรรมดาภาษาไทย 18"</t>
  </si>
  <si>
    <t>รวมเป็นเงิน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</si>
  <si>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</si>
  <si>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</si>
  <si>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</si>
  <si>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7110-007-0004/401-053-401-140</t>
  </si>
  <si>
    <t>7420-001-0002/401-023-401-068</t>
  </si>
  <si>
    <t>7440-001-0001/462-004</t>
  </si>
  <si>
    <t>เครื่องคอมพิวเตอร์</t>
  </si>
  <si>
    <t>4140-001-0003/482-029-030</t>
  </si>
  <si>
    <t>พัดลมโคจร 16 นิ้ว</t>
  </si>
  <si>
    <t>บกศ.</t>
  </si>
  <si>
    <t>7430-008-0002/492-009</t>
  </si>
  <si>
    <t>เครื่องปริ้นเตอร์ HP 1020</t>
  </si>
  <si>
    <t>7430-001-0001/492-001-007</t>
  </si>
  <si>
    <t>7430-001-0001/492-008-013</t>
  </si>
  <si>
    <t>7440-001-0001/501-056</t>
  </si>
  <si>
    <t>เครื่องคอมพิวเตอร์ ยี่ห้อ ACER</t>
  </si>
  <si>
    <t>7440-001-0001/531-124-138</t>
  </si>
  <si>
    <t>เครื่องคอมพิวเตอร์พร้อมโต๊ะเก้าอี้</t>
  </si>
  <si>
    <t>7110-006-0004/531-161-190</t>
  </si>
  <si>
    <t>เก้าอี้เบาะพนักพิง</t>
  </si>
  <si>
    <t>ประจำปี 2564 สิ้นงวดเมื่อวันที่ 30 กันยายน 2564 ของแผนกวิชาการบัญชี</t>
  </si>
  <si>
    <t>ลงชื่อ</t>
  </si>
  <si>
    <t>...........................................................</t>
  </si>
  <si>
    <t xml:space="preserve">ประธานกรรมการ  </t>
  </si>
  <si>
    <t xml:space="preserve">กรรมการ  </t>
  </si>
  <si>
    <t xml:space="preserve">กรรมการและเลขานุการ  </t>
  </si>
  <si>
    <t>ยอดยกไป</t>
  </si>
  <si>
    <t xml:space="preserve">เอกสารหมายเลข 22 </t>
  </si>
  <si>
    <t>เอกสารหมายเลข 23</t>
  </si>
  <si>
    <t>ยอดยกมา</t>
  </si>
  <si>
    <t>(นางวีนัส  สุวรรณ)</t>
  </si>
  <si>
    <t>(นางวันทนา  วิศรีสิทธิ์)</t>
  </si>
  <si>
    <t>(นายกิตติ  ผลดี)</t>
  </si>
  <si>
    <t>ปุ่มแตกหัก</t>
  </si>
  <si>
    <t>แป้นหัก</t>
  </si>
  <si>
    <t>ขาหัก</t>
  </si>
  <si>
    <t>ระบบไฟฟ้าช็อต</t>
  </si>
  <si>
    <t>ปุ่มกดพัง</t>
  </si>
  <si>
    <t>แป้นพิมพ์หัก</t>
  </si>
  <si>
    <t>ช็อต</t>
  </si>
  <si>
    <t>เมนบอร์ดพัง</t>
  </si>
  <si>
    <t>มอเตอร์ไหม้</t>
  </si>
  <si>
    <t>ไม่ดึงกระดาษ</t>
  </si>
  <si>
    <t>หน้าจอไม่แสดงผล เก้าอี้หัก</t>
  </si>
  <si>
    <t>ขาหัก เบาะผุ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</si>
</sst>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Tahoma"/>
      <charset val="222"/>
      <scheme val="minor"/>
    </font>
    <font>
      <sz val="14"/>
      <name val="Cordia New"/>
      <charset val="134"/>
    </font>
    <font>
      <sz val="10"/>
      <name val="Arial"/>
      <charset val="134"/>
    </font>
    <font>
      <sz val="11"/>
      <color theme="1"/>
      <name val="Tahoma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0" fontId="7" fillId="0" borderId="4" xfId="12" applyFont="1" applyBorder="1" applyAlignment="1">
      <alignment horizontal="left"/>
    </xf>
    <xf numFmtId="0" fontId="7" fillId="0" borderId="4" xfId="12" applyFont="1" applyBorder="1"/>
    <xf numFmtId="0" fontId="7" fillId="0" borderId="4" xfId="10" applyFont="1" applyBorder="1" applyAlignment="1">
      <alignment horizontal="center"/>
    </xf>
    <xf numFmtId="0" fontId="7" fillId="0" borderId="4" xfId="12" applyFont="1" applyBorder="1" applyAlignment="1">
      <alignment horizontal="center"/>
    </xf>
    <xf numFmtId="43" fontId="7" fillId="0" borderId="4" xfId="1" applyFont="1" applyBorder="1"/>
    <xf numFmtId="43" fontId="7" fillId="0" borderId="4" xfId="6" applyNumberFormat="1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1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8" applyNumberFormat="1" applyFont="1" applyBorder="1" applyAlignment="1">
      <alignment horizontal="center"/>
    </xf>
    <xf numFmtId="49" fontId="7" fillId="0" borderId="4" xfId="9" applyNumberFormat="1" applyFont="1" applyBorder="1" applyAlignment="1">
      <alignment horizontal="center"/>
    </xf>
    <xf numFmtId="0" fontId="7" fillId="0" borderId="0" xfId="1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7" fillId="2" borderId="1" xfId="0" applyFont="1" applyFill="1" applyBorder="1" applyAlignment="1">
      <alignment horizontal="center" vertical="center"/>
    </xf>
    <xf numFmtId="0" fontId="7" fillId="0" borderId="1" xfId="12" applyFont="1" applyBorder="1" applyAlignment="1">
      <alignment horizontal="left"/>
    </xf>
    <xf numFmtId="0" fontId="7" fillId="0" borderId="1" xfId="12" applyFont="1" applyBorder="1"/>
    <xf numFmtId="0" fontId="7" fillId="0" borderId="1" xfId="10" applyFont="1" applyBorder="1" applyAlignment="1">
      <alignment horizontal="center"/>
    </xf>
    <xf numFmtId="0" fontId="7" fillId="0" borderId="1" xfId="12" applyFont="1" applyBorder="1" applyAlignment="1">
      <alignment horizontal="center"/>
    </xf>
    <xf numFmtId="43" fontId="7" fillId="0" borderId="1" xfId="1" applyFont="1" applyBorder="1"/>
    <xf numFmtId="43" fontId="7" fillId="0" borderId="1" xfId="6" applyNumberFormat="1" applyFont="1" applyBorder="1" applyAlignment="1">
      <alignment horizontal="left"/>
    </xf>
    <xf numFmtId="0" fontId="7" fillId="2" borderId="0" xfId="0" applyFont="1" applyFill="1" applyBorder="1" applyAlignment="1">
      <alignment horizontal="center" vertical="center"/>
    </xf>
    <xf numFmtId="49" fontId="7" fillId="0" borderId="0" xfId="9" applyNumberFormat="1" applyFont="1" applyBorder="1" applyAlignment="1">
      <alignment horizontal="center"/>
    </xf>
    <xf numFmtId="0" fontId="7" fillId="0" borderId="0" xfId="12" applyFont="1" applyBorder="1" applyAlignment="1">
      <alignment horizontal="left"/>
    </xf>
    <xf numFmtId="0" fontId="7" fillId="0" borderId="0" xfId="12" applyFont="1" applyBorder="1"/>
    <xf numFmtId="0" fontId="7" fillId="0" borderId="0" xfId="12" applyFont="1" applyBorder="1" applyAlignment="1">
      <alignment horizontal="center"/>
    </xf>
    <xf numFmtId="43" fontId="7" fillId="0" borderId="0" xfId="1" applyFont="1" applyBorder="1"/>
    <xf numFmtId="43" fontId="7" fillId="0" borderId="0" xfId="6" applyNumberFormat="1" applyFont="1" applyBorder="1" applyAlignment="1">
      <alignment horizontal="left"/>
    </xf>
    <xf numFmtId="0" fontId="7" fillId="2" borderId="6" xfId="0" applyFont="1" applyFill="1" applyBorder="1" applyAlignment="1">
      <alignment horizontal="center" vertical="center"/>
    </xf>
    <xf numFmtId="49" fontId="7" fillId="0" borderId="6" xfId="9" applyNumberFormat="1" applyFont="1" applyBorder="1" applyAlignment="1">
      <alignment horizontal="center"/>
    </xf>
    <xf numFmtId="0" fontId="7" fillId="0" borderId="6" xfId="12" applyFont="1" applyBorder="1" applyAlignment="1">
      <alignment horizontal="left"/>
    </xf>
    <xf numFmtId="0" fontId="7" fillId="0" borderId="6" xfId="12" applyFont="1" applyBorder="1"/>
    <xf numFmtId="0" fontId="7" fillId="0" borderId="6" xfId="10" applyFont="1" applyBorder="1" applyAlignment="1">
      <alignment horizontal="center"/>
    </xf>
    <xf numFmtId="0" fontId="7" fillId="0" borderId="6" xfId="12" applyFont="1" applyBorder="1" applyAlignment="1">
      <alignment horizontal="center"/>
    </xf>
    <xf numFmtId="43" fontId="7" fillId="0" borderId="6" xfId="6" applyNumberFormat="1" applyFont="1" applyBorder="1" applyAlignment="1">
      <alignment horizontal="left"/>
    </xf>
    <xf numFmtId="43" fontId="6" fillId="0" borderId="6" xfId="1" applyFont="1" applyBorder="1"/>
    <xf numFmtId="43" fontId="6" fillId="0" borderId="6" xfId="1" applyFont="1" applyBorder="1" applyAlignment="1">
      <alignment horizontal="center"/>
    </xf>
    <xf numFmtId="43" fontId="6" fillId="0" borderId="4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10" applyNumberFormat="1" applyFont="1" applyBorder="1" applyAlignment="1">
      <alignment horizontal="center"/>
    </xf>
    <xf numFmtId="0" fontId="4" fillId="0" borderId="6" xfId="0" applyFont="1" applyBorder="1"/>
    <xf numFmtId="0" fontId="5" fillId="0" borderId="6" xfId="0" applyFont="1" applyBorder="1" applyAlignment="1"/>
    <xf numFmtId="0" fontId="5" fillId="0" borderId="6" xfId="0" applyFont="1" applyBorder="1" applyAlignment="1">
      <alignment horizontal="center"/>
    </xf>
    <xf numFmtId="43" fontId="5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1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4">
    <cellStyle name="Normal_ครุภัณฑ์ปี  2553" xfId="5" xr:uid="{00000000-0005-0000-0000-000000000000}"/>
    <cellStyle name="เครื่องหมายจุลภาค 9" xfId="6" xr:uid="{00000000-0005-0000-0000-000002000000}"/>
    <cellStyle name="จุลภาค" xfId="1" builtinId="3"/>
    <cellStyle name="ปกติ" xfId="0" builtinId="0"/>
    <cellStyle name="ปกติ 10" xfId="7" xr:uid="{00000000-0005-0000-0000-000004000000}"/>
    <cellStyle name="ปกติ 12" xfId="8" xr:uid="{00000000-0005-0000-0000-000005000000}"/>
    <cellStyle name="ปกติ 14" xfId="2" xr:uid="{00000000-0005-0000-0000-000006000000}"/>
    <cellStyle name="ปกติ 19" xfId="9" xr:uid="{00000000-0005-0000-0000-000007000000}"/>
    <cellStyle name="ปกติ 21" xfId="10" xr:uid="{00000000-0005-0000-0000-000008000000}"/>
    <cellStyle name="ปกติ 22" xfId="3" xr:uid="{00000000-0005-0000-0000-000009000000}"/>
    <cellStyle name="ปกติ 3" xfId="11" xr:uid="{00000000-0005-0000-0000-00000A000000}"/>
    <cellStyle name="ปกติ 4" xfId="4" xr:uid="{00000000-0005-0000-0000-00000B000000}"/>
    <cellStyle name="ปกติ 5" xfId="13" xr:uid="{00000000-0005-0000-0000-00000C000000}"/>
    <cellStyle name="ปกติ_รายการครุภัณฑ์ ปี 52 ที่แก้ไขเรียงลำดับใหม่ 23 ก.พ.53" xfId="12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2085974</xdr:colOff>
      <xdr:row>49</xdr:row>
      <xdr:rowOff>19051</xdr:rowOff>
    </xdr:from>
    <xdr:to>
      <xdr:col>11</xdr:col>
      <xdr:colOff>2419349</xdr:colOff>
      <xdr:row>54</xdr:row>
      <xdr:rowOff>28579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353923" y="9505952"/>
          <a:ext cx="1533528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2085974</xdr:colOff>
      <xdr:row>18</xdr:row>
      <xdr:rowOff>9528</xdr:rowOff>
    </xdr:from>
    <xdr:to>
      <xdr:col>11</xdr:col>
      <xdr:colOff>2419349</xdr:colOff>
      <xdr:row>23</xdr:row>
      <xdr:rowOff>19056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2668248" y="6438904"/>
          <a:ext cx="1533528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2085974</xdr:colOff>
      <xdr:row>49</xdr:row>
      <xdr:rowOff>9528</xdr:rowOff>
    </xdr:from>
    <xdr:to>
      <xdr:col>11</xdr:col>
      <xdr:colOff>2419349</xdr:colOff>
      <xdr:row>54</xdr:row>
      <xdr:rowOff>19056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12568235" y="6538917"/>
          <a:ext cx="1733553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56"/>
  <sheetViews>
    <sheetView tabSelected="1" topLeftCell="C1" zoomScaleNormal="100" workbookViewId="0">
      <selection activeCell="M7" sqref="L7:M7"/>
    </sheetView>
  </sheetViews>
  <sheetFormatPr defaultColWidth="9" defaultRowHeight="24"/>
  <cols>
    <col min="1" max="1" width="6.125" style="1" customWidth="1"/>
    <col min="2" max="2" width="11.875" style="2" customWidth="1"/>
    <col min="3" max="3" width="36.625" style="3" customWidth="1"/>
    <col min="4" max="4" width="35.5" style="1" customWidth="1"/>
    <col min="5" max="5" width="8.875" style="1" customWidth="1"/>
    <col min="6" max="6" width="8.625" style="1" customWidth="1"/>
    <col min="7" max="7" width="7" style="1" customWidth="1"/>
    <col min="8" max="9" width="8.25" style="1" customWidth="1"/>
    <col min="10" max="10" width="13.25" style="1" customWidth="1"/>
    <col min="11" max="11" width="16.375" style="1" customWidth="1"/>
    <col min="12" max="12" width="31.25" style="2" customWidth="1"/>
    <col min="13" max="16384" width="9" style="1"/>
  </cols>
  <sheetData>
    <row r="1" spans="1:12">
      <c r="L1" s="2" t="s">
        <v>68</v>
      </c>
    </row>
    <row r="2" spans="1:12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>
      <c r="A4" s="67" t="s">
        <v>61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28.5" customHeight="1">
      <c r="A5" s="61" t="s">
        <v>2</v>
      </c>
      <c r="B5" s="61" t="s">
        <v>3</v>
      </c>
      <c r="C5" s="61" t="s">
        <v>4</v>
      </c>
      <c r="D5" s="59" t="s">
        <v>5</v>
      </c>
      <c r="E5" s="61" t="s">
        <v>6</v>
      </c>
      <c r="F5" s="61" t="s">
        <v>7</v>
      </c>
      <c r="G5" s="68" t="s">
        <v>8</v>
      </c>
      <c r="H5" s="70" t="s">
        <v>9</v>
      </c>
      <c r="I5" s="71"/>
      <c r="J5" s="61" t="s">
        <v>10</v>
      </c>
      <c r="K5" s="61" t="s">
        <v>11</v>
      </c>
      <c r="L5" s="61" t="s">
        <v>12</v>
      </c>
    </row>
    <row r="6" spans="1:12" ht="45" customHeight="1">
      <c r="A6" s="62"/>
      <c r="B6" s="62"/>
      <c r="C6" s="62"/>
      <c r="D6" s="60"/>
      <c r="E6" s="62"/>
      <c r="F6" s="62"/>
      <c r="G6" s="69"/>
      <c r="H6" s="4" t="s">
        <v>13</v>
      </c>
      <c r="I6" s="5" t="s">
        <v>14</v>
      </c>
      <c r="J6" s="62"/>
      <c r="K6" s="62"/>
      <c r="L6" s="62"/>
    </row>
    <row r="7" spans="1:12">
      <c r="A7" s="6">
        <v>1</v>
      </c>
      <c r="B7" s="7" t="s">
        <v>15</v>
      </c>
      <c r="C7" s="8" t="s">
        <v>16</v>
      </c>
      <c r="D7" s="9" t="s">
        <v>17</v>
      </c>
      <c r="E7" s="10" t="s">
        <v>18</v>
      </c>
      <c r="F7" s="10">
        <v>25</v>
      </c>
      <c r="G7" s="10" t="s">
        <v>19</v>
      </c>
      <c r="H7" s="10">
        <v>15</v>
      </c>
      <c r="I7" s="11">
        <v>15</v>
      </c>
      <c r="J7" s="12">
        <v>2500</v>
      </c>
      <c r="K7" s="12">
        <f>SUM(I7*J7)</f>
        <v>37500</v>
      </c>
      <c r="L7" s="13" t="s">
        <v>74</v>
      </c>
    </row>
    <row r="8" spans="1:12">
      <c r="A8" s="6">
        <v>2</v>
      </c>
      <c r="B8" s="14">
        <v>2539</v>
      </c>
      <c r="C8" s="8" t="s">
        <v>20</v>
      </c>
      <c r="D8" s="9" t="s">
        <v>21</v>
      </c>
      <c r="E8" s="10" t="s">
        <v>18</v>
      </c>
      <c r="F8" s="10">
        <v>25</v>
      </c>
      <c r="G8" s="10" t="s">
        <v>19</v>
      </c>
      <c r="H8" s="10">
        <v>25</v>
      </c>
      <c r="I8" s="11">
        <v>25</v>
      </c>
      <c r="J8" s="12">
        <v>8000</v>
      </c>
      <c r="K8" s="12">
        <f t="shared" ref="K8:K16" si="0">SUM(I8*J8)</f>
        <v>200000</v>
      </c>
      <c r="L8" s="13" t="s">
        <v>75</v>
      </c>
    </row>
    <row r="9" spans="1:12">
      <c r="A9" s="6">
        <v>3</v>
      </c>
      <c r="B9" s="14">
        <v>2539</v>
      </c>
      <c r="C9" s="8" t="s">
        <v>22</v>
      </c>
      <c r="D9" s="9" t="s">
        <v>23</v>
      </c>
      <c r="E9" s="10" t="s">
        <v>18</v>
      </c>
      <c r="F9" s="10">
        <v>25</v>
      </c>
      <c r="G9" s="10" t="s">
        <v>19</v>
      </c>
      <c r="H9" s="10">
        <v>25</v>
      </c>
      <c r="I9" s="11">
        <v>25</v>
      </c>
      <c r="J9" s="12">
        <v>8000</v>
      </c>
      <c r="K9" s="12">
        <f t="shared" si="0"/>
        <v>200000</v>
      </c>
      <c r="L9" s="13" t="s">
        <v>75</v>
      </c>
    </row>
    <row r="10" spans="1:12">
      <c r="A10" s="6">
        <v>4</v>
      </c>
      <c r="B10" s="14">
        <v>2539</v>
      </c>
      <c r="C10" s="8" t="s">
        <v>24</v>
      </c>
      <c r="D10" s="9" t="s">
        <v>25</v>
      </c>
      <c r="E10" s="10" t="s">
        <v>18</v>
      </c>
      <c r="F10" s="10">
        <v>25</v>
      </c>
      <c r="G10" s="15" t="s">
        <v>19</v>
      </c>
      <c r="H10" s="10">
        <v>42</v>
      </c>
      <c r="I10" s="11">
        <v>42</v>
      </c>
      <c r="J10" s="12">
        <v>1600</v>
      </c>
      <c r="K10" s="12">
        <f t="shared" si="0"/>
        <v>67200</v>
      </c>
      <c r="L10" s="13" t="s">
        <v>76</v>
      </c>
    </row>
    <row r="11" spans="1:12">
      <c r="A11" s="6">
        <v>5</v>
      </c>
      <c r="B11" s="14">
        <v>2539</v>
      </c>
      <c r="C11" s="8" t="s">
        <v>27</v>
      </c>
      <c r="D11" s="9" t="s">
        <v>28</v>
      </c>
      <c r="E11" s="10" t="s">
        <v>18</v>
      </c>
      <c r="F11" s="10">
        <v>25</v>
      </c>
      <c r="G11" s="10" t="s">
        <v>19</v>
      </c>
      <c r="H11" s="10">
        <v>35</v>
      </c>
      <c r="I11" s="11">
        <v>2</v>
      </c>
      <c r="J11" s="12">
        <v>2400</v>
      </c>
      <c r="K11" s="12">
        <f t="shared" si="0"/>
        <v>4800</v>
      </c>
      <c r="L11" s="13" t="s">
        <v>76</v>
      </c>
    </row>
    <row r="12" spans="1:12">
      <c r="A12" s="6">
        <v>6</v>
      </c>
      <c r="B12" s="14">
        <v>2539</v>
      </c>
      <c r="C12" s="8" t="s">
        <v>29</v>
      </c>
      <c r="D12" s="9" t="s">
        <v>30</v>
      </c>
      <c r="E12" s="10" t="s">
        <v>18</v>
      </c>
      <c r="F12" s="10">
        <v>25</v>
      </c>
      <c r="G12" s="10" t="s">
        <v>19</v>
      </c>
      <c r="H12" s="10">
        <v>4</v>
      </c>
      <c r="I12" s="11">
        <v>4</v>
      </c>
      <c r="J12" s="12">
        <v>20000</v>
      </c>
      <c r="K12" s="12">
        <f t="shared" si="0"/>
        <v>80000</v>
      </c>
      <c r="L12" s="13" t="s">
        <v>77</v>
      </c>
    </row>
    <row r="13" spans="1:12">
      <c r="A13" s="6">
        <v>7</v>
      </c>
      <c r="B13" s="16" t="s">
        <v>15</v>
      </c>
      <c r="C13" s="8" t="s">
        <v>31</v>
      </c>
      <c r="D13" s="9" t="s">
        <v>32</v>
      </c>
      <c r="E13" s="10" t="s">
        <v>18</v>
      </c>
      <c r="F13" s="10">
        <v>25</v>
      </c>
      <c r="G13" s="10" t="s">
        <v>19</v>
      </c>
      <c r="H13" s="10">
        <v>1</v>
      </c>
      <c r="I13" s="11">
        <v>1</v>
      </c>
      <c r="J13" s="12">
        <v>5000</v>
      </c>
      <c r="K13" s="12">
        <f t="shared" si="0"/>
        <v>5000</v>
      </c>
      <c r="L13" s="13" t="s">
        <v>76</v>
      </c>
    </row>
    <row r="14" spans="1:12">
      <c r="A14" s="6">
        <v>8</v>
      </c>
      <c r="B14" s="17" t="s">
        <v>15</v>
      </c>
      <c r="C14" s="8" t="s">
        <v>33</v>
      </c>
      <c r="D14" s="8" t="s">
        <v>34</v>
      </c>
      <c r="E14" s="10" t="s">
        <v>18</v>
      </c>
      <c r="F14" s="10">
        <v>25</v>
      </c>
      <c r="G14" s="10" t="s">
        <v>19</v>
      </c>
      <c r="H14" s="10">
        <v>2</v>
      </c>
      <c r="I14" s="11">
        <v>2</v>
      </c>
      <c r="J14" s="12">
        <v>2000</v>
      </c>
      <c r="K14" s="12">
        <f t="shared" si="0"/>
        <v>4000</v>
      </c>
      <c r="L14" s="13" t="s">
        <v>78</v>
      </c>
    </row>
    <row r="15" spans="1:12">
      <c r="A15" s="6">
        <v>9</v>
      </c>
      <c r="B15" s="16" t="s">
        <v>35</v>
      </c>
      <c r="C15" s="8" t="s">
        <v>36</v>
      </c>
      <c r="D15" s="9" t="s">
        <v>37</v>
      </c>
      <c r="E15" s="10" t="s">
        <v>18</v>
      </c>
      <c r="F15" s="10">
        <v>24</v>
      </c>
      <c r="G15" s="10" t="s">
        <v>19</v>
      </c>
      <c r="H15" s="10">
        <v>25</v>
      </c>
      <c r="I15" s="11">
        <v>25</v>
      </c>
      <c r="J15" s="12">
        <v>8000</v>
      </c>
      <c r="K15" s="12">
        <f t="shared" si="0"/>
        <v>200000</v>
      </c>
      <c r="L15" s="13" t="s">
        <v>79</v>
      </c>
    </row>
    <row r="16" spans="1:12">
      <c r="A16" s="6">
        <v>10</v>
      </c>
      <c r="B16" s="18" t="s">
        <v>35</v>
      </c>
      <c r="C16" s="8" t="s">
        <v>38</v>
      </c>
      <c r="D16" s="9" t="s">
        <v>39</v>
      </c>
      <c r="E16" s="10" t="s">
        <v>18</v>
      </c>
      <c r="F16" s="10">
        <v>24</v>
      </c>
      <c r="G16" s="10" t="s">
        <v>19</v>
      </c>
      <c r="H16" s="10">
        <v>58</v>
      </c>
      <c r="I16" s="11">
        <v>58</v>
      </c>
      <c r="J16" s="12">
        <v>8000</v>
      </c>
      <c r="K16" s="12">
        <f t="shared" si="0"/>
        <v>464000</v>
      </c>
      <c r="L16" s="13" t="s">
        <v>79</v>
      </c>
    </row>
    <row r="17" spans="1:12" s="21" customFormat="1" ht="24.75" thickBot="1">
      <c r="A17" s="39"/>
      <c r="B17" s="40"/>
      <c r="C17" s="41"/>
      <c r="D17" s="42"/>
      <c r="E17" s="43"/>
      <c r="F17" s="43"/>
      <c r="G17" s="43"/>
      <c r="H17" s="43"/>
      <c r="I17" s="44"/>
      <c r="J17" s="47" t="s">
        <v>67</v>
      </c>
      <c r="K17" s="46">
        <f>SUM(K7:K16)</f>
        <v>1262500</v>
      </c>
      <c r="L17" s="45"/>
    </row>
    <row r="18" spans="1:12" s="21" customFormat="1" ht="24.75" thickTop="1">
      <c r="A18" s="32"/>
      <c r="B18" s="22" t="s">
        <v>41</v>
      </c>
      <c r="C18" s="23" t="s">
        <v>42</v>
      </c>
      <c r="I18" s="19"/>
      <c r="L18" s="20"/>
    </row>
    <row r="19" spans="1:12" s="21" customFormat="1">
      <c r="A19" s="32"/>
      <c r="B19" s="20"/>
      <c r="C19" s="23" t="s">
        <v>43</v>
      </c>
      <c r="I19" s="19"/>
      <c r="L19" s="24"/>
    </row>
    <row r="20" spans="1:12" s="21" customFormat="1">
      <c r="A20" s="32"/>
      <c r="B20" s="20"/>
      <c r="C20" s="23"/>
      <c r="G20" s="56" t="s">
        <v>62</v>
      </c>
      <c r="H20" s="64" t="s">
        <v>63</v>
      </c>
      <c r="I20" s="64"/>
      <c r="J20" s="64"/>
      <c r="K20" s="24" t="s">
        <v>64</v>
      </c>
      <c r="L20" s="24"/>
    </row>
    <row r="21" spans="1:12" s="21" customFormat="1">
      <c r="A21" s="32"/>
      <c r="B21" s="20"/>
      <c r="C21" s="23"/>
      <c r="G21" s="56"/>
      <c r="H21" s="64" t="s">
        <v>71</v>
      </c>
      <c r="I21" s="64"/>
      <c r="J21" s="64"/>
      <c r="K21" s="24"/>
      <c r="L21" s="24"/>
    </row>
    <row r="22" spans="1:12" s="21" customFormat="1" ht="39.75" customHeight="1">
      <c r="A22" s="32"/>
      <c r="B22" s="2"/>
      <c r="C22" s="3"/>
      <c r="D22" s="1"/>
      <c r="E22" s="1"/>
      <c r="F22" s="1"/>
      <c r="G22" s="57" t="s">
        <v>62</v>
      </c>
      <c r="H22" s="63" t="s">
        <v>63</v>
      </c>
      <c r="I22" s="63"/>
      <c r="J22" s="63"/>
      <c r="K22" s="58" t="s">
        <v>65</v>
      </c>
      <c r="L22" s="2"/>
    </row>
    <row r="23" spans="1:12" s="21" customFormat="1">
      <c r="A23" s="32"/>
      <c r="B23" s="2"/>
      <c r="C23" s="3"/>
      <c r="D23" s="1"/>
      <c r="E23" s="1"/>
      <c r="F23" s="1"/>
      <c r="G23" s="57"/>
      <c r="H23" s="63" t="s">
        <v>72</v>
      </c>
      <c r="I23" s="63"/>
      <c r="J23" s="63"/>
      <c r="K23" s="58"/>
      <c r="L23" s="2"/>
    </row>
    <row r="24" spans="1:12" s="21" customFormat="1" ht="43.5" customHeight="1">
      <c r="A24" s="32"/>
      <c r="B24" s="2"/>
      <c r="C24" s="3"/>
      <c r="D24" s="1"/>
      <c r="E24" s="1"/>
      <c r="F24" s="1"/>
      <c r="G24" s="57" t="s">
        <v>62</v>
      </c>
      <c r="H24" s="63" t="s">
        <v>63</v>
      </c>
      <c r="I24" s="63"/>
      <c r="J24" s="63"/>
      <c r="K24" s="58" t="s">
        <v>66</v>
      </c>
      <c r="L24" s="2"/>
    </row>
    <row r="25" spans="1:12" s="21" customFormat="1">
      <c r="A25" s="32"/>
      <c r="B25" s="2"/>
      <c r="C25" s="3"/>
      <c r="D25" s="1"/>
      <c r="E25" s="1"/>
      <c r="F25" s="1"/>
      <c r="G25" s="1"/>
      <c r="H25" s="63" t="s">
        <v>73</v>
      </c>
      <c r="I25" s="63"/>
      <c r="J25" s="63"/>
      <c r="K25" s="1"/>
      <c r="L25" s="2"/>
    </row>
    <row r="26" spans="1:12" s="21" customFormat="1">
      <c r="A26" s="32"/>
      <c r="B26" s="2"/>
      <c r="C26" s="3"/>
      <c r="D26" s="1"/>
      <c r="E26" s="1"/>
      <c r="F26" s="1"/>
      <c r="G26" s="1"/>
      <c r="H26" s="1"/>
      <c r="I26" s="1"/>
      <c r="J26" s="1"/>
      <c r="K26" s="1"/>
      <c r="L26" s="2"/>
    </row>
    <row r="27" spans="1:12" s="21" customFormat="1">
      <c r="A27" s="32"/>
      <c r="B27" s="33"/>
      <c r="C27" s="34"/>
      <c r="D27" s="35"/>
      <c r="E27" s="19"/>
      <c r="F27" s="19"/>
      <c r="G27" s="19"/>
      <c r="H27" s="19"/>
      <c r="I27" s="36"/>
      <c r="J27" s="37"/>
      <c r="K27" s="37"/>
      <c r="L27" s="38"/>
    </row>
    <row r="28" spans="1:12" s="21" customFormat="1">
      <c r="A28" s="32"/>
      <c r="B28" s="33"/>
      <c r="C28" s="34"/>
      <c r="D28" s="35"/>
      <c r="E28" s="19"/>
      <c r="F28" s="19"/>
      <c r="G28" s="19"/>
      <c r="H28" s="19"/>
      <c r="I28" s="36"/>
      <c r="J28" s="37"/>
      <c r="K28" s="37"/>
      <c r="L28" s="38"/>
    </row>
    <row r="29" spans="1:12" s="21" customFormat="1">
      <c r="A29" s="32"/>
      <c r="B29" s="33"/>
      <c r="C29" s="34"/>
      <c r="D29" s="35"/>
      <c r="E29" s="19"/>
      <c r="F29" s="19"/>
      <c r="G29" s="19"/>
      <c r="H29" s="19"/>
      <c r="I29" s="36"/>
      <c r="J29" s="37"/>
      <c r="K29" s="37"/>
      <c r="L29" s="38"/>
    </row>
    <row r="30" spans="1:12" s="21" customFormat="1">
      <c r="A30" s="32"/>
      <c r="B30" s="33"/>
      <c r="C30" s="34"/>
      <c r="D30" s="35"/>
      <c r="E30" s="19"/>
      <c r="F30" s="19"/>
      <c r="G30" s="19"/>
      <c r="H30" s="19"/>
      <c r="I30" s="36"/>
      <c r="J30" s="37"/>
      <c r="K30" s="37"/>
      <c r="L30" s="38"/>
    </row>
    <row r="31" spans="1:12">
      <c r="L31" s="2" t="s">
        <v>69</v>
      </c>
    </row>
    <row r="32" spans="1:12">
      <c r="A32" s="65" t="s">
        <v>0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</row>
    <row r="33" spans="1:12">
      <c r="A33" s="66" t="s">
        <v>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</row>
    <row r="34" spans="1:12">
      <c r="A34" s="67" t="s">
        <v>61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</row>
    <row r="35" spans="1:12">
      <c r="A35" s="61" t="s">
        <v>2</v>
      </c>
      <c r="B35" s="61" t="s">
        <v>3</v>
      </c>
      <c r="C35" s="61" t="s">
        <v>4</v>
      </c>
      <c r="D35" s="59" t="s">
        <v>5</v>
      </c>
      <c r="E35" s="61" t="s">
        <v>6</v>
      </c>
      <c r="F35" s="61" t="s">
        <v>7</v>
      </c>
      <c r="G35" s="68" t="s">
        <v>8</v>
      </c>
      <c r="H35" s="70" t="s">
        <v>9</v>
      </c>
      <c r="I35" s="71"/>
      <c r="J35" s="61" t="s">
        <v>10</v>
      </c>
      <c r="K35" s="61" t="s">
        <v>11</v>
      </c>
      <c r="L35" s="61" t="s">
        <v>12</v>
      </c>
    </row>
    <row r="36" spans="1:12" ht="48">
      <c r="A36" s="62"/>
      <c r="B36" s="62"/>
      <c r="C36" s="62"/>
      <c r="D36" s="60"/>
      <c r="E36" s="62"/>
      <c r="F36" s="62"/>
      <c r="G36" s="69"/>
      <c r="H36" s="4" t="s">
        <v>13</v>
      </c>
      <c r="I36" s="5" t="s">
        <v>14</v>
      </c>
      <c r="J36" s="62"/>
      <c r="K36" s="62"/>
      <c r="L36" s="62"/>
    </row>
    <row r="37" spans="1:12">
      <c r="A37" s="6"/>
      <c r="B37" s="18"/>
      <c r="C37" s="8"/>
      <c r="D37" s="9"/>
      <c r="E37" s="10"/>
      <c r="F37" s="10"/>
      <c r="G37" s="10"/>
      <c r="H37" s="10"/>
      <c r="I37" s="11"/>
      <c r="J37" s="48" t="s">
        <v>70</v>
      </c>
      <c r="K37" s="48">
        <f>SUM(K17)</f>
        <v>1262500</v>
      </c>
      <c r="L37" s="13"/>
    </row>
    <row r="38" spans="1:12">
      <c r="A38" s="6">
        <v>11</v>
      </c>
      <c r="B38" s="7" t="s">
        <v>35</v>
      </c>
      <c r="C38" s="8" t="s">
        <v>44</v>
      </c>
      <c r="D38" s="9" t="s">
        <v>25</v>
      </c>
      <c r="E38" s="10" t="s">
        <v>18</v>
      </c>
      <c r="F38" s="10">
        <v>24</v>
      </c>
      <c r="G38" s="10" t="s">
        <v>19</v>
      </c>
      <c r="H38" s="10">
        <v>90</v>
      </c>
      <c r="I38" s="11">
        <v>28</v>
      </c>
      <c r="J38" s="12">
        <v>1600</v>
      </c>
      <c r="K38" s="12">
        <f>SUM(I38*J38)</f>
        <v>44800</v>
      </c>
      <c r="L38" s="13" t="s">
        <v>76</v>
      </c>
    </row>
    <row r="39" spans="1:12">
      <c r="A39" s="6">
        <v>12</v>
      </c>
      <c r="B39" s="14">
        <v>2540</v>
      </c>
      <c r="C39" s="8" t="s">
        <v>45</v>
      </c>
      <c r="D39" s="9" t="s">
        <v>26</v>
      </c>
      <c r="E39" s="10" t="s">
        <v>18</v>
      </c>
      <c r="F39" s="10">
        <v>24</v>
      </c>
      <c r="G39" s="10" t="s">
        <v>19</v>
      </c>
      <c r="H39" s="10">
        <v>46</v>
      </c>
      <c r="I39" s="11">
        <v>46</v>
      </c>
      <c r="J39" s="12">
        <v>2500</v>
      </c>
      <c r="K39" s="12">
        <f t="shared" ref="K39:K47" si="1">SUM(I39*J39)</f>
        <v>115000</v>
      </c>
      <c r="L39" s="13" t="s">
        <v>80</v>
      </c>
    </row>
    <row r="40" spans="1:12">
      <c r="A40" s="6">
        <v>13</v>
      </c>
      <c r="B40" s="14">
        <v>2546</v>
      </c>
      <c r="C40" s="8" t="s">
        <v>46</v>
      </c>
      <c r="D40" s="9" t="s">
        <v>47</v>
      </c>
      <c r="E40" s="10" t="s">
        <v>18</v>
      </c>
      <c r="F40" s="10">
        <v>18</v>
      </c>
      <c r="G40" s="15" t="s">
        <v>19</v>
      </c>
      <c r="H40" s="10">
        <v>1</v>
      </c>
      <c r="I40" s="11">
        <v>1</v>
      </c>
      <c r="J40" s="12">
        <v>33000</v>
      </c>
      <c r="K40" s="12">
        <f t="shared" si="1"/>
        <v>33000</v>
      </c>
      <c r="L40" s="13" t="s">
        <v>81</v>
      </c>
    </row>
    <row r="41" spans="1:12">
      <c r="A41" s="6">
        <v>14</v>
      </c>
      <c r="B41" s="14">
        <v>2548</v>
      </c>
      <c r="C41" s="8" t="s">
        <v>48</v>
      </c>
      <c r="D41" s="9" t="s">
        <v>49</v>
      </c>
      <c r="E41" s="10" t="s">
        <v>50</v>
      </c>
      <c r="F41" s="10">
        <v>16</v>
      </c>
      <c r="G41" s="15" t="s">
        <v>19</v>
      </c>
      <c r="H41" s="10">
        <v>2</v>
      </c>
      <c r="I41" s="11">
        <v>2</v>
      </c>
      <c r="J41" s="12">
        <v>1175</v>
      </c>
      <c r="K41" s="12">
        <f t="shared" si="1"/>
        <v>2350</v>
      </c>
      <c r="L41" s="13" t="s">
        <v>82</v>
      </c>
    </row>
    <row r="42" spans="1:12">
      <c r="A42" s="6">
        <v>15</v>
      </c>
      <c r="B42" s="14">
        <v>2549</v>
      </c>
      <c r="C42" s="8" t="s">
        <v>51</v>
      </c>
      <c r="D42" s="9" t="s">
        <v>52</v>
      </c>
      <c r="E42" s="10" t="s">
        <v>50</v>
      </c>
      <c r="F42" s="10">
        <v>15</v>
      </c>
      <c r="G42" s="10" t="s">
        <v>19</v>
      </c>
      <c r="H42" s="10">
        <v>1</v>
      </c>
      <c r="I42" s="11">
        <v>1</v>
      </c>
      <c r="J42" s="12">
        <v>5296</v>
      </c>
      <c r="K42" s="12">
        <f t="shared" si="1"/>
        <v>5296</v>
      </c>
      <c r="L42" s="13" t="s">
        <v>83</v>
      </c>
    </row>
    <row r="43" spans="1:12">
      <c r="A43" s="6">
        <v>16</v>
      </c>
      <c r="B43" s="14">
        <v>2549</v>
      </c>
      <c r="C43" s="8" t="s">
        <v>53</v>
      </c>
      <c r="D43" s="9" t="s">
        <v>37</v>
      </c>
      <c r="E43" s="10" t="s">
        <v>50</v>
      </c>
      <c r="F43" s="10">
        <v>15</v>
      </c>
      <c r="G43" s="15" t="s">
        <v>19</v>
      </c>
      <c r="H43" s="10">
        <v>7</v>
      </c>
      <c r="I43" s="11">
        <v>7</v>
      </c>
      <c r="J43" s="12">
        <v>12200</v>
      </c>
      <c r="K43" s="12">
        <f t="shared" si="1"/>
        <v>85400</v>
      </c>
      <c r="L43" s="13" t="s">
        <v>79</v>
      </c>
    </row>
    <row r="44" spans="1:12">
      <c r="A44" s="6">
        <v>17</v>
      </c>
      <c r="B44" s="14">
        <v>2549</v>
      </c>
      <c r="C44" s="8" t="s">
        <v>54</v>
      </c>
      <c r="D44" s="9" t="s">
        <v>37</v>
      </c>
      <c r="E44" s="10" t="s">
        <v>50</v>
      </c>
      <c r="F44" s="10">
        <v>15</v>
      </c>
      <c r="G44" s="10" t="s">
        <v>19</v>
      </c>
      <c r="H44" s="10">
        <v>6</v>
      </c>
      <c r="I44" s="11">
        <v>6</v>
      </c>
      <c r="J44" s="12">
        <v>12200</v>
      </c>
      <c r="K44" s="12">
        <f t="shared" si="1"/>
        <v>73200</v>
      </c>
      <c r="L44" s="13" t="s">
        <v>79</v>
      </c>
    </row>
    <row r="45" spans="1:12">
      <c r="A45" s="6">
        <v>18</v>
      </c>
      <c r="B45" s="14">
        <v>2550</v>
      </c>
      <c r="C45" s="8" t="s">
        <v>55</v>
      </c>
      <c r="D45" s="9" t="s">
        <v>56</v>
      </c>
      <c r="E45" s="10" t="s">
        <v>18</v>
      </c>
      <c r="F45" s="10">
        <v>14</v>
      </c>
      <c r="G45" s="10" t="s">
        <v>19</v>
      </c>
      <c r="H45" s="10">
        <v>1</v>
      </c>
      <c r="I45" s="11">
        <v>1</v>
      </c>
      <c r="J45" s="12">
        <v>24000</v>
      </c>
      <c r="K45" s="12">
        <f t="shared" si="1"/>
        <v>24000</v>
      </c>
      <c r="L45" s="13" t="s">
        <v>81</v>
      </c>
    </row>
    <row r="46" spans="1:12">
      <c r="A46" s="6">
        <v>19</v>
      </c>
      <c r="B46" s="14">
        <v>2553</v>
      </c>
      <c r="C46" s="8" t="s">
        <v>57</v>
      </c>
      <c r="D46" s="9" t="s">
        <v>58</v>
      </c>
      <c r="E46" s="10" t="s">
        <v>18</v>
      </c>
      <c r="F46" s="10">
        <v>11</v>
      </c>
      <c r="G46" s="10" t="s">
        <v>19</v>
      </c>
      <c r="H46" s="10">
        <v>15</v>
      </c>
      <c r="I46" s="11">
        <v>15</v>
      </c>
      <c r="J46" s="12">
        <v>17000</v>
      </c>
      <c r="K46" s="12">
        <f t="shared" si="1"/>
        <v>255000</v>
      </c>
      <c r="L46" s="13" t="s">
        <v>84</v>
      </c>
    </row>
    <row r="47" spans="1:12">
      <c r="A47" s="25">
        <v>20</v>
      </c>
      <c r="B47" s="49">
        <v>2553</v>
      </c>
      <c r="C47" s="26" t="s">
        <v>59</v>
      </c>
      <c r="D47" s="27" t="s">
        <v>60</v>
      </c>
      <c r="E47" s="28" t="s">
        <v>18</v>
      </c>
      <c r="F47" s="28">
        <v>11</v>
      </c>
      <c r="G47" s="50" t="s">
        <v>19</v>
      </c>
      <c r="H47" s="28">
        <v>30</v>
      </c>
      <c r="I47" s="29">
        <v>30</v>
      </c>
      <c r="J47" s="30">
        <v>400</v>
      </c>
      <c r="K47" s="30">
        <f t="shared" si="1"/>
        <v>12000</v>
      </c>
      <c r="L47" s="31" t="s">
        <v>85</v>
      </c>
    </row>
    <row r="48" spans="1:12" ht="24.75" thickBot="1">
      <c r="A48" s="51"/>
      <c r="B48" s="52"/>
      <c r="C48" s="52"/>
      <c r="D48" s="52"/>
      <c r="E48" s="52"/>
      <c r="F48" s="52"/>
      <c r="G48" s="52"/>
      <c r="H48" s="52"/>
      <c r="I48" s="52"/>
      <c r="J48" s="53" t="s">
        <v>40</v>
      </c>
      <c r="K48" s="54">
        <f>SUM(K7:K16,K38:K45,K46:K47)</f>
        <v>1912546</v>
      </c>
      <c r="L48" s="55"/>
    </row>
    <row r="49" spans="1:12" ht="24.75" thickTop="1">
      <c r="A49" s="21"/>
      <c r="B49" s="22" t="s">
        <v>41</v>
      </c>
      <c r="C49" s="23" t="s">
        <v>42</v>
      </c>
      <c r="D49" s="21"/>
      <c r="E49" s="21"/>
      <c r="F49" s="21"/>
      <c r="G49" s="21"/>
      <c r="H49" s="21"/>
      <c r="I49" s="19"/>
      <c r="J49" s="21"/>
      <c r="K49" s="21"/>
      <c r="L49" s="20"/>
    </row>
    <row r="50" spans="1:12">
      <c r="A50" s="21"/>
      <c r="B50" s="20"/>
      <c r="C50" s="23" t="s">
        <v>43</v>
      </c>
      <c r="D50" s="21"/>
      <c r="E50" s="21"/>
      <c r="F50" s="21"/>
      <c r="G50" s="21"/>
      <c r="H50" s="21"/>
      <c r="I50" s="19"/>
      <c r="J50" s="21"/>
      <c r="K50" s="21"/>
      <c r="L50" s="24"/>
    </row>
    <row r="51" spans="1:12">
      <c r="A51" s="21"/>
      <c r="B51" s="20"/>
      <c r="C51" s="23"/>
      <c r="D51" s="21"/>
      <c r="E51" s="21"/>
      <c r="F51" s="21"/>
      <c r="G51" s="56" t="s">
        <v>62</v>
      </c>
      <c r="H51" s="64" t="s">
        <v>63</v>
      </c>
      <c r="I51" s="64"/>
      <c r="J51" s="64"/>
      <c r="K51" s="24" t="s">
        <v>64</v>
      </c>
      <c r="L51" s="24"/>
    </row>
    <row r="52" spans="1:12">
      <c r="A52" s="21"/>
      <c r="B52" s="20"/>
      <c r="C52" s="23"/>
      <c r="D52" s="21"/>
      <c r="E52" s="21"/>
      <c r="F52" s="21"/>
      <c r="G52" s="56"/>
      <c r="H52" s="64" t="s">
        <v>71</v>
      </c>
      <c r="I52" s="64"/>
      <c r="J52" s="64"/>
      <c r="K52" s="24"/>
      <c r="L52" s="24"/>
    </row>
    <row r="53" spans="1:12" ht="38.25" customHeight="1">
      <c r="G53" s="57" t="s">
        <v>62</v>
      </c>
      <c r="H53" s="63" t="s">
        <v>63</v>
      </c>
      <c r="I53" s="63"/>
      <c r="J53" s="63"/>
      <c r="K53" s="58" t="s">
        <v>65</v>
      </c>
    </row>
    <row r="54" spans="1:12">
      <c r="G54" s="57"/>
      <c r="H54" s="63" t="s">
        <v>72</v>
      </c>
      <c r="I54" s="63"/>
      <c r="J54" s="63"/>
      <c r="K54" s="58"/>
    </row>
    <row r="55" spans="1:12" ht="42" customHeight="1">
      <c r="G55" s="57" t="s">
        <v>62</v>
      </c>
      <c r="H55" s="63" t="s">
        <v>63</v>
      </c>
      <c r="I55" s="63"/>
      <c r="J55" s="63"/>
      <c r="K55" s="58" t="s">
        <v>66</v>
      </c>
    </row>
    <row r="56" spans="1:12">
      <c r="H56" s="63" t="s">
        <v>73</v>
      </c>
      <c r="I56" s="63"/>
      <c r="J56" s="63"/>
    </row>
  </sheetData>
  <mergeCells count="40">
    <mergeCell ref="A2:L2"/>
    <mergeCell ref="A3:L3"/>
    <mergeCell ref="A4:L4"/>
    <mergeCell ref="H5:I5"/>
    <mergeCell ref="E5:E6"/>
    <mergeCell ref="F5:F6"/>
    <mergeCell ref="G5:G6"/>
    <mergeCell ref="J5:J6"/>
    <mergeCell ref="K5:K6"/>
    <mergeCell ref="L5:L6"/>
    <mergeCell ref="A5:A6"/>
    <mergeCell ref="B5:B6"/>
    <mergeCell ref="C5:C6"/>
    <mergeCell ref="D5:D6"/>
    <mergeCell ref="A32:L32"/>
    <mergeCell ref="J35:J36"/>
    <mergeCell ref="K35:K36"/>
    <mergeCell ref="L35:L36"/>
    <mergeCell ref="H20:J20"/>
    <mergeCell ref="H21:J21"/>
    <mergeCell ref="H22:J22"/>
    <mergeCell ref="H23:J23"/>
    <mergeCell ref="H24:J24"/>
    <mergeCell ref="H25:J25"/>
    <mergeCell ref="A33:L33"/>
    <mergeCell ref="A34:L34"/>
    <mergeCell ref="A35:A36"/>
    <mergeCell ref="B35:B36"/>
    <mergeCell ref="C35:C36"/>
    <mergeCell ref="D35:D36"/>
    <mergeCell ref="E35:E36"/>
    <mergeCell ref="H56:J56"/>
    <mergeCell ref="H51:J51"/>
    <mergeCell ref="H52:J52"/>
    <mergeCell ref="H53:J53"/>
    <mergeCell ref="H54:J54"/>
    <mergeCell ref="H55:J55"/>
    <mergeCell ref="F35:F36"/>
    <mergeCell ref="G35:G36"/>
    <mergeCell ref="H35:I35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2022-03-16T04:10:19Z</cp:lastPrinted>
  <dcterms:created xsi:type="dcterms:W3CDTF">2017-11-14T01:32:00Z</dcterms:created>
  <dcterms:modified xsi:type="dcterms:W3CDTF">2022-03-16T04:10:31Z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6DFC0DFF19CD445194A6AFFFBE162004</vt:lpwstr>
  </property>
  <property fmtid="{D5CDD505-2E9C-101B-9397-08002B2CF9AE}" pid="3" name="KSOProductBuildVer">
    <vt:lpwstr>1054-11.2.0.10265</vt:lpwstr>
  </property>
</Properties>
</file>