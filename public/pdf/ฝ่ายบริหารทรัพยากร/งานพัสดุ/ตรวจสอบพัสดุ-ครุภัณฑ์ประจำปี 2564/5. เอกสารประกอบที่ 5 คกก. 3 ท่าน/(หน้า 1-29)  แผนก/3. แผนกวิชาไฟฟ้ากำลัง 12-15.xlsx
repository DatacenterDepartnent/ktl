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739A51AE-0070-4038-A55E-AB3C16F1F79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วิชาไฟฟ้ากำลัง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9" i="33" l="1"/>
  <c r="K100" i="33"/>
  <c r="K101" i="33"/>
  <c r="K102" i="33"/>
  <c r="K103" i="33"/>
  <c r="K104" i="33"/>
  <c r="K105" i="33"/>
  <c r="K106" i="33"/>
  <c r="K107" i="33"/>
  <c r="K77" i="33" l="1"/>
  <c r="K76" i="33"/>
  <c r="K75" i="33"/>
  <c r="K74" i="33"/>
  <c r="K73" i="33"/>
  <c r="K72" i="33"/>
  <c r="K71" i="33"/>
  <c r="K70" i="33"/>
  <c r="K69" i="33"/>
  <c r="K68" i="33"/>
  <c r="K47" i="33"/>
  <c r="K46" i="33"/>
  <c r="K45" i="33"/>
  <c r="K44" i="33"/>
  <c r="K43" i="33"/>
  <c r="K42" i="33"/>
  <c r="K41" i="33"/>
  <c r="K40" i="33"/>
  <c r="K39" i="33"/>
  <c r="K38" i="33"/>
  <c r="K16" i="33"/>
  <c r="K15" i="33"/>
  <c r="K14" i="33"/>
  <c r="K13" i="33"/>
  <c r="K12" i="33"/>
  <c r="K11" i="33"/>
  <c r="K10" i="33"/>
  <c r="K9" i="33"/>
  <c r="K8" i="33"/>
  <c r="K7" i="33"/>
  <c r="K17" i="33" l="1"/>
  <c r="K37" i="33" s="1"/>
  <c r="K48" i="33" s="1"/>
  <c r="K67" i="33" s="1"/>
  <c r="K78" i="33" s="1"/>
  <c r="K98" i="33" s="1"/>
  <c r="K108" i="33" s="1"/>
</calcChain>
</file>

<file path=xl/sharedStrings.xml><?xml version="1.0" encoding="utf-8"?>
<sst xmlns="http://schemas.openxmlformats.org/spreadsheetml/2006/main" count="361" uniqueCount="145">
  <si>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</si>
  <si>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</si>
  <si>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</si>
  <si>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</si>
  <si>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</si>
  <si>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</si>
  <si>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</si>
  <si>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</si>
  <si>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</si>
  <si>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</si>
  <si>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</si>
  <si>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</si>
  <si>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</si>
  <si>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</si>
  <si>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</si>
  <si>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</si>
  <si>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</si>
  <si>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</si>
  <si>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ของแผนกวิชาไฟฟ้ากำลัง</t>
  </si>
  <si>
    <t>2539</t>
  </si>
  <si>
    <t>5950-004-0001/391-001-391-010</t>
  </si>
  <si>
    <t>6910-001-0007/391-001</t>
  </si>
  <si>
    <t>6910-001-0006/391-001-391-007</t>
  </si>
  <si>
    <t>5905-006-0005/391-001-391-020</t>
  </si>
  <si>
    <t>5905-006-0004/391-001-391-010</t>
  </si>
  <si>
    <t>5905-006-0003/391-001-391-010</t>
  </si>
  <si>
    <t>7110-007-0017/391-001-391-006</t>
  </si>
  <si>
    <t>6625-002-0004/391-001</t>
  </si>
  <si>
    <t>ทรานฟอร์เมอร์ 1 เฟส</t>
  </si>
  <si>
    <t>แรงเคลื่อนคงที่</t>
  </si>
  <si>
    <t>ชุดฝึกไฟฟ้าเบื้องต้น</t>
  </si>
  <si>
    <t>เครื่องวัดกระแสสลับแบบพอร์ทเทเบิ้ล</t>
  </si>
  <si>
    <t>เครื่องวัดกระแสไฟฟ้าตรงแบบไมโครแอมป์</t>
  </si>
  <si>
    <t>โต๊ะงานช่างกล</t>
  </si>
  <si>
    <t>ชุดสาธิตทดลองระบบเครื่องมือวัด</t>
  </si>
  <si>
    <t>6625-003-0010/391-001,003,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</si>
  <si>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</si>
  <si>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</si>
  <si>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</si>
  <si>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</si>
  <si>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</si>
  <si>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</si>
  <si>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</si>
  <si>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</si>
  <si>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R-L-C  แบบดิจิตอล</t>
  </si>
  <si>
    <t>มัลติมิเตอร์</t>
  </si>
  <si>
    <t>2540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</si>
  <si>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</si>
  <si>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</si>
  <si>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</si>
  <si>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</si>
  <si>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</si>
  <si>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</si>
  <si>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</si>
  <si>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</si>
  <si>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</si>
  <si>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</si>
  <si>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</si>
  <si>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</si>
  <si>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</si>
  <si>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</si>
  <si>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</si>
  <si>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</si>
  <si>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</si>
  <si>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</si>
  <si>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</si>
  <si>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</si>
  <si>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</si>
  <si>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</si>
  <si>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</si>
  <si>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</si>
  <si>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</si>
  <si>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</si>
  <si>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</si>
  <si>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</si>
  <si>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</si>
  <si>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ชุดฝึกโปรแกรมเมเบิลคอนโทรล</t>
  </si>
  <si>
    <t>4110-008-0002/411-001</t>
  </si>
  <si>
    <t>ชุดฝึกเครื่องทำความเย็น</t>
  </si>
  <si>
    <t>2542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</si>
  <si>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</si>
  <si>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</si>
  <si>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</si>
  <si>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</si>
  <si>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</si>
  <si>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</si>
  <si>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</si>
  <si>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</si>
  <si>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</si>
  <si>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</si>
  <si>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</si>
  <si>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</si>
  <si>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</si>
  <si>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</si>
  <si>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</si>
  <si>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</si>
  <si>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</si>
  <si>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โต๊ะพับเอนกประสงค์ 6 ฟุต</t>
  </si>
  <si>
    <t>ยอดยกไป</t>
  </si>
  <si>
    <t>งปม.</t>
  </si>
  <si>
    <t>ยอดยกมา</t>
  </si>
  <si>
    <t xml:space="preserve"> -</t>
  </si>
  <si>
    <t xml:space="preserve"> - </t>
  </si>
  <si>
    <t>โต๊ะและอุปกรณ์ประกอบชำรุด</t>
  </si>
  <si>
    <t>ตัวปรับความเร็วชำรุด</t>
  </si>
  <si>
    <t>หน้าจอชำรุด</t>
  </si>
  <si>
    <t>หน้าจอแสดงผลชำรุด</t>
  </si>
  <si>
    <t>ด้ามจับหัก</t>
  </si>
  <si>
    <t>มัลติมิเตอร์แตกหัก</t>
  </si>
  <si>
    <t>คอมพิวเตอร์ชำรุด</t>
  </si>
  <si>
    <t>ลำดับ
ที่</t>
  </si>
  <si>
    <t>6625-003-0004/391-001-391-002/
391-015, 022-024</t>
  </si>
  <si>
    <t>เอกสารหมายเลข 12</t>
  </si>
  <si>
    <t>เอกสารหมายเลข 13</t>
  </si>
  <si>
    <t>เอกสารหมายเลข 14</t>
  </si>
  <si>
    <t>เอกสารหมายเลข 15</t>
  </si>
  <si>
    <t>ลงชื่อ</t>
  </si>
  <si>
    <t>.........................................................</t>
  </si>
  <si>
    <t xml:space="preserve"> ประธานกรรมการ </t>
  </si>
  <si>
    <t xml:space="preserve"> กรรมการ </t>
  </si>
  <si>
    <t xml:space="preserve"> กรรมการและเลขานุการ </t>
  </si>
  <si>
    <t>(นายอภินันท์  อนุสินธ์)</t>
  </si>
  <si>
    <t>(นายศิริศักดิ์  จันพูล)</t>
  </si>
  <si>
    <t>(นายวงกต  จิตรประเสริฐ)</t>
  </si>
  <si>
    <t xml:space="preserve"> </t>
  </si>
  <si>
    <t xml:space="preserve">ประธานกรรมการ </t>
  </si>
  <si>
    <t xml:space="preserve">กรรมการ </t>
  </si>
  <si>
    <t xml:space="preserve">กรรมการและเลขานุการ </t>
  </si>
  <si>
    <t>ดิจิตอลแคมป์ออนมิเตอร์ (001, 002, 003)</t>
  </si>
  <si>
    <t>แตกหัก</t>
  </si>
  <si>
    <t>อุปกรณ์แตกหัก</t>
  </si>
  <si>
    <t>แผงวงจรไหม้</t>
  </si>
  <si>
    <t>แตก</t>
  </si>
  <si>
    <t>พื้นโต๊ะทะลุ</t>
  </si>
  <si>
    <t>เครื่องวัดชำรุด</t>
  </si>
  <si>
    <t>หน้าจอแตก</t>
  </si>
  <si>
    <t xml:space="preserve">หน้าจอแตก  </t>
  </si>
  <si>
    <t>แผงวงจร ชำรุด</t>
  </si>
  <si>
    <t>โต๊ะและอุปกรณ์แตกหัก</t>
  </si>
  <si>
    <t>วงจรไหม้</t>
  </si>
  <si>
    <t xml:space="preserve">คอมเพรสเซอร์ชำรุด </t>
  </si>
  <si>
    <t>มอเตอร์ไหม้</t>
  </si>
  <si>
    <t>หน้าจอแตกและปุ่มกดชำรุด</t>
  </si>
  <si>
    <t>ผุ แตกหัก</t>
  </si>
  <si>
    <t>ขาหัก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</si>
</sst>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5"/>
      <name val="TH SarabunPSK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6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7" xfId="6" applyFont="1" applyBorder="1" applyAlignment="1">
      <alignment horizontal="left"/>
    </xf>
    <xf numFmtId="0" fontId="3" fillId="0" borderId="4" xfId="6" applyFont="1" applyBorder="1" applyAlignment="1">
      <alignment horizontal="left"/>
    </xf>
    <xf numFmtId="2" fontId="3" fillId="0" borderId="5" xfId="6" applyNumberFormat="1" applyFont="1" applyBorder="1" applyAlignment="1">
      <alignment horizontal="left" vertical="top" wrapText="1"/>
    </xf>
    <xf numFmtId="2" fontId="3" fillId="0" borderId="1" xfId="6" applyNumberFormat="1" applyFont="1" applyBorder="1" applyAlignment="1">
      <alignment horizontal="left" vertical="top"/>
    </xf>
    <xf numFmtId="0" fontId="3" fillId="0" borderId="5" xfId="6" applyFont="1" applyBorder="1"/>
    <xf numFmtId="0" fontId="8" fillId="0" borderId="1" xfId="6" applyFont="1" applyBorder="1"/>
    <xf numFmtId="0" fontId="3" fillId="0" borderId="4" xfId="6" applyFont="1" applyBorder="1" applyAlignment="1">
      <alignment horizontal="center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Border="1"/>
    <xf numFmtId="43" fontId="3" fillId="0" borderId="1" xfId="1" applyFont="1" applyBorder="1"/>
    <xf numFmtId="43" fontId="3" fillId="0" borderId="4" xfId="1" applyFont="1" applyBorder="1"/>
    <xf numFmtId="43" fontId="3" fillId="0" borderId="5" xfId="1" applyFont="1" applyBorder="1" applyAlignment="1">
      <alignment vertical="top"/>
    </xf>
    <xf numFmtId="43" fontId="3" fillId="0" borderId="1" xfId="1" applyFont="1" applyBorder="1" applyAlignment="1"/>
    <xf numFmtId="49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43" fontId="6" fillId="0" borderId="6" xfId="0" applyNumberFormat="1" applyFont="1" applyBorder="1" applyAlignment="1"/>
    <xf numFmtId="0" fontId="6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0" fontId="3" fillId="0" borderId="0" xfId="6" applyFont="1" applyBorder="1" applyAlignment="1">
      <alignment horizontal="center"/>
    </xf>
    <xf numFmtId="43" fontId="3" fillId="0" borderId="0" xfId="1" applyFont="1" applyBorder="1"/>
    <xf numFmtId="43" fontId="3" fillId="0" borderId="0" xfId="12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8" xfId="6" applyFont="1" applyBorder="1" applyAlignment="1">
      <alignment horizontal="left"/>
    </xf>
    <xf numFmtId="0" fontId="3" fillId="0" borderId="8" xfId="2" applyFont="1" applyBorder="1" applyAlignment="1">
      <alignment horizontal="center"/>
    </xf>
    <xf numFmtId="0" fontId="3" fillId="0" borderId="8" xfId="6" applyFont="1" applyBorder="1" applyAlignment="1">
      <alignment horizontal="center"/>
    </xf>
    <xf numFmtId="43" fontId="3" fillId="0" borderId="8" xfId="12" applyNumberFormat="1" applyFont="1" applyFill="1" applyBorder="1" applyAlignment="1">
      <alignment horizontal="center"/>
    </xf>
    <xf numFmtId="43" fontId="7" fillId="0" borderId="8" xfId="1" applyFont="1" applyBorder="1"/>
    <xf numFmtId="43" fontId="7" fillId="0" borderId="8" xfId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8" xfId="6" applyFont="1" applyBorder="1"/>
    <xf numFmtId="0" fontId="3" fillId="0" borderId="8" xfId="6" applyFont="1" applyFill="1" applyBorder="1" applyAlignment="1">
      <alignment horizontal="center"/>
    </xf>
    <xf numFmtId="0" fontId="3" fillId="0" borderId="0" xfId="2" applyFont="1" applyBorder="1" applyAlignment="1">
      <alignment horizontal="right"/>
    </xf>
    <xf numFmtId="0" fontId="6" fillId="0" borderId="8" xfId="0" applyFont="1" applyBorder="1" applyAlignment="1">
      <alignment horizontal="center"/>
    </xf>
    <xf numFmtId="43" fontId="6" fillId="0" borderId="8" xfId="0" applyNumberFormat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0" fontId="6" fillId="0" borderId="8" xfId="0" applyFont="1" applyBorder="1" applyAlignment="1"/>
    <xf numFmtId="43" fontId="3" fillId="0" borderId="0" xfId="1" applyFont="1" applyBorder="1" applyAlignment="1">
      <alignment horizontal="left"/>
    </xf>
    <xf numFmtId="43" fontId="3" fillId="0" borderId="0" xfId="1" applyFont="1" applyBorder="1" applyAlignment="1"/>
    <xf numFmtId="0" fontId="3" fillId="0" borderId="0" xfId="6" applyFont="1" applyBorder="1" applyAlignment="1">
      <alignment horizontal="center"/>
    </xf>
    <xf numFmtId="43" fontId="3" fillId="0" borderId="0" xfId="12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6" applyFont="1" applyBorder="1" applyAlignment="1">
      <alignment horizontal="center"/>
    </xf>
    <xf numFmtId="0" fontId="6" fillId="0" borderId="9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1594634</xdr:colOff>
      <xdr:row>18</xdr:row>
      <xdr:rowOff>10705</xdr:rowOff>
    </xdr:from>
    <xdr:to>
      <xdr:col>11</xdr:col>
      <xdr:colOff>1918484</xdr:colOff>
      <xdr:row>22</xdr:row>
      <xdr:rowOff>142875</xdr:rowOff>
    </xdr:to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1777449" y="6429965"/>
          <a:ext cx="152282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1609725</xdr:colOff>
      <xdr:row>49</xdr:row>
      <xdr:rowOff>21410</xdr:rowOff>
    </xdr:from>
    <xdr:to>
      <xdr:col>11</xdr:col>
      <xdr:colOff>1941280</xdr:colOff>
      <xdr:row>53</xdr:row>
      <xdr:rowOff>230962</xdr:rowOff>
    </xdr:to>
    <xdr:sp macro="" textlink="">
      <xdr:nvSpPr>
        <xdr:cNvPr id="4" name="กล่องข้อความ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1762464" y="16919671"/>
          <a:ext cx="1514477" cy="3315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1559102</xdr:colOff>
      <xdr:row>79</xdr:row>
      <xdr:rowOff>10708</xdr:rowOff>
    </xdr:from>
    <xdr:to>
      <xdr:col>11</xdr:col>
      <xdr:colOff>1882952</xdr:colOff>
      <xdr:row>83</xdr:row>
      <xdr:rowOff>171451</xdr:rowOff>
    </xdr:to>
    <xdr:sp macro="" textlink="">
      <xdr:nvSpPr>
        <xdr:cNvPr id="5" name="กล่องข้อความ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1765730" y="26599155"/>
          <a:ext cx="1475193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1610367</xdr:colOff>
      <xdr:row>109</xdr:row>
      <xdr:rowOff>1182</xdr:rowOff>
    </xdr:from>
    <xdr:to>
      <xdr:col>11</xdr:col>
      <xdr:colOff>1930577</xdr:colOff>
      <xdr:row>113</xdr:row>
      <xdr:rowOff>133350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5400000">
          <a:off x="11777075" y="36297424"/>
          <a:ext cx="1551393" cy="320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55"/>
  <sheetViews>
    <sheetView tabSelected="1" topLeftCell="A31" zoomScaleNormal="100" zoomScaleSheetLayoutView="85" workbookViewId="0">
      <selection activeCell="K41" sqref="K41"/>
    </sheetView>
  </sheetViews>
  <sheetFormatPr defaultColWidth="9" defaultRowHeight="24" customHeight="1"/>
  <cols>
    <col min="1" max="1" width="5.42578125" style="2" customWidth="1"/>
    <col min="2" max="2" width="13" style="2" customWidth="1"/>
    <col min="3" max="3" width="34.42578125" style="2" customWidth="1"/>
    <col min="4" max="4" width="42.28515625" style="2" customWidth="1"/>
    <col min="5" max="5" width="8" style="2" customWidth="1"/>
    <col min="6" max="6" width="9.140625" style="2" customWidth="1"/>
    <col min="7" max="7" width="7.5703125" style="2" customWidth="1"/>
    <col min="8" max="9" width="7.42578125" style="2" customWidth="1"/>
    <col min="10" max="10" width="13.140625" style="2" customWidth="1"/>
    <col min="11" max="11" width="15.28515625" style="2" customWidth="1"/>
    <col min="12" max="12" width="30.85546875" style="7" customWidth="1"/>
    <col min="13" max="16384" width="9" style="2"/>
  </cols>
  <sheetData>
    <row r="1" spans="1:12" ht="24" customHeight="1">
      <c r="L1" s="18" t="s">
        <v>112</v>
      </c>
    </row>
    <row r="2" spans="1:12" ht="24" customHeight="1">
      <c r="A2" s="72" t="s">
        <v>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24" customHeight="1">
      <c r="A3" s="73" t="s">
        <v>17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24" customHeight="1">
      <c r="A4" s="74" t="s">
        <v>18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ht="26.25" customHeight="1">
      <c r="A5" s="75" t="s">
        <v>110</v>
      </c>
      <c r="B5" s="75" t="s">
        <v>16</v>
      </c>
      <c r="C5" s="75" t="s">
        <v>13</v>
      </c>
      <c r="D5" s="77" t="s">
        <v>0</v>
      </c>
      <c r="E5" s="75" t="s">
        <v>8</v>
      </c>
      <c r="F5" s="75" t="s">
        <v>7</v>
      </c>
      <c r="G5" s="79" t="s">
        <v>9</v>
      </c>
      <c r="H5" s="81" t="s">
        <v>1</v>
      </c>
      <c r="I5" s="82"/>
      <c r="J5" s="75" t="s">
        <v>12</v>
      </c>
      <c r="K5" s="75" t="s">
        <v>6</v>
      </c>
      <c r="L5" s="75" t="s">
        <v>11</v>
      </c>
    </row>
    <row r="6" spans="1:12" ht="48" customHeight="1">
      <c r="A6" s="76"/>
      <c r="B6" s="76"/>
      <c r="C6" s="76"/>
      <c r="D6" s="78"/>
      <c r="E6" s="76"/>
      <c r="F6" s="76"/>
      <c r="G6" s="80"/>
      <c r="H6" s="15" t="s">
        <v>10</v>
      </c>
      <c r="I6" s="12" t="s">
        <v>3</v>
      </c>
      <c r="J6" s="76"/>
      <c r="K6" s="76"/>
      <c r="L6" s="76"/>
    </row>
    <row r="7" spans="1:12" ht="24" customHeight="1">
      <c r="A7" s="10">
        <v>1</v>
      </c>
      <c r="B7" s="21" t="s">
        <v>19</v>
      </c>
      <c r="C7" s="22" t="s">
        <v>20</v>
      </c>
      <c r="D7" s="1" t="s">
        <v>28</v>
      </c>
      <c r="E7" s="4" t="s">
        <v>99</v>
      </c>
      <c r="F7" s="4">
        <v>25</v>
      </c>
      <c r="G7" s="4" t="s">
        <v>102</v>
      </c>
      <c r="H7" s="5">
        <v>10</v>
      </c>
      <c r="I7" s="5">
        <v>10</v>
      </c>
      <c r="J7" s="31">
        <v>3271.03</v>
      </c>
      <c r="K7" s="31">
        <f>SUM(I7*J7)</f>
        <v>32710.300000000003</v>
      </c>
      <c r="L7" s="69" t="s">
        <v>129</v>
      </c>
    </row>
    <row r="8" spans="1:12" ht="24" customHeight="1">
      <c r="A8" s="10">
        <v>2</v>
      </c>
      <c r="B8" s="21" t="s">
        <v>19</v>
      </c>
      <c r="C8" s="3" t="s">
        <v>21</v>
      </c>
      <c r="D8" s="1" t="s">
        <v>29</v>
      </c>
      <c r="E8" s="4" t="s">
        <v>99</v>
      </c>
      <c r="F8" s="4">
        <v>25</v>
      </c>
      <c r="G8" s="4" t="s">
        <v>102</v>
      </c>
      <c r="H8" s="5">
        <v>1</v>
      </c>
      <c r="I8" s="5">
        <v>1</v>
      </c>
      <c r="J8" s="32">
        <v>499900</v>
      </c>
      <c r="K8" s="31">
        <f t="shared" ref="K8:K46" si="0">SUM(I8*J8)</f>
        <v>499900</v>
      </c>
      <c r="L8" s="69" t="s">
        <v>129</v>
      </c>
    </row>
    <row r="9" spans="1:12" ht="24" customHeight="1">
      <c r="A9" s="10">
        <v>3</v>
      </c>
      <c r="B9" s="21" t="s">
        <v>19</v>
      </c>
      <c r="C9" s="3" t="s">
        <v>22</v>
      </c>
      <c r="D9" s="1" t="s">
        <v>30</v>
      </c>
      <c r="E9" s="4" t="s">
        <v>99</v>
      </c>
      <c r="F9" s="4">
        <v>25</v>
      </c>
      <c r="G9" s="4" t="s">
        <v>102</v>
      </c>
      <c r="H9" s="5">
        <v>7</v>
      </c>
      <c r="I9" s="5">
        <v>7</v>
      </c>
      <c r="J9" s="32">
        <v>49972</v>
      </c>
      <c r="K9" s="31">
        <f t="shared" si="0"/>
        <v>349804</v>
      </c>
      <c r="L9" s="69" t="s">
        <v>130</v>
      </c>
    </row>
    <row r="10" spans="1:12" ht="24" customHeight="1">
      <c r="A10" s="10">
        <v>4</v>
      </c>
      <c r="B10" s="21" t="s">
        <v>19</v>
      </c>
      <c r="C10" s="3" t="s">
        <v>23</v>
      </c>
      <c r="D10" s="1" t="s">
        <v>128</v>
      </c>
      <c r="E10" s="4" t="s">
        <v>99</v>
      </c>
      <c r="F10" s="4">
        <v>25</v>
      </c>
      <c r="G10" s="4" t="s">
        <v>102</v>
      </c>
      <c r="H10" s="5">
        <v>20</v>
      </c>
      <c r="I10" s="5">
        <v>20</v>
      </c>
      <c r="J10" s="32">
        <v>1985</v>
      </c>
      <c r="K10" s="31">
        <f t="shared" si="0"/>
        <v>39700</v>
      </c>
      <c r="L10" s="69" t="s">
        <v>105</v>
      </c>
    </row>
    <row r="11" spans="1:12" ht="24" customHeight="1">
      <c r="A11" s="10">
        <v>5</v>
      </c>
      <c r="B11" s="21" t="s">
        <v>19</v>
      </c>
      <c r="C11" s="3" t="s">
        <v>24</v>
      </c>
      <c r="D11" s="1" t="s">
        <v>31</v>
      </c>
      <c r="E11" s="4" t="s">
        <v>99</v>
      </c>
      <c r="F11" s="4">
        <v>25</v>
      </c>
      <c r="G11" s="4" t="s">
        <v>102</v>
      </c>
      <c r="H11" s="5">
        <v>10</v>
      </c>
      <c r="I11" s="5">
        <v>10</v>
      </c>
      <c r="J11" s="32">
        <v>14970</v>
      </c>
      <c r="K11" s="31">
        <f t="shared" si="0"/>
        <v>149700</v>
      </c>
      <c r="L11" s="69" t="s">
        <v>131</v>
      </c>
    </row>
    <row r="12" spans="1:12" ht="24" customHeight="1">
      <c r="A12" s="10">
        <v>6</v>
      </c>
      <c r="B12" s="21" t="s">
        <v>19</v>
      </c>
      <c r="C12" s="22" t="s">
        <v>25</v>
      </c>
      <c r="D12" s="1" t="s">
        <v>32</v>
      </c>
      <c r="E12" s="4" t="s">
        <v>99</v>
      </c>
      <c r="F12" s="4">
        <v>25</v>
      </c>
      <c r="G12" s="4" t="s">
        <v>102</v>
      </c>
      <c r="H12" s="5">
        <v>10</v>
      </c>
      <c r="I12" s="5">
        <v>10</v>
      </c>
      <c r="J12" s="32">
        <v>4970</v>
      </c>
      <c r="K12" s="31">
        <f t="shared" si="0"/>
        <v>49700</v>
      </c>
      <c r="L12" s="69" t="s">
        <v>132</v>
      </c>
    </row>
    <row r="13" spans="1:12" ht="24" customHeight="1">
      <c r="A13" s="10">
        <v>7</v>
      </c>
      <c r="B13" s="21" t="s">
        <v>19</v>
      </c>
      <c r="C13" s="22" t="s">
        <v>26</v>
      </c>
      <c r="D13" s="1" t="s">
        <v>33</v>
      </c>
      <c r="E13" s="4" t="s">
        <v>99</v>
      </c>
      <c r="F13" s="4">
        <v>25</v>
      </c>
      <c r="G13" s="4" t="s">
        <v>102</v>
      </c>
      <c r="H13" s="5">
        <v>6</v>
      </c>
      <c r="I13" s="5">
        <v>6</v>
      </c>
      <c r="J13" s="32">
        <v>9950</v>
      </c>
      <c r="K13" s="31">
        <f t="shared" si="0"/>
        <v>59700</v>
      </c>
      <c r="L13" s="69" t="s">
        <v>133</v>
      </c>
    </row>
    <row r="14" spans="1:12" ht="24" customHeight="1">
      <c r="A14" s="10">
        <v>8</v>
      </c>
      <c r="B14" s="21" t="s">
        <v>19</v>
      </c>
      <c r="C14" s="23" t="s">
        <v>27</v>
      </c>
      <c r="D14" s="24" t="s">
        <v>34</v>
      </c>
      <c r="E14" s="4" t="s">
        <v>99</v>
      </c>
      <c r="F14" s="4">
        <v>25</v>
      </c>
      <c r="G14" s="4" t="s">
        <v>102</v>
      </c>
      <c r="H14" s="29">
        <v>1</v>
      </c>
      <c r="I14" s="29">
        <v>1</v>
      </c>
      <c r="J14" s="33">
        <v>484700</v>
      </c>
      <c r="K14" s="31">
        <f t="shared" si="0"/>
        <v>484700</v>
      </c>
      <c r="L14" s="69" t="s">
        <v>134</v>
      </c>
    </row>
    <row r="15" spans="1:12" ht="24" customHeight="1">
      <c r="A15" s="10">
        <v>9</v>
      </c>
      <c r="B15" s="21" t="s">
        <v>19</v>
      </c>
      <c r="C15" s="3" t="s">
        <v>35</v>
      </c>
      <c r="D15" s="3" t="s">
        <v>36</v>
      </c>
      <c r="E15" s="4" t="s">
        <v>99</v>
      </c>
      <c r="F15" s="4">
        <v>25</v>
      </c>
      <c r="G15" s="4" t="s">
        <v>102</v>
      </c>
      <c r="H15" s="5">
        <v>2</v>
      </c>
      <c r="I15" s="5">
        <v>2</v>
      </c>
      <c r="J15" s="32">
        <v>9975</v>
      </c>
      <c r="K15" s="31">
        <f t="shared" si="0"/>
        <v>19950</v>
      </c>
      <c r="L15" s="69" t="s">
        <v>135</v>
      </c>
    </row>
    <row r="16" spans="1:12" ht="24" customHeight="1">
      <c r="A16" s="10">
        <v>10</v>
      </c>
      <c r="B16" s="21" t="s">
        <v>19</v>
      </c>
      <c r="C16" s="3" t="s">
        <v>37</v>
      </c>
      <c r="D16" s="3" t="s">
        <v>38</v>
      </c>
      <c r="E16" s="4" t="s">
        <v>99</v>
      </c>
      <c r="F16" s="4">
        <v>25</v>
      </c>
      <c r="G16" s="4" t="s">
        <v>102</v>
      </c>
      <c r="H16" s="5">
        <v>5</v>
      </c>
      <c r="I16" s="5">
        <v>5</v>
      </c>
      <c r="J16" s="32">
        <v>2985</v>
      </c>
      <c r="K16" s="31">
        <f t="shared" si="0"/>
        <v>14925</v>
      </c>
      <c r="L16" s="69" t="s">
        <v>135</v>
      </c>
    </row>
    <row r="17" spans="1:12" ht="24" customHeight="1" thickBot="1">
      <c r="A17" s="46"/>
      <c r="B17" s="47"/>
      <c r="C17" s="48"/>
      <c r="D17" s="48"/>
      <c r="E17" s="49"/>
      <c r="F17" s="49"/>
      <c r="G17" s="49"/>
      <c r="H17" s="50"/>
      <c r="I17" s="50"/>
      <c r="J17" s="53" t="s">
        <v>98</v>
      </c>
      <c r="K17" s="52">
        <f>SUM(K7:K16)</f>
        <v>1700789.3</v>
      </c>
      <c r="L17" s="51"/>
    </row>
    <row r="18" spans="1:12" s="6" customFormat="1" ht="24" customHeight="1" thickTop="1">
      <c r="A18" s="40"/>
      <c r="B18" s="41" t="s">
        <v>2</v>
      </c>
      <c r="C18" s="42" t="s">
        <v>14</v>
      </c>
      <c r="D18" s="42"/>
      <c r="E18" s="17"/>
      <c r="F18" s="17"/>
      <c r="G18" s="17"/>
      <c r="H18" s="43"/>
      <c r="I18" s="43"/>
      <c r="J18" s="44"/>
      <c r="K18" s="44"/>
      <c r="L18" s="45"/>
    </row>
    <row r="19" spans="1:12" s="6" customFormat="1" ht="24" customHeight="1">
      <c r="A19" s="40"/>
      <c r="B19" s="41"/>
      <c r="C19" s="42" t="s">
        <v>15</v>
      </c>
      <c r="D19" s="42"/>
      <c r="E19" s="17"/>
      <c r="F19" s="17"/>
      <c r="G19" s="17"/>
      <c r="H19" s="43"/>
      <c r="I19" s="43"/>
      <c r="J19" s="44"/>
      <c r="K19" s="44"/>
      <c r="L19" s="45"/>
    </row>
    <row r="20" spans="1:12" s="6" customFormat="1" ht="24" customHeight="1">
      <c r="A20" s="40"/>
      <c r="B20" s="41"/>
      <c r="C20" s="42"/>
      <c r="D20" s="42"/>
      <c r="E20" s="17"/>
      <c r="F20" s="17"/>
      <c r="G20" s="60" t="s">
        <v>116</v>
      </c>
      <c r="H20" s="83" t="s">
        <v>117</v>
      </c>
      <c r="I20" s="83"/>
      <c r="J20" s="83"/>
      <c r="K20" s="44" t="s">
        <v>125</v>
      </c>
      <c r="L20" s="45"/>
    </row>
    <row r="21" spans="1:12" s="6" customFormat="1" ht="24" customHeight="1">
      <c r="A21" s="40"/>
      <c r="B21" s="41"/>
      <c r="C21" s="42"/>
      <c r="D21" s="42"/>
      <c r="E21" s="17"/>
      <c r="F21" s="17"/>
      <c r="G21" s="17"/>
      <c r="H21" s="83" t="s">
        <v>121</v>
      </c>
      <c r="I21" s="83"/>
      <c r="J21" s="83"/>
      <c r="K21" s="44"/>
      <c r="L21" s="45"/>
    </row>
    <row r="22" spans="1:12" s="6" customFormat="1" ht="37.5" customHeight="1">
      <c r="A22" s="40"/>
      <c r="B22" s="41"/>
      <c r="C22" s="42"/>
      <c r="D22" s="42"/>
      <c r="E22" s="17"/>
      <c r="F22" s="17"/>
      <c r="G22" s="60" t="s">
        <v>116</v>
      </c>
      <c r="H22" s="83" t="s">
        <v>117</v>
      </c>
      <c r="I22" s="83"/>
      <c r="J22" s="83"/>
      <c r="K22" s="44" t="s">
        <v>126</v>
      </c>
      <c r="L22" s="45"/>
    </row>
    <row r="23" spans="1:12" s="6" customFormat="1" ht="24" customHeight="1">
      <c r="A23" s="40"/>
      <c r="B23" s="41"/>
      <c r="C23" s="42"/>
      <c r="D23" s="42"/>
      <c r="E23" s="17"/>
      <c r="F23" s="17"/>
      <c r="G23" s="17"/>
      <c r="H23" s="83" t="s">
        <v>122</v>
      </c>
      <c r="I23" s="83"/>
      <c r="J23" s="83"/>
      <c r="K23" s="44"/>
      <c r="L23" s="45"/>
    </row>
    <row r="24" spans="1:12" s="6" customFormat="1" ht="41.25" customHeight="1">
      <c r="A24" s="40"/>
      <c r="B24" s="41"/>
      <c r="C24" s="42"/>
      <c r="D24" s="42"/>
      <c r="E24" s="17"/>
      <c r="F24" s="17"/>
      <c r="G24" s="60" t="s">
        <v>116</v>
      </c>
      <c r="H24" s="83" t="s">
        <v>117</v>
      </c>
      <c r="I24" s="83"/>
      <c r="J24" s="83"/>
      <c r="K24" s="44" t="s">
        <v>127</v>
      </c>
      <c r="L24" s="45"/>
    </row>
    <row r="25" spans="1:12" s="6" customFormat="1" ht="24" customHeight="1">
      <c r="A25" s="40"/>
      <c r="B25" s="41"/>
      <c r="C25" s="42"/>
      <c r="D25" s="42"/>
      <c r="E25" s="17"/>
      <c r="F25" s="17"/>
      <c r="G25" s="17"/>
      <c r="H25" s="83" t="s">
        <v>123</v>
      </c>
      <c r="I25" s="83"/>
      <c r="J25" s="83"/>
      <c r="K25" s="44"/>
      <c r="L25" s="45"/>
    </row>
    <row r="26" spans="1:12" s="6" customFormat="1" ht="24" customHeight="1">
      <c r="A26" s="40"/>
      <c r="B26" s="41"/>
      <c r="C26" s="42"/>
      <c r="D26" s="42"/>
      <c r="E26" s="17"/>
      <c r="F26" s="17"/>
      <c r="G26" s="17"/>
      <c r="H26" s="43"/>
      <c r="I26" s="43"/>
      <c r="J26" s="44"/>
      <c r="K26" s="44"/>
      <c r="L26" s="45"/>
    </row>
    <row r="27" spans="1:12" s="6" customFormat="1" ht="24" customHeight="1">
      <c r="A27" s="40"/>
      <c r="B27" s="41"/>
      <c r="C27" s="42"/>
      <c r="D27" s="42"/>
      <c r="E27" s="17"/>
      <c r="F27" s="17"/>
      <c r="G27" s="17"/>
      <c r="H27" s="43"/>
      <c r="I27" s="43"/>
      <c r="J27" s="44"/>
      <c r="K27" s="44"/>
      <c r="L27" s="45"/>
    </row>
    <row r="28" spans="1:12" s="6" customFormat="1" ht="24" customHeight="1">
      <c r="A28" s="40"/>
      <c r="B28" s="41"/>
      <c r="C28" s="42"/>
      <c r="D28" s="42"/>
      <c r="E28" s="17"/>
      <c r="F28" s="17"/>
      <c r="G28" s="17"/>
      <c r="H28" s="43"/>
      <c r="I28" s="43"/>
      <c r="J28" s="44"/>
      <c r="K28" s="44"/>
      <c r="L28" s="45"/>
    </row>
    <row r="29" spans="1:12" s="6" customFormat="1" ht="24" customHeight="1">
      <c r="A29" s="40"/>
      <c r="B29" s="41"/>
      <c r="C29" s="42"/>
      <c r="D29" s="42"/>
      <c r="E29" s="17"/>
      <c r="F29" s="17"/>
      <c r="G29" s="17"/>
      <c r="H29" s="43"/>
      <c r="I29" s="43"/>
      <c r="J29" s="44"/>
      <c r="K29" s="44"/>
      <c r="L29" s="45"/>
    </row>
    <row r="30" spans="1:12" s="6" customFormat="1" ht="24" customHeight="1">
      <c r="A30" s="40"/>
      <c r="B30" s="41"/>
      <c r="C30" s="42"/>
      <c r="D30" s="42"/>
      <c r="E30" s="17"/>
      <c r="F30" s="17"/>
      <c r="G30" s="17"/>
      <c r="H30" s="43"/>
      <c r="I30" s="43"/>
      <c r="J30" s="44"/>
      <c r="K30" s="44"/>
      <c r="L30" s="45"/>
    </row>
    <row r="31" spans="1:12" s="6" customFormat="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8" t="s">
        <v>113</v>
      </c>
    </row>
    <row r="32" spans="1:12" s="6" customFormat="1" ht="24" customHeight="1">
      <c r="A32" s="72" t="s">
        <v>5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</row>
    <row r="33" spans="1:12" s="6" customFormat="1" ht="24" customHeight="1">
      <c r="A33" s="73" t="s">
        <v>17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s="6" customFormat="1" ht="24" customHeight="1">
      <c r="A34" s="74" t="s">
        <v>18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</row>
    <row r="35" spans="1:12" s="6" customFormat="1" ht="25.5" customHeight="1">
      <c r="A35" s="75" t="s">
        <v>110</v>
      </c>
      <c r="B35" s="75" t="s">
        <v>16</v>
      </c>
      <c r="C35" s="75" t="s">
        <v>13</v>
      </c>
      <c r="D35" s="77" t="s">
        <v>0</v>
      </c>
      <c r="E35" s="75" t="s">
        <v>8</v>
      </c>
      <c r="F35" s="75" t="s">
        <v>7</v>
      </c>
      <c r="G35" s="79" t="s">
        <v>9</v>
      </c>
      <c r="H35" s="81" t="s">
        <v>1</v>
      </c>
      <c r="I35" s="82"/>
      <c r="J35" s="75" t="s">
        <v>12</v>
      </c>
      <c r="K35" s="75" t="s">
        <v>6</v>
      </c>
      <c r="L35" s="75" t="s">
        <v>11</v>
      </c>
    </row>
    <row r="36" spans="1:12" s="6" customFormat="1" ht="46.5" customHeight="1">
      <c r="A36" s="76"/>
      <c r="B36" s="76"/>
      <c r="C36" s="76"/>
      <c r="D36" s="78"/>
      <c r="E36" s="76"/>
      <c r="F36" s="76"/>
      <c r="G36" s="80"/>
      <c r="H36" s="15" t="s">
        <v>10</v>
      </c>
      <c r="I36" s="12" t="s">
        <v>3</v>
      </c>
      <c r="J36" s="76"/>
      <c r="K36" s="76"/>
      <c r="L36" s="76"/>
    </row>
    <row r="37" spans="1:12" s="6" customFormat="1" ht="24" customHeight="1">
      <c r="A37" s="10"/>
      <c r="B37" s="21"/>
      <c r="C37" s="3"/>
      <c r="D37" s="3"/>
      <c r="E37" s="4"/>
      <c r="F37" s="4"/>
      <c r="G37" s="4"/>
      <c r="H37" s="5"/>
      <c r="I37" s="5"/>
      <c r="J37" s="54" t="s">
        <v>100</v>
      </c>
      <c r="K37" s="54">
        <f>SUM(K17)</f>
        <v>1700789.3</v>
      </c>
      <c r="L37" s="9"/>
    </row>
    <row r="38" spans="1:12" ht="24" customHeight="1">
      <c r="A38" s="10">
        <v>11</v>
      </c>
      <c r="B38" s="21" t="s">
        <v>19</v>
      </c>
      <c r="C38" s="3" t="s">
        <v>39</v>
      </c>
      <c r="D38" s="3" t="s">
        <v>40</v>
      </c>
      <c r="E38" s="4" t="s">
        <v>99</v>
      </c>
      <c r="F38" s="4">
        <v>25</v>
      </c>
      <c r="G38" s="4" t="s">
        <v>102</v>
      </c>
      <c r="H38" s="5">
        <v>2</v>
      </c>
      <c r="I38" s="5">
        <v>2</v>
      </c>
      <c r="J38" s="32">
        <v>17200</v>
      </c>
      <c r="K38" s="32">
        <f t="shared" si="0"/>
        <v>34400</v>
      </c>
      <c r="L38" s="69" t="s">
        <v>130</v>
      </c>
    </row>
    <row r="39" spans="1:12" ht="24" customHeight="1">
      <c r="A39" s="10">
        <v>12</v>
      </c>
      <c r="B39" s="21" t="s">
        <v>19</v>
      </c>
      <c r="C39" s="22" t="s">
        <v>41</v>
      </c>
      <c r="D39" s="3" t="s">
        <v>42</v>
      </c>
      <c r="E39" s="4" t="s">
        <v>99</v>
      </c>
      <c r="F39" s="4">
        <v>25</v>
      </c>
      <c r="G39" s="4" t="s">
        <v>102</v>
      </c>
      <c r="H39" s="5">
        <v>2</v>
      </c>
      <c r="I39" s="5">
        <v>2</v>
      </c>
      <c r="J39" s="32">
        <v>7950</v>
      </c>
      <c r="K39" s="31">
        <f t="shared" si="0"/>
        <v>15900</v>
      </c>
      <c r="L39" s="69" t="s">
        <v>136</v>
      </c>
    </row>
    <row r="40" spans="1:12" ht="24" customHeight="1">
      <c r="A40" s="10">
        <v>13</v>
      </c>
      <c r="B40" s="21" t="s">
        <v>19</v>
      </c>
      <c r="C40" s="22" t="s">
        <v>43</v>
      </c>
      <c r="D40" s="3" t="s">
        <v>44</v>
      </c>
      <c r="E40" s="4" t="s">
        <v>99</v>
      </c>
      <c r="F40" s="4">
        <v>25</v>
      </c>
      <c r="G40" s="4" t="s">
        <v>102</v>
      </c>
      <c r="H40" s="5">
        <v>1</v>
      </c>
      <c r="I40" s="5">
        <v>1</v>
      </c>
      <c r="J40" s="32">
        <v>79500</v>
      </c>
      <c r="K40" s="31">
        <f t="shared" si="0"/>
        <v>79500</v>
      </c>
      <c r="L40" s="69" t="s">
        <v>137</v>
      </c>
    </row>
    <row r="41" spans="1:12" s="37" customFormat="1" ht="47.25" customHeight="1">
      <c r="A41" s="19">
        <v>14</v>
      </c>
      <c r="B41" s="36" t="s">
        <v>19</v>
      </c>
      <c r="C41" s="25" t="s">
        <v>111</v>
      </c>
      <c r="D41" s="26" t="s">
        <v>45</v>
      </c>
      <c r="E41" s="13" t="s">
        <v>99</v>
      </c>
      <c r="F41" s="13">
        <v>25</v>
      </c>
      <c r="G41" s="13" t="s">
        <v>102</v>
      </c>
      <c r="H41" s="30">
        <v>2</v>
      </c>
      <c r="I41" s="30">
        <v>2</v>
      </c>
      <c r="J41" s="14">
        <v>7925</v>
      </c>
      <c r="K41" s="34">
        <f t="shared" si="0"/>
        <v>15850</v>
      </c>
      <c r="L41" s="70" t="s">
        <v>136</v>
      </c>
    </row>
    <row r="42" spans="1:12" ht="24" customHeight="1">
      <c r="A42" s="10">
        <v>15</v>
      </c>
      <c r="B42" s="21" t="s">
        <v>46</v>
      </c>
      <c r="C42" s="3" t="s">
        <v>47</v>
      </c>
      <c r="D42" s="1" t="s">
        <v>48</v>
      </c>
      <c r="E42" s="4" t="s">
        <v>99</v>
      </c>
      <c r="F42" s="16">
        <v>24</v>
      </c>
      <c r="G42" s="4" t="s">
        <v>102</v>
      </c>
      <c r="H42" s="5">
        <v>1</v>
      </c>
      <c r="I42" s="5">
        <v>1</v>
      </c>
      <c r="J42" s="32">
        <v>925000</v>
      </c>
      <c r="K42" s="31">
        <f t="shared" si="0"/>
        <v>925000</v>
      </c>
      <c r="L42" s="71" t="s">
        <v>130</v>
      </c>
    </row>
    <row r="43" spans="1:12" ht="24" customHeight="1">
      <c r="A43" s="10">
        <v>16</v>
      </c>
      <c r="B43" s="21" t="s">
        <v>46</v>
      </c>
      <c r="C43" s="3" t="s">
        <v>49</v>
      </c>
      <c r="D43" s="1" t="s">
        <v>50</v>
      </c>
      <c r="E43" s="4" t="s">
        <v>99</v>
      </c>
      <c r="F43" s="16">
        <v>24</v>
      </c>
      <c r="G43" s="4" t="s">
        <v>102</v>
      </c>
      <c r="H43" s="5">
        <v>1</v>
      </c>
      <c r="I43" s="5">
        <v>1</v>
      </c>
      <c r="J43" s="32">
        <v>541900</v>
      </c>
      <c r="K43" s="31">
        <f t="shared" si="0"/>
        <v>541900</v>
      </c>
      <c r="L43" s="71" t="s">
        <v>130</v>
      </c>
    </row>
    <row r="44" spans="1:12" ht="24" customHeight="1">
      <c r="A44" s="10">
        <v>17</v>
      </c>
      <c r="B44" s="21" t="s">
        <v>46</v>
      </c>
      <c r="C44" s="3" t="s">
        <v>51</v>
      </c>
      <c r="D44" s="1" t="s">
        <v>52</v>
      </c>
      <c r="E44" s="4" t="s">
        <v>99</v>
      </c>
      <c r="F44" s="16">
        <v>24</v>
      </c>
      <c r="G44" s="4" t="s">
        <v>102</v>
      </c>
      <c r="H44" s="5">
        <v>1</v>
      </c>
      <c r="I44" s="5">
        <v>1</v>
      </c>
      <c r="J44" s="32">
        <v>121300</v>
      </c>
      <c r="K44" s="31">
        <f t="shared" si="0"/>
        <v>121300</v>
      </c>
      <c r="L44" s="71" t="s">
        <v>130</v>
      </c>
    </row>
    <row r="45" spans="1:12" ht="24" customHeight="1">
      <c r="A45" s="10">
        <v>18</v>
      </c>
      <c r="B45" s="21" t="s">
        <v>46</v>
      </c>
      <c r="C45" s="3" t="s">
        <v>53</v>
      </c>
      <c r="D45" s="1" t="s">
        <v>54</v>
      </c>
      <c r="E45" s="4" t="s">
        <v>99</v>
      </c>
      <c r="F45" s="16">
        <v>24</v>
      </c>
      <c r="G45" s="4" t="s">
        <v>102</v>
      </c>
      <c r="H45" s="5">
        <v>5</v>
      </c>
      <c r="I45" s="5">
        <v>5</v>
      </c>
      <c r="J45" s="32">
        <v>89880</v>
      </c>
      <c r="K45" s="31">
        <f t="shared" si="0"/>
        <v>449400</v>
      </c>
      <c r="L45" s="71" t="s">
        <v>130</v>
      </c>
    </row>
    <row r="46" spans="1:12" ht="24" customHeight="1">
      <c r="A46" s="10">
        <v>19</v>
      </c>
      <c r="B46" s="21" t="s">
        <v>46</v>
      </c>
      <c r="C46" s="3" t="s">
        <v>55</v>
      </c>
      <c r="D46" s="1" t="s">
        <v>56</v>
      </c>
      <c r="E46" s="4" t="s">
        <v>99</v>
      </c>
      <c r="F46" s="16">
        <v>24</v>
      </c>
      <c r="G46" s="4" t="s">
        <v>102</v>
      </c>
      <c r="H46" s="5">
        <v>5</v>
      </c>
      <c r="I46" s="5">
        <v>5</v>
      </c>
      <c r="J46" s="32">
        <v>34882</v>
      </c>
      <c r="K46" s="31">
        <f t="shared" si="0"/>
        <v>174410</v>
      </c>
      <c r="L46" s="71" t="s">
        <v>130</v>
      </c>
    </row>
    <row r="47" spans="1:12" ht="24" customHeight="1">
      <c r="A47" s="10">
        <v>20</v>
      </c>
      <c r="B47" s="21" t="s">
        <v>46</v>
      </c>
      <c r="C47" s="3" t="s">
        <v>57</v>
      </c>
      <c r="D47" s="1" t="s">
        <v>58</v>
      </c>
      <c r="E47" s="4" t="s">
        <v>99</v>
      </c>
      <c r="F47" s="16">
        <v>24</v>
      </c>
      <c r="G47" s="4" t="s">
        <v>102</v>
      </c>
      <c r="H47" s="5">
        <v>5</v>
      </c>
      <c r="I47" s="5">
        <v>5</v>
      </c>
      <c r="J47" s="32">
        <v>34882</v>
      </c>
      <c r="K47" s="31">
        <f>SUM(I47*J47)</f>
        <v>174410</v>
      </c>
      <c r="L47" s="71" t="s">
        <v>130</v>
      </c>
    </row>
    <row r="48" spans="1:12" ht="24" customHeight="1" thickBot="1">
      <c r="A48" s="55"/>
      <c r="B48" s="55"/>
      <c r="C48" s="55"/>
      <c r="D48" s="55"/>
      <c r="E48" s="55"/>
      <c r="F48" s="55"/>
      <c r="G48" s="55"/>
      <c r="H48" s="55"/>
      <c r="I48" s="55"/>
      <c r="J48" s="61" t="s">
        <v>98</v>
      </c>
      <c r="K48" s="62">
        <f>SUM(K37:K47)</f>
        <v>4232859.3</v>
      </c>
      <c r="L48" s="56"/>
    </row>
    <row r="49" spans="1:12" ht="24" customHeight="1" thickTop="1">
      <c r="B49" s="41" t="s">
        <v>2</v>
      </c>
      <c r="C49" s="42" t="s">
        <v>14</v>
      </c>
      <c r="D49" s="42"/>
      <c r="E49" s="17"/>
      <c r="F49" s="17"/>
      <c r="G49" s="17"/>
      <c r="H49" s="43"/>
      <c r="I49" s="43"/>
      <c r="J49" s="44"/>
      <c r="K49" s="44"/>
      <c r="L49" s="45"/>
    </row>
    <row r="50" spans="1:12" ht="24" customHeight="1">
      <c r="B50" s="41"/>
      <c r="C50" s="42" t="s">
        <v>15</v>
      </c>
      <c r="D50" s="42"/>
      <c r="E50" s="17"/>
      <c r="F50" s="17"/>
      <c r="G50" s="17"/>
      <c r="H50" s="43"/>
      <c r="I50" s="43"/>
      <c r="J50" s="44"/>
      <c r="K50" s="44"/>
      <c r="L50" s="45"/>
    </row>
    <row r="51" spans="1:12" ht="24" customHeight="1">
      <c r="B51" s="41"/>
      <c r="C51" s="42"/>
      <c r="D51" s="42"/>
      <c r="E51" s="17"/>
      <c r="F51" s="17"/>
      <c r="G51" s="60" t="s">
        <v>116</v>
      </c>
      <c r="H51" s="83" t="s">
        <v>117</v>
      </c>
      <c r="I51" s="83"/>
      <c r="J51" s="83"/>
      <c r="K51" s="44" t="s">
        <v>118</v>
      </c>
      <c r="L51" s="45"/>
    </row>
    <row r="52" spans="1:12" ht="24" customHeight="1">
      <c r="B52" s="41"/>
      <c r="C52" s="42"/>
      <c r="D52" s="42"/>
      <c r="E52" s="17"/>
      <c r="F52" s="17"/>
      <c r="G52" s="17"/>
      <c r="H52" s="83" t="s">
        <v>121</v>
      </c>
      <c r="I52" s="83"/>
      <c r="J52" s="83"/>
      <c r="K52" s="44"/>
      <c r="L52" s="45"/>
    </row>
    <row r="53" spans="1:12" ht="33.75" customHeight="1">
      <c r="B53" s="41"/>
      <c r="C53" s="42"/>
      <c r="D53" s="42"/>
      <c r="E53" s="17"/>
      <c r="F53" s="17"/>
      <c r="G53" s="60" t="s">
        <v>116</v>
      </c>
      <c r="H53" s="83" t="s">
        <v>117</v>
      </c>
      <c r="I53" s="83"/>
      <c r="J53" s="83"/>
      <c r="K53" s="44" t="s">
        <v>119</v>
      </c>
      <c r="L53" s="45"/>
    </row>
    <row r="54" spans="1:12" ht="24" customHeight="1">
      <c r="B54" s="41"/>
      <c r="C54" s="42"/>
      <c r="D54" s="42"/>
      <c r="E54" s="17"/>
      <c r="F54" s="17"/>
      <c r="G54" s="17"/>
      <c r="H54" s="83" t="s">
        <v>122</v>
      </c>
      <c r="I54" s="83"/>
      <c r="J54" s="83"/>
      <c r="K54" s="44"/>
      <c r="L54" s="45"/>
    </row>
    <row r="55" spans="1:12" ht="38.25" customHeight="1">
      <c r="B55" s="41"/>
      <c r="C55" s="42"/>
      <c r="D55" s="42"/>
      <c r="E55" s="17"/>
      <c r="F55" s="17"/>
      <c r="G55" s="60" t="s">
        <v>116</v>
      </c>
      <c r="H55" s="83" t="s">
        <v>117</v>
      </c>
      <c r="I55" s="83"/>
      <c r="J55" s="83"/>
      <c r="K55" s="44" t="s">
        <v>120</v>
      </c>
      <c r="L55" s="45"/>
    </row>
    <row r="56" spans="1:12" ht="24" customHeight="1">
      <c r="B56" s="41"/>
      <c r="C56" s="42"/>
      <c r="D56" s="42"/>
      <c r="E56" s="17"/>
      <c r="F56" s="17"/>
      <c r="G56" s="17"/>
      <c r="H56" s="83" t="s">
        <v>123</v>
      </c>
      <c r="I56" s="83"/>
      <c r="J56" s="83"/>
      <c r="K56" s="44"/>
      <c r="L56" s="45"/>
    </row>
    <row r="57" spans="1:12" ht="24" customHeight="1">
      <c r="B57" s="41"/>
      <c r="C57" s="42"/>
      <c r="D57" s="42"/>
      <c r="E57" s="17"/>
      <c r="F57" s="17"/>
      <c r="G57" s="17"/>
      <c r="H57" s="43"/>
      <c r="I57" s="43"/>
      <c r="J57" s="44"/>
      <c r="K57" s="44"/>
      <c r="L57" s="45"/>
    </row>
    <row r="61" spans="1:12" ht="24" customHeight="1">
      <c r="L61" s="18" t="s">
        <v>114</v>
      </c>
    </row>
    <row r="62" spans="1:12" ht="24" customHeight="1">
      <c r="A62" s="72" t="s">
        <v>5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</row>
    <row r="63" spans="1:12" ht="24" customHeight="1">
      <c r="A63" s="73" t="s">
        <v>17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spans="1:12" ht="24" customHeight="1">
      <c r="A64" s="74" t="s">
        <v>18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</row>
    <row r="65" spans="1:12" ht="26.25" customHeight="1">
      <c r="A65" s="75" t="s">
        <v>110</v>
      </c>
      <c r="B65" s="75" t="s">
        <v>16</v>
      </c>
      <c r="C65" s="75" t="s">
        <v>13</v>
      </c>
      <c r="D65" s="77" t="s">
        <v>0</v>
      </c>
      <c r="E65" s="75" t="s">
        <v>8</v>
      </c>
      <c r="F65" s="75" t="s">
        <v>7</v>
      </c>
      <c r="G65" s="79" t="s">
        <v>9</v>
      </c>
      <c r="H65" s="81" t="s">
        <v>1</v>
      </c>
      <c r="I65" s="82"/>
      <c r="J65" s="75" t="s">
        <v>12</v>
      </c>
      <c r="K65" s="75" t="s">
        <v>6</v>
      </c>
      <c r="L65" s="75" t="s">
        <v>11</v>
      </c>
    </row>
    <row r="66" spans="1:12" ht="45.75" customHeight="1">
      <c r="A66" s="76"/>
      <c r="B66" s="76"/>
      <c r="C66" s="76"/>
      <c r="D66" s="78"/>
      <c r="E66" s="76"/>
      <c r="F66" s="76"/>
      <c r="G66" s="80"/>
      <c r="H66" s="15" t="s">
        <v>10</v>
      </c>
      <c r="I66" s="12" t="s">
        <v>3</v>
      </c>
      <c r="J66" s="76"/>
      <c r="K66" s="76"/>
      <c r="L66" s="76"/>
    </row>
    <row r="67" spans="1:12" ht="24" customHeight="1">
      <c r="A67" s="10"/>
      <c r="B67" s="16"/>
      <c r="C67" s="22"/>
      <c r="D67" s="27"/>
      <c r="E67" s="4"/>
      <c r="F67" s="16"/>
      <c r="G67" s="4"/>
      <c r="H67" s="11"/>
      <c r="I67" s="11"/>
      <c r="J67" s="63" t="s">
        <v>100</v>
      </c>
      <c r="K67" s="63">
        <f>SUM(K48)</f>
        <v>4232859.3</v>
      </c>
      <c r="L67" s="8"/>
    </row>
    <row r="68" spans="1:12" ht="24" customHeight="1">
      <c r="A68" s="10">
        <v>21</v>
      </c>
      <c r="B68" s="21" t="s">
        <v>46</v>
      </c>
      <c r="C68" s="3" t="s">
        <v>59</v>
      </c>
      <c r="D68" s="1" t="s">
        <v>60</v>
      </c>
      <c r="E68" s="4" t="s">
        <v>99</v>
      </c>
      <c r="F68" s="16">
        <v>24</v>
      </c>
      <c r="G68" s="4" t="s">
        <v>102</v>
      </c>
      <c r="H68" s="5">
        <v>1</v>
      </c>
      <c r="I68" s="5">
        <v>1</v>
      </c>
      <c r="J68" s="32">
        <v>499690</v>
      </c>
      <c r="K68" s="31">
        <f t="shared" ref="K68:K77" si="1">SUM(I68*J68)</f>
        <v>499690</v>
      </c>
      <c r="L68" s="71" t="s">
        <v>130</v>
      </c>
    </row>
    <row r="69" spans="1:12" ht="24" customHeight="1">
      <c r="A69" s="10">
        <v>22</v>
      </c>
      <c r="B69" s="21" t="s">
        <v>46</v>
      </c>
      <c r="C69" s="3" t="s">
        <v>61</v>
      </c>
      <c r="D69" s="1" t="s">
        <v>62</v>
      </c>
      <c r="E69" s="4" t="s">
        <v>99</v>
      </c>
      <c r="F69" s="16">
        <v>24</v>
      </c>
      <c r="G69" s="4" t="s">
        <v>102</v>
      </c>
      <c r="H69" s="5">
        <v>1</v>
      </c>
      <c r="I69" s="5">
        <v>1</v>
      </c>
      <c r="J69" s="32">
        <v>179760</v>
      </c>
      <c r="K69" s="32">
        <f t="shared" si="1"/>
        <v>179760</v>
      </c>
      <c r="L69" s="71" t="s">
        <v>130</v>
      </c>
    </row>
    <row r="70" spans="1:12" ht="24" customHeight="1">
      <c r="A70" s="10">
        <v>23</v>
      </c>
      <c r="B70" s="21" t="s">
        <v>46</v>
      </c>
      <c r="C70" s="22" t="s">
        <v>63</v>
      </c>
      <c r="D70" s="1" t="s">
        <v>64</v>
      </c>
      <c r="E70" s="4" t="s">
        <v>99</v>
      </c>
      <c r="F70" s="16">
        <v>24</v>
      </c>
      <c r="G70" s="4" t="s">
        <v>102</v>
      </c>
      <c r="H70" s="5">
        <v>5</v>
      </c>
      <c r="I70" s="5">
        <v>5</v>
      </c>
      <c r="J70" s="32">
        <v>92234</v>
      </c>
      <c r="K70" s="31">
        <f t="shared" si="1"/>
        <v>461170</v>
      </c>
      <c r="L70" s="71" t="s">
        <v>130</v>
      </c>
    </row>
    <row r="71" spans="1:12" ht="24" customHeight="1">
      <c r="A71" s="10">
        <v>24</v>
      </c>
      <c r="B71" s="21" t="s">
        <v>46</v>
      </c>
      <c r="C71" s="22" t="s">
        <v>65</v>
      </c>
      <c r="D71" s="1" t="s">
        <v>66</v>
      </c>
      <c r="E71" s="4" t="s">
        <v>99</v>
      </c>
      <c r="F71" s="16">
        <v>24</v>
      </c>
      <c r="G71" s="4" t="s">
        <v>102</v>
      </c>
      <c r="H71" s="5">
        <v>5</v>
      </c>
      <c r="I71" s="5">
        <v>5</v>
      </c>
      <c r="J71" s="32">
        <v>59706</v>
      </c>
      <c r="K71" s="31">
        <f t="shared" si="1"/>
        <v>298530</v>
      </c>
      <c r="L71" s="71" t="s">
        <v>130</v>
      </c>
    </row>
    <row r="72" spans="1:12" ht="24" customHeight="1">
      <c r="A72" s="10">
        <v>25</v>
      </c>
      <c r="B72" s="16">
        <v>2541</v>
      </c>
      <c r="C72" s="22" t="s">
        <v>67</v>
      </c>
      <c r="D72" s="1" t="s">
        <v>68</v>
      </c>
      <c r="E72" s="4" t="s">
        <v>99</v>
      </c>
      <c r="F72" s="16">
        <v>23</v>
      </c>
      <c r="G72" s="4" t="s">
        <v>101</v>
      </c>
      <c r="H72" s="5">
        <v>1</v>
      </c>
      <c r="I72" s="5">
        <v>1</v>
      </c>
      <c r="J72" s="32">
        <v>200000</v>
      </c>
      <c r="K72" s="31">
        <f t="shared" si="1"/>
        <v>200000</v>
      </c>
      <c r="L72" s="71" t="s">
        <v>138</v>
      </c>
    </row>
    <row r="73" spans="1:12" ht="24" customHeight="1">
      <c r="A73" s="10">
        <v>26</v>
      </c>
      <c r="B73" s="16">
        <v>2541</v>
      </c>
      <c r="C73" s="22" t="s">
        <v>69</v>
      </c>
      <c r="D73" s="1" t="s">
        <v>70</v>
      </c>
      <c r="E73" s="4" t="s">
        <v>99</v>
      </c>
      <c r="F73" s="16">
        <v>23</v>
      </c>
      <c r="G73" s="4" t="s">
        <v>101</v>
      </c>
      <c r="H73" s="5">
        <v>1</v>
      </c>
      <c r="I73" s="5">
        <v>1</v>
      </c>
      <c r="J73" s="32">
        <v>48950</v>
      </c>
      <c r="K73" s="31">
        <f t="shared" si="1"/>
        <v>48950</v>
      </c>
      <c r="L73" s="71" t="s">
        <v>139</v>
      </c>
    </row>
    <row r="74" spans="1:12" ht="24" customHeight="1">
      <c r="A74" s="10">
        <v>27</v>
      </c>
      <c r="B74" s="16">
        <v>2541</v>
      </c>
      <c r="C74" s="22" t="s">
        <v>71</v>
      </c>
      <c r="D74" s="1" t="s">
        <v>72</v>
      </c>
      <c r="E74" s="4" t="s">
        <v>99</v>
      </c>
      <c r="F74" s="16">
        <v>23</v>
      </c>
      <c r="G74" s="4" t="s">
        <v>101</v>
      </c>
      <c r="H74" s="5">
        <v>1</v>
      </c>
      <c r="I74" s="5">
        <v>1</v>
      </c>
      <c r="J74" s="32">
        <v>29700</v>
      </c>
      <c r="K74" s="31">
        <f t="shared" si="1"/>
        <v>29700</v>
      </c>
      <c r="L74" s="71" t="s">
        <v>106</v>
      </c>
    </row>
    <row r="75" spans="1:12" ht="24" customHeight="1">
      <c r="A75" s="10">
        <v>28</v>
      </c>
      <c r="B75" s="16">
        <v>2541</v>
      </c>
      <c r="C75" s="22" t="s">
        <v>73</v>
      </c>
      <c r="D75" s="1" t="s">
        <v>74</v>
      </c>
      <c r="E75" s="4" t="s">
        <v>99</v>
      </c>
      <c r="F75" s="16">
        <v>23</v>
      </c>
      <c r="G75" s="4" t="s">
        <v>101</v>
      </c>
      <c r="H75" s="5">
        <v>1</v>
      </c>
      <c r="I75" s="5">
        <v>1</v>
      </c>
      <c r="J75" s="32">
        <v>115060</v>
      </c>
      <c r="K75" s="31">
        <f t="shared" si="1"/>
        <v>115060</v>
      </c>
      <c r="L75" s="71" t="s">
        <v>104</v>
      </c>
    </row>
    <row r="76" spans="1:12" ht="24" customHeight="1">
      <c r="A76" s="10">
        <v>29</v>
      </c>
      <c r="B76" s="16">
        <v>2541</v>
      </c>
      <c r="C76" s="3" t="s">
        <v>75</v>
      </c>
      <c r="D76" s="1" t="s">
        <v>76</v>
      </c>
      <c r="E76" s="4" t="s">
        <v>99</v>
      </c>
      <c r="F76" s="16">
        <v>23</v>
      </c>
      <c r="G76" s="4" t="s">
        <v>101</v>
      </c>
      <c r="H76" s="11">
        <v>1</v>
      </c>
      <c r="I76" s="11">
        <v>1</v>
      </c>
      <c r="J76" s="32">
        <v>46750</v>
      </c>
      <c r="K76" s="31">
        <f t="shared" si="1"/>
        <v>46750</v>
      </c>
      <c r="L76" s="71" t="s">
        <v>105</v>
      </c>
    </row>
    <row r="77" spans="1:12" ht="24" customHeight="1">
      <c r="A77" s="10">
        <v>30</v>
      </c>
      <c r="B77" s="16">
        <v>2541</v>
      </c>
      <c r="C77" s="22" t="s">
        <v>77</v>
      </c>
      <c r="D77" s="27" t="s">
        <v>78</v>
      </c>
      <c r="E77" s="4" t="s">
        <v>99</v>
      </c>
      <c r="F77" s="16">
        <v>23</v>
      </c>
      <c r="G77" s="4" t="s">
        <v>101</v>
      </c>
      <c r="H77" s="11">
        <v>1</v>
      </c>
      <c r="I77" s="11">
        <v>1</v>
      </c>
      <c r="J77" s="31">
        <v>44990</v>
      </c>
      <c r="K77" s="31">
        <f t="shared" si="1"/>
        <v>44990</v>
      </c>
      <c r="L77" s="71" t="s">
        <v>140</v>
      </c>
    </row>
    <row r="78" spans="1:12" ht="24" customHeight="1" thickBot="1">
      <c r="A78" s="46"/>
      <c r="B78" s="57"/>
      <c r="C78" s="48"/>
      <c r="D78" s="58"/>
      <c r="E78" s="49"/>
      <c r="F78" s="57"/>
      <c r="G78" s="49"/>
      <c r="H78" s="59"/>
      <c r="I78" s="59"/>
      <c r="J78" s="53" t="s">
        <v>98</v>
      </c>
      <c r="K78" s="53">
        <f>SUM(K67:K77)</f>
        <v>6157459.2999999998</v>
      </c>
      <c r="L78" s="56"/>
    </row>
    <row r="79" spans="1:12" ht="24" customHeight="1" thickTop="1">
      <c r="A79" s="40"/>
      <c r="B79" s="41" t="s">
        <v>2</v>
      </c>
      <c r="C79" s="42" t="s">
        <v>14</v>
      </c>
      <c r="D79" s="42"/>
      <c r="E79" s="17"/>
      <c r="F79" s="17"/>
      <c r="G79" s="17"/>
      <c r="H79" s="43"/>
      <c r="I79" s="43"/>
      <c r="J79" s="44"/>
      <c r="K79" s="44"/>
      <c r="L79" s="45"/>
    </row>
    <row r="80" spans="1:12" ht="24" customHeight="1">
      <c r="A80" s="40"/>
      <c r="B80" s="41"/>
      <c r="C80" s="42" t="s">
        <v>15</v>
      </c>
      <c r="D80" s="42"/>
      <c r="E80" s="17"/>
      <c r="F80" s="17"/>
      <c r="G80" s="17"/>
      <c r="H80" s="43"/>
      <c r="I80" s="43"/>
      <c r="J80" s="44"/>
      <c r="K80" s="44"/>
      <c r="L80" s="45"/>
    </row>
    <row r="81" spans="1:12" ht="24" customHeight="1">
      <c r="A81" s="40"/>
      <c r="B81" s="41"/>
      <c r="C81" s="42"/>
      <c r="D81" s="42"/>
      <c r="E81" s="17"/>
      <c r="F81" s="17"/>
      <c r="G81" s="60" t="s">
        <v>116</v>
      </c>
      <c r="H81" s="83" t="s">
        <v>117</v>
      </c>
      <c r="I81" s="83"/>
      <c r="J81" s="83"/>
      <c r="K81" s="44" t="s">
        <v>118</v>
      </c>
      <c r="L81" s="45"/>
    </row>
    <row r="82" spans="1:12" ht="24" customHeight="1">
      <c r="A82" s="40"/>
      <c r="B82" s="41"/>
      <c r="C82" s="42"/>
      <c r="D82" s="42"/>
      <c r="E82" s="17"/>
      <c r="F82" s="17"/>
      <c r="G82" s="17"/>
      <c r="H82" s="83" t="s">
        <v>121</v>
      </c>
      <c r="I82" s="83"/>
      <c r="J82" s="83"/>
      <c r="K82" s="44"/>
      <c r="L82" s="45"/>
    </row>
    <row r="83" spans="1:12" ht="36.75" customHeight="1">
      <c r="A83" s="40"/>
      <c r="B83" s="41"/>
      <c r="C83" s="42"/>
      <c r="D83" s="42"/>
      <c r="E83" s="17"/>
      <c r="F83" s="17"/>
      <c r="G83" s="60" t="s">
        <v>116</v>
      </c>
      <c r="H83" s="83" t="s">
        <v>117</v>
      </c>
      <c r="I83" s="83"/>
      <c r="J83" s="83"/>
      <c r="K83" s="44" t="s">
        <v>119</v>
      </c>
      <c r="L83" s="45"/>
    </row>
    <row r="84" spans="1:12" ht="24" customHeight="1">
      <c r="A84" s="40"/>
      <c r="B84" s="41"/>
      <c r="C84" s="42"/>
      <c r="D84" s="42"/>
      <c r="E84" s="17"/>
      <c r="F84" s="17"/>
      <c r="G84" s="17"/>
      <c r="H84" s="83" t="s">
        <v>122</v>
      </c>
      <c r="I84" s="83"/>
      <c r="J84" s="83"/>
      <c r="K84" s="44"/>
      <c r="L84" s="45"/>
    </row>
    <row r="85" spans="1:12" ht="37.5" customHeight="1">
      <c r="A85" s="40"/>
      <c r="B85" s="41"/>
      <c r="C85" s="42"/>
      <c r="D85" s="42"/>
      <c r="E85" s="17"/>
      <c r="F85" s="17"/>
      <c r="G85" s="60" t="s">
        <v>116</v>
      </c>
      <c r="H85" s="83" t="s">
        <v>117</v>
      </c>
      <c r="I85" s="83"/>
      <c r="J85" s="83"/>
      <c r="K85" s="44" t="s">
        <v>120</v>
      </c>
      <c r="L85" s="68"/>
    </row>
    <row r="86" spans="1:12" ht="24" customHeight="1">
      <c r="A86" s="40"/>
      <c r="B86" s="41"/>
      <c r="C86" s="42"/>
      <c r="D86" s="42"/>
      <c r="E86" s="17"/>
      <c r="F86" s="17"/>
      <c r="G86" s="17"/>
      <c r="H86" s="83" t="s">
        <v>123</v>
      </c>
      <c r="I86" s="83"/>
      <c r="J86" s="83"/>
      <c r="K86" s="44"/>
      <c r="L86" s="45"/>
    </row>
    <row r="87" spans="1:12" ht="24" customHeight="1">
      <c r="A87" s="40"/>
      <c r="B87" s="41"/>
      <c r="C87" s="42"/>
      <c r="D87" s="42"/>
      <c r="E87" s="17"/>
      <c r="F87" s="17"/>
      <c r="G87" s="17"/>
      <c r="H87" s="67"/>
      <c r="I87" s="67"/>
      <c r="J87" s="67"/>
      <c r="K87" s="44"/>
      <c r="L87" s="45"/>
    </row>
    <row r="88" spans="1:12" ht="24" customHeight="1">
      <c r="A88" s="40"/>
      <c r="B88" s="41"/>
      <c r="C88" s="42"/>
      <c r="D88" s="42"/>
      <c r="E88" s="17"/>
      <c r="F88" s="17"/>
      <c r="G88" s="17"/>
      <c r="H88" s="67"/>
      <c r="I88" s="67"/>
      <c r="J88" s="67"/>
      <c r="K88" s="44"/>
      <c r="L88" s="45"/>
    </row>
    <row r="89" spans="1:12" ht="24" customHeight="1">
      <c r="A89" s="40"/>
      <c r="B89" s="41"/>
      <c r="C89" s="42"/>
      <c r="D89" s="42"/>
      <c r="E89" s="17"/>
      <c r="F89" s="17"/>
      <c r="G89" s="17"/>
      <c r="H89" s="67"/>
      <c r="I89" s="67"/>
      <c r="J89" s="67"/>
      <c r="K89" s="44"/>
      <c r="L89" s="45"/>
    </row>
    <row r="90" spans="1:12" ht="24" customHeight="1">
      <c r="A90" s="40"/>
      <c r="B90" s="41"/>
      <c r="C90" s="42"/>
      <c r="D90" s="42"/>
      <c r="E90" s="17"/>
      <c r="F90" s="17"/>
      <c r="G90" s="17"/>
      <c r="H90" s="67"/>
      <c r="I90" s="67"/>
      <c r="J90" s="67"/>
      <c r="K90" s="44"/>
      <c r="L90" s="45"/>
    </row>
    <row r="91" spans="1:12" ht="24" customHeight="1">
      <c r="A91" s="40"/>
      <c r="B91" s="41"/>
      <c r="C91" s="42"/>
      <c r="D91" s="42"/>
      <c r="E91" s="17"/>
      <c r="F91" s="17"/>
      <c r="G91" s="17"/>
      <c r="H91" s="67"/>
      <c r="I91" s="67"/>
      <c r="J91" s="67"/>
      <c r="K91" s="44"/>
      <c r="L91" s="45"/>
    </row>
    <row r="92" spans="1:12" ht="24" customHeight="1">
      <c r="L92" s="18" t="s">
        <v>115</v>
      </c>
    </row>
    <row r="93" spans="1:12" ht="24" customHeight="1">
      <c r="A93" s="72" t="s">
        <v>5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</row>
    <row r="94" spans="1:12" ht="24" customHeight="1">
      <c r="A94" s="73" t="s">
        <v>17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</row>
    <row r="95" spans="1:12" ht="24" customHeight="1">
      <c r="A95" s="84" t="s">
        <v>18</v>
      </c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</row>
    <row r="96" spans="1:12" ht="47.25" customHeight="1">
      <c r="A96" s="75" t="s">
        <v>110</v>
      </c>
      <c r="B96" s="75" t="s">
        <v>16</v>
      </c>
      <c r="C96" s="75" t="s">
        <v>13</v>
      </c>
      <c r="D96" s="77" t="s">
        <v>0</v>
      </c>
      <c r="E96" s="75" t="s">
        <v>8</v>
      </c>
      <c r="F96" s="75" t="s">
        <v>7</v>
      </c>
      <c r="G96" s="79" t="s">
        <v>9</v>
      </c>
      <c r="H96" s="81" t="s">
        <v>1</v>
      </c>
      <c r="I96" s="82"/>
      <c r="J96" s="75" t="s">
        <v>12</v>
      </c>
      <c r="K96" s="75" t="s">
        <v>6</v>
      </c>
      <c r="L96" s="75" t="s">
        <v>11</v>
      </c>
    </row>
    <row r="97" spans="1:12" ht="25.5" customHeight="1">
      <c r="A97" s="76"/>
      <c r="B97" s="76"/>
      <c r="C97" s="76"/>
      <c r="D97" s="78"/>
      <c r="E97" s="76"/>
      <c r="F97" s="76"/>
      <c r="G97" s="80"/>
      <c r="H97" s="15" t="s">
        <v>10</v>
      </c>
      <c r="I97" s="12" t="s">
        <v>3</v>
      </c>
      <c r="J97" s="76"/>
      <c r="K97" s="76"/>
      <c r="L97" s="76"/>
    </row>
    <row r="98" spans="1:12" ht="24" customHeight="1">
      <c r="A98" s="10"/>
      <c r="B98" s="16"/>
      <c r="C98" s="22"/>
      <c r="D98" s="27"/>
      <c r="E98" s="4"/>
      <c r="F98" s="16"/>
      <c r="G98" s="4"/>
      <c r="H98" s="11"/>
      <c r="I98" s="11"/>
      <c r="J98" s="63" t="s">
        <v>100</v>
      </c>
      <c r="K98" s="63">
        <f>SUM(K78)</f>
        <v>6157459.2999999998</v>
      </c>
      <c r="L98" s="8"/>
    </row>
    <row r="99" spans="1:12" ht="24" customHeight="1">
      <c r="A99" s="10">
        <v>31</v>
      </c>
      <c r="B99" s="21" t="s">
        <v>79</v>
      </c>
      <c r="C99" s="3" t="s">
        <v>80</v>
      </c>
      <c r="D99" s="1" t="s">
        <v>81</v>
      </c>
      <c r="E99" s="4" t="s">
        <v>99</v>
      </c>
      <c r="F99" s="16">
        <v>22</v>
      </c>
      <c r="G99" s="4" t="s">
        <v>101</v>
      </c>
      <c r="H99" s="5">
        <v>1</v>
      </c>
      <c r="I99" s="5">
        <v>1</v>
      </c>
      <c r="J99" s="32">
        <v>271500</v>
      </c>
      <c r="K99" s="31">
        <f t="shared" ref="K99:K107" si="2">SUM(I99*J99)</f>
        <v>271500</v>
      </c>
      <c r="L99" s="71" t="s">
        <v>141</v>
      </c>
    </row>
    <row r="100" spans="1:12" ht="24" customHeight="1">
      <c r="A100" s="10">
        <v>32</v>
      </c>
      <c r="B100" s="21" t="s">
        <v>79</v>
      </c>
      <c r="C100" s="3" t="s">
        <v>82</v>
      </c>
      <c r="D100" s="28" t="s">
        <v>83</v>
      </c>
      <c r="E100" s="4" t="s">
        <v>99</v>
      </c>
      <c r="F100" s="16">
        <v>22</v>
      </c>
      <c r="G100" s="4" t="s">
        <v>101</v>
      </c>
      <c r="H100" s="5">
        <v>1</v>
      </c>
      <c r="I100" s="5">
        <v>1</v>
      </c>
      <c r="J100" s="32">
        <v>58300</v>
      </c>
      <c r="K100" s="31">
        <f t="shared" si="2"/>
        <v>58300</v>
      </c>
      <c r="L100" s="71" t="s">
        <v>142</v>
      </c>
    </row>
    <row r="101" spans="1:12" ht="24" customHeight="1">
      <c r="A101" s="10">
        <v>33</v>
      </c>
      <c r="B101" s="21" t="s">
        <v>79</v>
      </c>
      <c r="C101" s="3" t="s">
        <v>84</v>
      </c>
      <c r="D101" s="1" t="s">
        <v>85</v>
      </c>
      <c r="E101" s="4" t="s">
        <v>99</v>
      </c>
      <c r="F101" s="16">
        <v>22</v>
      </c>
      <c r="G101" s="4" t="s">
        <v>101</v>
      </c>
      <c r="H101" s="5">
        <v>1</v>
      </c>
      <c r="I101" s="5">
        <v>1</v>
      </c>
      <c r="J101" s="32">
        <v>46200</v>
      </c>
      <c r="K101" s="31">
        <f t="shared" si="2"/>
        <v>46200</v>
      </c>
      <c r="L101" s="71" t="s">
        <v>103</v>
      </c>
    </row>
    <row r="102" spans="1:12" ht="24" customHeight="1">
      <c r="A102" s="10">
        <v>34</v>
      </c>
      <c r="B102" s="21" t="s">
        <v>79</v>
      </c>
      <c r="C102" s="3" t="s">
        <v>86</v>
      </c>
      <c r="D102" s="1" t="s">
        <v>87</v>
      </c>
      <c r="E102" s="4" t="s">
        <v>99</v>
      </c>
      <c r="F102" s="16">
        <v>22</v>
      </c>
      <c r="G102" s="4" t="s">
        <v>101</v>
      </c>
      <c r="H102" s="5">
        <v>1</v>
      </c>
      <c r="I102" s="5">
        <v>1</v>
      </c>
      <c r="J102" s="32">
        <v>42900</v>
      </c>
      <c r="K102" s="31">
        <f t="shared" si="2"/>
        <v>42900</v>
      </c>
      <c r="L102" s="71" t="s">
        <v>107</v>
      </c>
    </row>
    <row r="103" spans="1:12" ht="24" customHeight="1">
      <c r="A103" s="10">
        <v>35</v>
      </c>
      <c r="B103" s="21" t="s">
        <v>79</v>
      </c>
      <c r="C103" s="3" t="s">
        <v>88</v>
      </c>
      <c r="D103" s="1" t="s">
        <v>89</v>
      </c>
      <c r="E103" s="4" t="s">
        <v>99</v>
      </c>
      <c r="F103" s="16">
        <v>22</v>
      </c>
      <c r="G103" s="4" t="s">
        <v>101</v>
      </c>
      <c r="H103" s="5">
        <v>1</v>
      </c>
      <c r="I103" s="5">
        <v>1</v>
      </c>
      <c r="J103" s="32">
        <v>11000</v>
      </c>
      <c r="K103" s="31">
        <f t="shared" si="2"/>
        <v>11000</v>
      </c>
      <c r="L103" s="71" t="s">
        <v>143</v>
      </c>
    </row>
    <row r="104" spans="1:12" ht="24" customHeight="1">
      <c r="A104" s="10">
        <v>36</v>
      </c>
      <c r="B104" s="21" t="s">
        <v>79</v>
      </c>
      <c r="C104" s="3" t="s">
        <v>90</v>
      </c>
      <c r="D104" s="1" t="s">
        <v>91</v>
      </c>
      <c r="E104" s="4" t="s">
        <v>99</v>
      </c>
      <c r="F104" s="16">
        <v>22</v>
      </c>
      <c r="G104" s="4" t="s">
        <v>101</v>
      </c>
      <c r="H104" s="5">
        <v>1</v>
      </c>
      <c r="I104" s="5">
        <v>1</v>
      </c>
      <c r="J104" s="32">
        <v>12100</v>
      </c>
      <c r="K104" s="31">
        <f t="shared" si="2"/>
        <v>12100</v>
      </c>
      <c r="L104" s="71" t="s">
        <v>143</v>
      </c>
    </row>
    <row r="105" spans="1:12" ht="24" customHeight="1">
      <c r="A105" s="10">
        <v>37</v>
      </c>
      <c r="B105" s="10">
        <v>2545</v>
      </c>
      <c r="C105" s="3" t="s">
        <v>92</v>
      </c>
      <c r="D105" s="1" t="s">
        <v>93</v>
      </c>
      <c r="E105" s="4" t="s">
        <v>99</v>
      </c>
      <c r="F105" s="16">
        <v>19</v>
      </c>
      <c r="G105" s="4" t="s">
        <v>101</v>
      </c>
      <c r="H105" s="5">
        <v>1</v>
      </c>
      <c r="I105" s="5">
        <v>1</v>
      </c>
      <c r="J105" s="32">
        <v>176550</v>
      </c>
      <c r="K105" s="31">
        <f t="shared" si="2"/>
        <v>176550</v>
      </c>
      <c r="L105" s="71" t="s">
        <v>108</v>
      </c>
    </row>
    <row r="106" spans="1:12" ht="24" customHeight="1">
      <c r="A106" s="10">
        <v>38</v>
      </c>
      <c r="B106" s="10">
        <v>2545</v>
      </c>
      <c r="C106" s="3" t="s">
        <v>94</v>
      </c>
      <c r="D106" s="1" t="s">
        <v>95</v>
      </c>
      <c r="E106" s="4" t="s">
        <v>99</v>
      </c>
      <c r="F106" s="16">
        <v>19</v>
      </c>
      <c r="G106" s="4" t="s">
        <v>101</v>
      </c>
      <c r="H106" s="5">
        <v>1</v>
      </c>
      <c r="I106" s="5">
        <v>1</v>
      </c>
      <c r="J106" s="35">
        <v>131182</v>
      </c>
      <c r="K106" s="31">
        <f t="shared" si="2"/>
        <v>131182</v>
      </c>
      <c r="L106" s="71" t="s">
        <v>109</v>
      </c>
    </row>
    <row r="107" spans="1:12" ht="24" customHeight="1">
      <c r="A107" s="10">
        <v>39</v>
      </c>
      <c r="B107" s="10">
        <v>2545</v>
      </c>
      <c r="C107" s="3" t="s">
        <v>96</v>
      </c>
      <c r="D107" s="1" t="s">
        <v>97</v>
      </c>
      <c r="E107" s="4" t="s">
        <v>99</v>
      </c>
      <c r="F107" s="16">
        <v>19</v>
      </c>
      <c r="G107" s="4" t="s">
        <v>101</v>
      </c>
      <c r="H107" s="5">
        <v>10</v>
      </c>
      <c r="I107" s="5">
        <v>10</v>
      </c>
      <c r="J107" s="35">
        <v>1605</v>
      </c>
      <c r="K107" s="31">
        <f t="shared" si="2"/>
        <v>16050</v>
      </c>
      <c r="L107" s="71" t="s">
        <v>144</v>
      </c>
    </row>
    <row r="108" spans="1:12" ht="24" customHeight="1" thickBot="1">
      <c r="A108" s="64" t="s">
        <v>124</v>
      </c>
      <c r="B108" s="64"/>
      <c r="C108" s="64"/>
      <c r="D108" s="64"/>
      <c r="E108" s="64"/>
      <c r="F108" s="64"/>
      <c r="G108" s="64"/>
      <c r="H108" s="64"/>
      <c r="I108" s="64"/>
      <c r="J108" s="39" t="s">
        <v>4</v>
      </c>
      <c r="K108" s="38">
        <f>SUM(K98:K107)</f>
        <v>6923241.2999999998</v>
      </c>
      <c r="L108" s="20"/>
    </row>
    <row r="109" spans="1:12" ht="24" customHeight="1" thickTop="1">
      <c r="B109" s="41" t="s">
        <v>2</v>
      </c>
      <c r="C109" s="42" t="s">
        <v>14</v>
      </c>
      <c r="D109" s="42"/>
      <c r="E109" s="17"/>
      <c r="F109" s="17"/>
      <c r="G109" s="17"/>
      <c r="H109" s="67"/>
      <c r="I109" s="67"/>
      <c r="J109" s="44"/>
      <c r="K109" s="44"/>
      <c r="L109" s="45"/>
    </row>
    <row r="110" spans="1:12" ht="24" customHeight="1">
      <c r="B110" s="41"/>
      <c r="C110" s="42" t="s">
        <v>15</v>
      </c>
      <c r="D110" s="42"/>
      <c r="E110" s="17"/>
      <c r="F110" s="17"/>
      <c r="G110" s="17"/>
      <c r="H110" s="67"/>
      <c r="I110" s="67"/>
      <c r="J110" s="44"/>
      <c r="K110" s="44"/>
      <c r="L110" s="45"/>
    </row>
    <row r="111" spans="1:12" ht="24" customHeight="1">
      <c r="C111" s="41"/>
      <c r="D111" s="42"/>
      <c r="E111" s="42"/>
      <c r="F111" s="17"/>
      <c r="G111" s="60" t="s">
        <v>116</v>
      </c>
      <c r="H111" s="83" t="s">
        <v>117</v>
      </c>
      <c r="I111" s="83"/>
      <c r="J111" s="83"/>
      <c r="K111" s="65" t="s">
        <v>125</v>
      </c>
      <c r="L111" s="44"/>
    </row>
    <row r="112" spans="1:12" ht="24" customHeight="1">
      <c r="C112" s="41"/>
      <c r="D112" s="42"/>
      <c r="E112" s="42"/>
      <c r="F112" s="17"/>
      <c r="G112" s="17"/>
      <c r="H112" s="83" t="s">
        <v>121</v>
      </c>
      <c r="I112" s="83"/>
      <c r="J112" s="83"/>
      <c r="K112" s="65"/>
      <c r="L112" s="44"/>
    </row>
    <row r="113" spans="3:12" ht="39.75" customHeight="1">
      <c r="C113" s="41"/>
      <c r="D113" s="42"/>
      <c r="E113" s="42"/>
      <c r="F113" s="17"/>
      <c r="G113" s="60" t="s">
        <v>116</v>
      </c>
      <c r="H113" s="83" t="s">
        <v>117</v>
      </c>
      <c r="I113" s="83"/>
      <c r="J113" s="83"/>
      <c r="K113" s="66" t="s">
        <v>126</v>
      </c>
    </row>
    <row r="114" spans="3:12" ht="24" customHeight="1">
      <c r="C114" s="41"/>
      <c r="D114" s="42"/>
      <c r="E114" s="42"/>
      <c r="F114" s="17"/>
      <c r="G114" s="17"/>
      <c r="H114" s="83" t="s">
        <v>122</v>
      </c>
      <c r="I114" s="83"/>
      <c r="J114" s="83"/>
      <c r="K114" s="65"/>
    </row>
    <row r="115" spans="3:12" ht="39" customHeight="1">
      <c r="C115" s="41"/>
      <c r="D115" s="42"/>
      <c r="E115" s="42"/>
      <c r="F115" s="17"/>
      <c r="G115" s="60" t="s">
        <v>116</v>
      </c>
      <c r="H115" s="83" t="s">
        <v>117</v>
      </c>
      <c r="I115" s="83"/>
      <c r="J115" s="83"/>
      <c r="K115" s="66" t="s">
        <v>127</v>
      </c>
    </row>
    <row r="116" spans="3:12" ht="24" customHeight="1">
      <c r="C116" s="41"/>
      <c r="D116" s="42"/>
      <c r="E116" s="42"/>
      <c r="F116" s="17"/>
      <c r="G116" s="17"/>
      <c r="H116" s="83" t="s">
        <v>123</v>
      </c>
      <c r="I116" s="83"/>
      <c r="J116" s="83"/>
      <c r="K116" s="65"/>
    </row>
    <row r="117" spans="3:12" ht="24" customHeight="1">
      <c r="K117" s="7"/>
      <c r="L117" s="2"/>
    </row>
    <row r="118" spans="3:12" ht="24" customHeight="1">
      <c r="K118" s="7"/>
      <c r="L118" s="2"/>
    </row>
    <row r="119" spans="3:12" ht="24" customHeight="1">
      <c r="K119" s="7"/>
      <c r="L119" s="2"/>
    </row>
    <row r="120" spans="3:12" ht="24" customHeight="1">
      <c r="K120" s="7"/>
      <c r="L120" s="2"/>
    </row>
    <row r="121" spans="3:12" ht="24" customHeight="1">
      <c r="K121" s="7"/>
      <c r="L121" s="2"/>
    </row>
    <row r="122" spans="3:12" ht="24" customHeight="1">
      <c r="K122" s="7"/>
      <c r="L122" s="2"/>
    </row>
    <row r="123" spans="3:12" ht="24" customHeight="1">
      <c r="K123" s="7"/>
      <c r="L123" s="2"/>
    </row>
    <row r="124" spans="3:12" ht="24" customHeight="1">
      <c r="K124" s="7"/>
      <c r="L124" s="2"/>
    </row>
    <row r="125" spans="3:12" ht="24" customHeight="1">
      <c r="K125" s="7"/>
      <c r="L125" s="2"/>
    </row>
    <row r="126" spans="3:12" ht="24" customHeight="1">
      <c r="K126" s="7"/>
      <c r="L126" s="2"/>
    </row>
    <row r="127" spans="3:12" ht="24" customHeight="1">
      <c r="K127" s="7"/>
      <c r="L127" s="2"/>
    </row>
    <row r="128" spans="3:12" ht="24" customHeight="1">
      <c r="K128" s="7"/>
      <c r="L128" s="2"/>
    </row>
    <row r="129" spans="11:12" ht="24" customHeight="1">
      <c r="K129" s="7"/>
      <c r="L129" s="2"/>
    </row>
    <row r="130" spans="11:12" ht="24" customHeight="1">
      <c r="K130" s="7"/>
      <c r="L130" s="2"/>
    </row>
    <row r="131" spans="11:12" ht="24" customHeight="1">
      <c r="K131" s="7"/>
      <c r="L131" s="2"/>
    </row>
    <row r="132" spans="11:12" ht="24" customHeight="1">
      <c r="K132" s="7"/>
      <c r="L132" s="2"/>
    </row>
    <row r="133" spans="11:12" ht="24" customHeight="1">
      <c r="K133" s="7"/>
      <c r="L133" s="2"/>
    </row>
    <row r="134" spans="11:12" ht="24" customHeight="1">
      <c r="K134" s="7"/>
      <c r="L134" s="2"/>
    </row>
    <row r="135" spans="11:12" ht="24" customHeight="1">
      <c r="K135" s="7"/>
      <c r="L135" s="2"/>
    </row>
    <row r="136" spans="11:12" ht="24" customHeight="1">
      <c r="K136" s="7"/>
      <c r="L136" s="2"/>
    </row>
    <row r="137" spans="11:12" ht="24" customHeight="1">
      <c r="K137" s="7"/>
      <c r="L137" s="2"/>
    </row>
    <row r="138" spans="11:12" ht="24" customHeight="1">
      <c r="K138" s="7"/>
      <c r="L138" s="2"/>
    </row>
    <row r="139" spans="11:12" ht="24" customHeight="1">
      <c r="K139" s="7"/>
      <c r="L139" s="2"/>
    </row>
    <row r="140" spans="11:12" ht="24" customHeight="1">
      <c r="K140" s="7"/>
      <c r="L140" s="2"/>
    </row>
    <row r="141" spans="11:12" ht="24" customHeight="1">
      <c r="K141" s="7"/>
      <c r="L141" s="2"/>
    </row>
    <row r="142" spans="11:12" ht="24" customHeight="1">
      <c r="K142" s="7"/>
      <c r="L142" s="2"/>
    </row>
    <row r="143" spans="11:12" ht="24" customHeight="1">
      <c r="K143" s="7"/>
      <c r="L143" s="2"/>
    </row>
    <row r="144" spans="11:12" ht="24" customHeight="1">
      <c r="K144" s="7"/>
      <c r="L144" s="2"/>
    </row>
    <row r="145" spans="11:12" ht="24" customHeight="1">
      <c r="K145" s="7"/>
      <c r="L145" s="2"/>
    </row>
    <row r="146" spans="11:12" ht="24" customHeight="1">
      <c r="K146" s="7"/>
      <c r="L146" s="2"/>
    </row>
    <row r="147" spans="11:12" ht="24" customHeight="1">
      <c r="K147" s="7"/>
      <c r="L147" s="2"/>
    </row>
    <row r="148" spans="11:12" ht="24" customHeight="1">
      <c r="K148" s="7"/>
      <c r="L148" s="2"/>
    </row>
    <row r="149" spans="11:12" ht="24" customHeight="1">
      <c r="K149" s="7"/>
      <c r="L149" s="2"/>
    </row>
    <row r="150" spans="11:12" ht="24" customHeight="1">
      <c r="K150" s="7"/>
      <c r="L150" s="2"/>
    </row>
    <row r="151" spans="11:12" ht="24" customHeight="1">
      <c r="K151" s="7"/>
      <c r="L151" s="2"/>
    </row>
    <row r="152" spans="11:12" ht="24" customHeight="1">
      <c r="K152" s="7"/>
      <c r="L152" s="2"/>
    </row>
    <row r="153" spans="11:12" ht="24" customHeight="1">
      <c r="K153" s="7"/>
      <c r="L153" s="2"/>
    </row>
    <row r="154" spans="11:12" ht="24" customHeight="1">
      <c r="K154" s="7"/>
      <c r="L154" s="2"/>
    </row>
    <row r="155" spans="11:12" ht="24" customHeight="1">
      <c r="K155" s="7"/>
      <c r="L155" s="2"/>
    </row>
  </sheetData>
  <mergeCells count="80">
    <mergeCell ref="G96:G97"/>
    <mergeCell ref="H96:I96"/>
    <mergeCell ref="J96:J97"/>
    <mergeCell ref="K96:K97"/>
    <mergeCell ref="L96:L97"/>
    <mergeCell ref="A93:L93"/>
    <mergeCell ref="A94:L94"/>
    <mergeCell ref="H115:J115"/>
    <mergeCell ref="H116:J116"/>
    <mergeCell ref="H86:J86"/>
    <mergeCell ref="A95:L95"/>
    <mergeCell ref="H111:J111"/>
    <mergeCell ref="H112:J112"/>
    <mergeCell ref="H113:J113"/>
    <mergeCell ref="H114:J114"/>
    <mergeCell ref="A96:A97"/>
    <mergeCell ref="B96:B97"/>
    <mergeCell ref="C96:C97"/>
    <mergeCell ref="D96:D97"/>
    <mergeCell ref="E96:E97"/>
    <mergeCell ref="F96:F97"/>
    <mergeCell ref="H81:J81"/>
    <mergeCell ref="H82:J82"/>
    <mergeCell ref="H83:J83"/>
    <mergeCell ref="H84:J84"/>
    <mergeCell ref="H85:J85"/>
    <mergeCell ref="H25:J25"/>
    <mergeCell ref="H51:J51"/>
    <mergeCell ref="H52:J52"/>
    <mergeCell ref="H53:J53"/>
    <mergeCell ref="H54:J54"/>
    <mergeCell ref="H35:I35"/>
    <mergeCell ref="J35:J36"/>
    <mergeCell ref="A32:L32"/>
    <mergeCell ref="A33:L33"/>
    <mergeCell ref="A34:L34"/>
    <mergeCell ref="K35:K36"/>
    <mergeCell ref="L35:L36"/>
    <mergeCell ref="H20:J20"/>
    <mergeCell ref="H22:J22"/>
    <mergeCell ref="H24:J24"/>
    <mergeCell ref="H21:J21"/>
    <mergeCell ref="H23:J23"/>
    <mergeCell ref="A63:L63"/>
    <mergeCell ref="A64:L64"/>
    <mergeCell ref="A65:A66"/>
    <mergeCell ref="B65:B66"/>
    <mergeCell ref="C65:C66"/>
    <mergeCell ref="D65:D66"/>
    <mergeCell ref="E65:E66"/>
    <mergeCell ref="F65:F66"/>
    <mergeCell ref="G65:G66"/>
    <mergeCell ref="H65:I65"/>
    <mergeCell ref="J65:J66"/>
    <mergeCell ref="K65:K66"/>
    <mergeCell ref="L65:L66"/>
    <mergeCell ref="A62:L62"/>
    <mergeCell ref="H55:J55"/>
    <mergeCell ref="H56:J56"/>
    <mergeCell ref="A35:A36"/>
    <mergeCell ref="B35:B36"/>
    <mergeCell ref="C35:C36"/>
    <mergeCell ref="D35:D36"/>
    <mergeCell ref="E35:E36"/>
    <mergeCell ref="F35:F36"/>
    <mergeCell ref="G35:G3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honeticPr fontId="9" type="noConversion"/>
  <printOptions horizontalCentered="1"/>
  <pageMargins left="0.19685039370078741" right="0.19685039370078741" top="0.19685039370078741" bottom="0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แผนกวิชาไฟฟ้ากำลัง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2021-11-19T03:11:30Z</cp:lastPrinted>
  <dcterms:created xsi:type="dcterms:W3CDTF">2017-11-14T01:32:33Z</dcterms:created>
  <dcterms:modified xsi:type="dcterms:W3CDTF">2022-05-30T07:38:40Z</dcterms:modified>
</cp:coreProperties>
</file>