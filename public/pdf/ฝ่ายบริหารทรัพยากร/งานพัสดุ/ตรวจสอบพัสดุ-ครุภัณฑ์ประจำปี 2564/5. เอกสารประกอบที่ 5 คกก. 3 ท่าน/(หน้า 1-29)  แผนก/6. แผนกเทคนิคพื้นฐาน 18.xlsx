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EC6A6274-E5D4-477D-A593-9DB7FC0E9E1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เทคนิคพื้นฐาน" sheetId="46" r:id="rId1"/>
  </sheets>
  <definedNames>
    <definedName name="_xlnm.Print_Titles" localSheetId="0">เทคนิคพื้นฐาน!$2:$5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18" i="46"/>
  <c r="K7" i="46"/>
  <c r="K19" i="46" l="1"/>
</calcChain>
</file>

<file path=xl/sharedStrings.xml><?xml version="1.0" encoding="utf-8"?>
<sst xmlns="http://schemas.openxmlformats.org/spreadsheetml/2006/main" count="98" uniqueCount="69">
  <si>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</si>
  <si>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</si>
  <si>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</si>
  <si>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</si>
  <si>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</si>
  <si>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</si>
  <si>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</si>
  <si>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</si>
  <si>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</si>
  <si>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</si>
  <si>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</si>
  <si>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</si>
  <si>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</si>
  <si>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</si>
  <si>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</si>
  <si>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</si>
  <si>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</si>
  <si>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</si>
  <si>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</si>
  <si>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</si>
  <si>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งปม.</t>
  </si>
  <si>
    <t>-</t>
  </si>
  <si>
    <t>3446-005-0001/391-001-004</t>
  </si>
  <si>
    <t>5110-001-0001/391-001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</si>
  <si>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</si>
  <si>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</si>
  <si>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</si>
  <si>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7110-001-0001/391-001</t>
  </si>
  <si>
    <t>ตู้เหล็ก 2 บาน (PRERIDENT)</t>
  </si>
  <si>
    <t>บกศ.</t>
  </si>
  <si>
    <t>3416-001-0001/463-001</t>
  </si>
  <si>
    <t>เครื่องกลึงขนาดยันศูนย์เหนือแท่น 125 มม.</t>
  </si>
  <si>
    <t>บริจาค</t>
  </si>
  <si>
    <t>3416-001-0001/463-002</t>
  </si>
  <si>
    <t>2548</t>
  </si>
  <si>
    <t>5210-016-0001/482-001-006</t>
  </si>
  <si>
    <t>บรรทัดเส้นผม</t>
  </si>
  <si>
    <t>5210-016-0002/482-001-006</t>
  </si>
  <si>
    <t>ฉากเส้นผม</t>
  </si>
  <si>
    <t>4140-001-0002/482-004-0007</t>
  </si>
  <si>
    <t>พัดลมโรงงาน  18 นิ้ว</t>
  </si>
  <si>
    <t>2550</t>
  </si>
  <si>
    <t>7430-008-0001-502-015</t>
  </si>
  <si>
    <t>เครื่องปริ้นเตอร์ 1020</t>
  </si>
  <si>
    <t>7440-001-0001/502-508</t>
  </si>
  <si>
    <t>เครื่องคอมพิวเตอร์ HP</t>
  </si>
  <si>
    <t>ครุภัณฑ์ปฏิบัติการสาขางานเครื่องมือทั่วไป</t>
  </si>
  <si>
    <t>ประจำปี 2564 สิ้นงวดเมื่อวันที่ 30 กันยายน 2564 ของแผนกวิชาเทคนิคพื้นฐาน</t>
  </si>
  <si>
    <t>ฮาร์ตดิสก์ไหม้,การ์ดขยายไหม้</t>
  </si>
  <si>
    <t>หัวอ่านชำรุด,ตัวเครื่องแตก</t>
  </si>
  <si>
    <t>ทั่งตีเหล็กขนาด 50 กก.</t>
  </si>
  <si>
    <t>ลงชื่อ</t>
  </si>
  <si>
    <t>.........................................................</t>
  </si>
  <si>
    <t xml:space="preserve">ประธานกรรมการ  </t>
  </si>
  <si>
    <t xml:space="preserve">กรรมการ  </t>
  </si>
  <si>
    <t xml:space="preserve">กรรมการและเลขานุการ  </t>
  </si>
  <si>
    <t>เอกสารหมายเลข 18</t>
  </si>
  <si>
    <t>(นายสมาน  คำขาว)</t>
  </si>
  <si>
    <t>ว่าที่ ร.อ. .................................................</t>
  </si>
  <si>
    <t>(สายชล  ทองแป)</t>
  </si>
  <si>
    <t>(นายชัยวัฒน์  ยศเคน)</t>
  </si>
  <si>
    <t>แตกเสียหาย,รูทั่งไม่เป็นรูป</t>
  </si>
  <si>
    <t>แตกหัก</t>
  </si>
  <si>
    <t>ประตูพัง ,เป็นสนิม</t>
  </si>
  <si>
    <t>อุปกรณ์แตกหัก</t>
  </si>
  <si>
    <t xml:space="preserve">แตก ไม่มีคม </t>
  </si>
  <si>
    <t>ใบฉากไม่มีคม</t>
  </si>
  <si>
    <t xml:space="preserve">ใบพัดหัก,มอเตอร์ชำรุด เป็นสนิม  </t>
  </si>
  <si>
    <t>3419-0070001/551-001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</si>
</sst>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2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left"/>
    </xf>
    <xf numFmtId="0" fontId="7" fillId="0" borderId="6" xfId="0" applyFont="1" applyBorder="1" applyAlignment="1"/>
    <xf numFmtId="0" fontId="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43" fontId="4" fillId="0" borderId="1" xfId="12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3" fontId="4" fillId="0" borderId="1" xfId="12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3" fontId="7" fillId="0" borderId="6" xfId="0" applyNumberFormat="1" applyFont="1" applyBorder="1" applyAlignment="1"/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1600200</xdr:colOff>
      <xdr:row>20</xdr:row>
      <xdr:rowOff>9526</xdr:rowOff>
    </xdr:from>
    <xdr:to>
      <xdr:col>11</xdr:col>
      <xdr:colOff>1905000</xdr:colOff>
      <xdr:row>24</xdr:row>
      <xdr:rowOff>180978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53849" y="6991352"/>
          <a:ext cx="1390652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topLeftCell="A13" zoomScaleNormal="100" zoomScaleSheetLayoutView="98" workbookViewId="0">
      <selection activeCell="C18" sqref="C18"/>
    </sheetView>
  </sheetViews>
  <sheetFormatPr defaultColWidth="9" defaultRowHeight="24"/>
  <cols>
    <col min="1" max="1" width="5.85546875" style="3" customWidth="1"/>
    <col min="2" max="2" width="10.5703125" style="23" customWidth="1"/>
    <col min="3" max="3" width="30" style="17" customWidth="1"/>
    <col min="4" max="4" width="40.28515625" style="3" customWidth="1"/>
    <col min="5" max="5" width="8.85546875" style="3" customWidth="1"/>
    <col min="6" max="6" width="9.42578125" style="3" customWidth="1"/>
    <col min="7" max="7" width="7.28515625" style="3" customWidth="1"/>
    <col min="8" max="8" width="8.42578125" style="3" customWidth="1"/>
    <col min="9" max="9" width="8.28515625" style="3" customWidth="1"/>
    <col min="10" max="10" width="13.28515625" style="3" customWidth="1"/>
    <col min="11" max="11" width="15" style="3" customWidth="1"/>
    <col min="12" max="12" width="35.7109375" style="23" customWidth="1"/>
    <col min="13" max="16384" width="9" style="3"/>
  </cols>
  <sheetData>
    <row r="1" spans="1:12">
      <c r="L1" s="23" t="s">
        <v>56</v>
      </c>
    </row>
    <row r="2" spans="1:12">
      <c r="A2" s="37" t="s">
        <v>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>
      <c r="A4" s="39" t="s">
        <v>47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28.5" customHeight="1">
      <c r="A5" s="40" t="s">
        <v>8</v>
      </c>
      <c r="B5" s="40" t="s">
        <v>19</v>
      </c>
      <c r="C5" s="40" t="s">
        <v>16</v>
      </c>
      <c r="D5" s="42" t="s">
        <v>0</v>
      </c>
      <c r="E5" s="40" t="s">
        <v>11</v>
      </c>
      <c r="F5" s="40" t="s">
        <v>10</v>
      </c>
      <c r="G5" s="44" t="s">
        <v>12</v>
      </c>
      <c r="H5" s="46" t="s">
        <v>1</v>
      </c>
      <c r="I5" s="47"/>
      <c r="J5" s="40" t="s">
        <v>15</v>
      </c>
      <c r="K5" s="40" t="s">
        <v>9</v>
      </c>
      <c r="L5" s="40" t="s">
        <v>14</v>
      </c>
    </row>
    <row r="6" spans="1:12" ht="48" customHeight="1">
      <c r="A6" s="41"/>
      <c r="B6" s="41"/>
      <c r="C6" s="41"/>
      <c r="D6" s="43"/>
      <c r="E6" s="41"/>
      <c r="F6" s="41"/>
      <c r="G6" s="45"/>
      <c r="H6" s="14" t="s">
        <v>13</v>
      </c>
      <c r="I6" s="13" t="s">
        <v>3</v>
      </c>
      <c r="J6" s="41"/>
      <c r="K6" s="41"/>
      <c r="L6" s="41"/>
    </row>
    <row r="7" spans="1:12">
      <c r="A7" s="15">
        <v>1</v>
      </c>
      <c r="B7" s="11">
        <v>2539</v>
      </c>
      <c r="C7" s="4" t="s">
        <v>22</v>
      </c>
      <c r="D7" s="2" t="s">
        <v>50</v>
      </c>
      <c r="E7" s="5" t="s">
        <v>20</v>
      </c>
      <c r="F7" s="5">
        <v>25</v>
      </c>
      <c r="G7" s="5" t="s">
        <v>21</v>
      </c>
      <c r="H7" s="5">
        <v>4</v>
      </c>
      <c r="I7" s="6">
        <v>2</v>
      </c>
      <c r="J7" s="7">
        <v>3000</v>
      </c>
      <c r="K7" s="7">
        <f>SUM(I7*J7)</f>
        <v>6000</v>
      </c>
      <c r="L7" s="31" t="s">
        <v>61</v>
      </c>
    </row>
    <row r="8" spans="1:12">
      <c r="A8" s="15">
        <v>2</v>
      </c>
      <c r="B8" s="11">
        <v>2539</v>
      </c>
      <c r="C8" s="4" t="s">
        <v>23</v>
      </c>
      <c r="D8" s="2" t="s">
        <v>24</v>
      </c>
      <c r="E8" s="5" t="s">
        <v>20</v>
      </c>
      <c r="F8" s="5">
        <v>25</v>
      </c>
      <c r="G8" s="5" t="s">
        <v>21</v>
      </c>
      <c r="H8" s="5">
        <v>1</v>
      </c>
      <c r="I8" s="6">
        <v>1</v>
      </c>
      <c r="J8" s="7">
        <v>99900</v>
      </c>
      <c r="K8" s="7">
        <f t="shared" ref="K8:K18" si="0">SUM(I8*J8)</f>
        <v>99900</v>
      </c>
      <c r="L8" s="31" t="s">
        <v>62</v>
      </c>
    </row>
    <row r="9" spans="1:12">
      <c r="A9" s="15">
        <v>3</v>
      </c>
      <c r="B9" s="11">
        <v>2539</v>
      </c>
      <c r="C9" s="4" t="s">
        <v>25</v>
      </c>
      <c r="D9" s="2" t="s">
        <v>26</v>
      </c>
      <c r="E9" s="5" t="s">
        <v>20</v>
      </c>
      <c r="F9" s="5">
        <v>25</v>
      </c>
      <c r="G9" s="5" t="s">
        <v>21</v>
      </c>
      <c r="H9" s="5">
        <v>1</v>
      </c>
      <c r="I9" s="6">
        <v>1</v>
      </c>
      <c r="J9" s="7">
        <v>69800</v>
      </c>
      <c r="K9" s="7">
        <f t="shared" si="0"/>
        <v>69800</v>
      </c>
      <c r="L9" s="31" t="s">
        <v>62</v>
      </c>
    </row>
    <row r="10" spans="1:12">
      <c r="A10" s="15">
        <v>4</v>
      </c>
      <c r="B10" s="11">
        <v>2539</v>
      </c>
      <c r="C10" s="4" t="s">
        <v>27</v>
      </c>
      <c r="D10" s="2" t="s">
        <v>28</v>
      </c>
      <c r="E10" s="24" t="s">
        <v>20</v>
      </c>
      <c r="F10" s="5">
        <v>25</v>
      </c>
      <c r="G10" s="5" t="s">
        <v>21</v>
      </c>
      <c r="H10" s="5">
        <v>1</v>
      </c>
      <c r="I10" s="6">
        <v>1</v>
      </c>
      <c r="J10" s="7">
        <v>2300</v>
      </c>
      <c r="K10" s="7">
        <f t="shared" si="0"/>
        <v>2300</v>
      </c>
      <c r="L10" s="31" t="s">
        <v>63</v>
      </c>
    </row>
    <row r="11" spans="1:12">
      <c r="A11" s="15">
        <v>5</v>
      </c>
      <c r="B11" s="11">
        <v>2546</v>
      </c>
      <c r="C11" s="4" t="s">
        <v>30</v>
      </c>
      <c r="D11" s="2" t="s">
        <v>31</v>
      </c>
      <c r="E11" s="5" t="s">
        <v>32</v>
      </c>
      <c r="F11" s="5">
        <v>18</v>
      </c>
      <c r="G11" s="5" t="s">
        <v>21</v>
      </c>
      <c r="H11" s="5">
        <v>1</v>
      </c>
      <c r="I11" s="6">
        <v>1</v>
      </c>
      <c r="J11" s="7">
        <v>69950</v>
      </c>
      <c r="K11" s="7">
        <f t="shared" si="0"/>
        <v>69950</v>
      </c>
      <c r="L11" s="31" t="s">
        <v>64</v>
      </c>
    </row>
    <row r="12" spans="1:12">
      <c r="A12" s="15">
        <v>6</v>
      </c>
      <c r="B12" s="11">
        <v>2546</v>
      </c>
      <c r="C12" s="4" t="s">
        <v>33</v>
      </c>
      <c r="D12" s="2" t="s">
        <v>31</v>
      </c>
      <c r="E12" s="5" t="s">
        <v>32</v>
      </c>
      <c r="F12" s="5">
        <v>18</v>
      </c>
      <c r="G12" s="5" t="s">
        <v>21</v>
      </c>
      <c r="H12" s="5">
        <v>1</v>
      </c>
      <c r="I12" s="6">
        <v>1</v>
      </c>
      <c r="J12" s="7">
        <v>86000</v>
      </c>
      <c r="K12" s="7">
        <f t="shared" si="0"/>
        <v>86000</v>
      </c>
      <c r="L12" s="31" t="s">
        <v>64</v>
      </c>
    </row>
    <row r="13" spans="1:12">
      <c r="A13" s="15">
        <v>7</v>
      </c>
      <c r="B13" s="8" t="s">
        <v>34</v>
      </c>
      <c r="C13" s="4" t="s">
        <v>35</v>
      </c>
      <c r="D13" s="2" t="s">
        <v>36</v>
      </c>
      <c r="E13" s="5" t="s">
        <v>29</v>
      </c>
      <c r="F13" s="5">
        <v>16</v>
      </c>
      <c r="G13" s="5" t="s">
        <v>21</v>
      </c>
      <c r="H13" s="5">
        <v>6</v>
      </c>
      <c r="I13" s="6">
        <v>6</v>
      </c>
      <c r="J13" s="7">
        <v>1448.6</v>
      </c>
      <c r="K13" s="7">
        <f t="shared" si="0"/>
        <v>8691.5999999999985</v>
      </c>
      <c r="L13" s="31" t="s">
        <v>65</v>
      </c>
    </row>
    <row r="14" spans="1:12">
      <c r="A14" s="15">
        <v>8</v>
      </c>
      <c r="B14" s="10" t="s">
        <v>34</v>
      </c>
      <c r="C14" s="4" t="s">
        <v>37</v>
      </c>
      <c r="D14" s="1" t="s">
        <v>38</v>
      </c>
      <c r="E14" s="5" t="s">
        <v>29</v>
      </c>
      <c r="F14" s="5">
        <v>16</v>
      </c>
      <c r="G14" s="5" t="s">
        <v>21</v>
      </c>
      <c r="H14" s="5">
        <v>6</v>
      </c>
      <c r="I14" s="6">
        <v>6</v>
      </c>
      <c r="J14" s="7">
        <v>1635.51</v>
      </c>
      <c r="K14" s="7">
        <f t="shared" si="0"/>
        <v>9813.06</v>
      </c>
      <c r="L14" s="32" t="s">
        <v>66</v>
      </c>
    </row>
    <row r="15" spans="1:12">
      <c r="A15" s="15">
        <v>9</v>
      </c>
      <c r="B15" s="8" t="s">
        <v>34</v>
      </c>
      <c r="C15" s="4" t="s">
        <v>39</v>
      </c>
      <c r="D15" s="2" t="s">
        <v>40</v>
      </c>
      <c r="E15" s="5" t="s">
        <v>29</v>
      </c>
      <c r="F15" s="5">
        <v>16</v>
      </c>
      <c r="G15" s="5" t="s">
        <v>21</v>
      </c>
      <c r="H15" s="5">
        <v>4</v>
      </c>
      <c r="I15" s="6">
        <v>4</v>
      </c>
      <c r="J15" s="7">
        <v>1722</v>
      </c>
      <c r="K15" s="7">
        <f t="shared" si="0"/>
        <v>6888</v>
      </c>
      <c r="L15" s="31" t="s">
        <v>67</v>
      </c>
    </row>
    <row r="16" spans="1:12">
      <c r="A16" s="15">
        <v>10</v>
      </c>
      <c r="B16" s="12" t="s">
        <v>41</v>
      </c>
      <c r="C16" s="4" t="s">
        <v>42</v>
      </c>
      <c r="D16" s="2" t="s">
        <v>43</v>
      </c>
      <c r="E16" s="5" t="s">
        <v>29</v>
      </c>
      <c r="F16" s="5">
        <v>14</v>
      </c>
      <c r="G16" s="5" t="s">
        <v>21</v>
      </c>
      <c r="H16" s="5">
        <v>1</v>
      </c>
      <c r="I16" s="6">
        <v>1</v>
      </c>
      <c r="J16" s="7">
        <v>6000</v>
      </c>
      <c r="K16" s="7">
        <f t="shared" si="0"/>
        <v>6000</v>
      </c>
      <c r="L16" s="33" t="s">
        <v>49</v>
      </c>
    </row>
    <row r="17" spans="1:12">
      <c r="A17" s="15">
        <v>11</v>
      </c>
      <c r="B17" s="25">
        <v>2550</v>
      </c>
      <c r="C17" s="26" t="s">
        <v>44</v>
      </c>
      <c r="D17" s="2" t="s">
        <v>45</v>
      </c>
      <c r="E17" s="25" t="s">
        <v>29</v>
      </c>
      <c r="F17" s="25">
        <v>14</v>
      </c>
      <c r="G17" s="5" t="s">
        <v>21</v>
      </c>
      <c r="H17" s="25">
        <v>1</v>
      </c>
      <c r="I17" s="6">
        <v>1</v>
      </c>
      <c r="J17" s="7">
        <v>20000</v>
      </c>
      <c r="K17" s="7">
        <f t="shared" si="0"/>
        <v>20000</v>
      </c>
      <c r="L17" s="34" t="s">
        <v>48</v>
      </c>
    </row>
    <row r="18" spans="1:12">
      <c r="A18" s="15">
        <v>12</v>
      </c>
      <c r="B18" s="11">
        <v>2555</v>
      </c>
      <c r="C18" s="4" t="s">
        <v>68</v>
      </c>
      <c r="D18" s="2" t="s">
        <v>46</v>
      </c>
      <c r="E18" s="5" t="s">
        <v>20</v>
      </c>
      <c r="F18" s="5">
        <v>9</v>
      </c>
      <c r="G18" s="5" t="s">
        <v>21</v>
      </c>
      <c r="H18" s="5">
        <v>1</v>
      </c>
      <c r="I18" s="6">
        <v>1</v>
      </c>
      <c r="J18" s="7">
        <v>222453</v>
      </c>
      <c r="K18" s="7">
        <f t="shared" si="0"/>
        <v>222453</v>
      </c>
      <c r="L18" s="31" t="s">
        <v>62</v>
      </c>
    </row>
    <row r="19" spans="1:12" ht="24.75" thickBot="1">
      <c r="A19" s="27" t="s">
        <v>6</v>
      </c>
      <c r="B19" s="27"/>
      <c r="C19" s="27"/>
      <c r="D19" s="27"/>
      <c r="E19" s="27"/>
      <c r="F19" s="27"/>
      <c r="G19" s="27"/>
      <c r="H19" s="27"/>
      <c r="I19" s="27"/>
      <c r="J19" s="28" t="s">
        <v>4</v>
      </c>
      <c r="K19" s="35">
        <f>SUM(K7:K18)</f>
        <v>607795.65999999992</v>
      </c>
      <c r="L19" s="29"/>
    </row>
    <row r="20" spans="1:12" ht="24.75" thickTop="1">
      <c r="A20" s="9"/>
      <c r="B20" s="20" t="s">
        <v>2</v>
      </c>
      <c r="C20" s="16" t="s">
        <v>17</v>
      </c>
      <c r="D20" s="9"/>
      <c r="E20" s="9"/>
      <c r="F20" s="9"/>
      <c r="G20" s="9"/>
      <c r="H20" s="9"/>
      <c r="I20" s="19"/>
      <c r="J20" s="9"/>
      <c r="K20" s="9"/>
      <c r="L20" s="22"/>
    </row>
    <row r="21" spans="1:12">
      <c r="A21" s="9"/>
      <c r="B21" s="22"/>
      <c r="C21" s="16" t="s">
        <v>18</v>
      </c>
      <c r="D21" s="9"/>
      <c r="E21" s="9"/>
      <c r="F21" s="9"/>
      <c r="G21" s="9"/>
      <c r="H21" s="18"/>
      <c r="I21" s="18"/>
      <c r="J21" s="18"/>
      <c r="K21" s="18"/>
      <c r="L21" s="18"/>
    </row>
    <row r="22" spans="1:12">
      <c r="A22" s="9"/>
      <c r="B22" s="22"/>
      <c r="C22" s="16"/>
      <c r="D22" s="9"/>
      <c r="E22" s="9"/>
      <c r="F22" s="9"/>
      <c r="G22" s="30" t="s">
        <v>51</v>
      </c>
      <c r="H22" s="36" t="s">
        <v>52</v>
      </c>
      <c r="I22" s="36"/>
      <c r="J22" s="36"/>
      <c r="K22" s="16" t="s">
        <v>53</v>
      </c>
      <c r="L22" s="18"/>
    </row>
    <row r="23" spans="1:12">
      <c r="A23" s="9"/>
      <c r="B23" s="22"/>
      <c r="C23" s="16"/>
      <c r="D23" s="9"/>
      <c r="E23" s="9"/>
      <c r="F23" s="9"/>
      <c r="G23" s="30"/>
      <c r="H23" s="36" t="s">
        <v>57</v>
      </c>
      <c r="I23" s="36"/>
      <c r="J23" s="36"/>
      <c r="K23" s="16"/>
      <c r="L23" s="18"/>
    </row>
    <row r="24" spans="1:12" ht="36" customHeight="1">
      <c r="G24" s="21" t="s">
        <v>51</v>
      </c>
      <c r="H24" s="36" t="s">
        <v>58</v>
      </c>
      <c r="I24" s="36"/>
      <c r="J24" s="36"/>
      <c r="K24" s="16" t="s">
        <v>54</v>
      </c>
    </row>
    <row r="25" spans="1:12">
      <c r="G25" s="21"/>
      <c r="H25" s="36" t="s">
        <v>59</v>
      </c>
      <c r="I25" s="36"/>
      <c r="J25" s="36"/>
      <c r="K25" s="16"/>
    </row>
    <row r="26" spans="1:12" ht="36" customHeight="1">
      <c r="G26" s="21" t="s">
        <v>51</v>
      </c>
      <c r="H26" s="48" t="s">
        <v>52</v>
      </c>
      <c r="I26" s="48"/>
      <c r="J26" s="48"/>
      <c r="K26" s="17" t="s">
        <v>55</v>
      </c>
    </row>
    <row r="27" spans="1:12">
      <c r="H27" s="48" t="s">
        <v>60</v>
      </c>
      <c r="I27" s="48"/>
      <c r="J27" s="48"/>
    </row>
  </sheetData>
  <mergeCells count="20">
    <mergeCell ref="H23:J23"/>
    <mergeCell ref="H24:J24"/>
    <mergeCell ref="H25:J25"/>
    <mergeCell ref="H26:J26"/>
    <mergeCell ref="H27:J27"/>
    <mergeCell ref="H22:J2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เทคนิคพื้นฐาน</vt:lpstr>
      <vt:lpstr>เทคนิคพื้นฐาน!Print_Titles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2021-11-19T03:25:02Z</cp:lastPrinted>
  <dcterms:created xsi:type="dcterms:W3CDTF">2017-11-14T01:32:33Z</dcterms:created>
  <dcterms:modified xsi:type="dcterms:W3CDTF">2022-06-07T03:19:11Z</dcterms:modified>
</cp:coreProperties>
</file>